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updateLinks="never" codeName="ЭтаКнига"/>
  <mc:AlternateContent xmlns:mc="http://schemas.openxmlformats.org/markup-compatibility/2006">
    <mc:Choice Requires="x15">
      <x15ac:absPath xmlns:x15ac="http://schemas.microsoft.com/office/spreadsheetml/2010/11/ac" url="C:\2 Медлайн\ИКБ\"/>
    </mc:Choice>
  </mc:AlternateContent>
  <xr:revisionPtr revIDLastSave="0" documentId="13_ncr:1_{7AD5AE0C-01A7-418B-BABA-72C41206E419}" xr6:coauthVersionLast="47" xr6:coauthVersionMax="47" xr10:uidLastSave="{00000000-0000-0000-0000-000000000000}"/>
  <workbookProtection workbookAlgorithmName="SHA-512" workbookHashValue="zu+hWkedBCL9cKc/5NxnkCR4PYH9EdWG26auushCn/f4QuSuPBpa9kb+LeiLQk1d6ZjiArJcDlTdCV4GvxwaHQ==" workbookSaltValue="iwJWwVMH5HpILwdL08r+gg==" workbookSpinCount="100000" lockStructure="1"/>
  <bookViews>
    <workbookView xWindow="-108" yWindow="-108" windowWidth="23256" windowHeight="13176" activeTab="3" xr2:uid="{00000000-000D-0000-FFFF-FFFF00000000}"/>
  </bookViews>
  <sheets>
    <sheet name="Описание" sheetId="1" r:id="rId1"/>
    <sheet name="ИТОГ" sheetId="2" state="hidden" r:id="rId2"/>
    <sheet name="Расчет" sheetId="3" state="hidden" r:id="rId3"/>
    <sheet name="Программа" sheetId="4" r:id="rId4"/>
    <sheet name="Управление ИБ" sheetId="5" state="hidden" r:id="rId5"/>
    <sheet name="Нормативное соответствие" sheetId="6" state="hidden" r:id="rId6"/>
    <sheet name="250" sheetId="7" state="hidden" r:id="rId7"/>
    <sheet name="СЗИ" sheetId="8" state="hidden" r:id="rId8"/>
    <sheet name="Мониторинг" sheetId="9" state="hidden" r:id="rId9"/>
    <sheet name="Реагирование" sheetId="10" state="hidden" r:id="rId10"/>
    <sheet name="Восстановление" sheetId="11" state="hidden" r:id="rId11"/>
    <sheet name="Светофор" sheetId="12" state="hidden" r:id="rId12"/>
    <sheet name="Условные сокращения" sheetId="13" state="hidden" r:id="rId13"/>
    <sheet name="Приоритет" sheetId="14" state="hidden" r:id="rId14"/>
    <sheet name="Экспресс" sheetId="15" state="hidden" r:id="rId15"/>
  </sheets>
  <definedNames>
    <definedName name="_xlnm._FilterDatabase" localSheetId="6" hidden="1">'250'!$B$49:$N$49</definedName>
    <definedName name="_xlnm._FilterDatabase" localSheetId="10" hidden="1">Восстановление!$B$30:$T$43</definedName>
    <definedName name="_xlnm._FilterDatabase" localSheetId="8" hidden="1">Мониторинг!$B$44:$T$66</definedName>
    <definedName name="_xlnm._FilterDatabase" localSheetId="5" hidden="1">'Нормативное соответствие'!$B$48:$S$115</definedName>
    <definedName name="_xlnm._FilterDatabase" localSheetId="13" hidden="1">Приоритет!$E$8:$K$52</definedName>
    <definedName name="_xlnm._FilterDatabase" localSheetId="3" hidden="1">Программа!$A$9:$R$455</definedName>
    <definedName name="_xlnm._FilterDatabase" localSheetId="2" hidden="1">Расчет!$A$3:$P$44</definedName>
    <definedName name="_xlnm._FilterDatabase" localSheetId="9" hidden="1">Реагирование!$B$37:$W$66</definedName>
    <definedName name="_xlnm._FilterDatabase" localSheetId="7" hidden="1">СЗИ!$A$44:$AA$119</definedName>
    <definedName name="_xlnm._FilterDatabase" localSheetId="4" hidden="1">'Управление ИБ'!$A$59:$S$188</definedName>
    <definedName name="БР">ИТОГ!$U$42</definedName>
    <definedName name="ГИС">ИТОГ!$U$35</definedName>
    <definedName name="ЗОКИИ">ИТОГ!$U$37</definedName>
    <definedName name="КИИ">ИТОГ!$U$36</definedName>
    <definedName name="КТ">ИТОГ!$U$41</definedName>
    <definedName name="ЛИЦ">ИТОГ!$U$34</definedName>
    <definedName name="Лицензия">ИТОГ!$U$34</definedName>
    <definedName name="ПДН">ИТОГ!$U$38</definedName>
    <definedName name="СК">ИТОГ!$U$44</definedName>
    <definedName name="СКЗИ">ИТОГ!$U$43</definedName>
    <definedName name="СКПДН">ИТОГ!$U$39</definedName>
    <definedName name="СТОРПДН">ИТОГ!$U$38</definedName>
    <definedName name="СУДПДН">ИТОГ!$U$40</definedName>
    <definedName name="ЦУКБ">ИТОГ!$L$3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4" l="1"/>
  <c r="C221" i="4"/>
  <c r="D221" i="4"/>
  <c r="D112" i="15" l="1"/>
  <c r="D111" i="15"/>
  <c r="D110" i="15"/>
  <c r="D109" i="15" s="1"/>
  <c r="D108" i="15"/>
  <c r="D107" i="15"/>
  <c r="D106" i="15"/>
  <c r="D105" i="15" s="1"/>
  <c r="D104" i="15"/>
  <c r="D103" i="15"/>
  <c r="D102" i="15"/>
  <c r="D101" i="15" s="1"/>
  <c r="D77" i="15" s="1"/>
  <c r="D100" i="15"/>
  <c r="D99" i="15"/>
  <c r="D98" i="15" s="1"/>
  <c r="D97" i="15"/>
  <c r="D96" i="15"/>
  <c r="D95" i="15" s="1"/>
  <c r="D94" i="15"/>
  <c r="D93" i="15"/>
  <c r="D92" i="15" s="1"/>
  <c r="D91" i="15"/>
  <c r="D90" i="15"/>
  <c r="D89" i="15"/>
  <c r="D88" i="15"/>
  <c r="D87" i="15"/>
  <c r="D86" i="15" s="1"/>
  <c r="D85" i="15"/>
  <c r="D84" i="15"/>
  <c r="D82" i="15" s="1"/>
  <c r="D83" i="15"/>
  <c r="D81" i="15"/>
  <c r="D80" i="15" s="1"/>
  <c r="D79" i="15"/>
  <c r="D78" i="15" s="1"/>
  <c r="D76" i="15"/>
  <c r="D74" i="15"/>
  <c r="D73" i="15"/>
  <c r="D72" i="15" s="1"/>
  <c r="D71" i="15"/>
  <c r="D70" i="15" s="1"/>
  <c r="D69" i="15"/>
  <c r="D68" i="15"/>
  <c r="D66" i="15" s="1"/>
  <c r="D67" i="15"/>
  <c r="D65" i="15"/>
  <c r="D64" i="15"/>
  <c r="D63" i="15"/>
  <c r="D62" i="15" s="1"/>
  <c r="D61" i="15"/>
  <c r="D60" i="15"/>
  <c r="D59" i="15"/>
  <c r="D58" i="15" s="1"/>
  <c r="D56" i="15"/>
  <c r="D55" i="15" s="1"/>
  <c r="D54" i="15"/>
  <c r="D53" i="15"/>
  <c r="D52" i="15" s="1"/>
  <c r="D51" i="15"/>
  <c r="D50" i="15"/>
  <c r="D49" i="15"/>
  <c r="D48" i="15"/>
  <c r="D47" i="15"/>
  <c r="D46" i="15" s="1"/>
  <c r="D45" i="15"/>
  <c r="D44" i="15" s="1"/>
  <c r="D43" i="15" s="1"/>
  <c r="D42" i="15"/>
  <c r="D41" i="15"/>
  <c r="D40" i="15"/>
  <c r="D39" i="15" s="1"/>
  <c r="D38" i="15"/>
  <c r="D37" i="15"/>
  <c r="D36" i="15" s="1"/>
  <c r="D35" i="15"/>
  <c r="D34" i="15"/>
  <c r="D33" i="15"/>
  <c r="D32" i="15"/>
  <c r="D31" i="15"/>
  <c r="D30" i="15" s="1"/>
  <c r="D29" i="15"/>
  <c r="D28" i="15"/>
  <c r="D27" i="15" s="1"/>
  <c r="D26" i="15"/>
  <c r="D25" i="15"/>
  <c r="D24" i="15"/>
  <c r="D23" i="15" s="1"/>
  <c r="D22" i="15"/>
  <c r="D21" i="15"/>
  <c r="D20" i="15" s="1"/>
  <c r="D19" i="15"/>
  <c r="D18" i="15" s="1"/>
  <c r="D17" i="15"/>
  <c r="D16" i="15"/>
  <c r="D15" i="15" s="1"/>
  <c r="D14" i="15"/>
  <c r="D13" i="15"/>
  <c r="D12" i="15"/>
  <c r="D11" i="15" s="1"/>
  <c r="D10" i="15"/>
  <c r="D9" i="15"/>
  <c r="D8" i="15"/>
  <c r="D7" i="15" s="1"/>
  <c r="D6" i="15"/>
  <c r="D5" i="15"/>
  <c r="D4" i="15"/>
  <c r="D3" i="15" s="1"/>
  <c r="E1" i="15"/>
  <c r="F52" i="14"/>
  <c r="J52" i="14" s="1"/>
  <c r="F51" i="14"/>
  <c r="J51" i="14" s="1"/>
  <c r="F50" i="14"/>
  <c r="J50" i="14" s="1"/>
  <c r="F49" i="14"/>
  <c r="J49" i="14" s="1"/>
  <c r="F48" i="14"/>
  <c r="J48" i="14" s="1"/>
  <c r="F47" i="14"/>
  <c r="J47" i="14" s="1"/>
  <c r="F46" i="14"/>
  <c r="J46" i="14" s="1"/>
  <c r="F45" i="14"/>
  <c r="J45" i="14" s="1"/>
  <c r="F44" i="14"/>
  <c r="J44" i="14" s="1"/>
  <c r="F43" i="14"/>
  <c r="J43" i="14" s="1"/>
  <c r="F42" i="14"/>
  <c r="J42" i="14" s="1"/>
  <c r="F41" i="14"/>
  <c r="J41" i="14" s="1"/>
  <c r="F40" i="14"/>
  <c r="J40" i="14" s="1"/>
  <c r="F39" i="14"/>
  <c r="J39" i="14" s="1"/>
  <c r="F38" i="14"/>
  <c r="J38" i="14" s="1"/>
  <c r="F37" i="14"/>
  <c r="J37" i="14" s="1"/>
  <c r="F36" i="14"/>
  <c r="J36" i="14" s="1"/>
  <c r="F35" i="14"/>
  <c r="J35" i="14" s="1"/>
  <c r="F34" i="14"/>
  <c r="J34" i="14" s="1"/>
  <c r="F33" i="14"/>
  <c r="J33" i="14" s="1"/>
  <c r="F32" i="14"/>
  <c r="J32" i="14" s="1"/>
  <c r="F31" i="14"/>
  <c r="J31" i="14" s="1"/>
  <c r="F30" i="14"/>
  <c r="J30" i="14" s="1"/>
  <c r="F29" i="14"/>
  <c r="J29" i="14" s="1"/>
  <c r="F28" i="14"/>
  <c r="J28" i="14" s="1"/>
  <c r="F27" i="14"/>
  <c r="J27" i="14" s="1"/>
  <c r="F26" i="14"/>
  <c r="J26" i="14" s="1"/>
  <c r="F25" i="14"/>
  <c r="J25" i="14" s="1"/>
  <c r="F24" i="14"/>
  <c r="J24" i="14" s="1"/>
  <c r="F23" i="14"/>
  <c r="J23" i="14" s="1"/>
  <c r="F22" i="14"/>
  <c r="J22" i="14" s="1"/>
  <c r="F21" i="14"/>
  <c r="J21" i="14" s="1"/>
  <c r="F20" i="14"/>
  <c r="J20" i="14" s="1"/>
  <c r="F19" i="14"/>
  <c r="J19" i="14" s="1"/>
  <c r="F18" i="14"/>
  <c r="J18" i="14" s="1"/>
  <c r="F17" i="14"/>
  <c r="J17" i="14" s="1"/>
  <c r="F16" i="14"/>
  <c r="J16" i="14" s="1"/>
  <c r="F15" i="14"/>
  <c r="J15" i="14" s="1"/>
  <c r="F14" i="14"/>
  <c r="J14" i="14" s="1"/>
  <c r="F13" i="14"/>
  <c r="J13" i="14" s="1"/>
  <c r="F12" i="14"/>
  <c r="J12" i="14" s="1"/>
  <c r="F11" i="14"/>
  <c r="J11" i="14" s="1"/>
  <c r="F10" i="14"/>
  <c r="J10" i="14" s="1"/>
  <c r="F9" i="14"/>
  <c r="J9" i="14" s="1"/>
  <c r="J25" i="12"/>
  <c r="F6" i="12"/>
  <c r="W43" i="11"/>
  <c r="P43" i="11"/>
  <c r="L43" i="11"/>
  <c r="Z43" i="11" s="1"/>
  <c r="K43" i="11"/>
  <c r="K28" i="11" s="1"/>
  <c r="L44" i="3" s="1"/>
  <c r="O42" i="11"/>
  <c r="L42" i="11"/>
  <c r="P42" i="11" s="1"/>
  <c r="P28" i="11" s="1"/>
  <c r="K42" i="11"/>
  <c r="S41" i="11"/>
  <c r="Y41" i="11" s="1"/>
  <c r="Y42" i="11" s="1"/>
  <c r="O40" i="11"/>
  <c r="L40" i="11"/>
  <c r="Z40" i="11" s="1"/>
  <c r="O338" i="4" s="1"/>
  <c r="K40" i="11"/>
  <c r="Z39" i="11"/>
  <c r="T39" i="11"/>
  <c r="O39" i="11"/>
  <c r="L39" i="11"/>
  <c r="Q39" i="11" s="1"/>
  <c r="K39" i="11"/>
  <c r="M39" i="11" s="1"/>
  <c r="T38" i="11"/>
  <c r="O38" i="11"/>
  <c r="L38" i="11"/>
  <c r="W38" i="11" s="1"/>
  <c r="O190" i="4" s="1"/>
  <c r="K38" i="11"/>
  <c r="J336" i="4" s="1"/>
  <c r="P37" i="11"/>
  <c r="O37" i="11"/>
  <c r="L37" i="11"/>
  <c r="L11" i="4" s="1"/>
  <c r="K37" i="11"/>
  <c r="O36" i="11"/>
  <c r="L36" i="11"/>
  <c r="Z36" i="11" s="1"/>
  <c r="O334" i="4" s="1"/>
  <c r="K36" i="11"/>
  <c r="J334" i="4" s="1"/>
  <c r="O35" i="11"/>
  <c r="L35" i="11"/>
  <c r="P35" i="11" s="1"/>
  <c r="K35" i="11"/>
  <c r="J333" i="4" s="1"/>
  <c r="Z34" i="11"/>
  <c r="W34" i="11"/>
  <c r="T34" i="11"/>
  <c r="Q34" i="11"/>
  <c r="P34" i="11"/>
  <c r="L34" i="11"/>
  <c r="J19" i="12" s="1"/>
  <c r="K34" i="11"/>
  <c r="M34" i="11" s="1"/>
  <c r="L33" i="11"/>
  <c r="K33" i="11"/>
  <c r="Z32" i="11"/>
  <c r="T32" i="11"/>
  <c r="Q32" i="11"/>
  <c r="P32" i="11"/>
  <c r="L32" i="11"/>
  <c r="W32" i="11" s="1"/>
  <c r="K32" i="11"/>
  <c r="J185" i="4" s="1"/>
  <c r="S31" i="11"/>
  <c r="S32" i="11" s="1"/>
  <c r="S33" i="11" s="1"/>
  <c r="S34" i="11" s="1"/>
  <c r="S35" i="11" s="1"/>
  <c r="S36" i="11" s="1"/>
  <c r="J28" i="11"/>
  <c r="I28" i="11"/>
  <c r="H28" i="11"/>
  <c r="G28" i="11"/>
  <c r="F28" i="11"/>
  <c r="E28" i="11"/>
  <c r="D44" i="3" s="1"/>
  <c r="D28" i="11"/>
  <c r="C28" i="11"/>
  <c r="B28" i="11"/>
  <c r="J27" i="11"/>
  <c r="I27" i="11"/>
  <c r="H27" i="11"/>
  <c r="G27" i="11"/>
  <c r="F27" i="11"/>
  <c r="E43" i="3" s="1"/>
  <c r="E27" i="11"/>
  <c r="D27" i="11"/>
  <c r="C27" i="11"/>
  <c r="B27" i="11"/>
  <c r="L25" i="11"/>
  <c r="H25" i="11"/>
  <c r="G25" i="11"/>
  <c r="N1" i="11"/>
  <c r="O66" i="10"/>
  <c r="L66" i="10"/>
  <c r="L103" i="8" s="1"/>
  <c r="K66" i="10"/>
  <c r="O65" i="10"/>
  <c r="L65" i="10"/>
  <c r="K65" i="10"/>
  <c r="K119" i="8" s="1"/>
  <c r="W64" i="10"/>
  <c r="W111" i="8" s="1"/>
  <c r="P64" i="10"/>
  <c r="O64" i="10"/>
  <c r="L64" i="10"/>
  <c r="Z64" i="10" s="1"/>
  <c r="K64" i="10"/>
  <c r="M64" i="10" s="1"/>
  <c r="M111" i="8" s="1"/>
  <c r="Z63" i="10"/>
  <c r="T63" i="10"/>
  <c r="T98" i="8" s="1"/>
  <c r="P63" i="10"/>
  <c r="O63" i="10"/>
  <c r="L63" i="10"/>
  <c r="W63" i="10" s="1"/>
  <c r="W98" i="8" s="1"/>
  <c r="K63" i="10"/>
  <c r="Z62" i="10"/>
  <c r="T62" i="10"/>
  <c r="T91" i="8" s="1"/>
  <c r="P62" i="10"/>
  <c r="O62" i="10"/>
  <c r="L62" i="10"/>
  <c r="W62" i="10" s="1"/>
  <c r="O221" i="4" s="1"/>
  <c r="K62" i="10"/>
  <c r="Z61" i="10"/>
  <c r="T61" i="10"/>
  <c r="P61" i="10"/>
  <c r="O61" i="10"/>
  <c r="L61" i="10"/>
  <c r="W61" i="10" s="1"/>
  <c r="K61" i="10"/>
  <c r="M61" i="10" s="1"/>
  <c r="Z60" i="10"/>
  <c r="T60" i="10"/>
  <c r="P60" i="10"/>
  <c r="O60" i="10"/>
  <c r="L60" i="10"/>
  <c r="W60" i="10" s="1"/>
  <c r="K60" i="10"/>
  <c r="M60" i="10" s="1"/>
  <c r="T59" i="10"/>
  <c r="O59" i="10"/>
  <c r="M59" i="10"/>
  <c r="L59" i="10"/>
  <c r="Z59" i="10" s="1"/>
  <c r="K59" i="10"/>
  <c r="Z58" i="10"/>
  <c r="T58" i="10"/>
  <c r="Q58" i="10"/>
  <c r="P58" i="10"/>
  <c r="O58" i="10"/>
  <c r="L58" i="10"/>
  <c r="W58" i="10" s="1"/>
  <c r="K58" i="10"/>
  <c r="M58" i="10" s="1"/>
  <c r="W57" i="10"/>
  <c r="R57" i="10"/>
  <c r="Q57" i="10"/>
  <c r="P57" i="10"/>
  <c r="O57" i="10"/>
  <c r="M57" i="10"/>
  <c r="L57" i="10"/>
  <c r="Z57" i="10" s="1"/>
  <c r="K57" i="10"/>
  <c r="T56" i="10"/>
  <c r="R56" i="10"/>
  <c r="P56" i="10"/>
  <c r="O56" i="10"/>
  <c r="L56" i="10"/>
  <c r="Q56" i="10" s="1"/>
  <c r="K56" i="10"/>
  <c r="S55" i="10"/>
  <c r="O54" i="10"/>
  <c r="L54" i="10"/>
  <c r="K54" i="10"/>
  <c r="O53" i="10"/>
  <c r="L53" i="10"/>
  <c r="K53" i="10"/>
  <c r="K86" i="5" s="1"/>
  <c r="O52" i="10"/>
  <c r="L52" i="10"/>
  <c r="K52" i="10"/>
  <c r="Z51" i="10"/>
  <c r="Z83" i="5" s="1"/>
  <c r="P51" i="10"/>
  <c r="O51" i="10"/>
  <c r="L51" i="10"/>
  <c r="Q51" i="10" s="1"/>
  <c r="K51" i="10"/>
  <c r="J224" i="4" s="1"/>
  <c r="O50" i="10"/>
  <c r="L50" i="10"/>
  <c r="K50" i="10"/>
  <c r="S49" i="10"/>
  <c r="Y49" i="10" s="1"/>
  <c r="Y50" i="10" s="1"/>
  <c r="Y51" i="10" s="1"/>
  <c r="Z48" i="10"/>
  <c r="T48" i="10"/>
  <c r="Q48" i="10"/>
  <c r="P48" i="10"/>
  <c r="O48" i="10"/>
  <c r="L48" i="10"/>
  <c r="W48" i="10" s="1"/>
  <c r="K48" i="10"/>
  <c r="M48" i="10" s="1"/>
  <c r="Q47" i="10"/>
  <c r="O47" i="10"/>
  <c r="L47" i="10"/>
  <c r="K47" i="10"/>
  <c r="Z46" i="10"/>
  <c r="T46" i="10"/>
  <c r="Q46" i="10"/>
  <c r="P46" i="10"/>
  <c r="O46" i="10"/>
  <c r="M46" i="10"/>
  <c r="L46" i="10"/>
  <c r="W46" i="10" s="1"/>
  <c r="K46" i="10"/>
  <c r="T45" i="10"/>
  <c r="Q45" i="10"/>
  <c r="O45" i="10"/>
  <c r="L45" i="10"/>
  <c r="P45" i="10" s="1"/>
  <c r="K45" i="10"/>
  <c r="W44" i="10"/>
  <c r="T44" i="10"/>
  <c r="P44" i="10"/>
  <c r="O44" i="10"/>
  <c r="L44" i="10"/>
  <c r="Q44" i="10" s="1"/>
  <c r="K44" i="10"/>
  <c r="S43" i="10"/>
  <c r="Y43" i="10" s="1"/>
  <c r="Y44" i="10" s="1"/>
  <c r="Z42" i="10"/>
  <c r="W42" i="10"/>
  <c r="T42" i="10"/>
  <c r="Q42" i="10"/>
  <c r="O42" i="10"/>
  <c r="L42" i="10"/>
  <c r="P42" i="10" s="1"/>
  <c r="K42" i="10"/>
  <c r="M42" i="10" s="1"/>
  <c r="Z41" i="10"/>
  <c r="W41" i="10"/>
  <c r="T41" i="10"/>
  <c r="Q41" i="10"/>
  <c r="O41" i="10"/>
  <c r="L41" i="10"/>
  <c r="P41" i="10" s="1"/>
  <c r="K41" i="10"/>
  <c r="M41" i="10" s="1"/>
  <c r="T40" i="10"/>
  <c r="T82" i="5" s="1"/>
  <c r="P40" i="10"/>
  <c r="O40" i="10"/>
  <c r="L40" i="10"/>
  <c r="W40" i="10" s="1"/>
  <c r="W82" i="5" s="1"/>
  <c r="K40" i="10"/>
  <c r="K82" i="5" s="1"/>
  <c r="Q39" i="10"/>
  <c r="O39" i="10"/>
  <c r="L39" i="10"/>
  <c r="K39" i="10"/>
  <c r="J366" i="4" s="1"/>
  <c r="S38" i="10"/>
  <c r="M36" i="10"/>
  <c r="M35" i="10"/>
  <c r="J33" i="10"/>
  <c r="K41" i="3" s="1"/>
  <c r="I33" i="10"/>
  <c r="H33" i="10"/>
  <c r="G33" i="10"/>
  <c r="F33" i="10"/>
  <c r="E41" i="3" s="1"/>
  <c r="E33" i="10"/>
  <c r="D33" i="10"/>
  <c r="C33" i="10"/>
  <c r="B33" i="10"/>
  <c r="J32" i="10"/>
  <c r="I32" i="10"/>
  <c r="H32" i="10"/>
  <c r="G32" i="10"/>
  <c r="F32" i="10"/>
  <c r="E32" i="10"/>
  <c r="D42" i="3" s="1"/>
  <c r="D32" i="10"/>
  <c r="C42" i="3" s="1"/>
  <c r="C32" i="10"/>
  <c r="B32" i="10"/>
  <c r="L31" i="10"/>
  <c r="J31" i="10"/>
  <c r="I31" i="10"/>
  <c r="H31" i="10"/>
  <c r="G31" i="10"/>
  <c r="F31" i="10"/>
  <c r="E40" i="3" s="1"/>
  <c r="E31" i="10"/>
  <c r="D31" i="10"/>
  <c r="C40" i="3" s="1"/>
  <c r="C31" i="10"/>
  <c r="B31" i="10"/>
  <c r="J30" i="10"/>
  <c r="I30" i="10"/>
  <c r="H30" i="10"/>
  <c r="G30" i="10"/>
  <c r="F30" i="10"/>
  <c r="E30" i="10"/>
  <c r="D30" i="10"/>
  <c r="C39" i="3" s="1"/>
  <c r="C30" i="10"/>
  <c r="B30" i="10"/>
  <c r="L28" i="10"/>
  <c r="H28" i="10"/>
  <c r="G28" i="10"/>
  <c r="N1" i="10"/>
  <c r="T66" i="9"/>
  <c r="T89" i="5" s="1"/>
  <c r="O66" i="9"/>
  <c r="L66" i="9"/>
  <c r="K66" i="9"/>
  <c r="K89" i="5" s="1"/>
  <c r="O65" i="9"/>
  <c r="L65" i="9"/>
  <c r="P65" i="9" s="1"/>
  <c r="K65" i="9"/>
  <c r="K88" i="5" s="1"/>
  <c r="T64" i="9"/>
  <c r="T87" i="5" s="1"/>
  <c r="O64" i="9"/>
  <c r="L64" i="9"/>
  <c r="K64" i="9"/>
  <c r="K87" i="5" s="1"/>
  <c r="O63" i="9"/>
  <c r="L63" i="9"/>
  <c r="P63" i="9" s="1"/>
  <c r="K63" i="9"/>
  <c r="T62" i="9"/>
  <c r="T80" i="5" s="1"/>
  <c r="O62" i="9"/>
  <c r="L62" i="9"/>
  <c r="K62" i="9"/>
  <c r="J351" i="4" s="1"/>
  <c r="S61" i="9"/>
  <c r="S62" i="9" s="1"/>
  <c r="S63" i="9" s="1"/>
  <c r="S64" i="9" s="1"/>
  <c r="S65" i="9" s="1"/>
  <c r="S66" i="9" s="1"/>
  <c r="O60" i="9"/>
  <c r="L60" i="9"/>
  <c r="W60" i="9" s="1"/>
  <c r="O193" i="4" s="1"/>
  <c r="K60" i="9"/>
  <c r="S59" i="9"/>
  <c r="O58" i="9"/>
  <c r="L58" i="9"/>
  <c r="K58" i="9"/>
  <c r="O57" i="9"/>
  <c r="L57" i="9"/>
  <c r="K57" i="9"/>
  <c r="J197" i="4" s="1"/>
  <c r="Z56" i="9"/>
  <c r="O341" i="4" s="1"/>
  <c r="W56" i="9"/>
  <c r="O56" i="9"/>
  <c r="L56" i="9"/>
  <c r="K56" i="9"/>
  <c r="Z55" i="9"/>
  <c r="W55" i="9"/>
  <c r="Q55" i="9"/>
  <c r="O55" i="9"/>
  <c r="L55" i="9"/>
  <c r="K55" i="9"/>
  <c r="W54" i="9"/>
  <c r="Q54" i="9"/>
  <c r="O54" i="9"/>
  <c r="L54" i="9"/>
  <c r="K54" i="9"/>
  <c r="O53" i="9"/>
  <c r="L53" i="9"/>
  <c r="K53" i="9"/>
  <c r="Z52" i="9"/>
  <c r="W52" i="9"/>
  <c r="O204" i="4" s="1"/>
  <c r="O52" i="9"/>
  <c r="L52" i="9"/>
  <c r="K52" i="9"/>
  <c r="Z51" i="9"/>
  <c r="W51" i="9"/>
  <c r="Q51" i="9"/>
  <c r="O51" i="9"/>
  <c r="L51" i="9"/>
  <c r="T51" i="9" s="1"/>
  <c r="K51" i="9"/>
  <c r="M51" i="9" s="1"/>
  <c r="Z50" i="9"/>
  <c r="T50" i="9"/>
  <c r="P50" i="9"/>
  <c r="O50" i="9"/>
  <c r="L50" i="9"/>
  <c r="W50" i="9" s="1"/>
  <c r="K50" i="9"/>
  <c r="J202" i="4" s="1"/>
  <c r="Z49" i="9"/>
  <c r="T49" i="9"/>
  <c r="P49" i="9"/>
  <c r="O49" i="9"/>
  <c r="L49" i="9"/>
  <c r="W49" i="9" s="1"/>
  <c r="K49" i="9"/>
  <c r="M49" i="9" s="1"/>
  <c r="Z48" i="9"/>
  <c r="T48" i="9"/>
  <c r="L48" i="9"/>
  <c r="K48" i="9"/>
  <c r="Q47" i="9"/>
  <c r="O47" i="9"/>
  <c r="L47" i="9"/>
  <c r="K47" i="9"/>
  <c r="J343" i="4" s="1"/>
  <c r="O46" i="9"/>
  <c r="L46" i="9"/>
  <c r="Q46" i="9" s="1"/>
  <c r="K46" i="9"/>
  <c r="S45" i="9"/>
  <c r="S46" i="9" s="1"/>
  <c r="S47" i="9" s="1"/>
  <c r="S48" i="9" s="1"/>
  <c r="S49" i="9" s="1"/>
  <c r="S50" i="9" s="1"/>
  <c r="S51" i="9" s="1"/>
  <c r="S52" i="9" s="1"/>
  <c r="S53" i="9" s="1"/>
  <c r="S54" i="9" s="1"/>
  <c r="S55" i="9" s="1"/>
  <c r="S56" i="9" s="1"/>
  <c r="S57" i="9" s="1"/>
  <c r="S58" i="9" s="1"/>
  <c r="L40" i="9"/>
  <c r="M38" i="3" s="1"/>
  <c r="J40" i="9"/>
  <c r="I40" i="9"/>
  <c r="H40" i="9"/>
  <c r="G40" i="9"/>
  <c r="F40" i="9"/>
  <c r="E40" i="9"/>
  <c r="D40" i="9"/>
  <c r="C40" i="9"/>
  <c r="B40" i="9"/>
  <c r="J39" i="9"/>
  <c r="I39" i="9"/>
  <c r="H39" i="9"/>
  <c r="G39" i="9"/>
  <c r="F39" i="9"/>
  <c r="E39" i="9"/>
  <c r="E74" i="8" s="1"/>
  <c r="E34" i="8" s="1"/>
  <c r="D28" i="3" s="1"/>
  <c r="D39" i="9"/>
  <c r="D74" i="8" s="1"/>
  <c r="D34" i="8" s="1"/>
  <c r="C28" i="3" s="1"/>
  <c r="C39" i="9"/>
  <c r="B39" i="9"/>
  <c r="K38" i="9"/>
  <c r="L37" i="3" s="1"/>
  <c r="J38" i="9"/>
  <c r="J74" i="8" s="1"/>
  <c r="J34" i="8" s="1"/>
  <c r="K28" i="3" s="1"/>
  <c r="I38" i="9"/>
  <c r="I74" i="8" s="1"/>
  <c r="I34" i="8" s="1"/>
  <c r="H38" i="9"/>
  <c r="H74" i="8" s="1"/>
  <c r="H34" i="8" s="1"/>
  <c r="G38" i="9"/>
  <c r="G74" i="8" s="1"/>
  <c r="G34" i="8" s="1"/>
  <c r="F38" i="9"/>
  <c r="E38" i="9"/>
  <c r="D37" i="3" s="1"/>
  <c r="D38" i="9"/>
  <c r="C37" i="3" s="1"/>
  <c r="C38" i="9"/>
  <c r="B38" i="9"/>
  <c r="L36" i="9"/>
  <c r="H36" i="9"/>
  <c r="G36" i="9"/>
  <c r="N32" i="9"/>
  <c r="N119" i="8"/>
  <c r="L119" i="8"/>
  <c r="J119" i="8"/>
  <c r="J42" i="8" s="1"/>
  <c r="K36" i="3" s="1"/>
  <c r="I119" i="8"/>
  <c r="I42" i="8" s="1"/>
  <c r="H119" i="8"/>
  <c r="H42" i="8" s="1"/>
  <c r="G119" i="8"/>
  <c r="G42" i="8" s="1"/>
  <c r="F119" i="8"/>
  <c r="F42" i="8" s="1"/>
  <c r="E36" i="3" s="1"/>
  <c r="E119" i="8"/>
  <c r="E42" i="8" s="1"/>
  <c r="D119" i="8"/>
  <c r="C119" i="8"/>
  <c r="O118" i="8"/>
  <c r="L118" i="8"/>
  <c r="T118" i="8" s="1"/>
  <c r="K118" i="8"/>
  <c r="J376" i="4" s="1"/>
  <c r="O117" i="8"/>
  <c r="L117" i="8"/>
  <c r="Z117" i="8" s="1"/>
  <c r="K117" i="8"/>
  <c r="O116" i="8"/>
  <c r="L116" i="8"/>
  <c r="K116" i="8"/>
  <c r="O115" i="8"/>
  <c r="L115" i="8"/>
  <c r="Z115" i="8" s="1"/>
  <c r="O373" i="4" s="1"/>
  <c r="K115" i="8"/>
  <c r="J373" i="4" s="1"/>
  <c r="O114" i="8"/>
  <c r="L114" i="8"/>
  <c r="T114" i="8" s="1"/>
  <c r="K114" i="8"/>
  <c r="O113" i="8"/>
  <c r="L113" i="8"/>
  <c r="K113" i="8"/>
  <c r="Z112" i="8"/>
  <c r="W112" i="8"/>
  <c r="T112" i="8"/>
  <c r="S112" i="8"/>
  <c r="V112" i="8" s="1"/>
  <c r="V113" i="8" s="1"/>
  <c r="V114" i="8" s="1"/>
  <c r="V115" i="8" s="1"/>
  <c r="V116" i="8" s="1"/>
  <c r="V117" i="8" s="1"/>
  <c r="V118" i="8" s="1"/>
  <c r="V119" i="8" s="1"/>
  <c r="Z111" i="8"/>
  <c r="N111" i="8"/>
  <c r="L111" i="8"/>
  <c r="K111" i="8"/>
  <c r="J111" i="8"/>
  <c r="J41" i="8" s="1"/>
  <c r="I111" i="8"/>
  <c r="H111" i="8"/>
  <c r="H41" i="8" s="1"/>
  <c r="G111" i="8"/>
  <c r="G41" i="8" s="1"/>
  <c r="F111" i="8"/>
  <c r="F41" i="8" s="1"/>
  <c r="E35" i="3" s="1"/>
  <c r="E111" i="8"/>
  <c r="E41" i="8" s="1"/>
  <c r="D111" i="8"/>
  <c r="D41" i="8" s="1"/>
  <c r="C35" i="3" s="1"/>
  <c r="C111" i="8"/>
  <c r="B111" i="8"/>
  <c r="O110" i="8"/>
  <c r="L110" i="8"/>
  <c r="P110" i="8" s="1"/>
  <c r="K110" i="8"/>
  <c r="J383" i="4" s="1"/>
  <c r="O109" i="8"/>
  <c r="L109" i="8"/>
  <c r="Z109" i="8" s="1"/>
  <c r="O382" i="4" s="1"/>
  <c r="K109" i="8"/>
  <c r="J382" i="4" s="1"/>
  <c r="O108" i="8"/>
  <c r="L108" i="8"/>
  <c r="P108" i="8" s="1"/>
  <c r="K108" i="8"/>
  <c r="J381" i="4" s="1"/>
  <c r="P107" i="8"/>
  <c r="O107" i="8"/>
  <c r="L107" i="8"/>
  <c r="Z107" i="8" s="1"/>
  <c r="O380" i="4" s="1"/>
  <c r="K107" i="8"/>
  <c r="O106" i="8"/>
  <c r="L106" i="8"/>
  <c r="T106" i="8" s="1"/>
  <c r="K106" i="8"/>
  <c r="J379" i="4" s="1"/>
  <c r="Z105" i="8"/>
  <c r="W105" i="8"/>
  <c r="T105" i="8"/>
  <c r="S105" i="8"/>
  <c r="O104" i="8"/>
  <c r="L104" i="8"/>
  <c r="P104" i="8" s="1"/>
  <c r="K104" i="8"/>
  <c r="J390" i="4" s="1"/>
  <c r="N103" i="8"/>
  <c r="I103" i="8"/>
  <c r="H103" i="8"/>
  <c r="G103" i="8"/>
  <c r="F103" i="8"/>
  <c r="E103" i="8"/>
  <c r="D103" i="8"/>
  <c r="C103" i="8"/>
  <c r="N102" i="8"/>
  <c r="J102" i="8"/>
  <c r="I102" i="8"/>
  <c r="I98" i="5" s="1"/>
  <c r="H102" i="8"/>
  <c r="G102" i="8"/>
  <c r="F102" i="8"/>
  <c r="E102" i="8"/>
  <c r="E98" i="5" s="1"/>
  <c r="D102" i="8"/>
  <c r="C102" i="8"/>
  <c r="N101" i="8"/>
  <c r="I101" i="8"/>
  <c r="H101" i="8"/>
  <c r="G101" i="8"/>
  <c r="F101" i="8"/>
  <c r="E101" i="8"/>
  <c r="D101" i="8"/>
  <c r="C101" i="8"/>
  <c r="B101" i="8"/>
  <c r="O100" i="8"/>
  <c r="L100" i="8"/>
  <c r="T100" i="8" s="1"/>
  <c r="K100" i="8"/>
  <c r="Z99" i="8"/>
  <c r="W99" i="8"/>
  <c r="T99" i="8"/>
  <c r="S99" i="8"/>
  <c r="Z98" i="8"/>
  <c r="O98" i="8"/>
  <c r="N98" i="8"/>
  <c r="L98" i="8"/>
  <c r="F98" i="8"/>
  <c r="E98" i="8"/>
  <c r="E39" i="8" s="1"/>
  <c r="D33" i="3" s="1"/>
  <c r="D98" i="8"/>
  <c r="D39" i="8" s="1"/>
  <c r="C33" i="3" s="1"/>
  <c r="C98" i="8"/>
  <c r="B98" i="8"/>
  <c r="O97" i="8"/>
  <c r="L97" i="8"/>
  <c r="K97" i="8"/>
  <c r="J250" i="4" s="1"/>
  <c r="O96" i="8"/>
  <c r="L96" i="8"/>
  <c r="K96" i="8"/>
  <c r="J249" i="4" s="1"/>
  <c r="O95" i="8"/>
  <c r="L95" i="8"/>
  <c r="K95" i="8"/>
  <c r="O94" i="8"/>
  <c r="L94" i="8"/>
  <c r="K94" i="8"/>
  <c r="J247" i="4" s="1"/>
  <c r="Z93" i="8"/>
  <c r="W93" i="8"/>
  <c r="T93" i="8"/>
  <c r="S93" i="8"/>
  <c r="O92" i="8"/>
  <c r="L92" i="8"/>
  <c r="W92" i="8" s="1"/>
  <c r="O279" i="4" s="1"/>
  <c r="K92" i="8"/>
  <c r="J409" i="4" s="1"/>
  <c r="Z91" i="8"/>
  <c r="N91" i="8"/>
  <c r="F91" i="8"/>
  <c r="E91" i="8"/>
  <c r="E38" i="8" s="1"/>
  <c r="D32" i="3" s="1"/>
  <c r="D91" i="8"/>
  <c r="D38" i="8" s="1"/>
  <c r="C32" i="3" s="1"/>
  <c r="O90" i="8"/>
  <c r="L90" i="8"/>
  <c r="K90" i="8"/>
  <c r="J408" i="4" s="1"/>
  <c r="Z89" i="8"/>
  <c r="W89" i="8"/>
  <c r="T89" i="8"/>
  <c r="S89" i="8"/>
  <c r="S90" i="8" s="1"/>
  <c r="S91" i="8" s="1"/>
  <c r="O88" i="8"/>
  <c r="L88" i="8"/>
  <c r="K88" i="8"/>
  <c r="O87" i="8"/>
  <c r="L87" i="8"/>
  <c r="P87" i="8" s="1"/>
  <c r="K87" i="8"/>
  <c r="J395" i="4" s="1"/>
  <c r="O86" i="8"/>
  <c r="L86" i="8"/>
  <c r="Z86" i="8" s="1"/>
  <c r="K86" i="8"/>
  <c r="Z85" i="8"/>
  <c r="W85" i="8"/>
  <c r="T85" i="8"/>
  <c r="S85" i="8"/>
  <c r="V85" i="8" s="1"/>
  <c r="Y85" i="8" s="1"/>
  <c r="T84" i="8"/>
  <c r="O84" i="8"/>
  <c r="L84" i="8"/>
  <c r="Q84" i="8" s="1"/>
  <c r="K84" i="8"/>
  <c r="J245" i="4" s="1"/>
  <c r="T83" i="8"/>
  <c r="O83" i="8"/>
  <c r="L83" i="8"/>
  <c r="Q83" i="8" s="1"/>
  <c r="K83" i="8"/>
  <c r="J386" i="4" s="1"/>
  <c r="O82" i="8"/>
  <c r="L82" i="8"/>
  <c r="Z82" i="8" s="1"/>
  <c r="O385" i="4" s="1"/>
  <c r="K82" i="8"/>
  <c r="O81" i="8"/>
  <c r="L81" i="8"/>
  <c r="K81" i="8"/>
  <c r="Z80" i="8"/>
  <c r="W80" i="8"/>
  <c r="T80" i="8"/>
  <c r="S80" i="8"/>
  <c r="S81" i="8" s="1"/>
  <c r="S82" i="8" s="1"/>
  <c r="S83" i="8" s="1"/>
  <c r="S84" i="8" s="1"/>
  <c r="V84" i="8" s="1"/>
  <c r="O79" i="8"/>
  <c r="L79" i="8"/>
  <c r="Q79" i="8" s="1"/>
  <c r="K79" i="8"/>
  <c r="O78" i="8"/>
  <c r="L78" i="8"/>
  <c r="K78" i="8"/>
  <c r="J377" i="4" s="1"/>
  <c r="O77" i="8"/>
  <c r="L77" i="8"/>
  <c r="Z77" i="8" s="1"/>
  <c r="K77" i="8"/>
  <c r="J239" i="4" s="1"/>
  <c r="T76" i="8"/>
  <c r="O76" i="8"/>
  <c r="L76" i="8"/>
  <c r="Q76" i="8" s="1"/>
  <c r="K76" i="8"/>
  <c r="J238" i="4" s="1"/>
  <c r="Z75" i="8"/>
  <c r="W75" i="8"/>
  <c r="T75" i="8"/>
  <c r="S75" i="8"/>
  <c r="V74" i="8"/>
  <c r="Y74" i="8" s="1"/>
  <c r="F74" i="8"/>
  <c r="F34" i="8" s="1"/>
  <c r="E28" i="3" s="1"/>
  <c r="B74" i="8"/>
  <c r="Z73" i="8"/>
  <c r="W73" i="8"/>
  <c r="S73" i="8"/>
  <c r="V73" i="8" s="1"/>
  <c r="Y73" i="8" s="1"/>
  <c r="O72" i="8"/>
  <c r="L72" i="8"/>
  <c r="Q72" i="8" s="1"/>
  <c r="F72" i="8"/>
  <c r="G122" i="4" s="1"/>
  <c r="E72" i="8"/>
  <c r="D72" i="8"/>
  <c r="K72" i="8" s="1"/>
  <c r="O70" i="8"/>
  <c r="L70" i="8"/>
  <c r="F70" i="8"/>
  <c r="G121" i="4" s="1"/>
  <c r="E70" i="8"/>
  <c r="F262" i="4" s="1"/>
  <c r="D70" i="8"/>
  <c r="K70" i="8" s="1"/>
  <c r="J121" i="4" s="1"/>
  <c r="O69" i="8"/>
  <c r="L69" i="8"/>
  <c r="F69" i="8"/>
  <c r="E69" i="8"/>
  <c r="D69" i="8"/>
  <c r="K69" i="8" s="1"/>
  <c r="J120" i="4" s="1"/>
  <c r="Z68" i="8"/>
  <c r="W68" i="8"/>
  <c r="T68" i="8"/>
  <c r="S68" i="8"/>
  <c r="S69" i="8" s="1"/>
  <c r="S70" i="8" s="1"/>
  <c r="O67" i="8"/>
  <c r="L67" i="8"/>
  <c r="Q67" i="8" s="1"/>
  <c r="K67" i="8"/>
  <c r="J110" i="4" s="1"/>
  <c r="O66" i="8"/>
  <c r="L66" i="8"/>
  <c r="Q66" i="8" s="1"/>
  <c r="K66" i="8"/>
  <c r="J109" i="4" s="1"/>
  <c r="O65" i="8"/>
  <c r="L65" i="8"/>
  <c r="Q65" i="8" s="1"/>
  <c r="K65" i="8"/>
  <c r="J108" i="4" s="1"/>
  <c r="O64" i="8"/>
  <c r="L64" i="8"/>
  <c r="K64" i="8"/>
  <c r="J107" i="4" s="1"/>
  <c r="Z63" i="8"/>
  <c r="W63" i="8"/>
  <c r="T63" i="8"/>
  <c r="S63" i="8"/>
  <c r="V63" i="8" s="1"/>
  <c r="Y63" i="8" s="1"/>
  <c r="O62" i="8"/>
  <c r="L62" i="8"/>
  <c r="J23" i="12" s="1"/>
  <c r="K62" i="8"/>
  <c r="K79" i="5" s="1"/>
  <c r="O61" i="8"/>
  <c r="L61" i="8"/>
  <c r="Q61" i="8" s="1"/>
  <c r="K61" i="8"/>
  <c r="O60" i="8"/>
  <c r="L60" i="8"/>
  <c r="K60" i="8"/>
  <c r="Z59" i="8"/>
  <c r="W59" i="8"/>
  <c r="T59" i="8"/>
  <c r="S59" i="8"/>
  <c r="S60" i="8" s="1"/>
  <c r="V60" i="8" s="1"/>
  <c r="Y60" i="8" s="1"/>
  <c r="O58" i="8"/>
  <c r="L58" i="8"/>
  <c r="K58" i="8"/>
  <c r="J103" i="4" s="1"/>
  <c r="O57" i="8"/>
  <c r="L57" i="8"/>
  <c r="Q57" i="8" s="1"/>
  <c r="K57" i="8"/>
  <c r="J102" i="4" s="1"/>
  <c r="O56" i="8"/>
  <c r="L56" i="8"/>
  <c r="K56" i="8"/>
  <c r="J101" i="4" s="1"/>
  <c r="O55" i="8"/>
  <c r="L55" i="8"/>
  <c r="K55" i="8"/>
  <c r="Z54" i="8"/>
  <c r="W54" i="8"/>
  <c r="T54" i="8"/>
  <c r="S54" i="8"/>
  <c r="O53" i="8"/>
  <c r="L53" i="8"/>
  <c r="Q53" i="8" s="1"/>
  <c r="K53" i="8"/>
  <c r="J394" i="4" s="1"/>
  <c r="O52" i="8"/>
  <c r="L52" i="8"/>
  <c r="Q52" i="8" s="1"/>
  <c r="K52" i="8"/>
  <c r="J393" i="4" s="1"/>
  <c r="O51" i="8"/>
  <c r="L51" i="8"/>
  <c r="K51" i="8"/>
  <c r="K95" i="5" s="1"/>
  <c r="P50" i="8"/>
  <c r="O50" i="8"/>
  <c r="L50" i="8"/>
  <c r="Q50" i="8" s="1"/>
  <c r="K50" i="8"/>
  <c r="J255" i="4" s="1"/>
  <c r="O49" i="8"/>
  <c r="L49" i="8"/>
  <c r="K49" i="8"/>
  <c r="O48" i="8"/>
  <c r="L48" i="8"/>
  <c r="J27" i="12" s="1"/>
  <c r="K48" i="8"/>
  <c r="J253" i="4" s="1"/>
  <c r="O47" i="8"/>
  <c r="L47" i="8"/>
  <c r="Q47" i="8" s="1"/>
  <c r="K47" i="8"/>
  <c r="O46" i="8"/>
  <c r="L46" i="8"/>
  <c r="Q46" i="8" s="1"/>
  <c r="K46" i="8"/>
  <c r="J112" i="4" s="1"/>
  <c r="Z45" i="8"/>
  <c r="W45" i="8"/>
  <c r="T45" i="8"/>
  <c r="S45" i="8"/>
  <c r="S46" i="8" s="1"/>
  <c r="J40" i="8"/>
  <c r="K34" i="3" s="1"/>
  <c r="I40" i="8"/>
  <c r="H40" i="8"/>
  <c r="G40" i="8"/>
  <c r="F40" i="8"/>
  <c r="E34" i="3" s="1"/>
  <c r="E40" i="8"/>
  <c r="D34" i="3" s="1"/>
  <c r="D40" i="8"/>
  <c r="J39" i="8"/>
  <c r="I39" i="8"/>
  <c r="H39" i="8"/>
  <c r="G39" i="8"/>
  <c r="F39" i="8"/>
  <c r="E33" i="3" s="1"/>
  <c r="J38" i="8"/>
  <c r="I38" i="8"/>
  <c r="H38" i="8"/>
  <c r="G38" i="8"/>
  <c r="J37" i="8"/>
  <c r="I37" i="8"/>
  <c r="H37" i="8"/>
  <c r="G37" i="8"/>
  <c r="F37" i="8"/>
  <c r="E37" i="8"/>
  <c r="D37" i="8"/>
  <c r="C31" i="3" s="1"/>
  <c r="J36" i="8"/>
  <c r="K30" i="3" s="1"/>
  <c r="I36" i="8"/>
  <c r="H36" i="8"/>
  <c r="G36" i="8"/>
  <c r="F36" i="8"/>
  <c r="E30" i="3" s="1"/>
  <c r="E36" i="8"/>
  <c r="D36" i="8"/>
  <c r="J35" i="8"/>
  <c r="K29" i="3" s="1"/>
  <c r="I35" i="8"/>
  <c r="H35" i="8"/>
  <c r="G35" i="8"/>
  <c r="F35" i="8"/>
  <c r="E35" i="8"/>
  <c r="D29" i="3" s="1"/>
  <c r="D35" i="8"/>
  <c r="J33" i="8"/>
  <c r="I33" i="8"/>
  <c r="H33" i="8"/>
  <c r="G33" i="8"/>
  <c r="J32" i="8"/>
  <c r="I32" i="8"/>
  <c r="H32" i="8"/>
  <c r="G32" i="8"/>
  <c r="F32" i="8"/>
  <c r="E32" i="8"/>
  <c r="D26" i="3" s="1"/>
  <c r="D32" i="8"/>
  <c r="C26" i="3" s="1"/>
  <c r="J31" i="8"/>
  <c r="I31" i="8"/>
  <c r="H31" i="8"/>
  <c r="G31" i="8"/>
  <c r="F31" i="8"/>
  <c r="E31" i="8"/>
  <c r="D25" i="3" s="1"/>
  <c r="D31" i="8"/>
  <c r="C25" i="3" s="1"/>
  <c r="J30" i="8"/>
  <c r="I30" i="8"/>
  <c r="H30" i="8"/>
  <c r="G30" i="8"/>
  <c r="F30" i="8"/>
  <c r="E30" i="8"/>
  <c r="D30" i="8"/>
  <c r="C24" i="3" s="1"/>
  <c r="J29" i="8"/>
  <c r="K23" i="3" s="1"/>
  <c r="I29" i="8"/>
  <c r="H29" i="8"/>
  <c r="G29" i="8"/>
  <c r="F29" i="8"/>
  <c r="E23" i="3" s="1"/>
  <c r="E29" i="8"/>
  <c r="D29" i="8"/>
  <c r="C23" i="3" s="1"/>
  <c r="C29" i="8"/>
  <c r="B29" i="8"/>
  <c r="B23" i="3" s="1"/>
  <c r="L27" i="8"/>
  <c r="H27" i="8"/>
  <c r="G27" i="8"/>
  <c r="R80" i="7"/>
  <c r="P80" i="7"/>
  <c r="L80" i="7"/>
  <c r="K80" i="7"/>
  <c r="M80" i="7" s="1"/>
  <c r="F80" i="7"/>
  <c r="E80" i="7"/>
  <c r="D80" i="7"/>
  <c r="S79" i="7"/>
  <c r="Q79" i="7"/>
  <c r="P79" i="7"/>
  <c r="L79" i="7"/>
  <c r="R79" i="7" s="1"/>
  <c r="F79" i="7"/>
  <c r="E79" i="7"/>
  <c r="D79" i="7"/>
  <c r="K79" i="7" s="1"/>
  <c r="S78" i="7"/>
  <c r="R78" i="7"/>
  <c r="Q78" i="7"/>
  <c r="L78" i="7"/>
  <c r="F78" i="7"/>
  <c r="E78" i="7"/>
  <c r="D78" i="7"/>
  <c r="S77" i="7"/>
  <c r="R77" i="7"/>
  <c r="Q77" i="7"/>
  <c r="L77" i="7"/>
  <c r="F77" i="7"/>
  <c r="E77" i="7"/>
  <c r="D77" i="7"/>
  <c r="S76" i="7"/>
  <c r="L76" i="7"/>
  <c r="F76" i="7"/>
  <c r="E76" i="7"/>
  <c r="D76" i="7"/>
  <c r="K76" i="7" s="1"/>
  <c r="S74" i="7"/>
  <c r="P74" i="7"/>
  <c r="L74" i="7"/>
  <c r="R74" i="7" s="1"/>
  <c r="K74" i="7"/>
  <c r="M74" i="7" s="1"/>
  <c r="F74" i="7"/>
  <c r="E74" i="7"/>
  <c r="Q74" i="7" s="1"/>
  <c r="D74" i="7"/>
  <c r="L73" i="7"/>
  <c r="K73" i="7"/>
  <c r="F73" i="7"/>
  <c r="G31" i="4" s="1"/>
  <c r="E73" i="7"/>
  <c r="D73" i="7"/>
  <c r="L72" i="7"/>
  <c r="K72" i="7"/>
  <c r="M72" i="7" s="1"/>
  <c r="F72" i="7"/>
  <c r="E72" i="7"/>
  <c r="D72" i="7"/>
  <c r="S71" i="7"/>
  <c r="L71" i="7"/>
  <c r="R71" i="7" s="1"/>
  <c r="F71" i="7"/>
  <c r="E71" i="7"/>
  <c r="D71" i="7"/>
  <c r="R70" i="7"/>
  <c r="L70" i="7"/>
  <c r="F70" i="7"/>
  <c r="E70" i="7"/>
  <c r="D70" i="7"/>
  <c r="K70" i="7" s="1"/>
  <c r="M70" i="7" s="1"/>
  <c r="R68" i="7"/>
  <c r="Q68" i="7"/>
  <c r="L68" i="7"/>
  <c r="F68" i="7"/>
  <c r="S68" i="7" s="1"/>
  <c r="E68" i="7"/>
  <c r="D68" i="7"/>
  <c r="S67" i="7"/>
  <c r="R67" i="7"/>
  <c r="L67" i="7"/>
  <c r="F67" i="7"/>
  <c r="E67" i="7"/>
  <c r="D67" i="7"/>
  <c r="K67" i="7" s="1"/>
  <c r="S66" i="7"/>
  <c r="L66" i="7"/>
  <c r="R66" i="7" s="1"/>
  <c r="F66" i="7"/>
  <c r="E66" i="7"/>
  <c r="Q66" i="7" s="1"/>
  <c r="D66" i="7"/>
  <c r="Q65" i="7"/>
  <c r="L65" i="7"/>
  <c r="K65" i="7"/>
  <c r="M65" i="7" s="1"/>
  <c r="F65" i="7"/>
  <c r="F44" i="7" s="1"/>
  <c r="F113" i="6" s="1"/>
  <c r="E65" i="7"/>
  <c r="D65" i="7"/>
  <c r="L63" i="7"/>
  <c r="K63" i="7"/>
  <c r="M63" i="7" s="1"/>
  <c r="F63" i="7"/>
  <c r="E63" i="7"/>
  <c r="D63" i="7"/>
  <c r="L62" i="7"/>
  <c r="K62" i="7"/>
  <c r="M62" i="7" s="1"/>
  <c r="F62" i="7"/>
  <c r="E62" i="7"/>
  <c r="D62" i="7"/>
  <c r="F61" i="7"/>
  <c r="E61" i="7"/>
  <c r="D61" i="7"/>
  <c r="D43" i="7" s="1"/>
  <c r="D112" i="6" s="1"/>
  <c r="K112" i="6" s="1"/>
  <c r="S59" i="7"/>
  <c r="P59" i="7"/>
  <c r="L59" i="7"/>
  <c r="R59" i="7" s="1"/>
  <c r="K59" i="7"/>
  <c r="M59" i="7" s="1"/>
  <c r="F59" i="7"/>
  <c r="E59" i="7"/>
  <c r="Q59" i="7" s="1"/>
  <c r="D59" i="7"/>
  <c r="L58" i="7"/>
  <c r="K58" i="7"/>
  <c r="M58" i="7" s="1"/>
  <c r="F58" i="7"/>
  <c r="E58" i="7"/>
  <c r="D58" i="7"/>
  <c r="L57" i="7"/>
  <c r="K57" i="7"/>
  <c r="F57" i="7"/>
  <c r="E57" i="7"/>
  <c r="D57" i="7"/>
  <c r="L56" i="7"/>
  <c r="K56" i="7"/>
  <c r="F56" i="7"/>
  <c r="E56" i="7"/>
  <c r="D56" i="7"/>
  <c r="L55" i="7"/>
  <c r="F55" i="7"/>
  <c r="E55" i="7"/>
  <c r="D55" i="7"/>
  <c r="K55" i="7" s="1"/>
  <c r="M55" i="7" s="1"/>
  <c r="S54" i="7"/>
  <c r="Q54" i="7"/>
  <c r="L54" i="7"/>
  <c r="F54" i="7"/>
  <c r="R54" i="7" s="1"/>
  <c r="E54" i="7"/>
  <c r="D54" i="7"/>
  <c r="S53" i="7"/>
  <c r="O15" i="4" s="1"/>
  <c r="R53" i="7"/>
  <c r="L53" i="7"/>
  <c r="K53" i="7"/>
  <c r="M53" i="7" s="1"/>
  <c r="F53" i="7"/>
  <c r="E53" i="7"/>
  <c r="Q53" i="7" s="1"/>
  <c r="D53" i="7"/>
  <c r="J52" i="7"/>
  <c r="J42" i="7" s="1"/>
  <c r="I52" i="7"/>
  <c r="F52" i="7"/>
  <c r="E52" i="7"/>
  <c r="D52" i="7"/>
  <c r="J46" i="7"/>
  <c r="I46" i="7"/>
  <c r="H46" i="7"/>
  <c r="G46" i="7"/>
  <c r="F46" i="7"/>
  <c r="F115" i="6" s="1"/>
  <c r="E46" i="7"/>
  <c r="E115" i="6" s="1"/>
  <c r="B46" i="7"/>
  <c r="J45" i="7"/>
  <c r="I45" i="7"/>
  <c r="H45" i="7"/>
  <c r="G45" i="7"/>
  <c r="B45" i="7"/>
  <c r="J44" i="7"/>
  <c r="I44" i="7"/>
  <c r="H44" i="7"/>
  <c r="G44" i="7"/>
  <c r="B44" i="7"/>
  <c r="J43" i="7"/>
  <c r="I43" i="7"/>
  <c r="H43" i="7"/>
  <c r="G43" i="7"/>
  <c r="E43" i="7"/>
  <c r="E112" i="6" s="1"/>
  <c r="B43" i="7"/>
  <c r="I42" i="7"/>
  <c r="H42" i="7"/>
  <c r="G42" i="7"/>
  <c r="B42" i="7"/>
  <c r="N41" i="7"/>
  <c r="L40" i="7"/>
  <c r="H40" i="7"/>
  <c r="G40" i="7"/>
  <c r="B115" i="6"/>
  <c r="B114" i="6"/>
  <c r="B113" i="6"/>
  <c r="B112" i="6"/>
  <c r="B111" i="6"/>
  <c r="S110" i="6"/>
  <c r="O109" i="6"/>
  <c r="L109" i="6"/>
  <c r="F109" i="6"/>
  <c r="E109" i="6"/>
  <c r="D109" i="6"/>
  <c r="K109" i="6" s="1"/>
  <c r="R108" i="6"/>
  <c r="O108" i="6"/>
  <c r="L108" i="6"/>
  <c r="F108" i="6"/>
  <c r="E108" i="6"/>
  <c r="D108" i="6"/>
  <c r="K108" i="6" s="1"/>
  <c r="J88" i="4" s="1"/>
  <c r="O107" i="6"/>
  <c r="L107" i="6"/>
  <c r="F107" i="6"/>
  <c r="G87" i="4" s="1"/>
  <c r="E107" i="6"/>
  <c r="D107" i="6"/>
  <c r="K107" i="6" s="1"/>
  <c r="J87" i="4" s="1"/>
  <c r="O106" i="6"/>
  <c r="L106" i="6"/>
  <c r="F106" i="6"/>
  <c r="E106" i="6"/>
  <c r="W106" i="6" s="1"/>
  <c r="D106" i="6"/>
  <c r="K106" i="6" s="1"/>
  <c r="J86" i="4" s="1"/>
  <c r="O105" i="6"/>
  <c r="L105" i="6"/>
  <c r="R105" i="6" s="1"/>
  <c r="F105" i="6"/>
  <c r="E105" i="6"/>
  <c r="D105" i="6"/>
  <c r="K105" i="6" s="1"/>
  <c r="J85" i="4" s="1"/>
  <c r="O104" i="6"/>
  <c r="L104" i="6"/>
  <c r="F104" i="6"/>
  <c r="E104" i="6"/>
  <c r="W104" i="6" s="1"/>
  <c r="D104" i="6"/>
  <c r="K104" i="6" s="1"/>
  <c r="J84" i="4" s="1"/>
  <c r="O103" i="6"/>
  <c r="L103" i="6"/>
  <c r="R103" i="6" s="1"/>
  <c r="F103" i="6"/>
  <c r="E103" i="6"/>
  <c r="D103" i="6"/>
  <c r="K103" i="6" s="1"/>
  <c r="J83" i="4" s="1"/>
  <c r="O102" i="6"/>
  <c r="L102" i="6"/>
  <c r="F102" i="6"/>
  <c r="E102" i="6"/>
  <c r="F82" i="4" s="1"/>
  <c r="D102" i="6"/>
  <c r="K102" i="6" s="1"/>
  <c r="J82" i="4" s="1"/>
  <c r="O101" i="6"/>
  <c r="L101" i="6"/>
  <c r="F101" i="6"/>
  <c r="E101" i="6"/>
  <c r="D101" i="6"/>
  <c r="K101" i="6" s="1"/>
  <c r="S100" i="6"/>
  <c r="S101" i="6" s="1"/>
  <c r="Y101" i="6" s="1"/>
  <c r="O100" i="6"/>
  <c r="L100" i="6"/>
  <c r="L79" i="4" s="1"/>
  <c r="F100" i="6"/>
  <c r="G79" i="4" s="1"/>
  <c r="E100" i="6"/>
  <c r="D100" i="6"/>
  <c r="Y99" i="6"/>
  <c r="V99" i="6"/>
  <c r="L98" i="6"/>
  <c r="F98" i="6"/>
  <c r="E98" i="6"/>
  <c r="D98" i="6"/>
  <c r="K98" i="6" s="1"/>
  <c r="J54" i="4" s="1"/>
  <c r="L97" i="6"/>
  <c r="Z97" i="6" s="1"/>
  <c r="F97" i="6"/>
  <c r="G53" i="4" s="1"/>
  <c r="E97" i="6"/>
  <c r="Q97" i="6" s="1"/>
  <c r="D97" i="6"/>
  <c r="K97" i="6" s="1"/>
  <c r="L96" i="6"/>
  <c r="F96" i="6"/>
  <c r="E96" i="6"/>
  <c r="F52" i="4" s="1"/>
  <c r="D96" i="6"/>
  <c r="K96" i="6" s="1"/>
  <c r="J52" i="4" s="1"/>
  <c r="L95" i="6"/>
  <c r="F95" i="6"/>
  <c r="E95" i="6"/>
  <c r="F51" i="4" s="1"/>
  <c r="D95" i="6"/>
  <c r="K95" i="6" s="1"/>
  <c r="L94" i="6"/>
  <c r="R94" i="6" s="1"/>
  <c r="F94" i="6"/>
  <c r="E94" i="6"/>
  <c r="D94" i="6"/>
  <c r="K94" i="6" s="1"/>
  <c r="J50" i="4" s="1"/>
  <c r="L93" i="6"/>
  <c r="F93" i="6"/>
  <c r="G49" i="4" s="1"/>
  <c r="E93" i="6"/>
  <c r="D93" i="6"/>
  <c r="K93" i="6" s="1"/>
  <c r="J49" i="4" s="1"/>
  <c r="P92" i="6"/>
  <c r="L92" i="6"/>
  <c r="Q92" i="6" s="1"/>
  <c r="F92" i="6"/>
  <c r="E92" i="6"/>
  <c r="D92" i="6"/>
  <c r="K92" i="6" s="1"/>
  <c r="J48" i="4" s="1"/>
  <c r="Q91" i="6"/>
  <c r="P91" i="6"/>
  <c r="L91" i="6"/>
  <c r="K91" i="6"/>
  <c r="J47" i="4" s="1"/>
  <c r="F91" i="6"/>
  <c r="E91" i="6"/>
  <c r="D91" i="6"/>
  <c r="S90" i="6"/>
  <c r="S91" i="6" s="1"/>
  <c r="S92" i="6" s="1"/>
  <c r="H48" i="4" s="1"/>
  <c r="I48" i="4" s="1"/>
  <c r="L89" i="6"/>
  <c r="K216" i="4" s="1"/>
  <c r="F89" i="6"/>
  <c r="G216" i="4" s="1"/>
  <c r="E89" i="6"/>
  <c r="D89" i="6"/>
  <c r="K89" i="6" s="1"/>
  <c r="J216" i="4" s="1"/>
  <c r="L88" i="6"/>
  <c r="F88" i="6"/>
  <c r="G39" i="4" s="1"/>
  <c r="E88" i="6"/>
  <c r="Q88" i="6" s="1"/>
  <c r="D88" i="6"/>
  <c r="K88" i="6" s="1"/>
  <c r="J39" i="4" s="1"/>
  <c r="L87" i="6"/>
  <c r="T87" i="6" s="1"/>
  <c r="E87" i="6"/>
  <c r="D87" i="6"/>
  <c r="L86" i="6"/>
  <c r="L214" i="4" s="1"/>
  <c r="E86" i="6"/>
  <c r="D86" i="6"/>
  <c r="K86" i="6" s="1"/>
  <c r="J214" i="4" s="1"/>
  <c r="L85" i="6"/>
  <c r="L213" i="4" s="1"/>
  <c r="E85" i="6"/>
  <c r="D85" i="6"/>
  <c r="K85" i="6" s="1"/>
  <c r="J213" i="4" s="1"/>
  <c r="L84" i="6"/>
  <c r="E84" i="6"/>
  <c r="D84" i="6"/>
  <c r="E212" i="4" s="1"/>
  <c r="L83" i="6"/>
  <c r="P83" i="6" s="1"/>
  <c r="K83" i="6"/>
  <c r="F83" i="6"/>
  <c r="G46" i="4" s="1"/>
  <c r="E83" i="6"/>
  <c r="Q83" i="6" s="1"/>
  <c r="D83" i="6"/>
  <c r="L82" i="6"/>
  <c r="T82" i="6" s="1"/>
  <c r="E82" i="6"/>
  <c r="D82" i="6"/>
  <c r="L81" i="6"/>
  <c r="E81" i="6"/>
  <c r="F217" i="4" s="1"/>
  <c r="D81" i="6"/>
  <c r="K81" i="6" s="1"/>
  <c r="W80" i="6"/>
  <c r="L80" i="6"/>
  <c r="F80" i="6"/>
  <c r="G45" i="4" s="1"/>
  <c r="E80" i="6"/>
  <c r="D80" i="6"/>
  <c r="L79" i="6"/>
  <c r="T79" i="6" s="1"/>
  <c r="K79" i="6"/>
  <c r="J44" i="4" s="1"/>
  <c r="F79" i="6"/>
  <c r="E79" i="6"/>
  <c r="D79" i="6"/>
  <c r="L78" i="6"/>
  <c r="T78" i="6" s="1"/>
  <c r="O43" i="4" s="1"/>
  <c r="F78" i="6"/>
  <c r="E78" i="6"/>
  <c r="D78" i="6"/>
  <c r="K78" i="6" s="1"/>
  <c r="J43" i="4" s="1"/>
  <c r="L77" i="6"/>
  <c r="F77" i="6"/>
  <c r="E77" i="6"/>
  <c r="D77" i="6"/>
  <c r="W76" i="6"/>
  <c r="L76" i="6"/>
  <c r="P76" i="6" s="1"/>
  <c r="K76" i="6"/>
  <c r="J41" i="4" s="1"/>
  <c r="F76" i="6"/>
  <c r="G41" i="4" s="1"/>
  <c r="E76" i="6"/>
  <c r="D76" i="6"/>
  <c r="L75" i="6"/>
  <c r="T75" i="6" s="1"/>
  <c r="O38" i="4" s="1"/>
  <c r="K75" i="6"/>
  <c r="F75" i="6"/>
  <c r="E75" i="6"/>
  <c r="D75" i="6"/>
  <c r="S74" i="6"/>
  <c r="V74" i="6" s="1"/>
  <c r="M74" i="6"/>
  <c r="L73" i="6"/>
  <c r="R73" i="6" s="1"/>
  <c r="K73" i="6"/>
  <c r="J71" i="4" s="1"/>
  <c r="L72" i="6"/>
  <c r="K72" i="6"/>
  <c r="J70" i="4" s="1"/>
  <c r="L71" i="6"/>
  <c r="K71" i="6"/>
  <c r="J69" i="4" s="1"/>
  <c r="L70" i="6"/>
  <c r="T70" i="6" s="1"/>
  <c r="O68" i="4" s="1"/>
  <c r="K70" i="6"/>
  <c r="L69" i="6"/>
  <c r="R69" i="6" s="1"/>
  <c r="K69" i="6"/>
  <c r="J67" i="4" s="1"/>
  <c r="L68" i="6"/>
  <c r="K68" i="6"/>
  <c r="L67" i="6"/>
  <c r="R67" i="6" s="1"/>
  <c r="K67" i="6"/>
  <c r="J64" i="4" s="1"/>
  <c r="R66" i="6"/>
  <c r="L66" i="6"/>
  <c r="P66" i="6" s="1"/>
  <c r="K66" i="6"/>
  <c r="J63" i="4" s="1"/>
  <c r="T65" i="6"/>
  <c r="Q65" i="6"/>
  <c r="L65" i="6"/>
  <c r="R65" i="6" s="1"/>
  <c r="K65" i="6"/>
  <c r="M65" i="6" s="1"/>
  <c r="L64" i="6"/>
  <c r="K64" i="6"/>
  <c r="J61" i="4" s="1"/>
  <c r="L63" i="6"/>
  <c r="K63" i="6"/>
  <c r="J60" i="4" s="1"/>
  <c r="L62" i="6"/>
  <c r="R62" i="6" s="1"/>
  <c r="K62" i="6"/>
  <c r="L61" i="6"/>
  <c r="R61" i="6" s="1"/>
  <c r="K61" i="6"/>
  <c r="J58" i="4" s="1"/>
  <c r="L60" i="6"/>
  <c r="R60" i="6" s="1"/>
  <c r="K60" i="6"/>
  <c r="T59" i="6"/>
  <c r="O56" i="4" s="1"/>
  <c r="L59" i="6"/>
  <c r="R59" i="6" s="1"/>
  <c r="K59" i="6"/>
  <c r="L58" i="6"/>
  <c r="K58" i="6"/>
  <c r="M58" i="6" s="1"/>
  <c r="L57" i="6"/>
  <c r="K57" i="6"/>
  <c r="L56" i="6"/>
  <c r="R56" i="6" s="1"/>
  <c r="K56" i="6"/>
  <c r="P55" i="6"/>
  <c r="L55" i="6"/>
  <c r="K55" i="6"/>
  <c r="Z54" i="6"/>
  <c r="T54" i="6"/>
  <c r="O74" i="4" s="1"/>
  <c r="Q54" i="6"/>
  <c r="L54" i="6"/>
  <c r="R54" i="6" s="1"/>
  <c r="K54" i="6"/>
  <c r="M54" i="6" s="1"/>
  <c r="Z53" i="6"/>
  <c r="L53" i="6"/>
  <c r="W53" i="6" s="1"/>
  <c r="K53" i="6"/>
  <c r="L52" i="6"/>
  <c r="R52" i="6" s="1"/>
  <c r="K52" i="6"/>
  <c r="J72" i="4" s="1"/>
  <c r="L51" i="6"/>
  <c r="K51" i="6"/>
  <c r="M51" i="6" s="1"/>
  <c r="P50" i="6"/>
  <c r="L50" i="6"/>
  <c r="W50" i="6" s="1"/>
  <c r="K50" i="6"/>
  <c r="S49" i="6"/>
  <c r="S50" i="6" s="1"/>
  <c r="J46" i="6"/>
  <c r="I46" i="6"/>
  <c r="H46" i="6"/>
  <c r="G46" i="6"/>
  <c r="C46" i="6"/>
  <c r="B46" i="6"/>
  <c r="J45" i="6"/>
  <c r="I45" i="6"/>
  <c r="H45" i="6"/>
  <c r="G45" i="6"/>
  <c r="C45" i="6"/>
  <c r="B45" i="6"/>
  <c r="J44" i="6"/>
  <c r="K22" i="3" s="1"/>
  <c r="I44" i="6"/>
  <c r="H44" i="6"/>
  <c r="G44" i="6"/>
  <c r="C44" i="6"/>
  <c r="B44" i="6"/>
  <c r="J43" i="6"/>
  <c r="K19" i="3" s="1"/>
  <c r="I43" i="6"/>
  <c r="H43" i="6"/>
  <c r="G43" i="6"/>
  <c r="C43" i="6"/>
  <c r="B43" i="6"/>
  <c r="J42" i="6"/>
  <c r="K17" i="3" s="1"/>
  <c r="I42" i="6"/>
  <c r="H42" i="6"/>
  <c r="G42" i="6"/>
  <c r="F42" i="6"/>
  <c r="E17" i="3" s="1"/>
  <c r="E42" i="6"/>
  <c r="D42" i="6"/>
  <c r="C17" i="3" s="1"/>
  <c r="C42" i="6"/>
  <c r="B42" i="6"/>
  <c r="L40" i="6"/>
  <c r="H40" i="6"/>
  <c r="G40" i="6"/>
  <c r="N1" i="6"/>
  <c r="Z188" i="5"/>
  <c r="O411" i="4" s="1"/>
  <c r="O188" i="5"/>
  <c r="L188" i="5"/>
  <c r="K188" i="5"/>
  <c r="Y187" i="5"/>
  <c r="Y188" i="5" s="1"/>
  <c r="H411" i="4" s="1"/>
  <c r="W187" i="5"/>
  <c r="P187" i="5"/>
  <c r="O187" i="5"/>
  <c r="L187" i="5"/>
  <c r="K187" i="5"/>
  <c r="Y186" i="5"/>
  <c r="O186" i="5"/>
  <c r="L186" i="5"/>
  <c r="K186" i="5"/>
  <c r="Y185" i="5"/>
  <c r="S185" i="5"/>
  <c r="S186" i="5" s="1"/>
  <c r="S187" i="5" s="1"/>
  <c r="S188" i="5" s="1"/>
  <c r="L185" i="5"/>
  <c r="K185" i="5"/>
  <c r="M185" i="5" s="1"/>
  <c r="Y184" i="5"/>
  <c r="S184" i="5"/>
  <c r="V184" i="5" s="1"/>
  <c r="V185" i="5" s="1"/>
  <c r="V186" i="5" s="1"/>
  <c r="V187" i="5" s="1"/>
  <c r="V188" i="5" s="1"/>
  <c r="M184" i="5"/>
  <c r="Z183" i="5"/>
  <c r="W183" i="5"/>
  <c r="T183" i="5"/>
  <c r="O183" i="5"/>
  <c r="L183" i="5"/>
  <c r="K183" i="5"/>
  <c r="Z182" i="5"/>
  <c r="W182" i="5"/>
  <c r="R182" i="5"/>
  <c r="Q182" i="5"/>
  <c r="O182" i="5"/>
  <c r="L182" i="5"/>
  <c r="T182" i="5" s="1"/>
  <c r="K182" i="5"/>
  <c r="M182" i="5" s="1"/>
  <c r="T181" i="5"/>
  <c r="R181" i="5"/>
  <c r="Q181" i="5"/>
  <c r="P181" i="5"/>
  <c r="O181" i="5"/>
  <c r="L181" i="5"/>
  <c r="Z181" i="5" s="1"/>
  <c r="K181" i="5"/>
  <c r="J146" i="4" s="1"/>
  <c r="W180" i="5"/>
  <c r="P180" i="5"/>
  <c r="O180" i="5"/>
  <c r="L180" i="5"/>
  <c r="K180" i="5"/>
  <c r="M180" i="5" s="1"/>
  <c r="Z179" i="5"/>
  <c r="O179" i="5"/>
  <c r="L179" i="5"/>
  <c r="K179" i="5"/>
  <c r="Z178" i="5"/>
  <c r="T178" i="5"/>
  <c r="R178" i="5"/>
  <c r="Q178" i="5"/>
  <c r="P178" i="5"/>
  <c r="O178" i="5"/>
  <c r="L178" i="5"/>
  <c r="F9" i="12" s="1"/>
  <c r="K178" i="5"/>
  <c r="M178" i="5" s="1"/>
  <c r="W177" i="5"/>
  <c r="T177" i="5"/>
  <c r="R177" i="5"/>
  <c r="O177" i="5"/>
  <c r="L177" i="5"/>
  <c r="Q177" i="5" s="1"/>
  <c r="K177" i="5"/>
  <c r="M177" i="5" s="1"/>
  <c r="Z176" i="5"/>
  <c r="O176" i="5"/>
  <c r="L176" i="5"/>
  <c r="K176" i="5"/>
  <c r="M176" i="5" s="1"/>
  <c r="O175" i="5"/>
  <c r="L175" i="5"/>
  <c r="K175" i="5"/>
  <c r="S174" i="5"/>
  <c r="Y174" i="5" s="1"/>
  <c r="Y175" i="5" s="1"/>
  <c r="Y176" i="5" s="1"/>
  <c r="Y177" i="5" s="1"/>
  <c r="Y178" i="5" s="1"/>
  <c r="Y179" i="5" s="1"/>
  <c r="M174" i="5"/>
  <c r="O173" i="5"/>
  <c r="L173" i="5"/>
  <c r="K173" i="5"/>
  <c r="Z172" i="5"/>
  <c r="T172" i="5"/>
  <c r="R172" i="5"/>
  <c r="Q172" i="5"/>
  <c r="P172" i="5"/>
  <c r="O172" i="5"/>
  <c r="L172" i="5"/>
  <c r="W172" i="5" s="1"/>
  <c r="K172" i="5"/>
  <c r="W171" i="5"/>
  <c r="T171" i="5"/>
  <c r="L171" i="5"/>
  <c r="Q171" i="5" s="1"/>
  <c r="K171" i="5"/>
  <c r="M171" i="5" s="1"/>
  <c r="Z170" i="5"/>
  <c r="O170" i="5"/>
  <c r="L170" i="5"/>
  <c r="K170" i="5"/>
  <c r="L169" i="5"/>
  <c r="K169" i="5"/>
  <c r="Z168" i="5"/>
  <c r="W168" i="5"/>
  <c r="T168" i="5"/>
  <c r="Q168" i="5"/>
  <c r="P168" i="5"/>
  <c r="O168" i="5"/>
  <c r="L168" i="5"/>
  <c r="K168" i="5"/>
  <c r="M168" i="5" s="1"/>
  <c r="Z167" i="5"/>
  <c r="T167" i="5"/>
  <c r="L167" i="5"/>
  <c r="K167" i="5"/>
  <c r="J447" i="4" s="1"/>
  <c r="Y166" i="5"/>
  <c r="L166" i="5"/>
  <c r="L170" i="4" s="1"/>
  <c r="K166" i="5"/>
  <c r="J170" i="4" s="1"/>
  <c r="Z165" i="5"/>
  <c r="W165" i="5"/>
  <c r="T165" i="5"/>
  <c r="R165" i="5"/>
  <c r="Q165" i="5"/>
  <c r="P165" i="5"/>
  <c r="L165" i="5"/>
  <c r="K165" i="5"/>
  <c r="M165" i="5" s="1"/>
  <c r="Z164" i="5"/>
  <c r="W164" i="5"/>
  <c r="V164" i="5"/>
  <c r="H319" i="4" s="1"/>
  <c r="T164" i="5"/>
  <c r="O164" i="5"/>
  <c r="L164" i="5"/>
  <c r="K164" i="5"/>
  <c r="J443" i="4" s="1"/>
  <c r="Y163" i="5"/>
  <c r="Y164" i="5" s="1"/>
  <c r="Y165" i="5" s="1"/>
  <c r="H445" i="4" s="1"/>
  <c r="V163" i="5"/>
  <c r="S163" i="5"/>
  <c r="S164" i="5" s="1"/>
  <c r="S165" i="5" s="1"/>
  <c r="S166" i="5" s="1"/>
  <c r="S167" i="5" s="1"/>
  <c r="S168" i="5" s="1"/>
  <c r="S169" i="5" s="1"/>
  <c r="W162" i="5"/>
  <c r="O269" i="4" s="1"/>
  <c r="T162" i="5"/>
  <c r="R162" i="5"/>
  <c r="L162" i="5"/>
  <c r="Q162" i="5" s="1"/>
  <c r="K162" i="5"/>
  <c r="M162" i="5" s="1"/>
  <c r="W161" i="5"/>
  <c r="L161" i="5"/>
  <c r="K161" i="5"/>
  <c r="Z160" i="5"/>
  <c r="T160" i="5"/>
  <c r="R160" i="5"/>
  <c r="Q160" i="5"/>
  <c r="P160" i="5"/>
  <c r="L160" i="5"/>
  <c r="W160" i="5" s="1"/>
  <c r="K160" i="5"/>
  <c r="L159" i="5"/>
  <c r="K159" i="5"/>
  <c r="M159" i="5" s="1"/>
  <c r="L158" i="5"/>
  <c r="K158" i="5"/>
  <c r="M158" i="5" s="1"/>
  <c r="Z157" i="5"/>
  <c r="W157" i="5"/>
  <c r="T157" i="5"/>
  <c r="R157" i="5"/>
  <c r="Q157" i="5"/>
  <c r="P157" i="5"/>
  <c r="L157" i="5"/>
  <c r="K157" i="5"/>
  <c r="M157" i="5" s="1"/>
  <c r="Z156" i="5"/>
  <c r="O403" i="4" s="1"/>
  <c r="W156" i="5"/>
  <c r="T156" i="5"/>
  <c r="P156" i="5"/>
  <c r="L156" i="5"/>
  <c r="K156" i="5"/>
  <c r="M156" i="5" s="1"/>
  <c r="Z155" i="5"/>
  <c r="Y155" i="5"/>
  <c r="Y156" i="5" s="1"/>
  <c r="R155" i="5"/>
  <c r="Q155" i="5"/>
  <c r="P155" i="5"/>
  <c r="L155" i="5"/>
  <c r="K155" i="5"/>
  <c r="W154" i="5"/>
  <c r="O270" i="4" s="1"/>
  <c r="V154" i="5"/>
  <c r="T154" i="5"/>
  <c r="R154" i="5"/>
  <c r="L154" i="5"/>
  <c r="K154" i="5"/>
  <c r="M154" i="5" s="1"/>
  <c r="Y153" i="5"/>
  <c r="Y154" i="5" s="1"/>
  <c r="W153" i="5"/>
  <c r="V153" i="5"/>
  <c r="H268" i="4" s="1"/>
  <c r="P153" i="5"/>
  <c r="L153" i="5"/>
  <c r="K153" i="5"/>
  <c r="Y152" i="5"/>
  <c r="S152" i="5"/>
  <c r="V152" i="5" s="1"/>
  <c r="M152" i="5"/>
  <c r="Z151" i="5"/>
  <c r="W151" i="5"/>
  <c r="O151" i="5"/>
  <c r="L151" i="5"/>
  <c r="K151" i="5"/>
  <c r="M151" i="5" s="1"/>
  <c r="Z150" i="5"/>
  <c r="T150" i="5"/>
  <c r="R150" i="5"/>
  <c r="Q150" i="5"/>
  <c r="P150" i="5"/>
  <c r="O150" i="5"/>
  <c r="L150" i="5"/>
  <c r="W150" i="5" s="1"/>
  <c r="K150" i="5"/>
  <c r="Z149" i="5"/>
  <c r="Y149" i="5"/>
  <c r="Y150" i="5" s="1"/>
  <c r="Y151" i="5" s="1"/>
  <c r="T149" i="5"/>
  <c r="O178" i="4" s="1"/>
  <c r="P149" i="5"/>
  <c r="O149" i="5"/>
  <c r="L149" i="5"/>
  <c r="K149" i="5"/>
  <c r="M149" i="5" s="1"/>
  <c r="Z148" i="5"/>
  <c r="T148" i="5"/>
  <c r="R148" i="5"/>
  <c r="Q148" i="5"/>
  <c r="P148" i="5"/>
  <c r="O148" i="5"/>
  <c r="L148" i="5"/>
  <c r="W148" i="5" s="1"/>
  <c r="K148" i="5"/>
  <c r="O147" i="5"/>
  <c r="L147" i="5"/>
  <c r="K147" i="5"/>
  <c r="Y146" i="5"/>
  <c r="Y147" i="5" s="1"/>
  <c r="Y148" i="5" s="1"/>
  <c r="S146" i="5"/>
  <c r="S147" i="5" s="1"/>
  <c r="S148" i="5" s="1"/>
  <c r="S149" i="5" s="1"/>
  <c r="S150" i="5" s="1"/>
  <c r="Y145" i="5"/>
  <c r="W145" i="5"/>
  <c r="T145" i="5"/>
  <c r="S145" i="5"/>
  <c r="H158" i="4" s="1"/>
  <c r="I158" i="4" s="1"/>
  <c r="L145" i="5"/>
  <c r="K145" i="5"/>
  <c r="M145" i="5" s="1"/>
  <c r="Z144" i="5"/>
  <c r="Y144" i="5"/>
  <c r="W144" i="5"/>
  <c r="R144" i="5"/>
  <c r="Q144" i="5"/>
  <c r="P144" i="5"/>
  <c r="L144" i="5"/>
  <c r="T144" i="5" s="1"/>
  <c r="K144" i="5"/>
  <c r="M144" i="5" s="1"/>
  <c r="T143" i="5"/>
  <c r="S143" i="5"/>
  <c r="S144" i="5" s="1"/>
  <c r="R143" i="5"/>
  <c r="Q143" i="5"/>
  <c r="L143" i="5"/>
  <c r="Z143" i="5" s="1"/>
  <c r="K143" i="5"/>
  <c r="S142" i="5"/>
  <c r="Y142" i="5" s="1"/>
  <c r="Y143" i="5" s="1"/>
  <c r="Z141" i="5"/>
  <c r="Q141" i="5"/>
  <c r="L141" i="5"/>
  <c r="K141" i="5"/>
  <c r="M141" i="5" s="1"/>
  <c r="E141" i="5"/>
  <c r="D141" i="5"/>
  <c r="L140" i="5"/>
  <c r="E140" i="5"/>
  <c r="D140" i="5"/>
  <c r="K140" i="5" s="1"/>
  <c r="J304" i="4" s="1"/>
  <c r="T139" i="5"/>
  <c r="R139" i="5"/>
  <c r="Q139" i="5"/>
  <c r="L139" i="5"/>
  <c r="K139" i="5"/>
  <c r="F139" i="5"/>
  <c r="E139" i="5"/>
  <c r="W139" i="5" s="1"/>
  <c r="D139" i="5"/>
  <c r="P139" i="5" s="1"/>
  <c r="L138" i="5"/>
  <c r="L312" i="4" s="1"/>
  <c r="K138" i="5"/>
  <c r="F138" i="5"/>
  <c r="E138" i="5"/>
  <c r="D138" i="5"/>
  <c r="R137" i="5"/>
  <c r="L137" i="5"/>
  <c r="K137" i="5"/>
  <c r="J163" i="4" s="1"/>
  <c r="F137" i="5"/>
  <c r="E137" i="5"/>
  <c r="D137" i="5"/>
  <c r="W136" i="5"/>
  <c r="T136" i="5"/>
  <c r="O162" i="4" s="1"/>
  <c r="L136" i="5"/>
  <c r="F136" i="5"/>
  <c r="E136" i="5"/>
  <c r="D136" i="5"/>
  <c r="K136" i="5" s="1"/>
  <c r="T135" i="5"/>
  <c r="Q135" i="5"/>
  <c r="P135" i="5"/>
  <c r="L135" i="5"/>
  <c r="Z135" i="5" s="1"/>
  <c r="K135" i="5"/>
  <c r="M135" i="5" s="1"/>
  <c r="E135" i="5"/>
  <c r="D135" i="5"/>
  <c r="P134" i="5"/>
  <c r="L134" i="5"/>
  <c r="K134" i="5"/>
  <c r="J308" i="4" s="1"/>
  <c r="F134" i="5"/>
  <c r="E134" i="5"/>
  <c r="W134" i="5" s="1"/>
  <c r="O308" i="4" s="1"/>
  <c r="D134" i="5"/>
  <c r="Z133" i="5"/>
  <c r="P133" i="5"/>
  <c r="L133" i="5"/>
  <c r="Q133" i="5" s="1"/>
  <c r="K133" i="5"/>
  <c r="J307" i="4" s="1"/>
  <c r="F133" i="5"/>
  <c r="E133" i="5"/>
  <c r="D133" i="5"/>
  <c r="W132" i="5"/>
  <c r="O306" i="4" s="1"/>
  <c r="T132" i="5"/>
  <c r="S132" i="5"/>
  <c r="S133" i="5" s="1"/>
  <c r="Q132" i="5"/>
  <c r="L132" i="5"/>
  <c r="E132" i="5"/>
  <c r="D132" i="5"/>
  <c r="E306" i="4" s="1"/>
  <c r="W131" i="5"/>
  <c r="R131" i="5"/>
  <c r="Q131" i="5"/>
  <c r="P131" i="5"/>
  <c r="L131" i="5"/>
  <c r="K131" i="5"/>
  <c r="J431" i="4" s="1"/>
  <c r="F131" i="5"/>
  <c r="G303" i="4" s="1"/>
  <c r="E131" i="5"/>
  <c r="D131" i="5"/>
  <c r="Y130" i="5"/>
  <c r="Y131" i="5" s="1"/>
  <c r="Y132" i="5" s="1"/>
  <c r="Y133" i="5" s="1"/>
  <c r="Y134" i="5" s="1"/>
  <c r="V130" i="5"/>
  <c r="V131" i="5" s="1"/>
  <c r="V132" i="5" s="1"/>
  <c r="S130" i="5"/>
  <c r="S131" i="5" s="1"/>
  <c r="M130" i="5"/>
  <c r="Z129" i="5"/>
  <c r="O430" i="4" s="1"/>
  <c r="T129" i="5"/>
  <c r="Q129" i="5"/>
  <c r="O129" i="5"/>
  <c r="L129" i="5"/>
  <c r="K129" i="5"/>
  <c r="W128" i="5"/>
  <c r="Q128" i="5"/>
  <c r="O128" i="5"/>
  <c r="L128" i="5"/>
  <c r="K128" i="5"/>
  <c r="Z127" i="5"/>
  <c r="O428" i="4" s="1"/>
  <c r="W127" i="5"/>
  <c r="P127" i="5"/>
  <c r="O127" i="5"/>
  <c r="M127" i="5"/>
  <c r="L127" i="5"/>
  <c r="T127" i="5" s="1"/>
  <c r="K127" i="5"/>
  <c r="Z126" i="5"/>
  <c r="T126" i="5"/>
  <c r="P126" i="5"/>
  <c r="O126" i="5"/>
  <c r="L126" i="5"/>
  <c r="M126" i="5" s="1"/>
  <c r="K126" i="5"/>
  <c r="Z125" i="5"/>
  <c r="T125" i="5"/>
  <c r="Q125" i="5"/>
  <c r="P125" i="5"/>
  <c r="O125" i="5"/>
  <c r="L125" i="5"/>
  <c r="W125" i="5" s="1"/>
  <c r="K125" i="5"/>
  <c r="M125" i="5" s="1"/>
  <c r="Y124" i="5"/>
  <c r="Y125" i="5" s="1"/>
  <c r="Y126" i="5" s="1"/>
  <c r="S124" i="5"/>
  <c r="S125" i="5" s="1"/>
  <c r="S126" i="5" s="1"/>
  <c r="S127" i="5" s="1"/>
  <c r="S128" i="5" s="1"/>
  <c r="S129" i="5" s="1"/>
  <c r="M124" i="5"/>
  <c r="Z123" i="5"/>
  <c r="O418" i="4" s="1"/>
  <c r="T123" i="5"/>
  <c r="P123" i="5"/>
  <c r="O123" i="5"/>
  <c r="L123" i="5"/>
  <c r="K123" i="5"/>
  <c r="Z122" i="5"/>
  <c r="O417" i="4" s="1"/>
  <c r="Q122" i="5"/>
  <c r="O122" i="5"/>
  <c r="L122" i="5"/>
  <c r="K122" i="5"/>
  <c r="W121" i="5"/>
  <c r="Q121" i="5"/>
  <c r="O121" i="5"/>
  <c r="L121" i="5"/>
  <c r="K121" i="5"/>
  <c r="Z120" i="5"/>
  <c r="W120" i="5"/>
  <c r="Q120" i="5"/>
  <c r="P120" i="5"/>
  <c r="O120" i="5"/>
  <c r="L120" i="5"/>
  <c r="T120" i="5" s="1"/>
  <c r="K120" i="5"/>
  <c r="Z119" i="5"/>
  <c r="W119" i="5"/>
  <c r="T119" i="5"/>
  <c r="Q119" i="5"/>
  <c r="P119" i="5"/>
  <c r="O119" i="5"/>
  <c r="L119" i="5"/>
  <c r="K119" i="5"/>
  <c r="M119" i="5" s="1"/>
  <c r="L118" i="5"/>
  <c r="P118" i="5" s="1"/>
  <c r="K118" i="5"/>
  <c r="O117" i="5"/>
  <c r="L117" i="5"/>
  <c r="K117" i="5"/>
  <c r="O116" i="5"/>
  <c r="O102" i="8" s="1"/>
  <c r="L116" i="5"/>
  <c r="K116" i="5"/>
  <c r="J251" i="4" s="1"/>
  <c r="O115" i="5"/>
  <c r="L115" i="5"/>
  <c r="L423" i="4" s="1"/>
  <c r="K115" i="5"/>
  <c r="J297" i="4" s="1"/>
  <c r="W114" i="5"/>
  <c r="O114" i="5"/>
  <c r="M114" i="5"/>
  <c r="L114" i="5"/>
  <c r="R114" i="5" s="1"/>
  <c r="K114" i="5"/>
  <c r="Z113" i="5"/>
  <c r="T113" i="5"/>
  <c r="O151" i="4" s="1"/>
  <c r="R113" i="5"/>
  <c r="Q113" i="5"/>
  <c r="P113" i="5"/>
  <c r="O113" i="5"/>
  <c r="L113" i="5"/>
  <c r="J16" i="12" s="1"/>
  <c r="K113" i="5"/>
  <c r="M113" i="5" s="1"/>
  <c r="Z112" i="5"/>
  <c r="W112" i="5"/>
  <c r="O294" i="4" s="1"/>
  <c r="T112" i="5"/>
  <c r="O150" i="4" s="1"/>
  <c r="O112" i="5"/>
  <c r="L112" i="5"/>
  <c r="K112" i="5"/>
  <c r="Z111" i="5"/>
  <c r="T111" i="5"/>
  <c r="O149" i="4" s="1"/>
  <c r="S111" i="5"/>
  <c r="S112" i="5" s="1"/>
  <c r="R111" i="5"/>
  <c r="P111" i="5"/>
  <c r="O111" i="5"/>
  <c r="L111" i="5"/>
  <c r="W111" i="5" s="1"/>
  <c r="O293" i="4" s="1"/>
  <c r="K111" i="5"/>
  <c r="Z110" i="5"/>
  <c r="O414" i="4" s="1"/>
  <c r="Y110" i="5"/>
  <c r="H414" i="4" s="1"/>
  <c r="I414" i="4" s="1"/>
  <c r="T110" i="5"/>
  <c r="R110" i="5"/>
  <c r="Q110" i="5"/>
  <c r="P110" i="5"/>
  <c r="O110" i="5"/>
  <c r="L110" i="5"/>
  <c r="W110" i="5" s="1"/>
  <c r="K110" i="5"/>
  <c r="M110" i="5" s="1"/>
  <c r="Y109" i="5"/>
  <c r="S109" i="5"/>
  <c r="S110" i="5" s="1"/>
  <c r="Z108" i="5"/>
  <c r="Y108" i="5"/>
  <c r="W108" i="5"/>
  <c r="O329" i="4" s="1"/>
  <c r="S108" i="5"/>
  <c r="P108" i="5"/>
  <c r="L108" i="5"/>
  <c r="T108" i="5" s="1"/>
  <c r="O183" i="4" s="1"/>
  <c r="K108" i="5"/>
  <c r="Y107" i="5"/>
  <c r="S107" i="5"/>
  <c r="L107" i="5"/>
  <c r="K107" i="5"/>
  <c r="W106" i="5"/>
  <c r="V106" i="5"/>
  <c r="V107" i="5" s="1"/>
  <c r="V108" i="5" s="1"/>
  <c r="H329" i="4" s="1"/>
  <c r="T106" i="5"/>
  <c r="R106" i="5"/>
  <c r="Q106" i="5"/>
  <c r="L106" i="5"/>
  <c r="Z106" i="5" s="1"/>
  <c r="K106" i="5"/>
  <c r="Y105" i="5"/>
  <c r="Y106" i="5" s="1"/>
  <c r="V105" i="5"/>
  <c r="S105" i="5"/>
  <c r="S106" i="5" s="1"/>
  <c r="Z104" i="5"/>
  <c r="Z93" i="5" s="1"/>
  <c r="Q104" i="5"/>
  <c r="O104" i="5"/>
  <c r="L104" i="5"/>
  <c r="T104" i="5" s="1"/>
  <c r="T93" i="5" s="1"/>
  <c r="K104" i="5"/>
  <c r="W103" i="5"/>
  <c r="O317" i="4" s="1"/>
  <c r="Q103" i="5"/>
  <c r="Q46" i="5" s="1"/>
  <c r="S7" i="3" s="1"/>
  <c r="O103" i="5"/>
  <c r="L103" i="5"/>
  <c r="K103" i="5"/>
  <c r="J441" i="4" s="1"/>
  <c r="Z102" i="5"/>
  <c r="W102" i="5"/>
  <c r="O316" i="4" s="1"/>
  <c r="Q102" i="5"/>
  <c r="P102" i="5"/>
  <c r="O102" i="5"/>
  <c r="L102" i="5"/>
  <c r="T102" i="5" s="1"/>
  <c r="K102" i="5"/>
  <c r="M102" i="5" s="1"/>
  <c r="Z101" i="5"/>
  <c r="Z94" i="5" s="1"/>
  <c r="W101" i="5"/>
  <c r="T101" i="5"/>
  <c r="T94" i="5" s="1"/>
  <c r="R101" i="5"/>
  <c r="Q101" i="5"/>
  <c r="P101" i="5"/>
  <c r="L101" i="5"/>
  <c r="J15" i="12" s="1"/>
  <c r="K101" i="5"/>
  <c r="W100" i="5"/>
  <c r="O314" i="4" s="1"/>
  <c r="T100" i="5"/>
  <c r="R100" i="5"/>
  <c r="R46" i="5" s="1"/>
  <c r="T7" i="3" s="1"/>
  <c r="P100" i="5"/>
  <c r="O100" i="5"/>
  <c r="L100" i="5"/>
  <c r="Q100" i="5" s="1"/>
  <c r="K100" i="5"/>
  <c r="Y99" i="5"/>
  <c r="Y100" i="5" s="1"/>
  <c r="V99" i="5"/>
  <c r="V100" i="5" s="1"/>
  <c r="V101" i="5" s="1"/>
  <c r="S99" i="5"/>
  <c r="S100" i="5" s="1"/>
  <c r="H166" i="4" s="1"/>
  <c r="J98" i="5"/>
  <c r="H98" i="5"/>
  <c r="G98" i="5"/>
  <c r="F98" i="5"/>
  <c r="D98" i="5"/>
  <c r="C98" i="5"/>
  <c r="J97" i="5"/>
  <c r="I97" i="5"/>
  <c r="H97" i="5"/>
  <c r="G97" i="5"/>
  <c r="F97" i="5"/>
  <c r="E97" i="5"/>
  <c r="D97" i="5"/>
  <c r="C97" i="5"/>
  <c r="B97" i="5"/>
  <c r="K96" i="5"/>
  <c r="J96" i="5"/>
  <c r="I96" i="5"/>
  <c r="H96" i="5"/>
  <c r="G96" i="5"/>
  <c r="F96" i="5"/>
  <c r="E96" i="5"/>
  <c r="D96" i="5"/>
  <c r="C96" i="5"/>
  <c r="B96" i="5"/>
  <c r="L95" i="5"/>
  <c r="J95" i="5"/>
  <c r="I95" i="5"/>
  <c r="H95" i="5"/>
  <c r="G95" i="5"/>
  <c r="F95" i="5"/>
  <c r="E95" i="5"/>
  <c r="D95" i="5"/>
  <c r="C95" i="5"/>
  <c r="B95" i="5"/>
  <c r="W94" i="5"/>
  <c r="L94" i="5"/>
  <c r="J94" i="5"/>
  <c r="I94" i="5"/>
  <c r="H94" i="5"/>
  <c r="G94" i="5"/>
  <c r="F94" i="5"/>
  <c r="E94" i="5"/>
  <c r="D94" i="5"/>
  <c r="C94" i="5"/>
  <c r="B94" i="5"/>
  <c r="L93" i="5"/>
  <c r="J93" i="5"/>
  <c r="I93" i="5"/>
  <c r="H93" i="5"/>
  <c r="G93" i="5"/>
  <c r="F93" i="5"/>
  <c r="E93" i="5"/>
  <c r="D93" i="5"/>
  <c r="C93" i="5"/>
  <c r="B93" i="5"/>
  <c r="J92" i="5"/>
  <c r="I92" i="5"/>
  <c r="H92" i="5"/>
  <c r="G92" i="5"/>
  <c r="F92" i="5"/>
  <c r="E92" i="5"/>
  <c r="D92" i="5"/>
  <c r="C92" i="5"/>
  <c r="Z91" i="5"/>
  <c r="W91" i="5"/>
  <c r="T91" i="5"/>
  <c r="L91" i="5"/>
  <c r="K91" i="5"/>
  <c r="J91" i="5"/>
  <c r="I91" i="5"/>
  <c r="H91" i="5"/>
  <c r="G91" i="5"/>
  <c r="F91" i="5"/>
  <c r="E91" i="5"/>
  <c r="D91" i="5"/>
  <c r="C91" i="5"/>
  <c r="L90" i="5"/>
  <c r="K90" i="5"/>
  <c r="J90" i="5"/>
  <c r="I90" i="5"/>
  <c r="H90" i="5"/>
  <c r="G90" i="5"/>
  <c r="F90" i="5"/>
  <c r="E90" i="5"/>
  <c r="D90" i="5"/>
  <c r="C90" i="5"/>
  <c r="B90" i="5"/>
  <c r="L89" i="5"/>
  <c r="J89" i="5"/>
  <c r="I89" i="5"/>
  <c r="H89" i="5"/>
  <c r="G89" i="5"/>
  <c r="F89" i="5"/>
  <c r="E89" i="5"/>
  <c r="D89" i="5"/>
  <c r="C89" i="5"/>
  <c r="B89" i="5"/>
  <c r="L88" i="5"/>
  <c r="J88" i="5"/>
  <c r="I88" i="5"/>
  <c r="H88" i="5"/>
  <c r="G88" i="5"/>
  <c r="F88" i="5"/>
  <c r="E88" i="5"/>
  <c r="D88" i="5"/>
  <c r="C88" i="5"/>
  <c r="B88" i="5"/>
  <c r="J87" i="5"/>
  <c r="I87" i="5"/>
  <c r="H87" i="5"/>
  <c r="G87" i="5"/>
  <c r="F87" i="5"/>
  <c r="E87" i="5"/>
  <c r="D87" i="5"/>
  <c r="C87" i="5"/>
  <c r="B87" i="5"/>
  <c r="J86" i="5"/>
  <c r="I86" i="5"/>
  <c r="H86" i="5"/>
  <c r="G86" i="5"/>
  <c r="F86" i="5"/>
  <c r="E86" i="5"/>
  <c r="D86" i="5"/>
  <c r="C86" i="5"/>
  <c r="B86" i="5"/>
  <c r="L85" i="5"/>
  <c r="J85" i="5"/>
  <c r="I85" i="5"/>
  <c r="H85" i="5"/>
  <c r="G85" i="5"/>
  <c r="F85" i="5"/>
  <c r="E85" i="5"/>
  <c r="D85" i="5"/>
  <c r="C85" i="5"/>
  <c r="B85" i="5"/>
  <c r="L84" i="5"/>
  <c r="K84" i="5"/>
  <c r="J84" i="5"/>
  <c r="I84" i="5"/>
  <c r="H84" i="5"/>
  <c r="G84" i="5"/>
  <c r="F84" i="5"/>
  <c r="E84" i="5"/>
  <c r="D84" i="5"/>
  <c r="C84" i="5"/>
  <c r="B84" i="5"/>
  <c r="Y83" i="5"/>
  <c r="Y84" i="5" s="1"/>
  <c r="Y85" i="5" s="1"/>
  <c r="Y86" i="5" s="1"/>
  <c r="Y87" i="5" s="1"/>
  <c r="Y88" i="5" s="1"/>
  <c r="Y89" i="5" s="1"/>
  <c r="Y90" i="5" s="1"/>
  <c r="Y91" i="5" s="1"/>
  <c r="Y92" i="5" s="1"/>
  <c r="Y93" i="5" s="1"/>
  <c r="Y94" i="5" s="1"/>
  <c r="Y95" i="5" s="1"/>
  <c r="Y96" i="5" s="1"/>
  <c r="Y97" i="5" s="1"/>
  <c r="Y98" i="5" s="1"/>
  <c r="J83" i="5"/>
  <c r="I83" i="5"/>
  <c r="H83" i="5"/>
  <c r="G83" i="5"/>
  <c r="F83" i="5"/>
  <c r="E83" i="5"/>
  <c r="D83" i="5"/>
  <c r="C83" i="5"/>
  <c r="B83" i="5"/>
  <c r="L82" i="5"/>
  <c r="J82" i="5"/>
  <c r="I82" i="5"/>
  <c r="H82" i="5"/>
  <c r="G82" i="5"/>
  <c r="F82" i="5"/>
  <c r="E82" i="5"/>
  <c r="D82" i="5"/>
  <c r="C82" i="5"/>
  <c r="B82" i="5"/>
  <c r="L81" i="5"/>
  <c r="J81" i="5"/>
  <c r="I81" i="5"/>
  <c r="H81" i="5"/>
  <c r="G81" i="5"/>
  <c r="F81" i="5"/>
  <c r="E81" i="5"/>
  <c r="D81" i="5"/>
  <c r="C81" i="5"/>
  <c r="B81" i="5"/>
  <c r="J80" i="5"/>
  <c r="I80" i="5"/>
  <c r="H80" i="5"/>
  <c r="G80" i="5"/>
  <c r="F80" i="5"/>
  <c r="E80" i="5"/>
  <c r="D80" i="5"/>
  <c r="C80" i="5"/>
  <c r="B80" i="5"/>
  <c r="J79" i="5"/>
  <c r="I79" i="5"/>
  <c r="H79" i="5"/>
  <c r="G79" i="5"/>
  <c r="F79" i="5"/>
  <c r="E79" i="5"/>
  <c r="D79" i="5"/>
  <c r="C79" i="5"/>
  <c r="B79" i="5"/>
  <c r="L78" i="5"/>
  <c r="J78" i="5"/>
  <c r="I78" i="5"/>
  <c r="H78" i="5"/>
  <c r="G78" i="5"/>
  <c r="F78" i="5"/>
  <c r="E78" i="5"/>
  <c r="D78" i="5"/>
  <c r="C78" i="5"/>
  <c r="B78" i="5"/>
  <c r="S77" i="5"/>
  <c r="Y77" i="5" s="1"/>
  <c r="Y78" i="5" s="1"/>
  <c r="Y79" i="5" s="1"/>
  <c r="Y80" i="5" s="1"/>
  <c r="Y81" i="5" s="1"/>
  <c r="Y82" i="5" s="1"/>
  <c r="M77" i="5"/>
  <c r="Z76" i="5"/>
  <c r="W76" i="5"/>
  <c r="T76" i="5"/>
  <c r="P76" i="5"/>
  <c r="L76" i="5"/>
  <c r="K76" i="5"/>
  <c r="W75" i="5"/>
  <c r="W92" i="5" s="1"/>
  <c r="L75" i="5"/>
  <c r="P75" i="5" s="1"/>
  <c r="K75" i="5"/>
  <c r="L74" i="5"/>
  <c r="K74" i="5"/>
  <c r="L73" i="5"/>
  <c r="Z73" i="5" s="1"/>
  <c r="O450" i="4" s="1"/>
  <c r="K73" i="5"/>
  <c r="L72" i="5"/>
  <c r="K72" i="5"/>
  <c r="J175" i="4" s="1"/>
  <c r="S71" i="5"/>
  <c r="Y71" i="5" s="1"/>
  <c r="Y72" i="5" s="1"/>
  <c r="Y73" i="5" s="1"/>
  <c r="M71" i="5"/>
  <c r="Z70" i="5"/>
  <c r="W70" i="5"/>
  <c r="T70" i="5"/>
  <c r="L70" i="5"/>
  <c r="L263" i="4" s="1"/>
  <c r="K70" i="5"/>
  <c r="M70" i="5" s="1"/>
  <c r="W69" i="5"/>
  <c r="O267" i="4" s="1"/>
  <c r="Q69" i="5"/>
  <c r="P69" i="5"/>
  <c r="L69" i="5"/>
  <c r="T69" i="5" s="1"/>
  <c r="K69" i="5"/>
  <c r="Z68" i="5"/>
  <c r="T68" i="5"/>
  <c r="Q68" i="5"/>
  <c r="P68" i="5"/>
  <c r="O68" i="5"/>
  <c r="L68" i="5"/>
  <c r="W68" i="5" s="1"/>
  <c r="O266" i="4" s="1"/>
  <c r="K68" i="5"/>
  <c r="M68" i="5" s="1"/>
  <c r="W67" i="5"/>
  <c r="T67" i="5"/>
  <c r="O67" i="5"/>
  <c r="L67" i="5"/>
  <c r="J31" i="12" s="1"/>
  <c r="K67" i="5"/>
  <c r="M67" i="5" s="1"/>
  <c r="W66" i="5"/>
  <c r="O264" i="4" s="1"/>
  <c r="L66" i="5"/>
  <c r="T66" i="5" s="1"/>
  <c r="K66" i="5"/>
  <c r="J397" i="4" s="1"/>
  <c r="Z65" i="5"/>
  <c r="W65" i="5"/>
  <c r="T65" i="5"/>
  <c r="R65" i="5"/>
  <c r="Q65" i="5"/>
  <c r="P65" i="5"/>
  <c r="L65" i="5"/>
  <c r="K65" i="5"/>
  <c r="M65" i="5" s="1"/>
  <c r="W64" i="5"/>
  <c r="T64" i="5"/>
  <c r="O126" i="4" s="1"/>
  <c r="L64" i="5"/>
  <c r="J6" i="12" s="1"/>
  <c r="K64" i="5"/>
  <c r="M64" i="5" s="1"/>
  <c r="L63" i="5"/>
  <c r="K63" i="5"/>
  <c r="K61" i="7" s="1"/>
  <c r="R62" i="5"/>
  <c r="Q62" i="5"/>
  <c r="P62" i="5"/>
  <c r="L62" i="5"/>
  <c r="K62" i="5"/>
  <c r="K52" i="7" s="1"/>
  <c r="Z61" i="5"/>
  <c r="W61" i="5"/>
  <c r="T61" i="5"/>
  <c r="S61" i="5"/>
  <c r="S62" i="5" s="1"/>
  <c r="R61" i="5"/>
  <c r="Q61" i="5"/>
  <c r="P61" i="5"/>
  <c r="L61" i="5"/>
  <c r="J5" i="12" s="1"/>
  <c r="K61" i="5"/>
  <c r="M61" i="5" s="1"/>
  <c r="S60" i="5"/>
  <c r="J55" i="5"/>
  <c r="I55" i="5"/>
  <c r="H55" i="5"/>
  <c r="G55" i="5"/>
  <c r="F55" i="5"/>
  <c r="E55" i="5"/>
  <c r="D55" i="5"/>
  <c r="C55" i="5"/>
  <c r="B55" i="5"/>
  <c r="J54" i="5"/>
  <c r="I54" i="5"/>
  <c r="H54" i="5"/>
  <c r="G54" i="5"/>
  <c r="C54" i="5"/>
  <c r="B54" i="5"/>
  <c r="B53" i="5"/>
  <c r="J52" i="5"/>
  <c r="K13" i="3" s="1"/>
  <c r="I52" i="5"/>
  <c r="H52" i="5"/>
  <c r="G52" i="5"/>
  <c r="F52" i="5"/>
  <c r="E52" i="5"/>
  <c r="D52" i="5"/>
  <c r="C52" i="5"/>
  <c r="B52" i="5"/>
  <c r="L51" i="5"/>
  <c r="J51" i="5"/>
  <c r="I51" i="5"/>
  <c r="H51" i="5"/>
  <c r="G51" i="5"/>
  <c r="F51" i="5"/>
  <c r="E51" i="5"/>
  <c r="D12" i="3" s="1"/>
  <c r="D51" i="5"/>
  <c r="C51" i="5"/>
  <c r="B51" i="5"/>
  <c r="L50" i="5"/>
  <c r="J50" i="5"/>
  <c r="I50" i="5"/>
  <c r="H50" i="5"/>
  <c r="G50" i="5"/>
  <c r="F50" i="5"/>
  <c r="E50" i="5"/>
  <c r="D50" i="5"/>
  <c r="C50" i="5"/>
  <c r="B50" i="5"/>
  <c r="J49" i="5"/>
  <c r="I49" i="5"/>
  <c r="H49" i="5"/>
  <c r="G49" i="5"/>
  <c r="F49" i="5"/>
  <c r="E49" i="5"/>
  <c r="D49" i="5"/>
  <c r="C49" i="5"/>
  <c r="B49" i="5"/>
  <c r="L48" i="5"/>
  <c r="J48" i="5"/>
  <c r="I48" i="5"/>
  <c r="H48" i="5"/>
  <c r="G48" i="5"/>
  <c r="F48" i="5"/>
  <c r="E48" i="5"/>
  <c r="D9" i="3" s="1"/>
  <c r="D48" i="5"/>
  <c r="C48" i="5"/>
  <c r="B48" i="5"/>
  <c r="J47" i="5"/>
  <c r="I47" i="5"/>
  <c r="H47" i="5"/>
  <c r="G47" i="5"/>
  <c r="F47" i="5"/>
  <c r="E47" i="5"/>
  <c r="D47" i="5"/>
  <c r="C47" i="5"/>
  <c r="B47" i="5"/>
  <c r="L46" i="5"/>
  <c r="J46" i="5"/>
  <c r="I46" i="5"/>
  <c r="H46" i="5"/>
  <c r="G46" i="5"/>
  <c r="F46" i="5"/>
  <c r="E46" i="5"/>
  <c r="D46" i="5"/>
  <c r="B46" i="5"/>
  <c r="L45" i="5"/>
  <c r="F13" i="12" s="1"/>
  <c r="J45" i="5"/>
  <c r="I45" i="5"/>
  <c r="H45" i="5"/>
  <c r="G45" i="5"/>
  <c r="F45" i="5"/>
  <c r="E45" i="5"/>
  <c r="D45" i="5"/>
  <c r="B45" i="5"/>
  <c r="B6" i="3" s="1"/>
  <c r="K44" i="5"/>
  <c r="L21" i="3" s="1"/>
  <c r="J44" i="5"/>
  <c r="I44" i="5"/>
  <c r="H44" i="5"/>
  <c r="G44" i="5"/>
  <c r="F44" i="5"/>
  <c r="E21" i="3" s="1"/>
  <c r="E44" i="5"/>
  <c r="D21" i="3" s="1"/>
  <c r="D44" i="5"/>
  <c r="B44" i="5"/>
  <c r="K43" i="5"/>
  <c r="L5" i="3" s="1"/>
  <c r="J43" i="5"/>
  <c r="I43" i="5"/>
  <c r="H43" i="5"/>
  <c r="G43" i="5"/>
  <c r="F43" i="5"/>
  <c r="E43" i="5"/>
  <c r="D43" i="5"/>
  <c r="B43" i="5"/>
  <c r="B5" i="3" s="1"/>
  <c r="K42" i="5"/>
  <c r="J42" i="5"/>
  <c r="K4" i="3" s="1"/>
  <c r="I42" i="5"/>
  <c r="H42" i="5"/>
  <c r="G42" i="5"/>
  <c r="F42" i="5"/>
  <c r="E42" i="5"/>
  <c r="D42" i="5"/>
  <c r="C42" i="5"/>
  <c r="B42" i="5"/>
  <c r="B4" i="3" s="1"/>
  <c r="L40" i="5"/>
  <c r="H40" i="5"/>
  <c r="G40" i="5"/>
  <c r="N1" i="5"/>
  <c r="X455" i="4"/>
  <c r="O455" i="4"/>
  <c r="L455" i="4"/>
  <c r="K455" i="4"/>
  <c r="J455" i="4"/>
  <c r="H455" i="4"/>
  <c r="I455" i="4" s="1"/>
  <c r="G455" i="4"/>
  <c r="F455" i="4"/>
  <c r="E455" i="4"/>
  <c r="D455" i="4"/>
  <c r="C455" i="4"/>
  <c r="X454" i="4"/>
  <c r="L329" i="4"/>
  <c r="K329" i="4"/>
  <c r="J329" i="4"/>
  <c r="G329" i="4"/>
  <c r="F329" i="4"/>
  <c r="E329" i="4"/>
  <c r="D329" i="4"/>
  <c r="C329" i="4"/>
  <c r="X453" i="4"/>
  <c r="L183" i="4"/>
  <c r="K183" i="4"/>
  <c r="J183" i="4"/>
  <c r="H183" i="4"/>
  <c r="I183" i="4" s="1"/>
  <c r="G183" i="4"/>
  <c r="F183" i="4"/>
  <c r="E183" i="4"/>
  <c r="D183" i="4"/>
  <c r="C183" i="4"/>
  <c r="X452" i="4"/>
  <c r="L182" i="4"/>
  <c r="K182" i="4"/>
  <c r="J182" i="4"/>
  <c r="H182" i="4"/>
  <c r="G182" i="4"/>
  <c r="F182" i="4"/>
  <c r="E182" i="4"/>
  <c r="D182" i="4"/>
  <c r="C182" i="4"/>
  <c r="X451" i="4"/>
  <c r="O454" i="4"/>
  <c r="L454" i="4"/>
  <c r="K454" i="4"/>
  <c r="H454" i="4"/>
  <c r="I454" i="4" s="1"/>
  <c r="G454" i="4"/>
  <c r="F454" i="4"/>
  <c r="E454" i="4"/>
  <c r="D454" i="4"/>
  <c r="C454" i="4"/>
  <c r="X450" i="4"/>
  <c r="O328" i="4"/>
  <c r="L328" i="4"/>
  <c r="K328" i="4"/>
  <c r="H328" i="4"/>
  <c r="G328" i="4"/>
  <c r="F328" i="4"/>
  <c r="E328" i="4"/>
  <c r="D328" i="4"/>
  <c r="C328" i="4"/>
  <c r="X449" i="4"/>
  <c r="O181" i="4"/>
  <c r="L181" i="4"/>
  <c r="K181" i="4"/>
  <c r="H181" i="4"/>
  <c r="I181" i="4" s="1"/>
  <c r="G181" i="4"/>
  <c r="F181" i="4"/>
  <c r="E181" i="4"/>
  <c r="D181" i="4"/>
  <c r="C181" i="4"/>
  <c r="X448" i="4"/>
  <c r="L180" i="4"/>
  <c r="K180" i="4"/>
  <c r="G180" i="4"/>
  <c r="F180" i="4"/>
  <c r="E180" i="4"/>
  <c r="D180" i="4"/>
  <c r="C180" i="4"/>
  <c r="X447" i="4"/>
  <c r="O453" i="4"/>
  <c r="L453" i="4"/>
  <c r="K453" i="4"/>
  <c r="J453" i="4"/>
  <c r="H453" i="4"/>
  <c r="I453" i="4" s="1"/>
  <c r="G453" i="4"/>
  <c r="F453" i="4"/>
  <c r="E453" i="4"/>
  <c r="D453" i="4"/>
  <c r="C453" i="4"/>
  <c r="X446" i="4"/>
  <c r="O327" i="4"/>
  <c r="L327" i="4"/>
  <c r="K327" i="4"/>
  <c r="J327" i="4"/>
  <c r="G327" i="4"/>
  <c r="F327" i="4"/>
  <c r="E327" i="4"/>
  <c r="D327" i="4"/>
  <c r="C327" i="4"/>
  <c r="X445" i="4"/>
  <c r="O179" i="4"/>
  <c r="L179" i="4"/>
  <c r="K179" i="4"/>
  <c r="J179" i="4"/>
  <c r="G179" i="4"/>
  <c r="F179" i="4"/>
  <c r="E179" i="4"/>
  <c r="D179" i="4"/>
  <c r="C179" i="4"/>
  <c r="X444" i="4"/>
  <c r="L178" i="4"/>
  <c r="K178" i="4"/>
  <c r="H178" i="4"/>
  <c r="G178" i="4"/>
  <c r="F178" i="4"/>
  <c r="E178" i="4"/>
  <c r="D178" i="4"/>
  <c r="C178" i="4"/>
  <c r="X443" i="4"/>
  <c r="O177" i="4"/>
  <c r="L177" i="4"/>
  <c r="K177" i="4"/>
  <c r="H177" i="4"/>
  <c r="I177" i="4" s="1"/>
  <c r="G177" i="4"/>
  <c r="F177" i="4"/>
  <c r="E177" i="4"/>
  <c r="D177" i="4"/>
  <c r="C177" i="4"/>
  <c r="X442" i="4"/>
  <c r="L176" i="4"/>
  <c r="K176" i="4"/>
  <c r="G176" i="4"/>
  <c r="F176" i="4"/>
  <c r="E176" i="4"/>
  <c r="D176" i="4"/>
  <c r="C176" i="4"/>
  <c r="X441" i="4"/>
  <c r="O452" i="4"/>
  <c r="L452" i="4"/>
  <c r="K452" i="4"/>
  <c r="G452" i="4"/>
  <c r="F452" i="4"/>
  <c r="E452" i="4"/>
  <c r="D452" i="4"/>
  <c r="C452" i="4"/>
  <c r="X440" i="4"/>
  <c r="L451" i="4"/>
  <c r="K451" i="4"/>
  <c r="G451" i="4"/>
  <c r="F451" i="4"/>
  <c r="E451" i="4"/>
  <c r="D451" i="4"/>
  <c r="C451" i="4"/>
  <c r="X439" i="4"/>
  <c r="L326" i="4"/>
  <c r="K326" i="4"/>
  <c r="G326" i="4"/>
  <c r="F326" i="4"/>
  <c r="E326" i="4"/>
  <c r="D326" i="4"/>
  <c r="C326" i="4"/>
  <c r="X438" i="4"/>
  <c r="K450" i="4"/>
  <c r="G450" i="4"/>
  <c r="F450" i="4"/>
  <c r="E450" i="4"/>
  <c r="D450" i="4"/>
  <c r="C450" i="4"/>
  <c r="X437" i="4"/>
  <c r="K175" i="4"/>
  <c r="G175" i="4"/>
  <c r="F175" i="4"/>
  <c r="E175" i="4"/>
  <c r="D175" i="4"/>
  <c r="C175" i="4"/>
  <c r="X436" i="4"/>
  <c r="O173" i="4"/>
  <c r="L173" i="4"/>
  <c r="K173" i="4"/>
  <c r="G173" i="4"/>
  <c r="F173" i="4"/>
  <c r="E173" i="4"/>
  <c r="D173" i="4"/>
  <c r="C173" i="4"/>
  <c r="X435" i="4"/>
  <c r="L172" i="4"/>
  <c r="K172" i="4"/>
  <c r="G172" i="4"/>
  <c r="F172" i="4"/>
  <c r="E172" i="4"/>
  <c r="D172" i="4"/>
  <c r="C172" i="4"/>
  <c r="X434" i="4"/>
  <c r="K449" i="4"/>
  <c r="J449" i="4"/>
  <c r="G449" i="4"/>
  <c r="F449" i="4"/>
  <c r="E449" i="4"/>
  <c r="D449" i="4"/>
  <c r="C449" i="4"/>
  <c r="X433" i="4"/>
  <c r="K325" i="4"/>
  <c r="G325" i="4"/>
  <c r="F325" i="4"/>
  <c r="E325" i="4"/>
  <c r="D325" i="4"/>
  <c r="C325" i="4"/>
  <c r="X432" i="4"/>
  <c r="K171" i="4"/>
  <c r="G171" i="4"/>
  <c r="F171" i="4"/>
  <c r="E171" i="4"/>
  <c r="D171" i="4"/>
  <c r="C171" i="4"/>
  <c r="X431" i="4"/>
  <c r="O448" i="4"/>
  <c r="L448" i="4"/>
  <c r="K448" i="4"/>
  <c r="J448" i="4"/>
  <c r="G448" i="4"/>
  <c r="F448" i="4"/>
  <c r="E448" i="4"/>
  <c r="D448" i="4"/>
  <c r="C448" i="4"/>
  <c r="X430" i="4"/>
  <c r="O324" i="4"/>
  <c r="L324" i="4"/>
  <c r="K324" i="4"/>
  <c r="J324" i="4"/>
  <c r="G324" i="4"/>
  <c r="F324" i="4"/>
  <c r="E324" i="4"/>
  <c r="D324" i="4"/>
  <c r="C324" i="4"/>
  <c r="X429" i="4"/>
  <c r="O447" i="4"/>
  <c r="L447" i="4"/>
  <c r="K447" i="4"/>
  <c r="G447" i="4"/>
  <c r="F447" i="4"/>
  <c r="E447" i="4"/>
  <c r="D447" i="4"/>
  <c r="C447" i="4"/>
  <c r="X428" i="4"/>
  <c r="L323" i="4"/>
  <c r="K323" i="4"/>
  <c r="G323" i="4"/>
  <c r="F323" i="4"/>
  <c r="E323" i="4"/>
  <c r="D323" i="4"/>
  <c r="C323" i="4"/>
  <c r="X427" i="4"/>
  <c r="K446" i="4"/>
  <c r="G446" i="4"/>
  <c r="F446" i="4"/>
  <c r="E446" i="4"/>
  <c r="D446" i="4"/>
  <c r="C446" i="4"/>
  <c r="X426" i="4"/>
  <c r="L322" i="4"/>
  <c r="K322" i="4"/>
  <c r="G322" i="4"/>
  <c r="F322" i="4"/>
  <c r="E322" i="4"/>
  <c r="D322" i="4"/>
  <c r="C322" i="4"/>
  <c r="X425" i="4"/>
  <c r="K170" i="4"/>
  <c r="H170" i="4"/>
  <c r="I170" i="4" s="1"/>
  <c r="G170" i="4"/>
  <c r="F170" i="4"/>
  <c r="E170" i="4"/>
  <c r="D170" i="4"/>
  <c r="C170" i="4"/>
  <c r="X424" i="4"/>
  <c r="O445" i="4"/>
  <c r="L445" i="4"/>
  <c r="K445" i="4"/>
  <c r="J445" i="4"/>
  <c r="G445" i="4"/>
  <c r="F445" i="4"/>
  <c r="E445" i="4"/>
  <c r="D445" i="4"/>
  <c r="C445" i="4"/>
  <c r="X423" i="4"/>
  <c r="O321" i="4"/>
  <c r="L321" i="4"/>
  <c r="K321" i="4"/>
  <c r="G321" i="4"/>
  <c r="F321" i="4"/>
  <c r="E321" i="4"/>
  <c r="D321" i="4"/>
  <c r="C321" i="4"/>
  <c r="X422" i="4"/>
  <c r="O169" i="4"/>
  <c r="L169" i="4"/>
  <c r="K169" i="4"/>
  <c r="G169" i="4"/>
  <c r="F169" i="4"/>
  <c r="E169" i="4"/>
  <c r="D169" i="4"/>
  <c r="C169" i="4"/>
  <c r="X421" i="4"/>
  <c r="K444" i="4"/>
  <c r="J444" i="4"/>
  <c r="G444" i="4"/>
  <c r="F444" i="4"/>
  <c r="E444" i="4"/>
  <c r="D444" i="4"/>
  <c r="C444" i="4"/>
  <c r="X420" i="4"/>
  <c r="K320" i="4"/>
  <c r="J320" i="4"/>
  <c r="G320" i="4"/>
  <c r="F320" i="4"/>
  <c r="E320" i="4"/>
  <c r="D320" i="4"/>
  <c r="C320" i="4"/>
  <c r="X419" i="4"/>
  <c r="K168" i="4"/>
  <c r="J168" i="4"/>
  <c r="G168" i="4"/>
  <c r="F168" i="4"/>
  <c r="E168" i="4"/>
  <c r="D168" i="4"/>
  <c r="C168" i="4"/>
  <c r="X418" i="4"/>
  <c r="O174" i="4"/>
  <c r="L174" i="4"/>
  <c r="K174" i="4"/>
  <c r="G174" i="4"/>
  <c r="F174" i="4"/>
  <c r="E174" i="4"/>
  <c r="D174" i="4"/>
  <c r="C174" i="4"/>
  <c r="X417" i="4"/>
  <c r="O443" i="4"/>
  <c r="L443" i="4"/>
  <c r="K443" i="4"/>
  <c r="G443" i="4"/>
  <c r="F443" i="4"/>
  <c r="E443" i="4"/>
  <c r="D443" i="4"/>
  <c r="C443" i="4"/>
  <c r="X416" i="4"/>
  <c r="O319" i="4"/>
  <c r="L319" i="4"/>
  <c r="K319" i="4"/>
  <c r="G319" i="4"/>
  <c r="F319" i="4"/>
  <c r="E319" i="4"/>
  <c r="D319" i="4"/>
  <c r="C319" i="4"/>
  <c r="X415" i="4"/>
  <c r="L442" i="4"/>
  <c r="K442" i="4"/>
  <c r="G442" i="4"/>
  <c r="F442" i="4"/>
  <c r="E442" i="4"/>
  <c r="D442" i="4"/>
  <c r="C442" i="4"/>
  <c r="X414" i="4"/>
  <c r="L318" i="4"/>
  <c r="K318" i="4"/>
  <c r="G318" i="4"/>
  <c r="F318" i="4"/>
  <c r="E318" i="4"/>
  <c r="D318" i="4"/>
  <c r="C318" i="4"/>
  <c r="X413" i="4"/>
  <c r="L441" i="4"/>
  <c r="K441" i="4"/>
  <c r="G441" i="4"/>
  <c r="F441" i="4"/>
  <c r="E441" i="4"/>
  <c r="D441" i="4"/>
  <c r="C441" i="4"/>
  <c r="X412" i="4"/>
  <c r="L317" i="4"/>
  <c r="K317" i="4"/>
  <c r="J317" i="4"/>
  <c r="G317" i="4"/>
  <c r="F317" i="4"/>
  <c r="E317" i="4"/>
  <c r="D317" i="4"/>
  <c r="C317" i="4"/>
  <c r="X411" i="4"/>
  <c r="O440" i="4"/>
  <c r="L440" i="4"/>
  <c r="K440" i="4"/>
  <c r="G440" i="4"/>
  <c r="F440" i="4"/>
  <c r="E440" i="4"/>
  <c r="D440" i="4"/>
  <c r="C440" i="4"/>
  <c r="X410" i="4"/>
  <c r="L316" i="4"/>
  <c r="K316" i="4"/>
  <c r="G316" i="4"/>
  <c r="F316" i="4"/>
  <c r="E316" i="4"/>
  <c r="D316" i="4"/>
  <c r="C316" i="4"/>
  <c r="X409" i="4"/>
  <c r="O439" i="4"/>
  <c r="L439" i="4"/>
  <c r="K439" i="4"/>
  <c r="G439" i="4"/>
  <c r="F439" i="4"/>
  <c r="E439" i="4"/>
  <c r="D439" i="4"/>
  <c r="C439" i="4"/>
  <c r="X408" i="4"/>
  <c r="O315" i="4"/>
  <c r="L315" i="4"/>
  <c r="K315" i="4"/>
  <c r="J315" i="4"/>
  <c r="G315" i="4"/>
  <c r="F315" i="4"/>
  <c r="E315" i="4"/>
  <c r="D315" i="4"/>
  <c r="C315" i="4"/>
  <c r="X407" i="4"/>
  <c r="L167" i="4"/>
  <c r="K167" i="4"/>
  <c r="G167" i="4"/>
  <c r="F167" i="4"/>
  <c r="E167" i="4"/>
  <c r="D167" i="4"/>
  <c r="C167" i="4"/>
  <c r="X406" i="4"/>
  <c r="L438" i="4"/>
  <c r="K438" i="4"/>
  <c r="G438" i="4"/>
  <c r="F438" i="4"/>
  <c r="E438" i="4"/>
  <c r="D438" i="4"/>
  <c r="C438" i="4"/>
  <c r="X405" i="4"/>
  <c r="L314" i="4"/>
  <c r="K314" i="4"/>
  <c r="J314" i="4"/>
  <c r="H314" i="4"/>
  <c r="G314" i="4"/>
  <c r="F314" i="4"/>
  <c r="E314" i="4"/>
  <c r="D314" i="4"/>
  <c r="C314" i="4"/>
  <c r="X404" i="4"/>
  <c r="O166" i="4"/>
  <c r="L166" i="4"/>
  <c r="K166" i="4"/>
  <c r="G166" i="4"/>
  <c r="F166" i="4"/>
  <c r="E166" i="4"/>
  <c r="D166" i="4"/>
  <c r="C166" i="4"/>
  <c r="X403" i="4"/>
  <c r="K436" i="4"/>
  <c r="G436" i="4"/>
  <c r="F436" i="4"/>
  <c r="E436" i="4"/>
  <c r="D436" i="4"/>
  <c r="C436" i="4"/>
  <c r="X402" i="4"/>
  <c r="K312" i="4"/>
  <c r="J312" i="4"/>
  <c r="G312" i="4"/>
  <c r="F312" i="4"/>
  <c r="E312" i="4"/>
  <c r="D312" i="4"/>
  <c r="C312" i="4"/>
  <c r="X401" i="4"/>
  <c r="K164" i="4"/>
  <c r="G164" i="4"/>
  <c r="F164" i="4"/>
  <c r="E164" i="4"/>
  <c r="D164" i="4"/>
  <c r="C164" i="4"/>
  <c r="X400" i="4"/>
  <c r="K435" i="4"/>
  <c r="G435" i="4"/>
  <c r="F435" i="4"/>
  <c r="E435" i="4"/>
  <c r="D435" i="4"/>
  <c r="C435" i="4"/>
  <c r="X399" i="4"/>
  <c r="L311" i="4"/>
  <c r="K311" i="4"/>
  <c r="G311" i="4"/>
  <c r="F311" i="4"/>
  <c r="E311" i="4"/>
  <c r="D311" i="4"/>
  <c r="C311" i="4"/>
  <c r="X398" i="4"/>
  <c r="K163" i="4"/>
  <c r="G163" i="4"/>
  <c r="F163" i="4"/>
  <c r="E163" i="4"/>
  <c r="D163" i="4"/>
  <c r="C163" i="4"/>
  <c r="X397" i="4"/>
  <c r="L434" i="4"/>
  <c r="K434" i="4"/>
  <c r="G434" i="4"/>
  <c r="F434" i="4"/>
  <c r="E434" i="4"/>
  <c r="D434" i="4"/>
  <c r="C434" i="4"/>
  <c r="X396" i="4"/>
  <c r="O310" i="4"/>
  <c r="L310" i="4"/>
  <c r="K310" i="4"/>
  <c r="G310" i="4"/>
  <c r="F310" i="4"/>
  <c r="D310" i="4"/>
  <c r="C310" i="4"/>
  <c r="X395" i="4"/>
  <c r="L162" i="4"/>
  <c r="K162" i="4"/>
  <c r="G162" i="4"/>
  <c r="F162" i="4"/>
  <c r="E162" i="4"/>
  <c r="D162" i="4"/>
  <c r="C162" i="4"/>
  <c r="X394" i="4"/>
  <c r="L309" i="4"/>
  <c r="K309" i="4"/>
  <c r="G309" i="4"/>
  <c r="F309" i="4"/>
  <c r="E309" i="4"/>
  <c r="D309" i="4"/>
  <c r="C309" i="4"/>
  <c r="X393" i="4"/>
  <c r="L433" i="4"/>
  <c r="K433" i="4"/>
  <c r="G433" i="4"/>
  <c r="E433" i="4"/>
  <c r="D433" i="4"/>
  <c r="C433" i="4"/>
  <c r="X392" i="4"/>
  <c r="L308" i="4"/>
  <c r="K308" i="4"/>
  <c r="G308" i="4"/>
  <c r="E308" i="4"/>
  <c r="D308" i="4"/>
  <c r="C308" i="4"/>
  <c r="X391" i="4"/>
  <c r="L161" i="4"/>
  <c r="K161" i="4"/>
  <c r="G161" i="4"/>
  <c r="E161" i="4"/>
  <c r="D161" i="4"/>
  <c r="C161" i="4"/>
  <c r="X390" i="4"/>
  <c r="O432" i="4"/>
  <c r="L432" i="4"/>
  <c r="K432" i="4"/>
  <c r="H432" i="4"/>
  <c r="G432" i="4"/>
  <c r="F432" i="4"/>
  <c r="E432" i="4"/>
  <c r="D432" i="4"/>
  <c r="C432" i="4"/>
  <c r="X389" i="4"/>
  <c r="L307" i="4"/>
  <c r="K307" i="4"/>
  <c r="F307" i="4"/>
  <c r="E307" i="4"/>
  <c r="D307" i="4"/>
  <c r="C307" i="4"/>
  <c r="X388" i="4"/>
  <c r="L160" i="4"/>
  <c r="K160" i="4"/>
  <c r="F160" i="4"/>
  <c r="E160" i="4"/>
  <c r="D160" i="4"/>
  <c r="C160" i="4"/>
  <c r="X387" i="4"/>
  <c r="L306" i="4"/>
  <c r="K306" i="4"/>
  <c r="G306" i="4"/>
  <c r="F306" i="4"/>
  <c r="D306" i="4"/>
  <c r="C306" i="4"/>
  <c r="X386" i="4"/>
  <c r="L305" i="4"/>
  <c r="K305" i="4"/>
  <c r="J305" i="4"/>
  <c r="G305" i="4"/>
  <c r="F305" i="4"/>
  <c r="E305" i="4"/>
  <c r="D305" i="4"/>
  <c r="C305" i="4"/>
  <c r="X385" i="4"/>
  <c r="K304" i="4"/>
  <c r="G304" i="4"/>
  <c r="F304" i="4"/>
  <c r="D304" i="4"/>
  <c r="C304" i="4"/>
  <c r="X384" i="4"/>
  <c r="L437" i="4"/>
  <c r="K437" i="4"/>
  <c r="G437" i="4"/>
  <c r="F437" i="4"/>
  <c r="E437" i="4"/>
  <c r="D437" i="4"/>
  <c r="C437" i="4"/>
  <c r="X383" i="4"/>
  <c r="O313" i="4"/>
  <c r="L313" i="4"/>
  <c r="K313" i="4"/>
  <c r="G313" i="4"/>
  <c r="F313" i="4"/>
  <c r="E313" i="4"/>
  <c r="D313" i="4"/>
  <c r="C313" i="4"/>
  <c r="X382" i="4"/>
  <c r="O165" i="4"/>
  <c r="L165" i="4"/>
  <c r="K165" i="4"/>
  <c r="G165" i="4"/>
  <c r="F165" i="4"/>
  <c r="E165" i="4"/>
  <c r="D165" i="4"/>
  <c r="C165" i="4"/>
  <c r="X381" i="4"/>
  <c r="L431" i="4"/>
  <c r="K431" i="4"/>
  <c r="F431" i="4"/>
  <c r="E431" i="4"/>
  <c r="D431" i="4"/>
  <c r="C431" i="4"/>
  <c r="X380" i="4"/>
  <c r="O303" i="4"/>
  <c r="L303" i="4"/>
  <c r="K303" i="4"/>
  <c r="J303" i="4"/>
  <c r="H303" i="4"/>
  <c r="F303" i="4"/>
  <c r="E303" i="4"/>
  <c r="D303" i="4"/>
  <c r="C303" i="4"/>
  <c r="X379" i="4"/>
  <c r="L159" i="4"/>
  <c r="K159" i="4"/>
  <c r="H159" i="4"/>
  <c r="I159" i="4" s="1"/>
  <c r="G159" i="4"/>
  <c r="F159" i="4"/>
  <c r="E159" i="4"/>
  <c r="D159" i="4"/>
  <c r="C159" i="4"/>
  <c r="X378" i="4"/>
  <c r="L430" i="4"/>
  <c r="K430" i="4"/>
  <c r="G430" i="4"/>
  <c r="F430" i="4"/>
  <c r="E430" i="4"/>
  <c r="D430" i="4"/>
  <c r="C430" i="4"/>
  <c r="X377" i="4"/>
  <c r="L302" i="4"/>
  <c r="K302" i="4"/>
  <c r="G302" i="4"/>
  <c r="F302" i="4"/>
  <c r="E302" i="4"/>
  <c r="D302" i="4"/>
  <c r="C302" i="4"/>
  <c r="X376" i="4"/>
  <c r="L429" i="4"/>
  <c r="K429" i="4"/>
  <c r="G429" i="4"/>
  <c r="F429" i="4"/>
  <c r="E429" i="4"/>
  <c r="D429" i="4"/>
  <c r="C429" i="4"/>
  <c r="X375" i="4"/>
  <c r="O301" i="4"/>
  <c r="L301" i="4"/>
  <c r="K301" i="4"/>
  <c r="J301" i="4"/>
  <c r="G301" i="4"/>
  <c r="F301" i="4"/>
  <c r="E301" i="4"/>
  <c r="D301" i="4"/>
  <c r="C301" i="4"/>
  <c r="X374" i="4"/>
  <c r="L428" i="4"/>
  <c r="K428" i="4"/>
  <c r="J428" i="4"/>
  <c r="G428" i="4"/>
  <c r="F428" i="4"/>
  <c r="E428" i="4"/>
  <c r="D428" i="4"/>
  <c r="C428" i="4"/>
  <c r="X373" i="4"/>
  <c r="O427" i="4"/>
  <c r="L427" i="4"/>
  <c r="K427" i="4"/>
  <c r="J427" i="4"/>
  <c r="G427" i="4"/>
  <c r="F427" i="4"/>
  <c r="E427" i="4"/>
  <c r="D427" i="4"/>
  <c r="C427" i="4"/>
  <c r="X372" i="4"/>
  <c r="L300" i="4"/>
  <c r="K300" i="4"/>
  <c r="J300" i="4"/>
  <c r="G300" i="4"/>
  <c r="F300" i="4"/>
  <c r="E300" i="4"/>
  <c r="D300" i="4"/>
  <c r="C300" i="4"/>
  <c r="X371" i="4"/>
  <c r="O299" i="4"/>
  <c r="L299" i="4"/>
  <c r="K299" i="4"/>
  <c r="G299" i="4"/>
  <c r="F299" i="4"/>
  <c r="E299" i="4"/>
  <c r="D299" i="4"/>
  <c r="C299" i="4"/>
  <c r="X370" i="4"/>
  <c r="O158" i="4"/>
  <c r="L158" i="4"/>
  <c r="K158" i="4"/>
  <c r="J158" i="4"/>
  <c r="G158" i="4"/>
  <c r="F158" i="4"/>
  <c r="E158" i="4"/>
  <c r="D158" i="4"/>
  <c r="C158" i="4"/>
  <c r="X369" i="4"/>
  <c r="O157" i="4"/>
  <c r="L157" i="4"/>
  <c r="K157" i="4"/>
  <c r="H157" i="4"/>
  <c r="I157" i="4" s="1"/>
  <c r="G157" i="4"/>
  <c r="F157" i="4"/>
  <c r="E157" i="4"/>
  <c r="D157" i="4"/>
  <c r="C157" i="4"/>
  <c r="X368" i="4"/>
  <c r="O156" i="4"/>
  <c r="K156" i="4"/>
  <c r="G156" i="4"/>
  <c r="F156" i="4"/>
  <c r="E156" i="4"/>
  <c r="D156" i="4"/>
  <c r="C156" i="4"/>
  <c r="X367" i="4"/>
  <c r="O426" i="4"/>
  <c r="L426" i="4"/>
  <c r="K426" i="4"/>
  <c r="J426" i="4"/>
  <c r="G426" i="4"/>
  <c r="F426" i="4"/>
  <c r="E426" i="4"/>
  <c r="D426" i="4"/>
  <c r="C426" i="4"/>
  <c r="X366" i="4"/>
  <c r="O298" i="4"/>
  <c r="L298" i="4"/>
  <c r="K298" i="4"/>
  <c r="J298" i="4"/>
  <c r="G298" i="4"/>
  <c r="F298" i="4"/>
  <c r="E298" i="4"/>
  <c r="D298" i="4"/>
  <c r="C298" i="4"/>
  <c r="X365" i="4"/>
  <c r="K425" i="4"/>
  <c r="G425" i="4"/>
  <c r="F425" i="4"/>
  <c r="E425" i="4"/>
  <c r="D425" i="4"/>
  <c r="C425" i="4"/>
  <c r="X364" i="4"/>
  <c r="K155" i="4"/>
  <c r="G155" i="4"/>
  <c r="F155" i="4"/>
  <c r="E155" i="4"/>
  <c r="D155" i="4"/>
  <c r="C155" i="4"/>
  <c r="X363" i="4"/>
  <c r="L424" i="4"/>
  <c r="K424" i="4"/>
  <c r="G424" i="4"/>
  <c r="F424" i="4"/>
  <c r="E424" i="4"/>
  <c r="D424" i="4"/>
  <c r="C424" i="4"/>
  <c r="X362" i="4"/>
  <c r="K154" i="4"/>
  <c r="J154" i="4"/>
  <c r="G154" i="4"/>
  <c r="F154" i="4"/>
  <c r="E154" i="4"/>
  <c r="D154" i="4"/>
  <c r="C154" i="4"/>
  <c r="X361" i="4"/>
  <c r="K423" i="4"/>
  <c r="G423" i="4"/>
  <c r="F423" i="4"/>
  <c r="E423" i="4"/>
  <c r="D423" i="4"/>
  <c r="C423" i="4"/>
  <c r="X360" i="4"/>
  <c r="K297" i="4"/>
  <c r="G297" i="4"/>
  <c r="F297" i="4"/>
  <c r="E297" i="4"/>
  <c r="D297" i="4"/>
  <c r="C297" i="4"/>
  <c r="X359" i="4"/>
  <c r="K153" i="4"/>
  <c r="G153" i="4"/>
  <c r="F153" i="4"/>
  <c r="E153" i="4"/>
  <c r="D153" i="4"/>
  <c r="C153" i="4"/>
  <c r="X358" i="4"/>
  <c r="L422" i="4"/>
  <c r="K422" i="4"/>
  <c r="J422" i="4"/>
  <c r="G422" i="4"/>
  <c r="F422" i="4"/>
  <c r="E422" i="4"/>
  <c r="D422" i="4"/>
  <c r="C422" i="4"/>
  <c r="X357" i="4"/>
  <c r="O296" i="4"/>
  <c r="L296" i="4"/>
  <c r="K296" i="4"/>
  <c r="J296" i="4"/>
  <c r="G296" i="4"/>
  <c r="F296" i="4"/>
  <c r="E296" i="4"/>
  <c r="D296" i="4"/>
  <c r="C296" i="4"/>
  <c r="X356" i="4"/>
  <c r="L152" i="4"/>
  <c r="K152" i="4"/>
  <c r="J152" i="4"/>
  <c r="G152" i="4"/>
  <c r="F152" i="4"/>
  <c r="E152" i="4"/>
  <c r="D152" i="4"/>
  <c r="C152" i="4"/>
  <c r="X355" i="4"/>
  <c r="O421" i="4"/>
  <c r="L421" i="4"/>
  <c r="K421" i="4"/>
  <c r="J421" i="4"/>
  <c r="G421" i="4"/>
  <c r="F421" i="4"/>
  <c r="E421" i="4"/>
  <c r="D421" i="4"/>
  <c r="C421" i="4"/>
  <c r="X354" i="4"/>
  <c r="L295" i="4"/>
  <c r="K295" i="4"/>
  <c r="J295" i="4"/>
  <c r="G295" i="4"/>
  <c r="F295" i="4"/>
  <c r="E295" i="4"/>
  <c r="D295" i="4"/>
  <c r="C295" i="4"/>
  <c r="X353" i="4"/>
  <c r="L151" i="4"/>
  <c r="K151" i="4"/>
  <c r="J151" i="4"/>
  <c r="G151" i="4"/>
  <c r="F151" i="4"/>
  <c r="E151" i="4"/>
  <c r="D151" i="4"/>
  <c r="C151" i="4"/>
  <c r="X352" i="4"/>
  <c r="O420" i="4"/>
  <c r="L420" i="4"/>
  <c r="K420" i="4"/>
  <c r="J420" i="4"/>
  <c r="G420" i="4"/>
  <c r="F420" i="4"/>
  <c r="E420" i="4"/>
  <c r="D420" i="4"/>
  <c r="C420" i="4"/>
  <c r="X351" i="4"/>
  <c r="L294" i="4"/>
  <c r="K294" i="4"/>
  <c r="G294" i="4"/>
  <c r="F294" i="4"/>
  <c r="E294" i="4"/>
  <c r="D294" i="4"/>
  <c r="C294" i="4"/>
  <c r="X350" i="4"/>
  <c r="K150" i="4"/>
  <c r="G150" i="4"/>
  <c r="F150" i="4"/>
  <c r="E150" i="4"/>
  <c r="D150" i="4"/>
  <c r="C150" i="4"/>
  <c r="X349" i="4"/>
  <c r="O419" i="4"/>
  <c r="L419" i="4"/>
  <c r="K419" i="4"/>
  <c r="J419" i="4"/>
  <c r="G419" i="4"/>
  <c r="F419" i="4"/>
  <c r="E419" i="4"/>
  <c r="D419" i="4"/>
  <c r="C419" i="4"/>
  <c r="X348" i="4"/>
  <c r="L293" i="4"/>
  <c r="K293" i="4"/>
  <c r="J293" i="4"/>
  <c r="G293" i="4"/>
  <c r="F293" i="4"/>
  <c r="E293" i="4"/>
  <c r="D293" i="4"/>
  <c r="C293" i="4"/>
  <c r="X347" i="4"/>
  <c r="L149" i="4"/>
  <c r="K149" i="4"/>
  <c r="J149" i="4"/>
  <c r="H149" i="4"/>
  <c r="G149" i="4"/>
  <c r="F149" i="4"/>
  <c r="E149" i="4"/>
  <c r="D149" i="4"/>
  <c r="C149" i="4"/>
  <c r="X346" i="4"/>
  <c r="L418" i="4"/>
  <c r="K418" i="4"/>
  <c r="J418" i="4"/>
  <c r="G418" i="4"/>
  <c r="F418" i="4"/>
  <c r="E418" i="4"/>
  <c r="D418" i="4"/>
  <c r="C418" i="4"/>
  <c r="X345" i="4"/>
  <c r="L292" i="4"/>
  <c r="K292" i="4"/>
  <c r="J292" i="4"/>
  <c r="G292" i="4"/>
  <c r="F292" i="4"/>
  <c r="E292" i="4"/>
  <c r="D292" i="4"/>
  <c r="C292" i="4"/>
  <c r="X344" i="4"/>
  <c r="L417" i="4"/>
  <c r="K417" i="4"/>
  <c r="G417" i="4"/>
  <c r="F417" i="4"/>
  <c r="E417" i="4"/>
  <c r="D417" i="4"/>
  <c r="C417" i="4"/>
  <c r="X343" i="4"/>
  <c r="L291" i="4"/>
  <c r="K291" i="4"/>
  <c r="G291" i="4"/>
  <c r="F291" i="4"/>
  <c r="E291" i="4"/>
  <c r="D291" i="4"/>
  <c r="C291" i="4"/>
  <c r="X342" i="4"/>
  <c r="L416" i="4"/>
  <c r="K416" i="4"/>
  <c r="G416" i="4"/>
  <c r="F416" i="4"/>
  <c r="E416" i="4"/>
  <c r="D416" i="4"/>
  <c r="C416" i="4"/>
  <c r="X341" i="4"/>
  <c r="O290" i="4"/>
  <c r="L290" i="4"/>
  <c r="K290" i="4"/>
  <c r="G290" i="4"/>
  <c r="F290" i="4"/>
  <c r="E290" i="4"/>
  <c r="D290" i="4"/>
  <c r="C290" i="4"/>
  <c r="X340" i="4"/>
  <c r="O415" i="4"/>
  <c r="L415" i="4"/>
  <c r="K415" i="4"/>
  <c r="G415" i="4"/>
  <c r="F415" i="4"/>
  <c r="E415" i="4"/>
  <c r="D415" i="4"/>
  <c r="C415" i="4"/>
  <c r="X339" i="4"/>
  <c r="O289" i="4"/>
  <c r="L289" i="4"/>
  <c r="K289" i="4"/>
  <c r="G289" i="4"/>
  <c r="F289" i="4"/>
  <c r="E289" i="4"/>
  <c r="D289" i="4"/>
  <c r="C289" i="4"/>
  <c r="X338" i="4"/>
  <c r="L414" i="4"/>
  <c r="K414" i="4"/>
  <c r="J414" i="4"/>
  <c r="G414" i="4"/>
  <c r="F414" i="4"/>
  <c r="E414" i="4"/>
  <c r="D414" i="4"/>
  <c r="C414" i="4"/>
  <c r="X337" i="4"/>
  <c r="O288" i="4"/>
  <c r="L288" i="4"/>
  <c r="K288" i="4"/>
  <c r="J288" i="4"/>
  <c r="G288" i="4"/>
  <c r="F288" i="4"/>
  <c r="E288" i="4"/>
  <c r="D288" i="4"/>
  <c r="C288" i="4"/>
  <c r="X336" i="4"/>
  <c r="O148" i="4"/>
  <c r="L148" i="4"/>
  <c r="K148" i="4"/>
  <c r="H148" i="4"/>
  <c r="I148" i="4" s="1"/>
  <c r="G148" i="4"/>
  <c r="F148" i="4"/>
  <c r="E148" i="4"/>
  <c r="D148" i="4"/>
  <c r="C148" i="4"/>
  <c r="X335" i="4"/>
  <c r="O413" i="4"/>
  <c r="L413" i="4"/>
  <c r="K413" i="4"/>
  <c r="G413" i="4"/>
  <c r="F413" i="4"/>
  <c r="E413" i="4"/>
  <c r="D413" i="4"/>
  <c r="C413" i="4"/>
  <c r="X334" i="4"/>
  <c r="O287" i="4"/>
  <c r="L287" i="4"/>
  <c r="K287" i="4"/>
  <c r="G287" i="4"/>
  <c r="F287" i="4"/>
  <c r="E287" i="4"/>
  <c r="D287" i="4"/>
  <c r="C287" i="4"/>
  <c r="X333" i="4"/>
  <c r="O286" i="4"/>
  <c r="L286" i="4"/>
  <c r="K286" i="4"/>
  <c r="G286" i="4"/>
  <c r="F286" i="4"/>
  <c r="E286" i="4"/>
  <c r="D286" i="4"/>
  <c r="C286" i="4"/>
  <c r="X332" i="4"/>
  <c r="O147" i="4"/>
  <c r="L147" i="4"/>
  <c r="K147" i="4"/>
  <c r="G147" i="4"/>
  <c r="F147" i="4"/>
  <c r="E147" i="4"/>
  <c r="D147" i="4"/>
  <c r="C147" i="4"/>
  <c r="X331" i="4"/>
  <c r="O146" i="4"/>
  <c r="L146" i="4"/>
  <c r="K146" i="4"/>
  <c r="G146" i="4"/>
  <c r="F146" i="4"/>
  <c r="E146" i="4"/>
  <c r="D146" i="4"/>
  <c r="C146" i="4"/>
  <c r="X330" i="4"/>
  <c r="L145" i="4"/>
  <c r="K145" i="4"/>
  <c r="J145" i="4"/>
  <c r="G145" i="4"/>
  <c r="F145" i="4"/>
  <c r="E145" i="4"/>
  <c r="D145" i="4"/>
  <c r="C145" i="4"/>
  <c r="X329" i="4"/>
  <c r="O412" i="4"/>
  <c r="L412" i="4"/>
  <c r="K412" i="4"/>
  <c r="G412" i="4"/>
  <c r="F412" i="4"/>
  <c r="E412" i="4"/>
  <c r="D412" i="4"/>
  <c r="C412" i="4"/>
  <c r="X328" i="4"/>
  <c r="L285" i="4"/>
  <c r="K285" i="4"/>
  <c r="J285" i="4"/>
  <c r="G285" i="4"/>
  <c r="F285" i="4"/>
  <c r="E285" i="4"/>
  <c r="D285" i="4"/>
  <c r="C285" i="4"/>
  <c r="X327" i="4"/>
  <c r="O144" i="4"/>
  <c r="L144" i="4"/>
  <c r="K144" i="4"/>
  <c r="J144" i="4"/>
  <c r="G144" i="4"/>
  <c r="F144" i="4"/>
  <c r="E144" i="4"/>
  <c r="D144" i="4"/>
  <c r="C144" i="4"/>
  <c r="X326" i="4"/>
  <c r="O143" i="4"/>
  <c r="L143" i="4"/>
  <c r="K143" i="4"/>
  <c r="J143" i="4"/>
  <c r="G143" i="4"/>
  <c r="F143" i="4"/>
  <c r="E143" i="4"/>
  <c r="D143" i="4"/>
  <c r="C143" i="4"/>
  <c r="X325" i="4"/>
  <c r="L284" i="4"/>
  <c r="K284" i="4"/>
  <c r="G284" i="4"/>
  <c r="F284" i="4"/>
  <c r="E284" i="4"/>
  <c r="D284" i="4"/>
  <c r="C284" i="4"/>
  <c r="X324" i="4"/>
  <c r="L142" i="4"/>
  <c r="K142" i="4"/>
  <c r="G142" i="4"/>
  <c r="F142" i="4"/>
  <c r="E142" i="4"/>
  <c r="D142" i="4"/>
  <c r="C142" i="4"/>
  <c r="X323" i="4"/>
  <c r="L141" i="4"/>
  <c r="K141" i="4"/>
  <c r="G141" i="4"/>
  <c r="F141" i="4"/>
  <c r="E141" i="4"/>
  <c r="D141" i="4"/>
  <c r="C141" i="4"/>
  <c r="X322" i="4"/>
  <c r="K411" i="4"/>
  <c r="J411" i="4"/>
  <c r="G411" i="4"/>
  <c r="F411" i="4"/>
  <c r="E411" i="4"/>
  <c r="D411" i="4"/>
  <c r="C411" i="4"/>
  <c r="X321" i="4"/>
  <c r="L283" i="4"/>
  <c r="K283" i="4"/>
  <c r="H283" i="4"/>
  <c r="I283" i="4" s="1"/>
  <c r="G283" i="4"/>
  <c r="F283" i="4"/>
  <c r="E283" i="4"/>
  <c r="D283" i="4"/>
  <c r="C283" i="4"/>
  <c r="X320" i="4"/>
  <c r="O282" i="4"/>
  <c r="L282" i="4"/>
  <c r="K282" i="4"/>
  <c r="H282" i="4"/>
  <c r="G282" i="4"/>
  <c r="F282" i="4"/>
  <c r="E282" i="4"/>
  <c r="D282" i="4"/>
  <c r="C282" i="4"/>
  <c r="X319" i="4"/>
  <c r="L140" i="4"/>
  <c r="K140" i="4"/>
  <c r="H140" i="4"/>
  <c r="I140" i="4" s="1"/>
  <c r="G140" i="4"/>
  <c r="F140" i="4"/>
  <c r="E140" i="4"/>
  <c r="D140" i="4"/>
  <c r="C140" i="4"/>
  <c r="X318" i="4"/>
  <c r="K410" i="4"/>
  <c r="J410" i="4"/>
  <c r="H410" i="4"/>
  <c r="I410" i="4" s="1"/>
  <c r="G410" i="4"/>
  <c r="F410" i="4"/>
  <c r="E410" i="4"/>
  <c r="D410" i="4"/>
  <c r="C410" i="4"/>
  <c r="X317" i="4"/>
  <c r="K281" i="4"/>
  <c r="H281" i="4"/>
  <c r="I281" i="4" s="1"/>
  <c r="G281" i="4"/>
  <c r="F281" i="4"/>
  <c r="E281" i="4"/>
  <c r="D281" i="4"/>
  <c r="C281" i="4"/>
  <c r="X316" i="4"/>
  <c r="K139" i="4"/>
  <c r="H139" i="4"/>
  <c r="I139" i="4" s="1"/>
  <c r="G139" i="4"/>
  <c r="F139" i="4"/>
  <c r="E139" i="4"/>
  <c r="D139" i="4"/>
  <c r="C139" i="4"/>
  <c r="X315" i="4"/>
  <c r="K280" i="4"/>
  <c r="J280" i="4"/>
  <c r="H280" i="4"/>
  <c r="I280" i="4" s="1"/>
  <c r="G280" i="4"/>
  <c r="F280" i="4"/>
  <c r="E280" i="4"/>
  <c r="D280" i="4"/>
  <c r="C280" i="4"/>
  <c r="X314" i="4"/>
  <c r="L409" i="4"/>
  <c r="K409" i="4"/>
  <c r="G409" i="4"/>
  <c r="F409" i="4"/>
  <c r="E409" i="4"/>
  <c r="D409" i="4"/>
  <c r="C409" i="4"/>
  <c r="X313" i="4"/>
  <c r="L279" i="4"/>
  <c r="K279" i="4"/>
  <c r="G279" i="4"/>
  <c r="F279" i="4"/>
  <c r="E279" i="4"/>
  <c r="D279" i="4"/>
  <c r="C279" i="4"/>
  <c r="X312" i="4"/>
  <c r="K408" i="4"/>
  <c r="G408" i="4"/>
  <c r="F408" i="4"/>
  <c r="E408" i="4"/>
  <c r="D408" i="4"/>
  <c r="C408" i="4"/>
  <c r="X311" i="4"/>
  <c r="L278" i="4"/>
  <c r="K278" i="4"/>
  <c r="G278" i="4"/>
  <c r="F278" i="4"/>
  <c r="E278" i="4"/>
  <c r="D278" i="4"/>
  <c r="C278" i="4"/>
  <c r="X310" i="4"/>
  <c r="L407" i="4"/>
  <c r="K407" i="4"/>
  <c r="J407" i="4"/>
  <c r="G407" i="4"/>
  <c r="F407" i="4"/>
  <c r="E407" i="4"/>
  <c r="D407" i="4"/>
  <c r="C407" i="4"/>
  <c r="X309" i="4"/>
  <c r="O277" i="4"/>
  <c r="L277" i="4"/>
  <c r="K277" i="4"/>
  <c r="J277" i="4"/>
  <c r="G277" i="4"/>
  <c r="F277" i="4"/>
  <c r="E277" i="4"/>
  <c r="D277" i="4"/>
  <c r="C277" i="4"/>
  <c r="X308" i="4"/>
  <c r="L138" i="4"/>
  <c r="K138" i="4"/>
  <c r="J138" i="4"/>
  <c r="G138" i="4"/>
  <c r="F138" i="4"/>
  <c r="E138" i="4"/>
  <c r="D138" i="4"/>
  <c r="C138" i="4"/>
  <c r="X307" i="4"/>
  <c r="O276" i="4"/>
  <c r="L276" i="4"/>
  <c r="K276" i="4"/>
  <c r="G276" i="4"/>
  <c r="F276" i="4"/>
  <c r="E276" i="4"/>
  <c r="D276" i="4"/>
  <c r="C276" i="4"/>
  <c r="X306" i="4"/>
  <c r="O137" i="4"/>
  <c r="L137" i="4"/>
  <c r="K137" i="4"/>
  <c r="J137" i="4"/>
  <c r="G137" i="4"/>
  <c r="F137" i="4"/>
  <c r="E137" i="4"/>
  <c r="D137" i="4"/>
  <c r="C137" i="4"/>
  <c r="X305" i="4"/>
  <c r="O136" i="4"/>
  <c r="L136" i="4"/>
  <c r="K136" i="4"/>
  <c r="G136" i="4"/>
  <c r="F136" i="4"/>
  <c r="E136" i="4"/>
  <c r="D136" i="4"/>
  <c r="C136" i="4"/>
  <c r="X304" i="4"/>
  <c r="K406" i="4"/>
  <c r="G406" i="4"/>
  <c r="F406" i="4"/>
  <c r="E406" i="4"/>
  <c r="D406" i="4"/>
  <c r="C406" i="4"/>
  <c r="X303" i="4"/>
  <c r="K275" i="4"/>
  <c r="G275" i="4"/>
  <c r="F275" i="4"/>
  <c r="E275" i="4"/>
  <c r="D275" i="4"/>
  <c r="C275" i="4"/>
  <c r="X302" i="4"/>
  <c r="L135" i="4"/>
  <c r="K135" i="4"/>
  <c r="G135" i="4"/>
  <c r="F135" i="4"/>
  <c r="E135" i="4"/>
  <c r="D135" i="4"/>
  <c r="C135" i="4"/>
  <c r="X301" i="4"/>
  <c r="K405" i="4"/>
  <c r="J405" i="4"/>
  <c r="G405" i="4"/>
  <c r="F405" i="4"/>
  <c r="E405" i="4"/>
  <c r="D405" i="4"/>
  <c r="C405" i="4"/>
  <c r="X300" i="4"/>
  <c r="L274" i="4"/>
  <c r="K274" i="4"/>
  <c r="G274" i="4"/>
  <c r="F274" i="4"/>
  <c r="E274" i="4"/>
  <c r="D274" i="4"/>
  <c r="C274" i="4"/>
  <c r="X299" i="4"/>
  <c r="L134" i="4"/>
  <c r="K134" i="4"/>
  <c r="G134" i="4"/>
  <c r="F134" i="4"/>
  <c r="E134" i="4"/>
  <c r="D134" i="4"/>
  <c r="C134" i="4"/>
  <c r="X298" i="4"/>
  <c r="O273" i="4"/>
  <c r="L273" i="4"/>
  <c r="K273" i="4"/>
  <c r="J273" i="4"/>
  <c r="G273" i="4"/>
  <c r="F273" i="4"/>
  <c r="E273" i="4"/>
  <c r="D273" i="4"/>
  <c r="C273" i="4"/>
  <c r="X297" i="4"/>
  <c r="O404" i="4"/>
  <c r="L404" i="4"/>
  <c r="K404" i="4"/>
  <c r="J404" i="4"/>
  <c r="G404" i="4"/>
  <c r="F404" i="4"/>
  <c r="E404" i="4"/>
  <c r="D404" i="4"/>
  <c r="C404" i="4"/>
  <c r="X296" i="4"/>
  <c r="O133" i="4"/>
  <c r="L133" i="4"/>
  <c r="K133" i="4"/>
  <c r="J133" i="4"/>
  <c r="G133" i="4"/>
  <c r="F133" i="4"/>
  <c r="E133" i="4"/>
  <c r="D133" i="4"/>
  <c r="C133" i="4"/>
  <c r="X295" i="4"/>
  <c r="L403" i="4"/>
  <c r="K403" i="4"/>
  <c r="J403" i="4"/>
  <c r="G403" i="4"/>
  <c r="F403" i="4"/>
  <c r="E403" i="4"/>
  <c r="D403" i="4"/>
  <c r="C403" i="4"/>
  <c r="X294" i="4"/>
  <c r="O272" i="4"/>
  <c r="L272" i="4"/>
  <c r="K272" i="4"/>
  <c r="G272" i="4"/>
  <c r="F272" i="4"/>
  <c r="E272" i="4"/>
  <c r="D272" i="4"/>
  <c r="C272" i="4"/>
  <c r="X293" i="4"/>
  <c r="O132" i="4"/>
  <c r="L132" i="4"/>
  <c r="K132" i="4"/>
  <c r="G132" i="4"/>
  <c r="F132" i="4"/>
  <c r="E132" i="4"/>
  <c r="D132" i="4"/>
  <c r="C132" i="4"/>
  <c r="X292" i="4"/>
  <c r="L402" i="4"/>
  <c r="K402" i="4"/>
  <c r="H402" i="4"/>
  <c r="I402" i="4" s="1"/>
  <c r="G402" i="4"/>
  <c r="F402" i="4"/>
  <c r="E402" i="4"/>
  <c r="D402" i="4"/>
  <c r="C402" i="4"/>
  <c r="X291" i="4"/>
  <c r="O271" i="4"/>
  <c r="L271" i="4"/>
  <c r="K271" i="4"/>
  <c r="G271" i="4"/>
  <c r="F271" i="4"/>
  <c r="E271" i="4"/>
  <c r="D271" i="4"/>
  <c r="C271" i="4"/>
  <c r="X290" i="4"/>
  <c r="L131" i="4"/>
  <c r="K131" i="4"/>
  <c r="J131" i="4"/>
  <c r="G131" i="4"/>
  <c r="F131" i="4"/>
  <c r="E131" i="4"/>
  <c r="D131" i="4"/>
  <c r="C131" i="4"/>
  <c r="X289" i="4"/>
  <c r="L401" i="4"/>
  <c r="K401" i="4"/>
  <c r="J401" i="4"/>
  <c r="G401" i="4"/>
  <c r="F401" i="4"/>
  <c r="E401" i="4"/>
  <c r="D401" i="4"/>
  <c r="C401" i="4"/>
  <c r="X288" i="4"/>
  <c r="L270" i="4"/>
  <c r="K270" i="4"/>
  <c r="J270" i="4"/>
  <c r="G270" i="4"/>
  <c r="F270" i="4"/>
  <c r="E270" i="4"/>
  <c r="D270" i="4"/>
  <c r="C270" i="4"/>
  <c r="X287" i="4"/>
  <c r="O130" i="4"/>
  <c r="L130" i="4"/>
  <c r="K130" i="4"/>
  <c r="J130" i="4"/>
  <c r="G130" i="4"/>
  <c r="F130" i="4"/>
  <c r="E130" i="4"/>
  <c r="D130" i="4"/>
  <c r="C130" i="4"/>
  <c r="X286" i="4"/>
  <c r="L400" i="4"/>
  <c r="K400" i="4"/>
  <c r="J400" i="4"/>
  <c r="G400" i="4"/>
  <c r="F400" i="4"/>
  <c r="E400" i="4"/>
  <c r="D400" i="4"/>
  <c r="C400" i="4"/>
  <c r="X285" i="4"/>
  <c r="L269" i="4"/>
  <c r="K269" i="4"/>
  <c r="J269" i="4"/>
  <c r="G269" i="4"/>
  <c r="F269" i="4"/>
  <c r="E269" i="4"/>
  <c r="D269" i="4"/>
  <c r="C269" i="4"/>
  <c r="X284" i="4"/>
  <c r="O129" i="4"/>
  <c r="L129" i="4"/>
  <c r="K129" i="4"/>
  <c r="J129" i="4"/>
  <c r="G129" i="4"/>
  <c r="F129" i="4"/>
  <c r="E129" i="4"/>
  <c r="D129" i="4"/>
  <c r="C129" i="4"/>
  <c r="X283" i="4"/>
  <c r="L399" i="4"/>
  <c r="K399" i="4"/>
  <c r="J399" i="4"/>
  <c r="G399" i="4"/>
  <c r="F399" i="4"/>
  <c r="E399" i="4"/>
  <c r="D399" i="4"/>
  <c r="C399" i="4"/>
  <c r="X282" i="4"/>
  <c r="O268" i="4"/>
  <c r="L268" i="4"/>
  <c r="K268" i="4"/>
  <c r="J268" i="4"/>
  <c r="G268" i="4"/>
  <c r="F268" i="4"/>
  <c r="E268" i="4"/>
  <c r="D268" i="4"/>
  <c r="C268" i="4"/>
  <c r="X281" i="4"/>
  <c r="L128" i="4"/>
  <c r="K128" i="4"/>
  <c r="J128" i="4"/>
  <c r="G128" i="4"/>
  <c r="F128" i="4"/>
  <c r="E128" i="4"/>
  <c r="D128" i="4"/>
  <c r="C128" i="4"/>
  <c r="X280" i="4"/>
  <c r="O263" i="4"/>
  <c r="K263" i="4"/>
  <c r="G263" i="4"/>
  <c r="F263" i="4"/>
  <c r="E263" i="4"/>
  <c r="D263" i="4"/>
  <c r="C263" i="4"/>
  <c r="X279" i="4"/>
  <c r="L398" i="4"/>
  <c r="K398" i="4"/>
  <c r="G398" i="4"/>
  <c r="F398" i="4"/>
  <c r="E398" i="4"/>
  <c r="D398" i="4"/>
  <c r="C398" i="4"/>
  <c r="X278" i="4"/>
  <c r="L267" i="4"/>
  <c r="K267" i="4"/>
  <c r="G267" i="4"/>
  <c r="F267" i="4"/>
  <c r="E267" i="4"/>
  <c r="D267" i="4"/>
  <c r="C267" i="4"/>
  <c r="X277" i="4"/>
  <c r="L266" i="4"/>
  <c r="K266" i="4"/>
  <c r="J266" i="4"/>
  <c r="G266" i="4"/>
  <c r="F266" i="4"/>
  <c r="E266" i="4"/>
  <c r="D266" i="4"/>
  <c r="C266" i="4"/>
  <c r="X276" i="4"/>
  <c r="O265" i="4"/>
  <c r="L265" i="4"/>
  <c r="K265" i="4"/>
  <c r="G265" i="4"/>
  <c r="F265" i="4"/>
  <c r="E265" i="4"/>
  <c r="D265" i="4"/>
  <c r="C265" i="4"/>
  <c r="X275" i="4"/>
  <c r="L397" i="4"/>
  <c r="K397" i="4"/>
  <c r="G397" i="4"/>
  <c r="F397" i="4"/>
  <c r="E397" i="4"/>
  <c r="D397" i="4"/>
  <c r="C397" i="4"/>
  <c r="X274" i="4"/>
  <c r="L264" i="4"/>
  <c r="K264" i="4"/>
  <c r="J264" i="4"/>
  <c r="G264" i="4"/>
  <c r="F264" i="4"/>
  <c r="E264" i="4"/>
  <c r="D264" i="4"/>
  <c r="C264" i="4"/>
  <c r="X273" i="4"/>
  <c r="O127" i="4"/>
  <c r="L127" i="4"/>
  <c r="K127" i="4"/>
  <c r="J127" i="4"/>
  <c r="G127" i="4"/>
  <c r="F127" i="4"/>
  <c r="E127" i="4"/>
  <c r="D127" i="4"/>
  <c r="C127" i="4"/>
  <c r="X272" i="4"/>
  <c r="L126" i="4"/>
  <c r="K126" i="4"/>
  <c r="G126" i="4"/>
  <c r="F126" i="4"/>
  <c r="E126" i="4"/>
  <c r="D126" i="4"/>
  <c r="C126" i="4"/>
  <c r="X271" i="4"/>
  <c r="K125" i="4"/>
  <c r="G125" i="4"/>
  <c r="F125" i="4"/>
  <c r="E125" i="4"/>
  <c r="D125" i="4"/>
  <c r="C125" i="4"/>
  <c r="X270" i="4"/>
  <c r="L124" i="4"/>
  <c r="K124" i="4"/>
  <c r="G124" i="4"/>
  <c r="F124" i="4"/>
  <c r="E124" i="4"/>
  <c r="D124" i="4"/>
  <c r="C124" i="4"/>
  <c r="X269" i="4"/>
  <c r="O123" i="4"/>
  <c r="L123" i="4"/>
  <c r="K123" i="4"/>
  <c r="H123" i="4"/>
  <c r="I123" i="4" s="1"/>
  <c r="G123" i="4"/>
  <c r="F123" i="4"/>
  <c r="E123" i="4"/>
  <c r="D123" i="4"/>
  <c r="C123" i="4"/>
  <c r="X268" i="4"/>
  <c r="K122" i="4"/>
  <c r="F122" i="4"/>
  <c r="E122" i="4"/>
  <c r="D122" i="4"/>
  <c r="C122" i="4"/>
  <c r="X267" i="4"/>
  <c r="L262" i="4"/>
  <c r="K262" i="4"/>
  <c r="E262" i="4"/>
  <c r="D262" i="4"/>
  <c r="C262" i="4"/>
  <c r="X266" i="4"/>
  <c r="L121" i="4"/>
  <c r="K121" i="4"/>
  <c r="H121" i="4"/>
  <c r="I121" i="4" s="1"/>
  <c r="E121" i="4"/>
  <c r="D121" i="4"/>
  <c r="C121" i="4"/>
  <c r="X265" i="4"/>
  <c r="L120" i="4"/>
  <c r="K120" i="4"/>
  <c r="F120" i="4"/>
  <c r="D120" i="4"/>
  <c r="C120" i="4"/>
  <c r="X264" i="4"/>
  <c r="L396" i="4"/>
  <c r="K396" i="4"/>
  <c r="G396" i="4"/>
  <c r="F396" i="4"/>
  <c r="E396" i="4"/>
  <c r="D396" i="4"/>
  <c r="C396" i="4"/>
  <c r="X263" i="4"/>
  <c r="L261" i="4"/>
  <c r="K261" i="4"/>
  <c r="G261" i="4"/>
  <c r="F261" i="4"/>
  <c r="E261" i="4"/>
  <c r="D261" i="4"/>
  <c r="C261" i="4"/>
  <c r="X262" i="4"/>
  <c r="L395" i="4"/>
  <c r="K395" i="4"/>
  <c r="G395" i="4"/>
  <c r="F395" i="4"/>
  <c r="E395" i="4"/>
  <c r="D395" i="4"/>
  <c r="C395" i="4"/>
  <c r="X261" i="4"/>
  <c r="L260" i="4"/>
  <c r="K260" i="4"/>
  <c r="G260" i="4"/>
  <c r="F260" i="4"/>
  <c r="E260" i="4"/>
  <c r="D260" i="4"/>
  <c r="C260" i="4"/>
  <c r="X260" i="4"/>
  <c r="K259" i="4"/>
  <c r="J259" i="4"/>
  <c r="G259" i="4"/>
  <c r="F259" i="4"/>
  <c r="E259" i="4"/>
  <c r="D259" i="4"/>
  <c r="C259" i="4"/>
  <c r="X259" i="4"/>
  <c r="K394" i="4"/>
  <c r="G394" i="4"/>
  <c r="F394" i="4"/>
  <c r="E394" i="4"/>
  <c r="D394" i="4"/>
  <c r="C394" i="4"/>
  <c r="X258" i="4"/>
  <c r="K258" i="4"/>
  <c r="G258" i="4"/>
  <c r="F258" i="4"/>
  <c r="E258" i="4"/>
  <c r="D258" i="4"/>
  <c r="C258" i="4"/>
  <c r="X257" i="4"/>
  <c r="K119" i="4"/>
  <c r="G119" i="4"/>
  <c r="F119" i="4"/>
  <c r="E119" i="4"/>
  <c r="D119" i="4"/>
  <c r="C119" i="4"/>
  <c r="X256" i="4"/>
  <c r="K393" i="4"/>
  <c r="G393" i="4"/>
  <c r="F393" i="4"/>
  <c r="E393" i="4"/>
  <c r="D393" i="4"/>
  <c r="C393" i="4"/>
  <c r="X255" i="4"/>
  <c r="K257" i="4"/>
  <c r="G257" i="4"/>
  <c r="F257" i="4"/>
  <c r="E257" i="4"/>
  <c r="D257" i="4"/>
  <c r="C257" i="4"/>
  <c r="X254" i="4"/>
  <c r="K118" i="4"/>
  <c r="G118" i="4"/>
  <c r="F118" i="4"/>
  <c r="E118" i="4"/>
  <c r="D118" i="4"/>
  <c r="C118" i="4"/>
  <c r="X253" i="4"/>
  <c r="L392" i="4"/>
  <c r="K392" i="4"/>
  <c r="G392" i="4"/>
  <c r="F392" i="4"/>
  <c r="E392" i="4"/>
  <c r="D392" i="4"/>
  <c r="C392" i="4"/>
  <c r="X252" i="4"/>
  <c r="L256" i="4"/>
  <c r="K256" i="4"/>
  <c r="G256" i="4"/>
  <c r="F256" i="4"/>
  <c r="E256" i="4"/>
  <c r="D256" i="4"/>
  <c r="C256" i="4"/>
  <c r="X251" i="4"/>
  <c r="L117" i="4"/>
  <c r="K117" i="4"/>
  <c r="G117" i="4"/>
  <c r="F117" i="4"/>
  <c r="E117" i="4"/>
  <c r="D117" i="4"/>
  <c r="C117" i="4"/>
  <c r="X250" i="4"/>
  <c r="L255" i="4"/>
  <c r="G255" i="4"/>
  <c r="F255" i="4"/>
  <c r="E255" i="4"/>
  <c r="D255" i="4"/>
  <c r="C255" i="4"/>
  <c r="X249" i="4"/>
  <c r="L116" i="4"/>
  <c r="K116" i="4"/>
  <c r="G116" i="4"/>
  <c r="F116" i="4"/>
  <c r="E116" i="4"/>
  <c r="D116" i="4"/>
  <c r="C116" i="4"/>
  <c r="X248" i="4"/>
  <c r="L254" i="4"/>
  <c r="K254" i="4"/>
  <c r="J254" i="4"/>
  <c r="G254" i="4"/>
  <c r="F254" i="4"/>
  <c r="E254" i="4"/>
  <c r="D254" i="4"/>
  <c r="C254" i="4"/>
  <c r="X247" i="4"/>
  <c r="L115" i="4"/>
  <c r="K115" i="4"/>
  <c r="J115" i="4"/>
  <c r="G115" i="4"/>
  <c r="F115" i="4"/>
  <c r="E115" i="4"/>
  <c r="D115" i="4"/>
  <c r="C115" i="4"/>
  <c r="X246" i="4"/>
  <c r="K253" i="4"/>
  <c r="G253" i="4"/>
  <c r="F253" i="4"/>
  <c r="E253" i="4"/>
  <c r="D253" i="4"/>
  <c r="C253" i="4"/>
  <c r="X245" i="4"/>
  <c r="K114" i="4"/>
  <c r="G114" i="4"/>
  <c r="F114" i="4"/>
  <c r="E114" i="4"/>
  <c r="D114" i="4"/>
  <c r="C114" i="4"/>
  <c r="X244" i="4"/>
  <c r="K391" i="4"/>
  <c r="G391" i="4"/>
  <c r="F391" i="4"/>
  <c r="E391" i="4"/>
  <c r="D391" i="4"/>
  <c r="C391" i="4"/>
  <c r="X243" i="4"/>
  <c r="K252" i="4"/>
  <c r="J252" i="4"/>
  <c r="G252" i="4"/>
  <c r="F252" i="4"/>
  <c r="E252" i="4"/>
  <c r="D252" i="4"/>
  <c r="C252" i="4"/>
  <c r="X242" i="4"/>
  <c r="K113" i="4"/>
  <c r="J113" i="4"/>
  <c r="G113" i="4"/>
  <c r="F113" i="4"/>
  <c r="E113" i="4"/>
  <c r="D113" i="4"/>
  <c r="C113" i="4"/>
  <c r="X241" i="4"/>
  <c r="K112" i="4"/>
  <c r="G112" i="4"/>
  <c r="F112" i="4"/>
  <c r="E112" i="4"/>
  <c r="D112" i="4"/>
  <c r="C112" i="4"/>
  <c r="X240" i="4"/>
  <c r="L390" i="4"/>
  <c r="K390" i="4"/>
  <c r="G390" i="4"/>
  <c r="F390" i="4"/>
  <c r="E390" i="4"/>
  <c r="D390" i="4"/>
  <c r="C390" i="4"/>
  <c r="X239" i="4"/>
  <c r="L389" i="4"/>
  <c r="G389" i="4"/>
  <c r="F389" i="4"/>
  <c r="E389" i="4"/>
  <c r="D389" i="4"/>
  <c r="C389" i="4"/>
  <c r="X238" i="4"/>
  <c r="G251" i="4"/>
  <c r="F251" i="4"/>
  <c r="E251" i="4"/>
  <c r="D251" i="4"/>
  <c r="C251" i="4"/>
  <c r="X237" i="4"/>
  <c r="L111" i="4"/>
  <c r="G111" i="4"/>
  <c r="F111" i="4"/>
  <c r="E111" i="4"/>
  <c r="D111" i="4"/>
  <c r="C111" i="4"/>
  <c r="X236" i="4"/>
  <c r="K388" i="4"/>
  <c r="G388" i="4"/>
  <c r="F388" i="4"/>
  <c r="E388" i="4"/>
  <c r="D388" i="4"/>
  <c r="C388" i="4"/>
  <c r="X235" i="4"/>
  <c r="K250" i="4"/>
  <c r="G250" i="4"/>
  <c r="F250" i="4"/>
  <c r="E250" i="4"/>
  <c r="D250" i="4"/>
  <c r="C250" i="4"/>
  <c r="X234" i="4"/>
  <c r="K249" i="4"/>
  <c r="G249" i="4"/>
  <c r="F249" i="4"/>
  <c r="E249" i="4"/>
  <c r="D249" i="4"/>
  <c r="C249" i="4"/>
  <c r="X233" i="4"/>
  <c r="L248" i="4"/>
  <c r="K248" i="4"/>
  <c r="G248" i="4"/>
  <c r="F248" i="4"/>
  <c r="E248" i="4"/>
  <c r="D248" i="4"/>
  <c r="C248" i="4"/>
  <c r="X232" i="4"/>
  <c r="K247" i="4"/>
  <c r="G247" i="4"/>
  <c r="F247" i="4"/>
  <c r="E247" i="4"/>
  <c r="D247" i="4"/>
  <c r="C247" i="4"/>
  <c r="X231" i="4"/>
  <c r="L110" i="4"/>
  <c r="K110" i="4"/>
  <c r="G110" i="4"/>
  <c r="F110" i="4"/>
  <c r="E110" i="4"/>
  <c r="D110" i="4"/>
  <c r="C110" i="4"/>
  <c r="X230" i="4"/>
  <c r="K246" i="4"/>
  <c r="G246" i="4"/>
  <c r="F246" i="4"/>
  <c r="E246" i="4"/>
  <c r="D246" i="4"/>
  <c r="C246" i="4"/>
  <c r="X229" i="4"/>
  <c r="K109" i="4"/>
  <c r="G109" i="4"/>
  <c r="F109" i="4"/>
  <c r="E109" i="4"/>
  <c r="D109" i="4"/>
  <c r="C109" i="4"/>
  <c r="X228" i="4"/>
  <c r="K108" i="4"/>
  <c r="G108" i="4"/>
  <c r="F108" i="4"/>
  <c r="E108" i="4"/>
  <c r="D108" i="4"/>
  <c r="C108" i="4"/>
  <c r="X227" i="4"/>
  <c r="K107" i="4"/>
  <c r="G107" i="4"/>
  <c r="F107" i="4"/>
  <c r="E107" i="4"/>
  <c r="D107" i="4"/>
  <c r="C107" i="4"/>
  <c r="X226" i="4"/>
  <c r="K387" i="4"/>
  <c r="G387" i="4"/>
  <c r="F387" i="4"/>
  <c r="E387" i="4"/>
  <c r="D387" i="4"/>
  <c r="C387" i="4"/>
  <c r="X225" i="4"/>
  <c r="L245" i="4"/>
  <c r="K245" i="4"/>
  <c r="G245" i="4"/>
  <c r="F245" i="4"/>
  <c r="E245" i="4"/>
  <c r="D245" i="4"/>
  <c r="C245" i="4"/>
  <c r="X224" i="4"/>
  <c r="L386" i="4"/>
  <c r="K386" i="4"/>
  <c r="G386" i="4"/>
  <c r="F386" i="4"/>
  <c r="E386" i="4"/>
  <c r="D386" i="4"/>
  <c r="C386" i="4"/>
  <c r="X223" i="4"/>
  <c r="L244" i="4"/>
  <c r="K244" i="4"/>
  <c r="G244" i="4"/>
  <c r="F244" i="4"/>
  <c r="E244" i="4"/>
  <c r="D244" i="4"/>
  <c r="C244" i="4"/>
  <c r="X222" i="4"/>
  <c r="K385" i="4"/>
  <c r="J385" i="4"/>
  <c r="G385" i="4"/>
  <c r="F385" i="4"/>
  <c r="E385" i="4"/>
  <c r="D385" i="4"/>
  <c r="C385" i="4"/>
  <c r="X221" i="4"/>
  <c r="K243" i="4"/>
  <c r="J243" i="4"/>
  <c r="G243" i="4"/>
  <c r="F243" i="4"/>
  <c r="E243" i="4"/>
  <c r="D243" i="4"/>
  <c r="C243" i="4"/>
  <c r="X220" i="4"/>
  <c r="L384" i="4"/>
  <c r="K384" i="4"/>
  <c r="J384" i="4"/>
  <c r="G384" i="4"/>
  <c r="F384" i="4"/>
  <c r="E384" i="4"/>
  <c r="D384" i="4"/>
  <c r="C384" i="4"/>
  <c r="X219" i="4"/>
  <c r="L242" i="4"/>
  <c r="K242" i="4"/>
  <c r="J242" i="4"/>
  <c r="G242" i="4"/>
  <c r="F242" i="4"/>
  <c r="E242" i="4"/>
  <c r="D242" i="4"/>
  <c r="C242" i="4"/>
  <c r="X218" i="4"/>
  <c r="K383" i="4"/>
  <c r="G383" i="4"/>
  <c r="F383" i="4"/>
  <c r="E383" i="4"/>
  <c r="D383" i="4"/>
  <c r="C383" i="4"/>
  <c r="X217" i="4"/>
  <c r="K382" i="4"/>
  <c r="G382" i="4"/>
  <c r="F382" i="4"/>
  <c r="E382" i="4"/>
  <c r="D382" i="4"/>
  <c r="C382" i="4"/>
  <c r="X216" i="4"/>
  <c r="L381" i="4"/>
  <c r="K381" i="4"/>
  <c r="G381" i="4"/>
  <c r="F381" i="4"/>
  <c r="E381" i="4"/>
  <c r="D381" i="4"/>
  <c r="C381" i="4"/>
  <c r="X215" i="4"/>
  <c r="L380" i="4"/>
  <c r="K380" i="4"/>
  <c r="G380" i="4"/>
  <c r="F380" i="4"/>
  <c r="E380" i="4"/>
  <c r="D380" i="4"/>
  <c r="C380" i="4"/>
  <c r="X214" i="4"/>
  <c r="L379" i="4"/>
  <c r="K379" i="4"/>
  <c r="G379" i="4"/>
  <c r="F379" i="4"/>
  <c r="E379" i="4"/>
  <c r="D379" i="4"/>
  <c r="C379" i="4"/>
  <c r="X213" i="4"/>
  <c r="L378" i="4"/>
  <c r="K378" i="4"/>
  <c r="J378" i="4"/>
  <c r="G378" i="4"/>
  <c r="F378" i="4"/>
  <c r="E378" i="4"/>
  <c r="D378" i="4"/>
  <c r="C378" i="4"/>
  <c r="X212" i="4"/>
  <c r="K241" i="4"/>
  <c r="J241" i="4"/>
  <c r="G241" i="4"/>
  <c r="F241" i="4"/>
  <c r="E241" i="4"/>
  <c r="D241" i="4"/>
  <c r="C241" i="4"/>
  <c r="X211" i="4"/>
  <c r="L377" i="4"/>
  <c r="K377" i="4"/>
  <c r="G377" i="4"/>
  <c r="F377" i="4"/>
  <c r="E377" i="4"/>
  <c r="D377" i="4"/>
  <c r="C377" i="4"/>
  <c r="X210" i="4"/>
  <c r="L240" i="4"/>
  <c r="K240" i="4"/>
  <c r="G240" i="4"/>
  <c r="F240" i="4"/>
  <c r="E240" i="4"/>
  <c r="D240" i="4"/>
  <c r="C240" i="4"/>
  <c r="X209" i="4"/>
  <c r="K239" i="4"/>
  <c r="G239" i="4"/>
  <c r="F239" i="4"/>
  <c r="E239" i="4"/>
  <c r="D239" i="4"/>
  <c r="C239" i="4"/>
  <c r="X208" i="4"/>
  <c r="L238" i="4"/>
  <c r="K238" i="4"/>
  <c r="G238" i="4"/>
  <c r="F238" i="4"/>
  <c r="E238" i="4"/>
  <c r="D238" i="4"/>
  <c r="C238" i="4"/>
  <c r="X207" i="4"/>
  <c r="K376" i="4"/>
  <c r="G376" i="4"/>
  <c r="F376" i="4"/>
  <c r="E376" i="4"/>
  <c r="D376" i="4"/>
  <c r="C376" i="4"/>
  <c r="X206" i="4"/>
  <c r="O375" i="4"/>
  <c r="L375" i="4"/>
  <c r="K375" i="4"/>
  <c r="G375" i="4"/>
  <c r="F375" i="4"/>
  <c r="E375" i="4"/>
  <c r="D375" i="4"/>
  <c r="C375" i="4"/>
  <c r="X205" i="4"/>
  <c r="K374" i="4"/>
  <c r="J374" i="4"/>
  <c r="G374" i="4"/>
  <c r="F374" i="4"/>
  <c r="E374" i="4"/>
  <c r="D374" i="4"/>
  <c r="C374" i="4"/>
  <c r="X204" i="4"/>
  <c r="K373" i="4"/>
  <c r="G373" i="4"/>
  <c r="F373" i="4"/>
  <c r="E373" i="4"/>
  <c r="D373" i="4"/>
  <c r="C373" i="4"/>
  <c r="X203" i="4"/>
  <c r="L372" i="4"/>
  <c r="K372" i="4"/>
  <c r="J372" i="4"/>
  <c r="G372" i="4"/>
  <c r="F372" i="4"/>
  <c r="E372" i="4"/>
  <c r="D372" i="4"/>
  <c r="C372" i="4"/>
  <c r="X202" i="4"/>
  <c r="L371" i="4"/>
  <c r="K371" i="4"/>
  <c r="J371" i="4"/>
  <c r="G371" i="4"/>
  <c r="F371" i="4"/>
  <c r="E371" i="4"/>
  <c r="D371" i="4"/>
  <c r="C371" i="4"/>
  <c r="X201" i="4"/>
  <c r="K370" i="4"/>
  <c r="G370" i="4"/>
  <c r="F370" i="4"/>
  <c r="E370" i="4"/>
  <c r="D370" i="4"/>
  <c r="C370" i="4"/>
  <c r="X200" i="4"/>
  <c r="K237" i="4"/>
  <c r="G237" i="4"/>
  <c r="F237" i="4"/>
  <c r="E237" i="4"/>
  <c r="D237" i="4"/>
  <c r="C237" i="4"/>
  <c r="X199" i="4"/>
  <c r="K106" i="4"/>
  <c r="G106" i="4"/>
  <c r="F106" i="4"/>
  <c r="E106" i="4"/>
  <c r="D106" i="4"/>
  <c r="C106" i="4"/>
  <c r="X198" i="4"/>
  <c r="K105" i="4"/>
  <c r="G105" i="4"/>
  <c r="F105" i="4"/>
  <c r="E105" i="4"/>
  <c r="D105" i="4"/>
  <c r="C105" i="4"/>
  <c r="X197" i="4"/>
  <c r="K104" i="4"/>
  <c r="J104" i="4"/>
  <c r="H104" i="4"/>
  <c r="I104" i="4" s="1"/>
  <c r="G104" i="4"/>
  <c r="F104" i="4"/>
  <c r="E104" i="4"/>
  <c r="D104" i="4"/>
  <c r="C104" i="4"/>
  <c r="X196" i="4"/>
  <c r="K103" i="4"/>
  <c r="G103" i="4"/>
  <c r="F103" i="4"/>
  <c r="E103" i="4"/>
  <c r="D103" i="4"/>
  <c r="C103" i="4"/>
  <c r="X195" i="4"/>
  <c r="L102" i="4"/>
  <c r="K102" i="4"/>
  <c r="G102" i="4"/>
  <c r="F102" i="4"/>
  <c r="E102" i="4"/>
  <c r="D102" i="4"/>
  <c r="C102" i="4"/>
  <c r="X194" i="4"/>
  <c r="K101" i="4"/>
  <c r="G101" i="4"/>
  <c r="F101" i="4"/>
  <c r="E101" i="4"/>
  <c r="D101" i="4"/>
  <c r="C101" i="4"/>
  <c r="X193" i="4"/>
  <c r="K100" i="4"/>
  <c r="G100" i="4"/>
  <c r="F100" i="4"/>
  <c r="E100" i="4"/>
  <c r="D100" i="4"/>
  <c r="C100" i="4"/>
  <c r="X192" i="4"/>
  <c r="O369" i="4"/>
  <c r="L369" i="4"/>
  <c r="K369" i="4"/>
  <c r="G369" i="4"/>
  <c r="F369" i="4"/>
  <c r="E369" i="4"/>
  <c r="D369" i="4"/>
  <c r="C369" i="4"/>
  <c r="X191" i="4"/>
  <c r="O236" i="4"/>
  <c r="L236" i="4"/>
  <c r="K236" i="4"/>
  <c r="G236" i="4"/>
  <c r="F236" i="4"/>
  <c r="E236" i="4"/>
  <c r="D236" i="4"/>
  <c r="C236" i="4"/>
  <c r="X190" i="4"/>
  <c r="O368" i="4"/>
  <c r="L368" i="4"/>
  <c r="K368" i="4"/>
  <c r="J368" i="4"/>
  <c r="G368" i="4"/>
  <c r="F368" i="4"/>
  <c r="E368" i="4"/>
  <c r="D368" i="4"/>
  <c r="C368" i="4"/>
  <c r="X189" i="4"/>
  <c r="O235" i="4"/>
  <c r="L235" i="4"/>
  <c r="K235" i="4"/>
  <c r="J235" i="4"/>
  <c r="G235" i="4"/>
  <c r="F235" i="4"/>
  <c r="E235" i="4"/>
  <c r="D235" i="4"/>
  <c r="C235" i="4"/>
  <c r="X188" i="4"/>
  <c r="L367" i="4"/>
  <c r="K367" i="4"/>
  <c r="G367" i="4"/>
  <c r="F367" i="4"/>
  <c r="E367" i="4"/>
  <c r="D367" i="4"/>
  <c r="C367" i="4"/>
  <c r="X187" i="4"/>
  <c r="O234" i="4"/>
  <c r="L234" i="4"/>
  <c r="K234" i="4"/>
  <c r="G234" i="4"/>
  <c r="F234" i="4"/>
  <c r="E234" i="4"/>
  <c r="D234" i="4"/>
  <c r="C234" i="4"/>
  <c r="X186" i="4"/>
  <c r="O99" i="4"/>
  <c r="L99" i="4"/>
  <c r="K99" i="4"/>
  <c r="G99" i="4"/>
  <c r="F99" i="4"/>
  <c r="E99" i="4"/>
  <c r="D99" i="4"/>
  <c r="C99" i="4"/>
  <c r="X185" i="4"/>
  <c r="L366" i="4"/>
  <c r="K366" i="4"/>
  <c r="G366" i="4"/>
  <c r="F366" i="4"/>
  <c r="E366" i="4"/>
  <c r="D366" i="4"/>
  <c r="C366" i="4"/>
  <c r="X184" i="4"/>
  <c r="K233" i="4"/>
  <c r="G233" i="4"/>
  <c r="F233" i="4"/>
  <c r="E233" i="4"/>
  <c r="D233" i="4"/>
  <c r="C233" i="4"/>
  <c r="X183" i="4"/>
  <c r="K98" i="4"/>
  <c r="G98" i="4"/>
  <c r="F98" i="4"/>
  <c r="E98" i="4"/>
  <c r="D98" i="4"/>
  <c r="C98" i="4"/>
  <c r="X182" i="4"/>
  <c r="O365" i="4"/>
  <c r="L365" i="4"/>
  <c r="K365" i="4"/>
  <c r="G365" i="4"/>
  <c r="F365" i="4"/>
  <c r="E365" i="4"/>
  <c r="D365" i="4"/>
  <c r="C365" i="4"/>
  <c r="X181" i="4"/>
  <c r="O232" i="4"/>
  <c r="L232" i="4"/>
  <c r="K232" i="4"/>
  <c r="G232" i="4"/>
  <c r="F232" i="4"/>
  <c r="E232" i="4"/>
  <c r="D232" i="4"/>
  <c r="C232" i="4"/>
  <c r="X180" i="4"/>
  <c r="O97" i="4"/>
  <c r="L97" i="4"/>
  <c r="K97" i="4"/>
  <c r="J97" i="4"/>
  <c r="G97" i="4"/>
  <c r="F97" i="4"/>
  <c r="E97" i="4"/>
  <c r="D97" i="4"/>
  <c r="C97" i="4"/>
  <c r="X179" i="4"/>
  <c r="L364" i="4"/>
  <c r="K364" i="4"/>
  <c r="J364" i="4"/>
  <c r="G364" i="4"/>
  <c r="F364" i="4"/>
  <c r="E364" i="4"/>
  <c r="D364" i="4"/>
  <c r="C364" i="4"/>
  <c r="X178" i="4"/>
  <c r="L231" i="4"/>
  <c r="K231" i="4"/>
  <c r="J231" i="4"/>
  <c r="G231" i="4"/>
  <c r="F231" i="4"/>
  <c r="E231" i="4"/>
  <c r="D231" i="4"/>
  <c r="C231" i="4"/>
  <c r="X177" i="4"/>
  <c r="L96" i="4"/>
  <c r="K96" i="4"/>
  <c r="J96" i="4"/>
  <c r="G96" i="4"/>
  <c r="F96" i="4"/>
  <c r="E96" i="4"/>
  <c r="D96" i="4"/>
  <c r="C96" i="4"/>
  <c r="X176" i="4"/>
  <c r="O363" i="4"/>
  <c r="L363" i="4"/>
  <c r="K363" i="4"/>
  <c r="J363" i="4"/>
  <c r="G363" i="4"/>
  <c r="F363" i="4"/>
  <c r="E363" i="4"/>
  <c r="D363" i="4"/>
  <c r="C363" i="4"/>
  <c r="X175" i="4"/>
  <c r="O230" i="4"/>
  <c r="L230" i="4"/>
  <c r="K230" i="4"/>
  <c r="J230" i="4"/>
  <c r="G230" i="4"/>
  <c r="F230" i="4"/>
  <c r="E230" i="4"/>
  <c r="D230" i="4"/>
  <c r="C230" i="4"/>
  <c r="X174" i="4"/>
  <c r="L362" i="4"/>
  <c r="K362" i="4"/>
  <c r="J362" i="4"/>
  <c r="G362" i="4"/>
  <c r="F362" i="4"/>
  <c r="E362" i="4"/>
  <c r="D362" i="4"/>
  <c r="C362" i="4"/>
  <c r="X173" i="4"/>
  <c r="L229" i="4"/>
  <c r="K229" i="4"/>
  <c r="J229" i="4"/>
  <c r="G229" i="4"/>
  <c r="F229" i="4"/>
  <c r="E229" i="4"/>
  <c r="D229" i="4"/>
  <c r="C229" i="4"/>
  <c r="X172" i="4"/>
  <c r="L361" i="4"/>
  <c r="K361" i="4"/>
  <c r="J361" i="4"/>
  <c r="G361" i="4"/>
  <c r="F361" i="4"/>
  <c r="E361" i="4"/>
  <c r="D361" i="4"/>
  <c r="C361" i="4"/>
  <c r="X171" i="4"/>
  <c r="O228" i="4"/>
  <c r="L228" i="4"/>
  <c r="K228" i="4"/>
  <c r="G228" i="4"/>
  <c r="F228" i="4"/>
  <c r="E228" i="4"/>
  <c r="D228" i="4"/>
  <c r="C228" i="4"/>
  <c r="X170" i="4"/>
  <c r="K360" i="4"/>
  <c r="J360" i="4"/>
  <c r="G360" i="4"/>
  <c r="F360" i="4"/>
  <c r="E360" i="4"/>
  <c r="D360" i="4"/>
  <c r="C360" i="4"/>
  <c r="X169" i="4"/>
  <c r="K227" i="4"/>
  <c r="J227" i="4"/>
  <c r="G227" i="4"/>
  <c r="F227" i="4"/>
  <c r="E227" i="4"/>
  <c r="D227" i="4"/>
  <c r="C227" i="4"/>
  <c r="X168" i="4"/>
  <c r="K359" i="4"/>
  <c r="G359" i="4"/>
  <c r="F359" i="4"/>
  <c r="E359" i="4"/>
  <c r="D359" i="4"/>
  <c r="C359" i="4"/>
  <c r="X167" i="4"/>
  <c r="K226" i="4"/>
  <c r="G226" i="4"/>
  <c r="F226" i="4"/>
  <c r="E226" i="4"/>
  <c r="D226" i="4"/>
  <c r="C226" i="4"/>
  <c r="X166" i="4"/>
  <c r="L95" i="4"/>
  <c r="K95" i="4"/>
  <c r="G95" i="4"/>
  <c r="F95" i="4"/>
  <c r="E95" i="4"/>
  <c r="D95" i="4"/>
  <c r="C95" i="4"/>
  <c r="X165" i="4"/>
  <c r="L225" i="4"/>
  <c r="K225" i="4"/>
  <c r="J225" i="4"/>
  <c r="G225" i="4"/>
  <c r="F225" i="4"/>
  <c r="E225" i="4"/>
  <c r="D225" i="4"/>
  <c r="C225" i="4"/>
  <c r="X164" i="4"/>
  <c r="K94" i="4"/>
  <c r="J94" i="4"/>
  <c r="G94" i="4"/>
  <c r="F94" i="4"/>
  <c r="E94" i="4"/>
  <c r="D94" i="4"/>
  <c r="C94" i="4"/>
  <c r="X163" i="4"/>
  <c r="K358" i="4"/>
  <c r="J358" i="4"/>
  <c r="G358" i="4"/>
  <c r="F358" i="4"/>
  <c r="E358" i="4"/>
  <c r="D358" i="4"/>
  <c r="C358" i="4"/>
  <c r="X162" i="4"/>
  <c r="L224" i="4"/>
  <c r="K224" i="4"/>
  <c r="G224" i="4"/>
  <c r="F224" i="4"/>
  <c r="E224" i="4"/>
  <c r="D224" i="4"/>
  <c r="C224" i="4"/>
  <c r="X161" i="4"/>
  <c r="K93" i="4"/>
  <c r="G93" i="4"/>
  <c r="F93" i="4"/>
  <c r="E93" i="4"/>
  <c r="D93" i="4"/>
  <c r="C93" i="4"/>
  <c r="X160" i="4"/>
  <c r="K223" i="4"/>
  <c r="G223" i="4"/>
  <c r="F223" i="4"/>
  <c r="E223" i="4"/>
  <c r="D223" i="4"/>
  <c r="C223" i="4"/>
  <c r="X159" i="4"/>
  <c r="O357" i="4"/>
  <c r="L357" i="4"/>
  <c r="K357" i="4"/>
  <c r="J357" i="4"/>
  <c r="G357" i="4"/>
  <c r="F357" i="4"/>
  <c r="E357" i="4"/>
  <c r="D357" i="4"/>
  <c r="C357" i="4"/>
  <c r="X158" i="4"/>
  <c r="O222" i="4"/>
  <c r="L222" i="4"/>
  <c r="K222" i="4"/>
  <c r="J222" i="4"/>
  <c r="G222" i="4"/>
  <c r="F222" i="4"/>
  <c r="E222" i="4"/>
  <c r="D222" i="4"/>
  <c r="C222" i="4"/>
  <c r="X157" i="4"/>
  <c r="O220" i="4"/>
  <c r="L220" i="4"/>
  <c r="K220" i="4"/>
  <c r="G220" i="4"/>
  <c r="F220" i="4"/>
  <c r="E220" i="4"/>
  <c r="D220" i="4"/>
  <c r="C220" i="4"/>
  <c r="X156" i="4"/>
  <c r="O219" i="4"/>
  <c r="L219" i="4"/>
  <c r="K219" i="4"/>
  <c r="G219" i="4"/>
  <c r="F219" i="4"/>
  <c r="E219" i="4"/>
  <c r="D219" i="4"/>
  <c r="C219" i="4"/>
  <c r="X155" i="4"/>
  <c r="O92" i="4"/>
  <c r="L92" i="4"/>
  <c r="K92" i="4"/>
  <c r="J92" i="4"/>
  <c r="G92" i="4"/>
  <c r="F92" i="4"/>
  <c r="E92" i="4"/>
  <c r="D92" i="4"/>
  <c r="C92" i="4"/>
  <c r="X154" i="4"/>
  <c r="O91" i="4"/>
  <c r="L91" i="4"/>
  <c r="K91" i="4"/>
  <c r="J91" i="4"/>
  <c r="G91" i="4"/>
  <c r="F91" i="4"/>
  <c r="E91" i="4"/>
  <c r="D91" i="4"/>
  <c r="C91" i="4"/>
  <c r="X153" i="4"/>
  <c r="L90" i="4"/>
  <c r="K90" i="4"/>
  <c r="J90" i="4"/>
  <c r="G90" i="4"/>
  <c r="F90" i="4"/>
  <c r="E90" i="4"/>
  <c r="D90" i="4"/>
  <c r="C90" i="4"/>
  <c r="X152" i="4"/>
  <c r="L356" i="4"/>
  <c r="K356" i="4"/>
  <c r="G356" i="4"/>
  <c r="F356" i="4"/>
  <c r="E356" i="4"/>
  <c r="D356" i="4"/>
  <c r="C356" i="4"/>
  <c r="X151" i="4"/>
  <c r="L355" i="4"/>
  <c r="K355" i="4"/>
  <c r="J355" i="4"/>
  <c r="G355" i="4"/>
  <c r="F355" i="4"/>
  <c r="E355" i="4"/>
  <c r="D355" i="4"/>
  <c r="C355" i="4"/>
  <c r="X150" i="4"/>
  <c r="O89" i="4"/>
  <c r="L89" i="4"/>
  <c r="K89" i="4"/>
  <c r="J89" i="4"/>
  <c r="G89" i="4"/>
  <c r="F89" i="4"/>
  <c r="E89" i="4"/>
  <c r="D89" i="4"/>
  <c r="C89" i="4"/>
  <c r="X149" i="4"/>
  <c r="K221" i="4"/>
  <c r="F221" i="4"/>
  <c r="E221" i="4"/>
  <c r="X148" i="4"/>
  <c r="L88" i="4"/>
  <c r="K88" i="4"/>
  <c r="G88" i="4"/>
  <c r="E88" i="4"/>
  <c r="D88" i="4"/>
  <c r="C88" i="4"/>
  <c r="X147" i="4"/>
  <c r="K87" i="4"/>
  <c r="F87" i="4"/>
  <c r="E87" i="4"/>
  <c r="D87" i="4"/>
  <c r="C87" i="4"/>
  <c r="X146" i="4"/>
  <c r="L86" i="4"/>
  <c r="K86" i="4"/>
  <c r="G86" i="4"/>
  <c r="E86" i="4"/>
  <c r="D86" i="4"/>
  <c r="C86" i="4"/>
  <c r="X145" i="4"/>
  <c r="K85" i="4"/>
  <c r="G85" i="4"/>
  <c r="F85" i="4"/>
  <c r="E85" i="4"/>
  <c r="D85" i="4"/>
  <c r="C85" i="4"/>
  <c r="X144" i="4"/>
  <c r="L84" i="4"/>
  <c r="K84" i="4"/>
  <c r="E84" i="4"/>
  <c r="D84" i="4"/>
  <c r="C84" i="4"/>
  <c r="X143" i="4"/>
  <c r="K83" i="4"/>
  <c r="G83" i="4"/>
  <c r="F83" i="4"/>
  <c r="E83" i="4"/>
  <c r="D83" i="4"/>
  <c r="C83" i="4"/>
  <c r="X142" i="4"/>
  <c r="L82" i="4"/>
  <c r="K82" i="4"/>
  <c r="G82" i="4"/>
  <c r="E82" i="4"/>
  <c r="D82" i="4"/>
  <c r="C82" i="4"/>
  <c r="X141" i="4"/>
  <c r="K81" i="4"/>
  <c r="J81" i="4"/>
  <c r="G81" i="4"/>
  <c r="F81" i="4"/>
  <c r="D81" i="4"/>
  <c r="C81" i="4"/>
  <c r="X140" i="4"/>
  <c r="K80" i="4"/>
  <c r="J80" i="4"/>
  <c r="G80" i="4"/>
  <c r="F80" i="4"/>
  <c r="E80" i="4"/>
  <c r="D80" i="4"/>
  <c r="C80" i="4"/>
  <c r="X139" i="4"/>
  <c r="K79" i="4"/>
  <c r="F79" i="4"/>
  <c r="E79" i="4"/>
  <c r="D79" i="4"/>
  <c r="C79" i="4"/>
  <c r="X138" i="4"/>
  <c r="L78" i="4"/>
  <c r="K78" i="4"/>
  <c r="J78" i="4"/>
  <c r="G78" i="4"/>
  <c r="F78" i="4"/>
  <c r="E78" i="4"/>
  <c r="D78" i="4"/>
  <c r="C78" i="4"/>
  <c r="X137" i="4"/>
  <c r="L77" i="4"/>
  <c r="K77" i="4"/>
  <c r="J77" i="4"/>
  <c r="G77" i="4"/>
  <c r="F77" i="4"/>
  <c r="E77" i="4"/>
  <c r="D77" i="4"/>
  <c r="C77" i="4"/>
  <c r="X136" i="4"/>
  <c r="K76" i="4"/>
  <c r="J76" i="4"/>
  <c r="G76" i="4"/>
  <c r="F76" i="4"/>
  <c r="E76" i="4"/>
  <c r="D76" i="4"/>
  <c r="C76" i="4"/>
  <c r="X135" i="4"/>
  <c r="L75" i="4"/>
  <c r="K75" i="4"/>
  <c r="J75" i="4"/>
  <c r="G75" i="4"/>
  <c r="F75" i="4"/>
  <c r="E75" i="4"/>
  <c r="D75" i="4"/>
  <c r="C75" i="4"/>
  <c r="X134" i="4"/>
  <c r="L74" i="4"/>
  <c r="K74" i="4"/>
  <c r="G74" i="4"/>
  <c r="F74" i="4"/>
  <c r="E74" i="4"/>
  <c r="D74" i="4"/>
  <c r="C74" i="4"/>
  <c r="X133" i="4"/>
  <c r="L73" i="4"/>
  <c r="K73" i="4"/>
  <c r="J73" i="4"/>
  <c r="G73" i="4"/>
  <c r="F73" i="4"/>
  <c r="E73" i="4"/>
  <c r="D73" i="4"/>
  <c r="C73" i="4"/>
  <c r="X132" i="4"/>
  <c r="L72" i="4"/>
  <c r="K72" i="4"/>
  <c r="G72" i="4"/>
  <c r="F72" i="4"/>
  <c r="E72" i="4"/>
  <c r="D72" i="4"/>
  <c r="C72" i="4"/>
  <c r="X131" i="4"/>
  <c r="K71" i="4"/>
  <c r="G71" i="4"/>
  <c r="F71" i="4"/>
  <c r="E71" i="4"/>
  <c r="D71" i="4"/>
  <c r="C71" i="4"/>
  <c r="X130" i="4"/>
  <c r="L70" i="4"/>
  <c r="K70" i="4"/>
  <c r="G70" i="4"/>
  <c r="F70" i="4"/>
  <c r="E70" i="4"/>
  <c r="D70" i="4"/>
  <c r="C70" i="4"/>
  <c r="X129" i="4"/>
  <c r="K69" i="4"/>
  <c r="G69" i="4"/>
  <c r="F69" i="4"/>
  <c r="E69" i="4"/>
  <c r="D69" i="4"/>
  <c r="C69" i="4"/>
  <c r="X128" i="4"/>
  <c r="K68" i="4"/>
  <c r="J68" i="4"/>
  <c r="G68" i="4"/>
  <c r="F68" i="4"/>
  <c r="E68" i="4"/>
  <c r="D68" i="4"/>
  <c r="C68" i="4"/>
  <c r="X127" i="4"/>
  <c r="K67" i="4"/>
  <c r="G67" i="4"/>
  <c r="F67" i="4"/>
  <c r="E67" i="4"/>
  <c r="D67" i="4"/>
  <c r="C67" i="4"/>
  <c r="X126" i="4"/>
  <c r="L66" i="4"/>
  <c r="K66" i="4"/>
  <c r="G66" i="4"/>
  <c r="F66" i="4"/>
  <c r="E66" i="4"/>
  <c r="D66" i="4"/>
  <c r="C66" i="4"/>
  <c r="X125" i="4"/>
  <c r="K65" i="4"/>
  <c r="J65" i="4"/>
  <c r="G65" i="4"/>
  <c r="F65" i="4"/>
  <c r="E65" i="4"/>
  <c r="D65" i="4"/>
  <c r="C65" i="4"/>
  <c r="X124" i="4"/>
  <c r="L64" i="4"/>
  <c r="K64" i="4"/>
  <c r="G64" i="4"/>
  <c r="F64" i="4"/>
  <c r="E64" i="4"/>
  <c r="D64" i="4"/>
  <c r="C64" i="4"/>
  <c r="X123" i="4"/>
  <c r="L63" i="4"/>
  <c r="K63" i="4"/>
  <c r="G63" i="4"/>
  <c r="F63" i="4"/>
  <c r="E63" i="4"/>
  <c r="D63" i="4"/>
  <c r="C63" i="4"/>
  <c r="X122" i="4"/>
  <c r="O62" i="4"/>
  <c r="L62" i="4"/>
  <c r="K62" i="4"/>
  <c r="G62" i="4"/>
  <c r="F62" i="4"/>
  <c r="E62" i="4"/>
  <c r="D62" i="4"/>
  <c r="C62" i="4"/>
  <c r="X121" i="4"/>
  <c r="L61" i="4"/>
  <c r="K61" i="4"/>
  <c r="G61" i="4"/>
  <c r="F61" i="4"/>
  <c r="E61" i="4"/>
  <c r="D61" i="4"/>
  <c r="C61" i="4"/>
  <c r="X120" i="4"/>
  <c r="L60" i="4"/>
  <c r="K60" i="4"/>
  <c r="G60" i="4"/>
  <c r="F60" i="4"/>
  <c r="E60" i="4"/>
  <c r="D60" i="4"/>
  <c r="C60" i="4"/>
  <c r="X119" i="4"/>
  <c r="L59" i="4"/>
  <c r="K59" i="4"/>
  <c r="J59" i="4"/>
  <c r="G59" i="4"/>
  <c r="F59" i="4"/>
  <c r="E59" i="4"/>
  <c r="D59" i="4"/>
  <c r="C59" i="4"/>
  <c r="X118" i="4"/>
  <c r="L58" i="4"/>
  <c r="K58" i="4"/>
  <c r="G58" i="4"/>
  <c r="F58" i="4"/>
  <c r="E58" i="4"/>
  <c r="D58" i="4"/>
  <c r="C58" i="4"/>
  <c r="X117" i="4"/>
  <c r="K57" i="4"/>
  <c r="J57" i="4"/>
  <c r="G57" i="4"/>
  <c r="F57" i="4"/>
  <c r="E57" i="4"/>
  <c r="D57" i="4"/>
  <c r="C57" i="4"/>
  <c r="X116" i="4"/>
  <c r="L56" i="4"/>
  <c r="K56" i="4"/>
  <c r="J56" i="4"/>
  <c r="G56" i="4"/>
  <c r="F56" i="4"/>
  <c r="E56" i="4"/>
  <c r="D56" i="4"/>
  <c r="C56" i="4"/>
  <c r="X115" i="4"/>
  <c r="L55" i="4"/>
  <c r="K55" i="4"/>
  <c r="J55" i="4"/>
  <c r="G55" i="4"/>
  <c r="F55" i="4"/>
  <c r="E55" i="4"/>
  <c r="D55" i="4"/>
  <c r="C55" i="4"/>
  <c r="X114" i="4"/>
  <c r="L54" i="4"/>
  <c r="K54" i="4"/>
  <c r="G54" i="4"/>
  <c r="F54" i="4"/>
  <c r="E54" i="4"/>
  <c r="D54" i="4"/>
  <c r="C54" i="4"/>
  <c r="X113" i="4"/>
  <c r="L53" i="4"/>
  <c r="K53" i="4"/>
  <c r="J53" i="4"/>
  <c r="F53" i="4"/>
  <c r="E53" i="4"/>
  <c r="D53" i="4"/>
  <c r="C53" i="4"/>
  <c r="X112" i="4"/>
  <c r="L52" i="4"/>
  <c r="K52" i="4"/>
  <c r="G52" i="4"/>
  <c r="E52" i="4"/>
  <c r="D52" i="4"/>
  <c r="C52" i="4"/>
  <c r="X111" i="4"/>
  <c r="L51" i="4"/>
  <c r="K51" i="4"/>
  <c r="G51" i="4"/>
  <c r="D51" i="4"/>
  <c r="C51" i="4"/>
  <c r="X110" i="4"/>
  <c r="K50" i="4"/>
  <c r="G50" i="4"/>
  <c r="F50" i="4"/>
  <c r="D50" i="4"/>
  <c r="C50" i="4"/>
  <c r="X109" i="4"/>
  <c r="L49" i="4"/>
  <c r="K49" i="4"/>
  <c r="E49" i="4"/>
  <c r="D49" i="4"/>
  <c r="C49" i="4"/>
  <c r="X108" i="4"/>
  <c r="L48" i="4"/>
  <c r="K48" i="4"/>
  <c r="G48" i="4"/>
  <c r="E48" i="4"/>
  <c r="D48" i="4"/>
  <c r="C48" i="4"/>
  <c r="X107" i="4"/>
  <c r="L47" i="4"/>
  <c r="K47" i="4"/>
  <c r="F47" i="4"/>
  <c r="E47" i="4"/>
  <c r="D47" i="4"/>
  <c r="C47" i="4"/>
  <c r="X106" i="4"/>
  <c r="L46" i="4"/>
  <c r="K46" i="4"/>
  <c r="J46" i="4"/>
  <c r="F46" i="4"/>
  <c r="E46" i="4"/>
  <c r="D46" i="4"/>
  <c r="C46" i="4"/>
  <c r="X105" i="4"/>
  <c r="K218" i="4"/>
  <c r="G218" i="4"/>
  <c r="F218" i="4"/>
  <c r="D218" i="4"/>
  <c r="C218" i="4"/>
  <c r="X104" i="4"/>
  <c r="L217" i="4"/>
  <c r="K217" i="4"/>
  <c r="G217" i="4"/>
  <c r="D217" i="4"/>
  <c r="C217" i="4"/>
  <c r="X103" i="4"/>
  <c r="L45" i="4"/>
  <c r="K45" i="4"/>
  <c r="F45" i="4"/>
  <c r="E45" i="4"/>
  <c r="D45" i="4"/>
  <c r="C45" i="4"/>
  <c r="X102" i="4"/>
  <c r="O44" i="4"/>
  <c r="L44" i="4"/>
  <c r="K44" i="4"/>
  <c r="G44" i="4"/>
  <c r="F44" i="4"/>
  <c r="E44" i="4"/>
  <c r="D44" i="4"/>
  <c r="C44" i="4"/>
  <c r="X101" i="4"/>
  <c r="K43" i="4"/>
  <c r="G43" i="4"/>
  <c r="F43" i="4"/>
  <c r="D43" i="4"/>
  <c r="C43" i="4"/>
  <c r="X100" i="4"/>
  <c r="L42" i="4"/>
  <c r="K42" i="4"/>
  <c r="G42" i="4"/>
  <c r="E42" i="4"/>
  <c r="D42" i="4"/>
  <c r="C42" i="4"/>
  <c r="X99" i="4"/>
  <c r="L41" i="4"/>
  <c r="K41" i="4"/>
  <c r="F41" i="4"/>
  <c r="E41" i="4"/>
  <c r="D41" i="4"/>
  <c r="C41" i="4"/>
  <c r="X98" i="4"/>
  <c r="F216" i="4"/>
  <c r="E216" i="4"/>
  <c r="D216" i="4"/>
  <c r="C216" i="4"/>
  <c r="X97" i="4"/>
  <c r="K40" i="4"/>
  <c r="G40" i="4"/>
  <c r="F40" i="4"/>
  <c r="E40" i="4"/>
  <c r="D40" i="4"/>
  <c r="C40" i="4"/>
  <c r="X96" i="4"/>
  <c r="L39" i="4"/>
  <c r="K39" i="4"/>
  <c r="F39" i="4"/>
  <c r="E39" i="4"/>
  <c r="D39" i="4"/>
  <c r="C39" i="4"/>
  <c r="X95" i="4"/>
  <c r="K215" i="4"/>
  <c r="G215" i="4"/>
  <c r="F215" i="4"/>
  <c r="E215" i="4"/>
  <c r="D215" i="4"/>
  <c r="C215" i="4"/>
  <c r="X94" i="4"/>
  <c r="K214" i="4"/>
  <c r="G214" i="4"/>
  <c r="F214" i="4"/>
  <c r="E214" i="4"/>
  <c r="D214" i="4"/>
  <c r="C214" i="4"/>
  <c r="X93" i="4"/>
  <c r="K213" i="4"/>
  <c r="G213" i="4"/>
  <c r="F213" i="4"/>
  <c r="E213" i="4"/>
  <c r="D213" i="4"/>
  <c r="C213" i="4"/>
  <c r="X92" i="4"/>
  <c r="L212" i="4"/>
  <c r="K212" i="4"/>
  <c r="G212" i="4"/>
  <c r="F212" i="4"/>
  <c r="D212" i="4"/>
  <c r="C212" i="4"/>
  <c r="X91" i="4"/>
  <c r="L38" i="4"/>
  <c r="K38" i="4"/>
  <c r="J38" i="4"/>
  <c r="G38" i="4"/>
  <c r="F38" i="4"/>
  <c r="E38" i="4"/>
  <c r="D38" i="4"/>
  <c r="C38" i="4"/>
  <c r="X90" i="4"/>
  <c r="L37" i="4"/>
  <c r="K37" i="4"/>
  <c r="J37" i="4"/>
  <c r="G37" i="4"/>
  <c r="F37" i="4"/>
  <c r="E37" i="4"/>
  <c r="D37" i="4"/>
  <c r="C37" i="4"/>
  <c r="X89" i="4"/>
  <c r="O36" i="4"/>
  <c r="L36" i="4"/>
  <c r="K36" i="4"/>
  <c r="J36" i="4"/>
  <c r="G36" i="4"/>
  <c r="F36" i="4"/>
  <c r="E36" i="4"/>
  <c r="D36" i="4"/>
  <c r="C36" i="4"/>
  <c r="X88" i="4"/>
  <c r="O35" i="4"/>
  <c r="L35" i="4"/>
  <c r="K35" i="4"/>
  <c r="G35" i="4"/>
  <c r="F35" i="4"/>
  <c r="E35" i="4"/>
  <c r="D35" i="4"/>
  <c r="C35" i="4"/>
  <c r="X87" i="4"/>
  <c r="O34" i="4"/>
  <c r="L34" i="4"/>
  <c r="K34" i="4"/>
  <c r="G34" i="4"/>
  <c r="F34" i="4"/>
  <c r="D34" i="4"/>
  <c r="C34" i="4"/>
  <c r="X86" i="4"/>
  <c r="O33" i="4"/>
  <c r="L33" i="4"/>
  <c r="K33" i="4"/>
  <c r="J33" i="4"/>
  <c r="G33" i="4"/>
  <c r="F33" i="4"/>
  <c r="E33" i="4"/>
  <c r="D33" i="4"/>
  <c r="C33" i="4"/>
  <c r="X85" i="4"/>
  <c r="O32" i="4"/>
  <c r="L32" i="4"/>
  <c r="K32" i="4"/>
  <c r="J32" i="4"/>
  <c r="G32" i="4"/>
  <c r="F32" i="4"/>
  <c r="E32" i="4"/>
  <c r="D32" i="4"/>
  <c r="C32" i="4"/>
  <c r="X84" i="4"/>
  <c r="L31" i="4"/>
  <c r="K31" i="4"/>
  <c r="J31" i="4"/>
  <c r="F31" i="4"/>
  <c r="E31" i="4"/>
  <c r="D31" i="4"/>
  <c r="C31" i="4"/>
  <c r="X83" i="4"/>
  <c r="L30" i="4"/>
  <c r="K30" i="4"/>
  <c r="G30" i="4"/>
  <c r="F30" i="4"/>
  <c r="E30" i="4"/>
  <c r="D30" i="4"/>
  <c r="C30" i="4"/>
  <c r="X82" i="4"/>
  <c r="O29" i="4"/>
  <c r="L29" i="4"/>
  <c r="K29" i="4"/>
  <c r="G29" i="4"/>
  <c r="F29" i="4"/>
  <c r="E29" i="4"/>
  <c r="D29" i="4"/>
  <c r="C29" i="4"/>
  <c r="X81" i="4"/>
  <c r="L28" i="4"/>
  <c r="K28" i="4"/>
  <c r="J28" i="4"/>
  <c r="G28" i="4"/>
  <c r="F28" i="4"/>
  <c r="E28" i="4"/>
  <c r="D28" i="4"/>
  <c r="C28" i="4"/>
  <c r="X80" i="4"/>
  <c r="O27" i="4"/>
  <c r="L27" i="4"/>
  <c r="K27" i="4"/>
  <c r="G27" i="4"/>
  <c r="F27" i="4"/>
  <c r="E27" i="4"/>
  <c r="D27" i="4"/>
  <c r="C27" i="4"/>
  <c r="X79" i="4"/>
  <c r="O26" i="4"/>
  <c r="L26" i="4"/>
  <c r="K26" i="4"/>
  <c r="J26" i="4"/>
  <c r="G26" i="4"/>
  <c r="F26" i="4"/>
  <c r="E26" i="4"/>
  <c r="D26" i="4"/>
  <c r="C26" i="4"/>
  <c r="X78" i="4"/>
  <c r="O25" i="4"/>
  <c r="L25" i="4"/>
  <c r="K25" i="4"/>
  <c r="G25" i="4"/>
  <c r="F25" i="4"/>
  <c r="D25" i="4"/>
  <c r="C25" i="4"/>
  <c r="X77" i="4"/>
  <c r="L24" i="4"/>
  <c r="K24" i="4"/>
  <c r="G24" i="4"/>
  <c r="F24" i="4"/>
  <c r="E24" i="4"/>
  <c r="D24" i="4"/>
  <c r="C24" i="4"/>
  <c r="X76" i="4"/>
  <c r="L23" i="4"/>
  <c r="K23" i="4"/>
  <c r="G23" i="4"/>
  <c r="F23" i="4"/>
  <c r="E23" i="4"/>
  <c r="D23" i="4"/>
  <c r="C23" i="4"/>
  <c r="X75" i="4"/>
  <c r="L22" i="4"/>
  <c r="K22" i="4"/>
  <c r="J22" i="4"/>
  <c r="G22" i="4"/>
  <c r="F22" i="4"/>
  <c r="E22" i="4"/>
  <c r="D22" i="4"/>
  <c r="C22" i="4"/>
  <c r="X74" i="4"/>
  <c r="O21" i="4"/>
  <c r="L21" i="4"/>
  <c r="K21" i="4"/>
  <c r="J21" i="4"/>
  <c r="G21" i="4"/>
  <c r="F21" i="4"/>
  <c r="E21" i="4"/>
  <c r="D21" i="4"/>
  <c r="C21" i="4"/>
  <c r="X73" i="4"/>
  <c r="L20" i="4"/>
  <c r="K20" i="4"/>
  <c r="J20" i="4"/>
  <c r="G20" i="4"/>
  <c r="F20" i="4"/>
  <c r="E20" i="4"/>
  <c r="D20" i="4"/>
  <c r="C20" i="4"/>
  <c r="X72" i="4"/>
  <c r="K19" i="4"/>
  <c r="J19" i="4"/>
  <c r="G19" i="4"/>
  <c r="F19" i="4"/>
  <c r="E19" i="4"/>
  <c r="D19" i="4"/>
  <c r="C19" i="4"/>
  <c r="X71" i="4"/>
  <c r="K18" i="4"/>
  <c r="J18" i="4"/>
  <c r="G18" i="4"/>
  <c r="F18" i="4"/>
  <c r="E18" i="4"/>
  <c r="D18" i="4"/>
  <c r="C18" i="4"/>
  <c r="X70" i="4"/>
  <c r="L17" i="4"/>
  <c r="K17" i="4"/>
  <c r="J17" i="4"/>
  <c r="G17" i="4"/>
  <c r="F17" i="4"/>
  <c r="E17" i="4"/>
  <c r="D17" i="4"/>
  <c r="C17" i="4"/>
  <c r="X69" i="4"/>
  <c r="O16" i="4"/>
  <c r="L16" i="4"/>
  <c r="K16" i="4"/>
  <c r="G16" i="4"/>
  <c r="F16" i="4"/>
  <c r="E16" i="4"/>
  <c r="D16" i="4"/>
  <c r="C16" i="4"/>
  <c r="X68" i="4"/>
  <c r="L15" i="4"/>
  <c r="K15" i="4"/>
  <c r="J15" i="4"/>
  <c r="G15" i="4"/>
  <c r="F15" i="4"/>
  <c r="E15" i="4"/>
  <c r="D15" i="4"/>
  <c r="C15" i="4"/>
  <c r="X67" i="4"/>
  <c r="L354" i="4"/>
  <c r="K354" i="4"/>
  <c r="G354" i="4"/>
  <c r="F354" i="4"/>
  <c r="E354" i="4"/>
  <c r="D354" i="4"/>
  <c r="C354" i="4"/>
  <c r="X66" i="4"/>
  <c r="L211" i="4"/>
  <c r="K211" i="4"/>
  <c r="J211" i="4"/>
  <c r="G211" i="4"/>
  <c r="F211" i="4"/>
  <c r="E211" i="4"/>
  <c r="D211" i="4"/>
  <c r="C211" i="4"/>
  <c r="X65" i="4"/>
  <c r="L353" i="4"/>
  <c r="K353" i="4"/>
  <c r="G353" i="4"/>
  <c r="F353" i="4"/>
  <c r="E353" i="4"/>
  <c r="D353" i="4"/>
  <c r="C353" i="4"/>
  <c r="X64" i="4"/>
  <c r="L210" i="4"/>
  <c r="K210" i="4"/>
  <c r="G210" i="4"/>
  <c r="F210" i="4"/>
  <c r="E210" i="4"/>
  <c r="D210" i="4"/>
  <c r="C210" i="4"/>
  <c r="X63" i="4"/>
  <c r="L352" i="4"/>
  <c r="K352" i="4"/>
  <c r="G352" i="4"/>
  <c r="F352" i="4"/>
  <c r="E352" i="4"/>
  <c r="D352" i="4"/>
  <c r="C352" i="4"/>
  <c r="X62" i="4"/>
  <c r="K209" i="4"/>
  <c r="G209" i="4"/>
  <c r="F209" i="4"/>
  <c r="E209" i="4"/>
  <c r="D209" i="4"/>
  <c r="C209" i="4"/>
  <c r="X61" i="4"/>
  <c r="L208" i="4"/>
  <c r="K208" i="4"/>
  <c r="G208" i="4"/>
  <c r="F208" i="4"/>
  <c r="E208" i="4"/>
  <c r="D208" i="4"/>
  <c r="C208" i="4"/>
  <c r="X60" i="4"/>
  <c r="L351" i="4"/>
  <c r="K351" i="4"/>
  <c r="G351" i="4"/>
  <c r="F351" i="4"/>
  <c r="E351" i="4"/>
  <c r="D351" i="4"/>
  <c r="C351" i="4"/>
  <c r="X59" i="4"/>
  <c r="L207" i="4"/>
  <c r="K207" i="4"/>
  <c r="G207" i="4"/>
  <c r="F207" i="4"/>
  <c r="E207" i="4"/>
  <c r="D207" i="4"/>
  <c r="C207" i="4"/>
  <c r="X58" i="4"/>
  <c r="L350" i="4"/>
  <c r="K350" i="4"/>
  <c r="J350" i="4"/>
  <c r="G350" i="4"/>
  <c r="F350" i="4"/>
  <c r="E350" i="4"/>
  <c r="D350" i="4"/>
  <c r="C350" i="4"/>
  <c r="X57" i="4"/>
  <c r="O206" i="4"/>
  <c r="L206" i="4"/>
  <c r="K206" i="4"/>
  <c r="J206" i="4"/>
  <c r="G206" i="4"/>
  <c r="F206" i="4"/>
  <c r="E206" i="4"/>
  <c r="D206" i="4"/>
  <c r="C206" i="4"/>
  <c r="X56" i="4"/>
  <c r="L349" i="4"/>
  <c r="K349" i="4"/>
  <c r="G349" i="4"/>
  <c r="F349" i="4"/>
  <c r="E349" i="4"/>
  <c r="D349" i="4"/>
  <c r="C349" i="4"/>
  <c r="X55" i="4"/>
  <c r="L205" i="4"/>
  <c r="K205" i="4"/>
  <c r="J205" i="4"/>
  <c r="G205" i="4"/>
  <c r="F205" i="4"/>
  <c r="E205" i="4"/>
  <c r="D205" i="4"/>
  <c r="C205" i="4"/>
  <c r="X54" i="4"/>
  <c r="O348" i="4"/>
  <c r="L348" i="4"/>
  <c r="K348" i="4"/>
  <c r="J348" i="4"/>
  <c r="G348" i="4"/>
  <c r="F348" i="4"/>
  <c r="E348" i="4"/>
  <c r="D348" i="4"/>
  <c r="C348" i="4"/>
  <c r="X53" i="4"/>
  <c r="L204" i="4"/>
  <c r="K204" i="4"/>
  <c r="J204" i="4"/>
  <c r="G204" i="4"/>
  <c r="F204" i="4"/>
  <c r="E204" i="4"/>
  <c r="D204" i="4"/>
  <c r="C204" i="4"/>
  <c r="X52" i="4"/>
  <c r="O347" i="4"/>
  <c r="L347" i="4"/>
  <c r="K347" i="4"/>
  <c r="J347" i="4"/>
  <c r="G347" i="4"/>
  <c r="F347" i="4"/>
  <c r="E347" i="4"/>
  <c r="D347" i="4"/>
  <c r="C347" i="4"/>
  <c r="X51" i="4"/>
  <c r="O203" i="4"/>
  <c r="L203" i="4"/>
  <c r="K203" i="4"/>
  <c r="J203" i="4"/>
  <c r="G203" i="4"/>
  <c r="F203" i="4"/>
  <c r="E203" i="4"/>
  <c r="D203" i="4"/>
  <c r="C203" i="4"/>
  <c r="X50" i="4"/>
  <c r="O346" i="4"/>
  <c r="L346" i="4"/>
  <c r="K346" i="4"/>
  <c r="G346" i="4"/>
  <c r="F346" i="4"/>
  <c r="E346" i="4"/>
  <c r="D346" i="4"/>
  <c r="C346" i="4"/>
  <c r="X49" i="4"/>
  <c r="O202" i="4"/>
  <c r="L202" i="4"/>
  <c r="K202" i="4"/>
  <c r="G202" i="4"/>
  <c r="F202" i="4"/>
  <c r="E202" i="4"/>
  <c r="D202" i="4"/>
  <c r="C202" i="4"/>
  <c r="X48" i="4"/>
  <c r="O345" i="4"/>
  <c r="L345" i="4"/>
  <c r="K345" i="4"/>
  <c r="G345" i="4"/>
  <c r="F345" i="4"/>
  <c r="E345" i="4"/>
  <c r="D345" i="4"/>
  <c r="C345" i="4"/>
  <c r="X47" i="4"/>
  <c r="O201" i="4"/>
  <c r="L201" i="4"/>
  <c r="K201" i="4"/>
  <c r="J201" i="4"/>
  <c r="G201" i="4"/>
  <c r="F201" i="4"/>
  <c r="E201" i="4"/>
  <c r="D201" i="4"/>
  <c r="C201" i="4"/>
  <c r="X46" i="4"/>
  <c r="O344" i="4"/>
  <c r="L344" i="4"/>
  <c r="K344" i="4"/>
  <c r="G344" i="4"/>
  <c r="F344" i="4"/>
  <c r="E344" i="4"/>
  <c r="D344" i="4"/>
  <c r="C344" i="4"/>
  <c r="X45" i="4"/>
  <c r="L200" i="4"/>
  <c r="K200" i="4"/>
  <c r="J200" i="4"/>
  <c r="G200" i="4"/>
  <c r="F200" i="4"/>
  <c r="E200" i="4"/>
  <c r="D200" i="4"/>
  <c r="C200" i="4"/>
  <c r="X44" i="4"/>
  <c r="L343" i="4"/>
  <c r="K343" i="4"/>
  <c r="G343" i="4"/>
  <c r="F343" i="4"/>
  <c r="E343" i="4"/>
  <c r="D343" i="4"/>
  <c r="C343" i="4"/>
  <c r="X43" i="4"/>
  <c r="K199" i="4"/>
  <c r="G199" i="4"/>
  <c r="F199" i="4"/>
  <c r="E199" i="4"/>
  <c r="D199" i="4"/>
  <c r="C199" i="4"/>
  <c r="X42" i="4"/>
  <c r="K198" i="4"/>
  <c r="J198" i="4"/>
  <c r="G198" i="4"/>
  <c r="F198" i="4"/>
  <c r="E198" i="4"/>
  <c r="D198" i="4"/>
  <c r="C198" i="4"/>
  <c r="X41" i="4"/>
  <c r="L342" i="4"/>
  <c r="K342" i="4"/>
  <c r="G342" i="4"/>
  <c r="F342" i="4"/>
  <c r="E342" i="4"/>
  <c r="D342" i="4"/>
  <c r="C342" i="4"/>
  <c r="X40" i="4"/>
  <c r="L197" i="4"/>
  <c r="K197" i="4"/>
  <c r="G197" i="4"/>
  <c r="F197" i="4"/>
  <c r="E197" i="4"/>
  <c r="D197" i="4"/>
  <c r="C197" i="4"/>
  <c r="X39" i="4"/>
  <c r="L341" i="4"/>
  <c r="K341" i="4"/>
  <c r="J341" i="4"/>
  <c r="G341" i="4"/>
  <c r="F341" i="4"/>
  <c r="E341" i="4"/>
  <c r="D341" i="4"/>
  <c r="C341" i="4"/>
  <c r="X38" i="4"/>
  <c r="O196" i="4"/>
  <c r="L196" i="4"/>
  <c r="K196" i="4"/>
  <c r="J196" i="4"/>
  <c r="G196" i="4"/>
  <c r="F196" i="4"/>
  <c r="E196" i="4"/>
  <c r="D196" i="4"/>
  <c r="C196" i="4"/>
  <c r="X37" i="4"/>
  <c r="O340" i="4"/>
  <c r="L340" i="4"/>
  <c r="K340" i="4"/>
  <c r="G340" i="4"/>
  <c r="F340" i="4"/>
  <c r="E340" i="4"/>
  <c r="D340" i="4"/>
  <c r="C340" i="4"/>
  <c r="X36" i="4"/>
  <c r="O195" i="4"/>
  <c r="L195" i="4"/>
  <c r="K195" i="4"/>
  <c r="J195" i="4"/>
  <c r="G195" i="4"/>
  <c r="F195" i="4"/>
  <c r="E195" i="4"/>
  <c r="D195" i="4"/>
  <c r="C195" i="4"/>
  <c r="X35" i="4"/>
  <c r="K339" i="4"/>
  <c r="G339" i="4"/>
  <c r="F339" i="4"/>
  <c r="E339" i="4"/>
  <c r="D339" i="4"/>
  <c r="C339" i="4"/>
  <c r="X34" i="4"/>
  <c r="K194" i="4"/>
  <c r="G194" i="4"/>
  <c r="F194" i="4"/>
  <c r="E194" i="4"/>
  <c r="D194" i="4"/>
  <c r="C194" i="4"/>
  <c r="X33" i="4"/>
  <c r="L193" i="4"/>
  <c r="K193" i="4"/>
  <c r="J193" i="4"/>
  <c r="G193" i="4"/>
  <c r="F193" i="4"/>
  <c r="E193" i="4"/>
  <c r="D193" i="4"/>
  <c r="C193" i="4"/>
  <c r="X32" i="4"/>
  <c r="L338" i="4"/>
  <c r="K338" i="4"/>
  <c r="J338" i="4"/>
  <c r="G338" i="4"/>
  <c r="F338" i="4"/>
  <c r="E338" i="4"/>
  <c r="D338" i="4"/>
  <c r="C338" i="4"/>
  <c r="X31" i="4"/>
  <c r="K192" i="4"/>
  <c r="J192" i="4"/>
  <c r="G192" i="4"/>
  <c r="F192" i="4"/>
  <c r="E192" i="4"/>
  <c r="D192" i="4"/>
  <c r="C192" i="4"/>
  <c r="X30" i="4"/>
  <c r="K14" i="4"/>
  <c r="J14" i="4"/>
  <c r="G14" i="4"/>
  <c r="F14" i="4"/>
  <c r="E14" i="4"/>
  <c r="D14" i="4"/>
  <c r="C14" i="4"/>
  <c r="X29" i="4"/>
  <c r="O337" i="4"/>
  <c r="L337" i="4"/>
  <c r="K337" i="4"/>
  <c r="G337" i="4"/>
  <c r="F337" i="4"/>
  <c r="E337" i="4"/>
  <c r="D337" i="4"/>
  <c r="C337" i="4"/>
  <c r="X28" i="4"/>
  <c r="L191" i="4"/>
  <c r="K191" i="4"/>
  <c r="G191" i="4"/>
  <c r="F191" i="4"/>
  <c r="E191" i="4"/>
  <c r="D191" i="4"/>
  <c r="C191" i="4"/>
  <c r="X27" i="4"/>
  <c r="O13" i="4"/>
  <c r="L13" i="4"/>
  <c r="K13" i="4"/>
  <c r="G13" i="4"/>
  <c r="F13" i="4"/>
  <c r="E13" i="4"/>
  <c r="D13" i="4"/>
  <c r="C13" i="4"/>
  <c r="X26" i="4"/>
  <c r="L336" i="4"/>
  <c r="K336" i="4"/>
  <c r="G336" i="4"/>
  <c r="F336" i="4"/>
  <c r="E336" i="4"/>
  <c r="D336" i="4"/>
  <c r="C336" i="4"/>
  <c r="X25" i="4"/>
  <c r="L190" i="4"/>
  <c r="K190" i="4"/>
  <c r="G190" i="4"/>
  <c r="F190" i="4"/>
  <c r="E190" i="4"/>
  <c r="D190" i="4"/>
  <c r="C190" i="4"/>
  <c r="X24" i="4"/>
  <c r="O12" i="4"/>
  <c r="K12" i="4"/>
  <c r="G12" i="4"/>
  <c r="F12" i="4"/>
  <c r="E12" i="4"/>
  <c r="D12" i="4"/>
  <c r="C12" i="4"/>
  <c r="X23" i="4"/>
  <c r="L335" i="4"/>
  <c r="K335" i="4"/>
  <c r="J335" i="4"/>
  <c r="G335" i="4"/>
  <c r="F335" i="4"/>
  <c r="E335" i="4"/>
  <c r="D335" i="4"/>
  <c r="C335" i="4"/>
  <c r="X22" i="4"/>
  <c r="L189" i="4"/>
  <c r="K189" i="4"/>
  <c r="J189" i="4"/>
  <c r="G189" i="4"/>
  <c r="F189" i="4"/>
  <c r="E189" i="4"/>
  <c r="D189" i="4"/>
  <c r="C189" i="4"/>
  <c r="X21" i="4"/>
  <c r="K11" i="4"/>
  <c r="J11" i="4"/>
  <c r="G11" i="4"/>
  <c r="F11" i="4"/>
  <c r="E11" i="4"/>
  <c r="D11" i="4"/>
  <c r="C11" i="4"/>
  <c r="X20" i="4"/>
  <c r="K334" i="4"/>
  <c r="G334" i="4"/>
  <c r="F334" i="4"/>
  <c r="E334" i="4"/>
  <c r="D334" i="4"/>
  <c r="C334" i="4"/>
  <c r="X19" i="4"/>
  <c r="K10" i="4"/>
  <c r="G10" i="4"/>
  <c r="F10" i="4"/>
  <c r="E10" i="4"/>
  <c r="C10" i="4"/>
  <c r="X18" i="4"/>
  <c r="K333" i="4"/>
  <c r="G333" i="4"/>
  <c r="F333" i="4"/>
  <c r="E333" i="4"/>
  <c r="D333" i="4"/>
  <c r="C333" i="4"/>
  <c r="X17" i="4"/>
  <c r="K188" i="4"/>
  <c r="G188" i="4"/>
  <c r="F188" i="4"/>
  <c r="E188" i="4"/>
  <c r="D188" i="4"/>
  <c r="C188" i="4"/>
  <c r="X16" i="4"/>
  <c r="O332" i="4"/>
  <c r="L332" i="4"/>
  <c r="K332" i="4"/>
  <c r="J332" i="4"/>
  <c r="G332" i="4"/>
  <c r="F332" i="4"/>
  <c r="E332" i="4"/>
  <c r="D332" i="4"/>
  <c r="C332" i="4"/>
  <c r="X15" i="4"/>
  <c r="O187" i="4"/>
  <c r="L187" i="4"/>
  <c r="K187" i="4"/>
  <c r="G187" i="4"/>
  <c r="F187" i="4"/>
  <c r="E187" i="4"/>
  <c r="D187" i="4"/>
  <c r="C187" i="4"/>
  <c r="X14" i="4"/>
  <c r="L186" i="4"/>
  <c r="K186" i="4"/>
  <c r="J186" i="4"/>
  <c r="G186" i="4"/>
  <c r="F186" i="4"/>
  <c r="E186" i="4"/>
  <c r="D186" i="4"/>
  <c r="C186" i="4"/>
  <c r="O185" i="4"/>
  <c r="L185" i="4"/>
  <c r="K185" i="4"/>
  <c r="G185" i="4"/>
  <c r="F185" i="4"/>
  <c r="E185" i="4"/>
  <c r="D185" i="4"/>
  <c r="C185" i="4"/>
  <c r="X12" i="4"/>
  <c r="O331" i="4"/>
  <c r="L331" i="4"/>
  <c r="K331" i="4"/>
  <c r="J331" i="4"/>
  <c r="G331" i="4"/>
  <c r="F331" i="4"/>
  <c r="E331" i="4"/>
  <c r="D331" i="4"/>
  <c r="C331" i="4"/>
  <c r="X11" i="4"/>
  <c r="J330" i="4"/>
  <c r="G330" i="4"/>
  <c r="F330" i="4"/>
  <c r="E330" i="4"/>
  <c r="D330" i="4"/>
  <c r="C330" i="4"/>
  <c r="X10" i="4"/>
  <c r="J184" i="4"/>
  <c r="G184" i="4"/>
  <c r="F184" i="4"/>
  <c r="E184" i="4"/>
  <c r="D184" i="4"/>
  <c r="C184" i="4"/>
  <c r="W8" i="4"/>
  <c r="V8" i="4"/>
  <c r="U8" i="4"/>
  <c r="R8" i="4"/>
  <c r="Q8" i="4"/>
  <c r="P8" i="4"/>
  <c r="A55" i="3"/>
  <c r="M54" i="3"/>
  <c r="L53" i="3"/>
  <c r="K44" i="3"/>
  <c r="E44" i="3"/>
  <c r="C44" i="3"/>
  <c r="C60" i="3" s="1"/>
  <c r="B44" i="3"/>
  <c r="K43" i="3"/>
  <c r="D43" i="3"/>
  <c r="D60" i="3" s="1"/>
  <c r="C43" i="3"/>
  <c r="B43" i="3"/>
  <c r="K42" i="3"/>
  <c r="E42" i="3"/>
  <c r="B42" i="3"/>
  <c r="D41" i="3"/>
  <c r="C41" i="3"/>
  <c r="B41" i="3"/>
  <c r="M40" i="3"/>
  <c r="O40" i="3" s="1"/>
  <c r="K40" i="3"/>
  <c r="D40" i="3"/>
  <c r="B40" i="3"/>
  <c r="K39" i="3"/>
  <c r="E39" i="3"/>
  <c r="D39" i="3"/>
  <c r="B39" i="3"/>
  <c r="K38" i="3"/>
  <c r="E38" i="3"/>
  <c r="D38" i="3"/>
  <c r="C38" i="3"/>
  <c r="B38" i="3"/>
  <c r="K37" i="3"/>
  <c r="E37" i="3"/>
  <c r="D35" i="3"/>
  <c r="C34" i="3"/>
  <c r="K33" i="3"/>
  <c r="K32" i="3"/>
  <c r="K31" i="3"/>
  <c r="E31" i="3"/>
  <c r="D31" i="3"/>
  <c r="B31" i="3"/>
  <c r="D30" i="3"/>
  <c r="C30" i="3"/>
  <c r="E29" i="3"/>
  <c r="C29" i="3"/>
  <c r="B28" i="3"/>
  <c r="K27" i="3"/>
  <c r="K26" i="3"/>
  <c r="E26" i="3"/>
  <c r="K25" i="3"/>
  <c r="E25" i="3"/>
  <c r="K24" i="3"/>
  <c r="E24" i="3"/>
  <c r="D24" i="3"/>
  <c r="D23" i="3"/>
  <c r="B22" i="3"/>
  <c r="K21" i="3"/>
  <c r="C21" i="3"/>
  <c r="B21" i="3"/>
  <c r="K20" i="3"/>
  <c r="B20" i="3"/>
  <c r="B19" i="3"/>
  <c r="K18" i="3"/>
  <c r="D17" i="3"/>
  <c r="B17" i="3"/>
  <c r="A17" i="3"/>
  <c r="K16" i="3"/>
  <c r="E16" i="3"/>
  <c r="D16" i="3"/>
  <c r="C16" i="3"/>
  <c r="B16" i="3"/>
  <c r="K15" i="3"/>
  <c r="B15" i="3"/>
  <c r="B14" i="3"/>
  <c r="E13" i="3"/>
  <c r="D13" i="3"/>
  <c r="C13" i="3"/>
  <c r="B13" i="3"/>
  <c r="M12" i="3"/>
  <c r="O12" i="3" s="1"/>
  <c r="K12" i="3"/>
  <c r="E12" i="3"/>
  <c r="C12" i="3"/>
  <c r="B12" i="3"/>
  <c r="M11" i="3"/>
  <c r="O11" i="3" s="1"/>
  <c r="K11" i="3"/>
  <c r="E11" i="3"/>
  <c r="D11" i="3"/>
  <c r="C11" i="3"/>
  <c r="B11" i="3"/>
  <c r="K10" i="3"/>
  <c r="E10" i="3"/>
  <c r="D10" i="3"/>
  <c r="C10" i="3"/>
  <c r="B10" i="3"/>
  <c r="M9" i="3"/>
  <c r="O9" i="3" s="1"/>
  <c r="K9" i="3"/>
  <c r="E9" i="3"/>
  <c r="C9" i="3"/>
  <c r="B9" i="3"/>
  <c r="K8" i="3"/>
  <c r="E8" i="3"/>
  <c r="D8" i="3"/>
  <c r="C8" i="3"/>
  <c r="B8" i="3"/>
  <c r="O7" i="3"/>
  <c r="M7" i="3"/>
  <c r="K7" i="3"/>
  <c r="E7" i="3"/>
  <c r="D7" i="3"/>
  <c r="C7" i="3"/>
  <c r="B7" i="3"/>
  <c r="K6" i="3"/>
  <c r="E6" i="3"/>
  <c r="D6" i="3"/>
  <c r="C6" i="3"/>
  <c r="K5" i="3"/>
  <c r="E5" i="3"/>
  <c r="D5" i="3"/>
  <c r="C5" i="3"/>
  <c r="L4" i="3"/>
  <c r="E4" i="3"/>
  <c r="D4" i="3"/>
  <c r="C4" i="3"/>
  <c r="J3" i="3"/>
  <c r="I3" i="3"/>
  <c r="H3" i="3"/>
  <c r="G3" i="3"/>
  <c r="F3" i="3"/>
  <c r="M2" i="3"/>
  <c r="Q3" i="2" s="1"/>
  <c r="H450" i="4" l="1"/>
  <c r="Y74" i="5"/>
  <c r="Y75" i="5" s="1"/>
  <c r="S170" i="5"/>
  <c r="H171" i="4"/>
  <c r="Y101" i="5"/>
  <c r="H438" i="4"/>
  <c r="Y135" i="5"/>
  <c r="Y136" i="5" s="1"/>
  <c r="H433" i="4"/>
  <c r="I433" i="4" s="1"/>
  <c r="J4" i="12"/>
  <c r="L61" i="7"/>
  <c r="L125" i="4"/>
  <c r="R63" i="5"/>
  <c r="R42" i="5" s="1"/>
  <c r="T4" i="3" s="1"/>
  <c r="Q63" i="5"/>
  <c r="Q42" i="5" s="1"/>
  <c r="S4" i="3" s="1"/>
  <c r="L42" i="5"/>
  <c r="M4" i="3" s="1"/>
  <c r="O4" i="3" s="1"/>
  <c r="P63" i="5"/>
  <c r="P42" i="5" s="1"/>
  <c r="R4" i="3" s="1"/>
  <c r="Z173" i="5"/>
  <c r="O444" i="4" s="1"/>
  <c r="P173" i="5"/>
  <c r="R173" i="5"/>
  <c r="Q173" i="5"/>
  <c r="T173" i="5"/>
  <c r="O168" i="4" s="1"/>
  <c r="L320" i="4"/>
  <c r="W173" i="5"/>
  <c r="O320" i="4" s="1"/>
  <c r="S40" i="3"/>
  <c r="F161" i="4"/>
  <c r="T63" i="5"/>
  <c r="O125" i="4" s="1"/>
  <c r="Y111" i="5"/>
  <c r="M121" i="5"/>
  <c r="J416" i="4"/>
  <c r="J290" i="4"/>
  <c r="R159" i="5"/>
  <c r="Q159" i="5"/>
  <c r="Z159" i="5"/>
  <c r="O406" i="4" s="1"/>
  <c r="P159" i="5"/>
  <c r="W159" i="5"/>
  <c r="O275" i="4" s="1"/>
  <c r="L52" i="5"/>
  <c r="M13" i="3" s="1"/>
  <c r="O13" i="3" s="1"/>
  <c r="T159" i="5"/>
  <c r="O135" i="4" s="1"/>
  <c r="M173" i="5"/>
  <c r="C58" i="3"/>
  <c r="K81" i="5"/>
  <c r="J208" i="4"/>
  <c r="J275" i="4"/>
  <c r="S101" i="5"/>
  <c r="L102" i="8"/>
  <c r="Q116" i="5"/>
  <c r="Q102" i="8" s="1"/>
  <c r="Z116" i="5"/>
  <c r="O389" i="4" s="1"/>
  <c r="P116" i="5"/>
  <c r="P102" i="8" s="1"/>
  <c r="T116" i="5"/>
  <c r="O111" i="4" s="1"/>
  <c r="K389" i="4"/>
  <c r="L251" i="4"/>
  <c r="W116" i="5"/>
  <c r="O251" i="4" s="1"/>
  <c r="R116" i="5"/>
  <c r="R102" i="8" s="1"/>
  <c r="M120" i="5"/>
  <c r="J289" i="4"/>
  <c r="G307" i="4"/>
  <c r="T133" i="5"/>
  <c r="O160" i="4" s="1"/>
  <c r="F54" i="5"/>
  <c r="E15" i="3" s="1"/>
  <c r="R133" i="5"/>
  <c r="G160" i="4"/>
  <c r="Q137" i="5"/>
  <c r="W137" i="5"/>
  <c r="O311" i="4" s="1"/>
  <c r="P137" i="5"/>
  <c r="L435" i="4"/>
  <c r="Z137" i="5"/>
  <c r="O435" i="4" s="1"/>
  <c r="T137" i="5"/>
  <c r="O163" i="4" s="1"/>
  <c r="L54" i="5"/>
  <c r="R147" i="5"/>
  <c r="R55" i="5" s="1"/>
  <c r="T16" i="3" s="1"/>
  <c r="Q147" i="5"/>
  <c r="Q55" i="5" s="1"/>
  <c r="S16" i="3" s="1"/>
  <c r="Z147" i="5"/>
  <c r="P147" i="5"/>
  <c r="L55" i="5"/>
  <c r="M16" i="3" s="1"/>
  <c r="O16" i="3" s="1"/>
  <c r="W147" i="5"/>
  <c r="L156" i="4"/>
  <c r="T147" i="5"/>
  <c r="O176" i="4" s="1"/>
  <c r="V165" i="5"/>
  <c r="M179" i="5"/>
  <c r="J412" i="4"/>
  <c r="M412" i="4" s="1"/>
  <c r="Q93" i="6"/>
  <c r="F49" i="4"/>
  <c r="G84" i="4"/>
  <c r="F45" i="6"/>
  <c r="F71" i="8" s="1"/>
  <c r="R107" i="6"/>
  <c r="K71" i="7"/>
  <c r="J29" i="4" s="1"/>
  <c r="D45" i="7"/>
  <c r="D114" i="6" s="1"/>
  <c r="K114" i="6" s="1"/>
  <c r="W73" i="5"/>
  <c r="L450" i="4"/>
  <c r="T73" i="5"/>
  <c r="P73" i="5"/>
  <c r="M76" i="5"/>
  <c r="J452" i="4"/>
  <c r="H315" i="4"/>
  <c r="V102" i="5"/>
  <c r="W97" i="8"/>
  <c r="O250" i="4" s="1"/>
  <c r="Z97" i="8"/>
  <c r="J263" i="4"/>
  <c r="L275" i="4"/>
  <c r="L297" i="4"/>
  <c r="S63" i="5"/>
  <c r="H124" i="4"/>
  <c r="J267" i="4"/>
  <c r="J398" i="4"/>
  <c r="T74" i="5"/>
  <c r="Q74" i="5"/>
  <c r="P74" i="5"/>
  <c r="Z74" i="5"/>
  <c r="M106" i="5"/>
  <c r="J328" i="4"/>
  <c r="F5" i="12"/>
  <c r="J9" i="12"/>
  <c r="T107" i="5"/>
  <c r="O182" i="4" s="1"/>
  <c r="Z107" i="5"/>
  <c r="P107" i="5"/>
  <c r="L44" i="5"/>
  <c r="M21" i="3" s="1"/>
  <c r="O21" i="3" s="1"/>
  <c r="W107" i="5"/>
  <c r="R107" i="5"/>
  <c r="R44" i="5" s="1"/>
  <c r="T21" i="3" s="1"/>
  <c r="Y127" i="5"/>
  <c r="H427" i="4"/>
  <c r="I427" i="4" s="1"/>
  <c r="M139" i="5"/>
  <c r="J437" i="4"/>
  <c r="S57" i="7"/>
  <c r="O19" i="4" s="1"/>
  <c r="Q57" i="7"/>
  <c r="R57" i="7"/>
  <c r="P57" i="7"/>
  <c r="K66" i="7"/>
  <c r="D44" i="7"/>
  <c r="D113" i="6" s="1"/>
  <c r="K113" i="6" s="1"/>
  <c r="E25" i="4"/>
  <c r="P66" i="7"/>
  <c r="L19" i="4"/>
  <c r="J124" i="4"/>
  <c r="J148" i="4"/>
  <c r="J415" i="4"/>
  <c r="E304" i="4"/>
  <c r="L168" i="4"/>
  <c r="D54" i="5"/>
  <c r="C15" i="3" s="1"/>
  <c r="W74" i="5"/>
  <c r="O326" i="4" s="1"/>
  <c r="Q107" i="5"/>
  <c r="T117" i="5"/>
  <c r="O154" i="4" s="1"/>
  <c r="Z117" i="5"/>
  <c r="O424" i="4" s="1"/>
  <c r="P117" i="5"/>
  <c r="L154" i="4"/>
  <c r="W117" i="5"/>
  <c r="L101" i="8"/>
  <c r="R117" i="5"/>
  <c r="Q117" i="5"/>
  <c r="S134" i="5"/>
  <c r="H160" i="4"/>
  <c r="Y157" i="5"/>
  <c r="H403" i="4"/>
  <c r="I403" i="4" s="1"/>
  <c r="Z169" i="5"/>
  <c r="O449" i="4" s="1"/>
  <c r="P169" i="5"/>
  <c r="W169" i="5"/>
  <c r="O325" i="4" s="1"/>
  <c r="T169" i="5"/>
  <c r="O171" i="4" s="1"/>
  <c r="R169" i="5"/>
  <c r="Q169" i="5"/>
  <c r="L449" i="4"/>
  <c r="L47" i="5"/>
  <c r="M8" i="3" s="1"/>
  <c r="O8" i="3" s="1"/>
  <c r="L325" i="4"/>
  <c r="L171" i="4"/>
  <c r="S63" i="7"/>
  <c r="O23" i="4" s="1"/>
  <c r="Q63" i="7"/>
  <c r="R63" i="7"/>
  <c r="P63" i="7"/>
  <c r="R118" i="5"/>
  <c r="Q118" i="5"/>
  <c r="Z118" i="5"/>
  <c r="O425" i="4" s="1"/>
  <c r="W118" i="5"/>
  <c r="L425" i="4"/>
  <c r="T118" i="5"/>
  <c r="O155" i="4" s="1"/>
  <c r="L155" i="4"/>
  <c r="P50" i="5"/>
  <c r="R11" i="3" s="1"/>
  <c r="F433" i="4"/>
  <c r="Q134" i="5"/>
  <c r="Q54" i="5" s="1"/>
  <c r="S15" i="3" s="1"/>
  <c r="S50" i="3" s="1"/>
  <c r="E54" i="5"/>
  <c r="D15" i="3" s="1"/>
  <c r="F308" i="4"/>
  <c r="Q138" i="5"/>
  <c r="P138" i="5"/>
  <c r="W138" i="5"/>
  <c r="O312" i="4" s="1"/>
  <c r="L436" i="4"/>
  <c r="Z138" i="5"/>
  <c r="O436" i="4" s="1"/>
  <c r="T138" i="5"/>
  <c r="O164" i="4" s="1"/>
  <c r="R138" i="5"/>
  <c r="Q186" i="5"/>
  <c r="Z186" i="5"/>
  <c r="O410" i="4" s="1"/>
  <c r="P186" i="5"/>
  <c r="W186" i="5"/>
  <c r="O281" i="4" s="1"/>
  <c r="T186" i="5"/>
  <c r="O139" i="4" s="1"/>
  <c r="L410" i="4"/>
  <c r="R186" i="5"/>
  <c r="L139" i="4"/>
  <c r="J7" i="12"/>
  <c r="W72" i="5"/>
  <c r="T72" i="5"/>
  <c r="O175" i="4" s="1"/>
  <c r="L175" i="4"/>
  <c r="R72" i="5"/>
  <c r="R43" i="5" s="1"/>
  <c r="T5" i="3" s="1"/>
  <c r="P72" i="5"/>
  <c r="P43" i="5" s="1"/>
  <c r="R5" i="3" s="1"/>
  <c r="L43" i="5"/>
  <c r="M5" i="3" s="1"/>
  <c r="O5" i="3" s="1"/>
  <c r="K77" i="6"/>
  <c r="J42" i="4" s="1"/>
  <c r="P77" i="6"/>
  <c r="M6" i="3"/>
  <c r="O6" i="3" s="1"/>
  <c r="L281" i="4"/>
  <c r="H431" i="4"/>
  <c r="I431" i="4" s="1"/>
  <c r="Q72" i="5"/>
  <c r="Q43" i="5" s="1"/>
  <c r="S5" i="3" s="1"/>
  <c r="W75" i="6"/>
  <c r="E59" i="3"/>
  <c r="E81" i="4"/>
  <c r="L406" i="4"/>
  <c r="L163" i="4"/>
  <c r="H169" i="4"/>
  <c r="Y60" i="5"/>
  <c r="Y61" i="5" s="1"/>
  <c r="Y62" i="5" s="1"/>
  <c r="Y63" i="5" s="1"/>
  <c r="Y64" i="5" s="1"/>
  <c r="Y65" i="5" s="1"/>
  <c r="Y66" i="5" s="1"/>
  <c r="V60" i="5"/>
  <c r="V61" i="5" s="1"/>
  <c r="V62" i="5" s="1"/>
  <c r="V63" i="5" s="1"/>
  <c r="V64" i="5" s="1"/>
  <c r="V65" i="5" s="1"/>
  <c r="V66" i="5" s="1"/>
  <c r="M69" i="5"/>
  <c r="Z72" i="5"/>
  <c r="V133" i="5"/>
  <c r="H306" i="4"/>
  <c r="I306" i="4" s="1"/>
  <c r="V155" i="5"/>
  <c r="H270" i="4"/>
  <c r="I270" i="4" s="1"/>
  <c r="F7" i="12"/>
  <c r="Z175" i="5"/>
  <c r="P175" i="5"/>
  <c r="T175" i="5"/>
  <c r="O141" i="4" s="1"/>
  <c r="Q175" i="5"/>
  <c r="W175" i="5"/>
  <c r="R175" i="5"/>
  <c r="R48" i="5" s="1"/>
  <c r="T9" i="3" s="1"/>
  <c r="L164" i="4"/>
  <c r="O167" i="4"/>
  <c r="L444" i="4"/>
  <c r="K92" i="5"/>
  <c r="J451" i="4"/>
  <c r="H150" i="4"/>
  <c r="I150" i="4" s="1"/>
  <c r="S113" i="5"/>
  <c r="T115" i="5"/>
  <c r="O153" i="4" s="1"/>
  <c r="Z115" i="5"/>
  <c r="O423" i="4" s="1"/>
  <c r="P115" i="5"/>
  <c r="L153" i="4"/>
  <c r="W115" i="5"/>
  <c r="O297" i="4" s="1"/>
  <c r="R115" i="5"/>
  <c r="Q115" i="5"/>
  <c r="R54" i="5"/>
  <c r="T15" i="3" s="1"/>
  <c r="T50" i="3" s="1"/>
  <c r="J162" i="4"/>
  <c r="J434" i="4"/>
  <c r="J310" i="4"/>
  <c r="M138" i="5"/>
  <c r="J164" i="4"/>
  <c r="J436" i="4"/>
  <c r="S151" i="5"/>
  <c r="H180" i="4" s="1"/>
  <c r="H179" i="4"/>
  <c r="I179" i="4" s="1"/>
  <c r="Y167" i="5"/>
  <c r="H446" i="4"/>
  <c r="I446" i="4" s="1"/>
  <c r="J274" i="4"/>
  <c r="H156" i="4"/>
  <c r="I156" i="4" s="1"/>
  <c r="J299" i="4"/>
  <c r="G431" i="4"/>
  <c r="J433" i="4"/>
  <c r="O442" i="4"/>
  <c r="J319" i="4"/>
  <c r="J3" i="12"/>
  <c r="L52" i="7"/>
  <c r="K43" i="7"/>
  <c r="Z66" i="5"/>
  <c r="O397" i="4" s="1"/>
  <c r="Z69" i="5"/>
  <c r="O398" i="4" s="1"/>
  <c r="M73" i="5"/>
  <c r="M74" i="5"/>
  <c r="Z75" i="5"/>
  <c r="S78" i="5"/>
  <c r="S79" i="5" s="1"/>
  <c r="S80" i="5" s="1"/>
  <c r="S81" i="5" s="1"/>
  <c r="S82" i="5" s="1"/>
  <c r="S83" i="5" s="1"/>
  <c r="S84" i="5" s="1"/>
  <c r="S85" i="5" s="1"/>
  <c r="S86" i="5" s="1"/>
  <c r="S87" i="5" s="1"/>
  <c r="S88" i="5" s="1"/>
  <c r="S89" i="5" s="1"/>
  <c r="S90" i="5" s="1"/>
  <c r="S91" i="5" s="1"/>
  <c r="S92" i="5" s="1"/>
  <c r="S93" i="5" s="1"/>
  <c r="S94" i="5" s="1"/>
  <c r="S95" i="5" s="1"/>
  <c r="S96" i="5" s="1"/>
  <c r="S97" i="5" s="1"/>
  <c r="S98" i="5" s="1"/>
  <c r="K85" i="5"/>
  <c r="Z100" i="5"/>
  <c r="O438" i="4" s="1"/>
  <c r="P121" i="5"/>
  <c r="Z121" i="5"/>
  <c r="O416" i="4" s="1"/>
  <c r="T121" i="5"/>
  <c r="W122" i="5"/>
  <c r="O291" i="4" s="1"/>
  <c r="P122" i="5"/>
  <c r="Q123" i="5"/>
  <c r="W123" i="5"/>
  <c r="O292" i="4" s="1"/>
  <c r="Q167" i="5"/>
  <c r="P167" i="5"/>
  <c r="W167" i="5"/>
  <c r="O323" i="4" s="1"/>
  <c r="T179" i="5"/>
  <c r="W179" i="5"/>
  <c r="O285" i="4" s="1"/>
  <c r="Q179" i="5"/>
  <c r="P179" i="5"/>
  <c r="K100" i="6"/>
  <c r="J79" i="4" s="1"/>
  <c r="D45" i="6"/>
  <c r="D71" i="8" s="1"/>
  <c r="R104" i="6"/>
  <c r="M56" i="7"/>
  <c r="K78" i="7"/>
  <c r="M78" i="7" s="1"/>
  <c r="P78" i="7"/>
  <c r="Q81" i="8"/>
  <c r="T81" i="8"/>
  <c r="Z88" i="8"/>
  <c r="L37" i="8"/>
  <c r="F12" i="12" s="1"/>
  <c r="Z136" i="5"/>
  <c r="O434" i="4" s="1"/>
  <c r="Q140" i="5"/>
  <c r="Z140" i="5"/>
  <c r="M140" i="5"/>
  <c r="T140" i="5"/>
  <c r="R56" i="7"/>
  <c r="S56" i="7"/>
  <c r="O18" i="4" s="1"/>
  <c r="Q56" i="7"/>
  <c r="P56" i="7"/>
  <c r="K77" i="7"/>
  <c r="M77" i="7" s="1"/>
  <c r="D46" i="7"/>
  <c r="D115" i="6" s="1"/>
  <c r="K115" i="6" s="1"/>
  <c r="Q55" i="8"/>
  <c r="W55" i="8"/>
  <c r="Q60" i="8"/>
  <c r="W60" i="8"/>
  <c r="S71" i="8"/>
  <c r="V71" i="8" s="1"/>
  <c r="Y71" i="8" s="1"/>
  <c r="V70" i="8"/>
  <c r="Y70" i="8" s="1"/>
  <c r="J161" i="4"/>
  <c r="H443" i="4"/>
  <c r="I443" i="4" s="1"/>
  <c r="R112" i="5"/>
  <c r="R45" i="5" s="1"/>
  <c r="T6" i="3" s="1"/>
  <c r="Q112" i="5"/>
  <c r="P140" i="5"/>
  <c r="T158" i="5"/>
  <c r="O134" i="4" s="1"/>
  <c r="Z158" i="5"/>
  <c r="O405" i="4" s="1"/>
  <c r="P158" i="5"/>
  <c r="T170" i="5"/>
  <c r="O172" i="4" s="1"/>
  <c r="R170" i="5"/>
  <c r="Q170" i="5"/>
  <c r="W170" i="5"/>
  <c r="Q188" i="5"/>
  <c r="P188" i="5"/>
  <c r="T188" i="5"/>
  <c r="R51" i="6"/>
  <c r="T51" i="6"/>
  <c r="O66" i="4" s="1"/>
  <c r="P51" i="6"/>
  <c r="E45" i="7"/>
  <c r="E114" i="6" s="1"/>
  <c r="W65" i="10"/>
  <c r="T65" i="10"/>
  <c r="P65" i="10"/>
  <c r="Z65" i="10"/>
  <c r="O355" i="4" s="1"/>
  <c r="D2" i="15"/>
  <c r="D1" i="15" s="1"/>
  <c r="P64" i="5"/>
  <c r="P66" i="5" s="1"/>
  <c r="Z64" i="5"/>
  <c r="Z67" i="5"/>
  <c r="P70" i="5"/>
  <c r="S72" i="5"/>
  <c r="Z132" i="5"/>
  <c r="Q158" i="5"/>
  <c r="T166" i="5"/>
  <c r="O170" i="4" s="1"/>
  <c r="R166" i="5"/>
  <c r="Q166" i="5"/>
  <c r="Z166" i="5"/>
  <c r="O446" i="4" s="1"/>
  <c r="T176" i="5"/>
  <c r="O142" i="4" s="1"/>
  <c r="R176" i="5"/>
  <c r="Q176" i="5"/>
  <c r="P176" i="5"/>
  <c r="T185" i="5"/>
  <c r="Z185" i="5"/>
  <c r="W185" i="5"/>
  <c r="O280" i="4" s="1"/>
  <c r="Q185" i="5"/>
  <c r="Q49" i="5" s="1"/>
  <c r="S10" i="3" s="1"/>
  <c r="P185" i="5"/>
  <c r="P49" i="5" s="1"/>
  <c r="R10" i="3" s="1"/>
  <c r="W57" i="6"/>
  <c r="Z57" i="6"/>
  <c r="K68" i="7"/>
  <c r="M68" i="7" s="1"/>
  <c r="P68" i="7"/>
  <c r="F45" i="7"/>
  <c r="F114" i="6" s="1"/>
  <c r="G221" i="4"/>
  <c r="F38" i="8"/>
  <c r="E32" i="3" s="1"/>
  <c r="E57" i="3" s="1"/>
  <c r="Q58" i="9"/>
  <c r="W58" i="9"/>
  <c r="O198" i="4" s="1"/>
  <c r="E34" i="4"/>
  <c r="L405" i="4"/>
  <c r="L150" i="4"/>
  <c r="E310" i="4"/>
  <c r="L446" i="4"/>
  <c r="L49" i="5"/>
  <c r="M10" i="3" s="1"/>
  <c r="O10" i="3" s="1"/>
  <c r="Q64" i="5"/>
  <c r="Q66" i="5" s="1"/>
  <c r="P67" i="5"/>
  <c r="Q70" i="5"/>
  <c r="V71" i="5"/>
  <c r="V72" i="5" s="1"/>
  <c r="V73" i="5" s="1"/>
  <c r="V74" i="5" s="1"/>
  <c r="T75" i="5"/>
  <c r="T92" i="5" s="1"/>
  <c r="V77" i="5"/>
  <c r="V78" i="5" s="1"/>
  <c r="V79" i="5" s="1"/>
  <c r="V80" i="5" s="1"/>
  <c r="V81" i="5" s="1"/>
  <c r="V82" i="5" s="1"/>
  <c r="V83" i="5" s="1"/>
  <c r="V84" i="5" s="1"/>
  <c r="V85" i="5" s="1"/>
  <c r="V86" i="5" s="1"/>
  <c r="V87" i="5" s="1"/>
  <c r="V88" i="5" s="1"/>
  <c r="V89" i="5" s="1"/>
  <c r="V90" i="5" s="1"/>
  <c r="V91" i="5" s="1"/>
  <c r="V92" i="5" s="1"/>
  <c r="V93" i="5" s="1"/>
  <c r="V94" i="5" s="1"/>
  <c r="V95" i="5" s="1"/>
  <c r="V96" i="5" s="1"/>
  <c r="V97" i="5" s="1"/>
  <c r="V98" i="5" s="1"/>
  <c r="L92" i="5"/>
  <c r="P103" i="5"/>
  <c r="P46" i="5" s="1"/>
  <c r="R7" i="3" s="1"/>
  <c r="Z103" i="5"/>
  <c r="O441" i="4" s="1"/>
  <c r="T103" i="5"/>
  <c r="W104" i="5"/>
  <c r="P104" i="5"/>
  <c r="M108" i="5"/>
  <c r="P112" i="5"/>
  <c r="T122" i="5"/>
  <c r="M128" i="5"/>
  <c r="K132" i="5"/>
  <c r="W140" i="5"/>
  <c r="O304" i="4" s="1"/>
  <c r="R151" i="5"/>
  <c r="Q151" i="5"/>
  <c r="T151" i="5"/>
  <c r="O180" i="4" s="1"/>
  <c r="P151" i="5"/>
  <c r="R158" i="5"/>
  <c r="T161" i="5"/>
  <c r="O138" i="4" s="1"/>
  <c r="R161" i="5"/>
  <c r="Z161" i="5"/>
  <c r="O407" i="4" s="1"/>
  <c r="Q161" i="5"/>
  <c r="P166" i="5"/>
  <c r="P170" i="5"/>
  <c r="T187" i="5"/>
  <c r="O140" i="4" s="1"/>
  <c r="R187" i="5"/>
  <c r="Q187" i="5"/>
  <c r="Z187" i="5"/>
  <c r="W188" i="5"/>
  <c r="O283" i="4" s="1"/>
  <c r="P80" i="6"/>
  <c r="K80" i="6"/>
  <c r="J45" i="4" s="1"/>
  <c r="P88" i="6"/>
  <c r="S73" i="7"/>
  <c r="O31" i="4" s="1"/>
  <c r="R73" i="7"/>
  <c r="P73" i="7"/>
  <c r="Q73" i="7"/>
  <c r="L18" i="4"/>
  <c r="J134" i="4"/>
  <c r="L280" i="4"/>
  <c r="L411" i="4"/>
  <c r="L304" i="4"/>
  <c r="H176" i="4"/>
  <c r="J180" i="4"/>
  <c r="T62" i="5"/>
  <c r="O124" i="4" s="1"/>
  <c r="R64" i="5"/>
  <c r="Q67" i="5"/>
  <c r="M107" i="5"/>
  <c r="R108" i="5"/>
  <c r="Q108" i="5"/>
  <c r="Q114" i="5"/>
  <c r="Z114" i="5"/>
  <c r="O422" i="4" s="1"/>
  <c r="P114" i="5"/>
  <c r="P45" i="5" s="1"/>
  <c r="R6" i="3" s="1"/>
  <c r="T114" i="5"/>
  <c r="O152" i="4" s="1"/>
  <c r="M118" i="5"/>
  <c r="P128" i="5"/>
  <c r="Z128" i="5"/>
  <c r="O429" i="4" s="1"/>
  <c r="T128" i="5"/>
  <c r="W129" i="5"/>
  <c r="O302" i="4" s="1"/>
  <c r="P129" i="5"/>
  <c r="Q136" i="5"/>
  <c r="M136" i="5"/>
  <c r="R136" i="5"/>
  <c r="P136" i="5"/>
  <c r="Z139" i="5"/>
  <c r="O437" i="4" s="1"/>
  <c r="V142" i="5"/>
  <c r="V143" i="5" s="1"/>
  <c r="V144" i="5" s="1"/>
  <c r="V145" i="5" s="1"/>
  <c r="T153" i="5"/>
  <c r="O128" i="4" s="1"/>
  <c r="R153" i="5"/>
  <c r="Z153" i="5"/>
  <c r="O399" i="4" s="1"/>
  <c r="Q153" i="5"/>
  <c r="W158" i="5"/>
  <c r="O274" i="4" s="1"/>
  <c r="P161" i="5"/>
  <c r="W166" i="5"/>
  <c r="O322" i="4" s="1"/>
  <c r="M169" i="5"/>
  <c r="M175" i="5"/>
  <c r="W176" i="5"/>
  <c r="O284" i="4" s="1"/>
  <c r="T72" i="6"/>
  <c r="O70" i="4" s="1"/>
  <c r="W72" i="6"/>
  <c r="Q72" i="6"/>
  <c r="M57" i="7"/>
  <c r="M100" i="5"/>
  <c r="Q111" i="5"/>
  <c r="Q45" i="5" s="1"/>
  <c r="S6" i="3" s="1"/>
  <c r="M112" i="5"/>
  <c r="M123" i="5"/>
  <c r="Q126" i="5"/>
  <c r="Q50" i="5" s="1"/>
  <c r="S11" i="3" s="1"/>
  <c r="T131" i="5"/>
  <c r="O159" i="4" s="1"/>
  <c r="Z131" i="5"/>
  <c r="O431" i="4" s="1"/>
  <c r="R149" i="5"/>
  <c r="Q149" i="5"/>
  <c r="J12" i="12"/>
  <c r="J10" i="12"/>
  <c r="Q164" i="5"/>
  <c r="Q47" i="5" s="1"/>
  <c r="S8" i="3" s="1"/>
  <c r="P164" i="5"/>
  <c r="M170" i="5"/>
  <c r="Q180" i="5"/>
  <c r="T180" i="5"/>
  <c r="O145" i="4" s="1"/>
  <c r="R180" i="5"/>
  <c r="M186" i="5"/>
  <c r="R64" i="6"/>
  <c r="Z64" i="6"/>
  <c r="E42" i="7"/>
  <c r="S65" i="7"/>
  <c r="O24" i="4" s="1"/>
  <c r="R65" i="7"/>
  <c r="R44" i="7" s="1"/>
  <c r="P65" i="7"/>
  <c r="M73" i="7"/>
  <c r="T54" i="9"/>
  <c r="P54" i="9"/>
  <c r="Z54" i="9"/>
  <c r="O350" i="4" s="1"/>
  <c r="T57" i="9"/>
  <c r="T90" i="5" s="1"/>
  <c r="P57" i="9"/>
  <c r="Z57" i="9"/>
  <c r="W57" i="9"/>
  <c r="Q57" i="9"/>
  <c r="M62" i="10"/>
  <c r="M91" i="8" s="1"/>
  <c r="K91" i="8"/>
  <c r="J221" i="4" s="1"/>
  <c r="W126" i="5"/>
  <c r="O300" i="4" s="1"/>
  <c r="P132" i="5"/>
  <c r="J14" i="12"/>
  <c r="T134" i="5"/>
  <c r="O161" i="4" s="1"/>
  <c r="R134" i="5"/>
  <c r="Z134" i="5"/>
  <c r="O433" i="4" s="1"/>
  <c r="W141" i="5"/>
  <c r="O305" i="4" s="1"/>
  <c r="T141" i="5"/>
  <c r="Q101" i="6"/>
  <c r="K54" i="7"/>
  <c r="P54" i="7"/>
  <c r="S58" i="7"/>
  <c r="O20" i="4" s="1"/>
  <c r="R58" i="7"/>
  <c r="P58" i="7"/>
  <c r="R62" i="7"/>
  <c r="S62" i="7"/>
  <c r="O22" i="4" s="1"/>
  <c r="Q62" i="7"/>
  <c r="Q76" i="7"/>
  <c r="P76" i="7"/>
  <c r="L46" i="7"/>
  <c r="L115" i="6" s="1"/>
  <c r="M104" i="5"/>
  <c r="P106" i="5"/>
  <c r="P44" i="5" s="1"/>
  <c r="R21" i="3" s="1"/>
  <c r="V109" i="5"/>
  <c r="V110" i="5" s="1"/>
  <c r="M111" i="5"/>
  <c r="W113" i="5"/>
  <c r="O295" i="4" s="1"/>
  <c r="M117" i="5"/>
  <c r="M101" i="8" s="1"/>
  <c r="M122" i="5"/>
  <c r="V124" i="5"/>
  <c r="V125" i="5" s="1"/>
  <c r="M129" i="5"/>
  <c r="W133" i="5"/>
  <c r="O307" i="4" s="1"/>
  <c r="M134" i="5"/>
  <c r="P141" i="5"/>
  <c r="R145" i="5"/>
  <c r="R51" i="5" s="1"/>
  <c r="T12" i="3" s="1"/>
  <c r="Q145" i="5"/>
  <c r="Q51" i="5" s="1"/>
  <c r="S12" i="3" s="1"/>
  <c r="Z145" i="5"/>
  <c r="P145" i="5"/>
  <c r="W149" i="5"/>
  <c r="M153" i="5"/>
  <c r="W155" i="5"/>
  <c r="O402" i="4" s="1"/>
  <c r="T155" i="5"/>
  <c r="O131" i="4" s="1"/>
  <c r="R156" i="5"/>
  <c r="Q156" i="5"/>
  <c r="M161" i="5"/>
  <c r="Z180" i="5"/>
  <c r="M188" i="5"/>
  <c r="Q76" i="6"/>
  <c r="W79" i="6"/>
  <c r="L44" i="7"/>
  <c r="L113" i="6" s="1"/>
  <c r="Q113" i="6" s="1"/>
  <c r="S55" i="7"/>
  <c r="O17" i="4" s="1"/>
  <c r="R55" i="7"/>
  <c r="Q55" i="7"/>
  <c r="P55" i="7"/>
  <c r="Q58" i="7"/>
  <c r="P62" i="7"/>
  <c r="R76" i="7"/>
  <c r="R46" i="7" s="1"/>
  <c r="T53" i="9"/>
  <c r="P53" i="9"/>
  <c r="Z53" i="9"/>
  <c r="O349" i="4" s="1"/>
  <c r="W53" i="9"/>
  <c r="O205" i="4" s="1"/>
  <c r="Q53" i="9"/>
  <c r="V59" i="9"/>
  <c r="S60" i="9"/>
  <c r="Q31" i="10"/>
  <c r="W50" i="10"/>
  <c r="O223" i="4" s="1"/>
  <c r="P50" i="10"/>
  <c r="D57" i="15"/>
  <c r="W135" i="5"/>
  <c r="O309" i="4" s="1"/>
  <c r="M143" i="5"/>
  <c r="W143" i="5"/>
  <c r="M148" i="5"/>
  <c r="M150" i="5"/>
  <c r="J20" i="12"/>
  <c r="Z171" i="5"/>
  <c r="S175" i="5"/>
  <c r="Z177" i="5"/>
  <c r="M183" i="5"/>
  <c r="F44" i="6"/>
  <c r="E22" i="3" s="1"/>
  <c r="P53" i="7"/>
  <c r="S70" i="7"/>
  <c r="O28" i="4" s="1"/>
  <c r="L45" i="7"/>
  <c r="L114" i="6" s="1"/>
  <c r="S72" i="7"/>
  <c r="O30" i="4" s="1"/>
  <c r="Q72" i="7"/>
  <c r="M76" i="7"/>
  <c r="T52" i="9"/>
  <c r="P52" i="9"/>
  <c r="F17" i="12"/>
  <c r="T56" i="9"/>
  <c r="P56" i="9"/>
  <c r="Z47" i="10"/>
  <c r="W47" i="10"/>
  <c r="T47" i="10"/>
  <c r="R47" i="10"/>
  <c r="R31" i="10" s="1"/>
  <c r="S153" i="5"/>
  <c r="P154" i="5"/>
  <c r="P52" i="5" s="1"/>
  <c r="R13" i="3" s="1"/>
  <c r="Z154" i="5"/>
  <c r="O401" i="4" s="1"/>
  <c r="M160" i="5"/>
  <c r="P162" i="5"/>
  <c r="Z162" i="5"/>
  <c r="O400" i="4" s="1"/>
  <c r="P171" i="5"/>
  <c r="V174" i="5"/>
  <c r="V175" i="5" s="1"/>
  <c r="V176" i="5" s="1"/>
  <c r="Q183" i="5"/>
  <c r="P183" i="5"/>
  <c r="Z80" i="6"/>
  <c r="Z96" i="6"/>
  <c r="R106" i="6"/>
  <c r="E44" i="7"/>
  <c r="E113" i="6" s="1"/>
  <c r="F43" i="7"/>
  <c r="F112" i="6" s="1"/>
  <c r="P67" i="7"/>
  <c r="M67" i="7"/>
  <c r="P70" i="7"/>
  <c r="P71" i="7"/>
  <c r="P72" i="7"/>
  <c r="Q78" i="8"/>
  <c r="T78" i="8"/>
  <c r="W91" i="8"/>
  <c r="W96" i="8"/>
  <c r="O249" i="4" s="1"/>
  <c r="Z96" i="8"/>
  <c r="W48" i="9"/>
  <c r="O200" i="4" s="1"/>
  <c r="Q48" i="9"/>
  <c r="Q39" i="9" s="1"/>
  <c r="Q74" i="8" s="1"/>
  <c r="Q34" i="8" s="1"/>
  <c r="S28" i="3" s="1"/>
  <c r="P48" i="9"/>
  <c r="D75" i="15"/>
  <c r="P143" i="5"/>
  <c r="V146" i="5"/>
  <c r="V147" i="5" s="1"/>
  <c r="V148" i="5" s="1"/>
  <c r="V149" i="5" s="1"/>
  <c r="V150" i="5" s="1"/>
  <c r="Q154" i="5"/>
  <c r="M155" i="5"/>
  <c r="R171" i="5"/>
  <c r="P177" i="5"/>
  <c r="P182" i="5"/>
  <c r="Z50" i="6"/>
  <c r="Q53" i="6"/>
  <c r="R55" i="6"/>
  <c r="T55" i="6"/>
  <c r="O75" i="4" s="1"/>
  <c r="R58" i="6"/>
  <c r="T58" i="6"/>
  <c r="O78" i="4" s="1"/>
  <c r="Q58" i="6"/>
  <c r="Z77" i="6"/>
  <c r="Q80" i="6"/>
  <c r="Z91" i="6"/>
  <c r="L44" i="6"/>
  <c r="M22" i="3" s="1"/>
  <c r="O22" i="3" s="1"/>
  <c r="Q67" i="7"/>
  <c r="Q44" i="7" s="1"/>
  <c r="Q70" i="7"/>
  <c r="Q71" i="7"/>
  <c r="R72" i="7"/>
  <c r="R45" i="7" s="1"/>
  <c r="P77" i="7"/>
  <c r="M79" i="7"/>
  <c r="S80" i="7"/>
  <c r="O37" i="4" s="1"/>
  <c r="F19" i="12"/>
  <c r="Q80" i="7"/>
  <c r="Q52" i="9"/>
  <c r="T55" i="9"/>
  <c r="P55" i="9"/>
  <c r="Q56" i="9"/>
  <c r="P47" i="10"/>
  <c r="M63" i="10"/>
  <c r="M98" i="8" s="1"/>
  <c r="K98" i="8"/>
  <c r="T33" i="11"/>
  <c r="Q33" i="11"/>
  <c r="P33" i="11"/>
  <c r="Z33" i="11"/>
  <c r="W33" i="11"/>
  <c r="O186" i="4" s="1"/>
  <c r="D42" i="7"/>
  <c r="D111" i="6" s="1"/>
  <c r="W94" i="8"/>
  <c r="O247" i="4" s="1"/>
  <c r="Z94" i="8"/>
  <c r="W103" i="8"/>
  <c r="M48" i="9"/>
  <c r="M52" i="9"/>
  <c r="M53" i="9"/>
  <c r="M54" i="9"/>
  <c r="M55" i="9"/>
  <c r="M56" i="9"/>
  <c r="Z44" i="10"/>
  <c r="O361" i="4" s="1"/>
  <c r="W45" i="10"/>
  <c r="O229" i="4" s="1"/>
  <c r="W56" i="10"/>
  <c r="P66" i="10"/>
  <c r="M43" i="11"/>
  <c r="L33" i="10"/>
  <c r="M41" i="3" s="1"/>
  <c r="O41" i="3" s="1"/>
  <c r="M44" i="10"/>
  <c r="Z45" i="10"/>
  <c r="O362" i="4" s="1"/>
  <c r="R48" i="10"/>
  <c r="M56" i="10"/>
  <c r="Z56" i="10"/>
  <c r="T57" i="10"/>
  <c r="O90" i="4" s="1"/>
  <c r="R58" i="10"/>
  <c r="R33" i="10" s="1"/>
  <c r="P59" i="10"/>
  <c r="P33" i="10" s="1"/>
  <c r="T66" i="10"/>
  <c r="J11" i="12"/>
  <c r="M172" i="5"/>
  <c r="W178" i="5"/>
  <c r="W181" i="5"/>
  <c r="Q77" i="6"/>
  <c r="W98" i="6"/>
  <c r="W108" i="6"/>
  <c r="R109" i="6"/>
  <c r="F42" i="7"/>
  <c r="F111" i="6" s="1"/>
  <c r="Q59" i="10"/>
  <c r="Q33" i="10" s="1"/>
  <c r="W66" i="10"/>
  <c r="T43" i="11"/>
  <c r="M187" i="5"/>
  <c r="M50" i="6"/>
  <c r="P54" i="6"/>
  <c r="E44" i="6"/>
  <c r="D22" i="3" s="1"/>
  <c r="W95" i="6"/>
  <c r="Z98" i="6"/>
  <c r="T70" i="8"/>
  <c r="O121" i="4" s="1"/>
  <c r="L91" i="8"/>
  <c r="W95" i="8"/>
  <c r="O248" i="4" s="1"/>
  <c r="Z95" i="8"/>
  <c r="Q49" i="9"/>
  <c r="Q50" i="9"/>
  <c r="P51" i="9"/>
  <c r="M45" i="10"/>
  <c r="M47" i="10"/>
  <c r="R59" i="10"/>
  <c r="Q60" i="10"/>
  <c r="Q61" i="10"/>
  <c r="Q62" i="10"/>
  <c r="Q63" i="10"/>
  <c r="T64" i="10"/>
  <c r="T111" i="8" s="1"/>
  <c r="Z66" i="10"/>
  <c r="O356" i="4" s="1"/>
  <c r="M33" i="11"/>
  <c r="T37" i="11"/>
  <c r="O11" i="4" s="1"/>
  <c r="P39" i="11"/>
  <c r="J22" i="12"/>
  <c r="T69" i="8"/>
  <c r="O120" i="4" s="1"/>
  <c r="P83" i="8"/>
  <c r="M42" i="8"/>
  <c r="W59" i="10"/>
  <c r="M66" i="10"/>
  <c r="M103" i="8" s="1"/>
  <c r="W39" i="11"/>
  <c r="O191" i="4" s="1"/>
  <c r="M65" i="10"/>
  <c r="M119" i="8" s="1"/>
  <c r="F10" i="12"/>
  <c r="J346" i="4"/>
  <c r="J209" i="4"/>
  <c r="J352" i="4"/>
  <c r="J354" i="4"/>
  <c r="J236" i="4"/>
  <c r="J256" i="4"/>
  <c r="J265" i="4"/>
  <c r="J135" i="4"/>
  <c r="J283" i="4"/>
  <c r="J153" i="4"/>
  <c r="J425" i="4"/>
  <c r="J323" i="4"/>
  <c r="J181" i="4"/>
  <c r="K46" i="5"/>
  <c r="L7" i="3" s="1"/>
  <c r="P7" i="3" s="1"/>
  <c r="M62" i="9"/>
  <c r="M63" i="9"/>
  <c r="M64" i="9"/>
  <c r="M65" i="9"/>
  <c r="M66" i="9"/>
  <c r="K30" i="10"/>
  <c r="L39" i="3" s="1"/>
  <c r="J12" i="4"/>
  <c r="J207" i="4"/>
  <c r="J210" i="4"/>
  <c r="M210" i="4" s="1"/>
  <c r="J30" i="4"/>
  <c r="J34" i="4"/>
  <c r="J62" i="4"/>
  <c r="J126" i="4"/>
  <c r="J402" i="4"/>
  <c r="J282" i="4"/>
  <c r="J287" i="4"/>
  <c r="J417" i="4"/>
  <c r="J155" i="4"/>
  <c r="J156" i="4"/>
  <c r="J430" i="4"/>
  <c r="J173" i="4"/>
  <c r="J178" i="4"/>
  <c r="K80" i="5"/>
  <c r="K40" i="9"/>
  <c r="L38" i="3" s="1"/>
  <c r="L58" i="3" s="1"/>
  <c r="M50" i="9"/>
  <c r="J353" i="4"/>
  <c r="J24" i="4"/>
  <c r="J365" i="4"/>
  <c r="J369" i="4"/>
  <c r="J262" i="4"/>
  <c r="J271" i="4"/>
  <c r="J406" i="4"/>
  <c r="J140" i="4"/>
  <c r="M140" i="4" s="1"/>
  <c r="J141" i="4"/>
  <c r="J291" i="4"/>
  <c r="J424" i="4"/>
  <c r="J302" i="4"/>
  <c r="J172" i="4"/>
  <c r="J177" i="4"/>
  <c r="J454" i="4"/>
  <c r="M75" i="5"/>
  <c r="K27" i="11"/>
  <c r="L43" i="3" s="1"/>
  <c r="N43" i="3" s="1"/>
  <c r="J10" i="4"/>
  <c r="J190" i="4"/>
  <c r="J191" i="4"/>
  <c r="J74" i="4"/>
  <c r="J123" i="4"/>
  <c r="J272" i="4"/>
  <c r="J136" i="4"/>
  <c r="M136" i="4" s="1"/>
  <c r="J286" i="4"/>
  <c r="J435" i="4"/>
  <c r="J166" i="4"/>
  <c r="J325" i="4"/>
  <c r="J326" i="4"/>
  <c r="K52" i="5"/>
  <c r="L13" i="3" s="1"/>
  <c r="K55" i="5"/>
  <c r="L16" i="3" s="1"/>
  <c r="N16" i="3" s="1"/>
  <c r="K101" i="8"/>
  <c r="K103" i="8"/>
  <c r="J337" i="4"/>
  <c r="J340" i="4"/>
  <c r="J23" i="4"/>
  <c r="J27" i="4"/>
  <c r="J35" i="4"/>
  <c r="J232" i="4"/>
  <c r="J114" i="4"/>
  <c r="J132" i="4"/>
  <c r="J284" i="4"/>
  <c r="J147" i="4"/>
  <c r="J413" i="4"/>
  <c r="J423" i="4"/>
  <c r="J157" i="4"/>
  <c r="J311" i="4"/>
  <c r="J171" i="4"/>
  <c r="K50" i="5"/>
  <c r="L11" i="3" s="1"/>
  <c r="P11" i="3" s="1"/>
  <c r="M63" i="5"/>
  <c r="M66" i="5"/>
  <c r="M115" i="5"/>
  <c r="M137" i="5"/>
  <c r="M181" i="5"/>
  <c r="K39" i="9"/>
  <c r="K74" i="8" s="1"/>
  <c r="K34" i="8" s="1"/>
  <c r="L28" i="3" s="1"/>
  <c r="J13" i="4"/>
  <c r="M13" i="4" s="1"/>
  <c r="J356" i="4"/>
  <c r="M356" i="4" s="1"/>
  <c r="J219" i="4"/>
  <c r="J125" i="4"/>
  <c r="J276" i="4"/>
  <c r="J142" i="4"/>
  <c r="J429" i="4"/>
  <c r="J160" i="4"/>
  <c r="M160" i="4" s="1"/>
  <c r="J309" i="4"/>
  <c r="J438" i="4"/>
  <c r="K48" i="5"/>
  <c r="L9" i="3" s="1"/>
  <c r="P9" i="3" s="1"/>
  <c r="K51" i="5"/>
  <c r="L12" i="3" s="1"/>
  <c r="P12" i="3" s="1"/>
  <c r="K42" i="7"/>
  <c r="K37" i="8"/>
  <c r="L31" i="3" s="1"/>
  <c r="K32" i="10"/>
  <c r="L42" i="3" s="1"/>
  <c r="M54" i="10"/>
  <c r="K102" i="8"/>
  <c r="K98" i="5" s="1"/>
  <c r="J342" i="4"/>
  <c r="J220" i="4"/>
  <c r="J95" i="4"/>
  <c r="J234" i="4"/>
  <c r="M234" i="4" s="1"/>
  <c r="J111" i="4"/>
  <c r="J389" i="4"/>
  <c r="J392" i="4"/>
  <c r="J278" i="4"/>
  <c r="J281" i="4"/>
  <c r="J294" i="4"/>
  <c r="J159" i="4"/>
  <c r="N159" i="4" s="1"/>
  <c r="J313" i="4"/>
  <c r="J167" i="4"/>
  <c r="J440" i="4"/>
  <c r="J442" i="4"/>
  <c r="J321" i="4"/>
  <c r="J446" i="4"/>
  <c r="K47" i="5"/>
  <c r="L8" i="3" s="1"/>
  <c r="K49" i="5"/>
  <c r="L10" i="3" s="1"/>
  <c r="P10" i="3" s="1"/>
  <c r="K54" i="5"/>
  <c r="L15" i="3" s="1"/>
  <c r="M62" i="5"/>
  <c r="K93" i="5"/>
  <c r="K30" i="8"/>
  <c r="L24" i="3" s="1"/>
  <c r="K31" i="8"/>
  <c r="L25" i="3" s="1"/>
  <c r="M90" i="8"/>
  <c r="K33" i="10"/>
  <c r="L41" i="3" s="1"/>
  <c r="N41" i="3" s="1"/>
  <c r="N11" i="3"/>
  <c r="J187" i="4"/>
  <c r="J188" i="4"/>
  <c r="J344" i="4"/>
  <c r="J345" i="4"/>
  <c r="J349" i="4"/>
  <c r="J66" i="4"/>
  <c r="M66" i="4" s="1"/>
  <c r="J226" i="4"/>
  <c r="J359" i="4"/>
  <c r="J228" i="4"/>
  <c r="J98" i="4"/>
  <c r="J233" i="4"/>
  <c r="J106" i="4"/>
  <c r="J237" i="4"/>
  <c r="J370" i="4"/>
  <c r="J139" i="4"/>
  <c r="J150" i="4"/>
  <c r="J165" i="4"/>
  <c r="M165" i="4" s="1"/>
  <c r="J432" i="4"/>
  <c r="J316" i="4"/>
  <c r="J318" i="4"/>
  <c r="J174" i="4"/>
  <c r="J169" i="4"/>
  <c r="J322" i="4"/>
  <c r="J450" i="4"/>
  <c r="J176" i="4"/>
  <c r="K45" i="5"/>
  <c r="L6" i="3" s="1"/>
  <c r="P6" i="3" s="1"/>
  <c r="M72" i="5"/>
  <c r="K83" i="5"/>
  <c r="K94" i="5"/>
  <c r="M101" i="5"/>
  <c r="M103" i="5"/>
  <c r="M116" i="5"/>
  <c r="M102" i="8" s="1"/>
  <c r="M131" i="5"/>
  <c r="M133" i="5"/>
  <c r="M147" i="5"/>
  <c r="M164" i="5"/>
  <c r="M166" i="5"/>
  <c r="M167" i="5"/>
  <c r="M71" i="7"/>
  <c r="K32" i="8"/>
  <c r="L26" i="3" s="1"/>
  <c r="K42" i="8"/>
  <c r="L36" i="3" s="1"/>
  <c r="M57" i="9"/>
  <c r="K31" i="10"/>
  <c r="L40" i="3" s="1"/>
  <c r="M32" i="11"/>
  <c r="J194" i="4"/>
  <c r="J339" i="4"/>
  <c r="J199" i="4"/>
  <c r="J223" i="4"/>
  <c r="J93" i="4"/>
  <c r="J99" i="4"/>
  <c r="M99" i="4" s="1"/>
  <c r="J367" i="4"/>
  <c r="M367" i="4" s="1"/>
  <c r="J117" i="4"/>
  <c r="J439" i="4"/>
  <c r="Z38" i="11"/>
  <c r="O336" i="4" s="1"/>
  <c r="L60" i="3"/>
  <c r="E60" i="3"/>
  <c r="L334" i="4"/>
  <c r="M334" i="4" s="1"/>
  <c r="L12" i="4"/>
  <c r="L27" i="11"/>
  <c r="M43" i="3" s="1"/>
  <c r="S43" i="3" s="1"/>
  <c r="V31" i="11"/>
  <c r="V32" i="11" s="1"/>
  <c r="V33" i="11" s="1"/>
  <c r="Y31" i="11"/>
  <c r="Y32" i="11" s="1"/>
  <c r="Y33" i="11" s="1"/>
  <c r="Y34" i="11" s="1"/>
  <c r="Z37" i="11"/>
  <c r="O335" i="4" s="1"/>
  <c r="P38" i="11"/>
  <c r="P27" i="11" s="1"/>
  <c r="R39" i="11"/>
  <c r="S37" i="11"/>
  <c r="H10" i="4"/>
  <c r="I10" i="4" s="1"/>
  <c r="O43" i="3"/>
  <c r="T43" i="3"/>
  <c r="Y43" i="11"/>
  <c r="H331" i="4" s="1"/>
  <c r="I331" i="4" s="1"/>
  <c r="H330" i="4"/>
  <c r="H332" i="4"/>
  <c r="I332" i="4" s="1"/>
  <c r="Y35" i="11"/>
  <c r="M35" i="11"/>
  <c r="M36" i="11"/>
  <c r="R36" i="11"/>
  <c r="W36" i="11"/>
  <c r="Q37" i="11"/>
  <c r="M40" i="11"/>
  <c r="R40" i="11"/>
  <c r="W40" i="11"/>
  <c r="O192" i="4" s="1"/>
  <c r="V41" i="11"/>
  <c r="V42" i="11" s="1"/>
  <c r="M42" i="11"/>
  <c r="S42" i="11"/>
  <c r="S43" i="11" s="1"/>
  <c r="Q35" i="11"/>
  <c r="W35" i="11"/>
  <c r="O188" i="4" s="1"/>
  <c r="Q36" i="11"/>
  <c r="Q40" i="11"/>
  <c r="Q42" i="11"/>
  <c r="Q28" i="11" s="1"/>
  <c r="W42" i="11"/>
  <c r="O184" i="4" s="1"/>
  <c r="L10" i="4"/>
  <c r="L333" i="4"/>
  <c r="M333" i="4" s="1"/>
  <c r="L14" i="4"/>
  <c r="T35" i="11"/>
  <c r="Z35" i="11"/>
  <c r="O333" i="4" s="1"/>
  <c r="M37" i="11"/>
  <c r="R37" i="11"/>
  <c r="W37" i="11"/>
  <c r="O189" i="4" s="1"/>
  <c r="Q38" i="11"/>
  <c r="T42" i="11"/>
  <c r="Z42" i="11"/>
  <c r="O330" i="4" s="1"/>
  <c r="P43" i="3"/>
  <c r="K330" i="4"/>
  <c r="L192" i="4"/>
  <c r="M192" i="4" s="1"/>
  <c r="K184" i="4"/>
  <c r="L330" i="4"/>
  <c r="L184" i="4"/>
  <c r="L188" i="4"/>
  <c r="L28" i="11"/>
  <c r="P36" i="11"/>
  <c r="T36" i="11"/>
  <c r="O10" i="4" s="1"/>
  <c r="M38" i="11"/>
  <c r="R38" i="11"/>
  <c r="P40" i="11"/>
  <c r="T40" i="11"/>
  <c r="O14" i="4" s="1"/>
  <c r="D59" i="3"/>
  <c r="S50" i="10"/>
  <c r="S51" i="10" s="1"/>
  <c r="S52" i="10" s="1"/>
  <c r="R51" i="10"/>
  <c r="L223" i="4"/>
  <c r="L358" i="4"/>
  <c r="M358" i="4" s="1"/>
  <c r="L227" i="4"/>
  <c r="L83" i="5"/>
  <c r="Z40" i="10"/>
  <c r="V43" i="10"/>
  <c r="V44" i="10" s="1"/>
  <c r="S44" i="10"/>
  <c r="S45" i="10" s="1"/>
  <c r="S46" i="10" s="1"/>
  <c r="S47" i="10" s="1"/>
  <c r="H96" i="4" s="1"/>
  <c r="I96" i="4" s="1"/>
  <c r="V49" i="10"/>
  <c r="V50" i="10" s="1"/>
  <c r="M50" i="10"/>
  <c r="T50" i="10"/>
  <c r="M51" i="10"/>
  <c r="T51" i="10"/>
  <c r="P54" i="10"/>
  <c r="Z54" i="10"/>
  <c r="O360" i="4" s="1"/>
  <c r="L93" i="4"/>
  <c r="O358" i="4"/>
  <c r="L360" i="4"/>
  <c r="M360" i="4" s="1"/>
  <c r="Z103" i="8"/>
  <c r="Z50" i="10"/>
  <c r="W51" i="10"/>
  <c r="W83" i="5" s="1"/>
  <c r="T54" i="10"/>
  <c r="S48" i="10"/>
  <c r="H97" i="4" s="1"/>
  <c r="I97" i="4" s="1"/>
  <c r="L59" i="3"/>
  <c r="P41" i="3"/>
  <c r="Y52" i="10"/>
  <c r="Y53" i="10" s="1"/>
  <c r="H358" i="4"/>
  <c r="I358" i="4" s="1"/>
  <c r="Z52" i="10"/>
  <c r="T52" i="10"/>
  <c r="O94" i="4" s="1"/>
  <c r="P52" i="10"/>
  <c r="P32" i="10" s="1"/>
  <c r="L32" i="10"/>
  <c r="L94" i="4"/>
  <c r="M94" i="4" s="1"/>
  <c r="R52" i="10"/>
  <c r="L226" i="4"/>
  <c r="W53" i="10"/>
  <c r="R53" i="10"/>
  <c r="M53" i="10"/>
  <c r="L86" i="5"/>
  <c r="L359" i="4"/>
  <c r="T53" i="10"/>
  <c r="T40" i="3"/>
  <c r="N40" i="3"/>
  <c r="P119" i="8"/>
  <c r="D42" i="8"/>
  <c r="C36" i="3" s="1"/>
  <c r="M33" i="10"/>
  <c r="J18" i="12"/>
  <c r="L98" i="4"/>
  <c r="W39" i="10"/>
  <c r="R39" i="10"/>
  <c r="M39" i="10"/>
  <c r="L233" i="4"/>
  <c r="T39" i="10"/>
  <c r="P31" i="10"/>
  <c r="V51" i="10"/>
  <c r="H223" i="4"/>
  <c r="I223" i="4" s="1"/>
  <c r="M52" i="10"/>
  <c r="Y45" i="10"/>
  <c r="H361" i="4"/>
  <c r="I361" i="4" s="1"/>
  <c r="R40" i="3"/>
  <c r="S41" i="3"/>
  <c r="R41" i="3"/>
  <c r="O224" i="4"/>
  <c r="C59" i="3"/>
  <c r="L30" i="10"/>
  <c r="W52" i="10"/>
  <c r="O225" i="4" s="1"/>
  <c r="P53" i="10"/>
  <c r="Z53" i="10"/>
  <c r="S56" i="10"/>
  <c r="Y55" i="10"/>
  <c r="Y56" i="10" s="1"/>
  <c r="Y57" i="10" s="1"/>
  <c r="Y58" i="10" s="1"/>
  <c r="Y59" i="10" s="1"/>
  <c r="Y60" i="10" s="1"/>
  <c r="Y61" i="10" s="1"/>
  <c r="Y62" i="10" s="1"/>
  <c r="Y63" i="10" s="1"/>
  <c r="Y64" i="10" s="1"/>
  <c r="V55" i="10"/>
  <c r="V56" i="10" s="1"/>
  <c r="V57" i="10" s="1"/>
  <c r="V58" i="10" s="1"/>
  <c r="V59" i="10" s="1"/>
  <c r="V60" i="10" s="1"/>
  <c r="P40" i="3"/>
  <c r="M41" i="8"/>
  <c r="T41" i="3"/>
  <c r="S39" i="10"/>
  <c r="Y38" i="10"/>
  <c r="Y39" i="10" s="1"/>
  <c r="V38" i="10"/>
  <c r="V39" i="10" s="1"/>
  <c r="P39" i="10"/>
  <c r="P30" i="10" s="1"/>
  <c r="Z39" i="10"/>
  <c r="Q52" i="10"/>
  <c r="Q53" i="10"/>
  <c r="Q40" i="10"/>
  <c r="Q30" i="10" s="1"/>
  <c r="Q54" i="10"/>
  <c r="W54" i="10"/>
  <c r="O227" i="4" s="1"/>
  <c r="T103" i="8"/>
  <c r="P111" i="8"/>
  <c r="M40" i="10"/>
  <c r="R40" i="10"/>
  <c r="Q50" i="10"/>
  <c r="L38" i="9"/>
  <c r="M60" i="9"/>
  <c r="T60" i="9"/>
  <c r="Z62" i="9"/>
  <c r="Z80" i="5" s="1"/>
  <c r="Z64" i="9"/>
  <c r="Z66" i="9"/>
  <c r="O354" i="4" s="1"/>
  <c r="L80" i="5"/>
  <c r="Z60" i="9"/>
  <c r="T63" i="9"/>
  <c r="T81" i="5" s="1"/>
  <c r="T65" i="9"/>
  <c r="T88" i="5" s="1"/>
  <c r="J17" i="12"/>
  <c r="E58" i="3"/>
  <c r="L209" i="4"/>
  <c r="M209" i="4" s="1"/>
  <c r="L87" i="5"/>
  <c r="P60" i="9"/>
  <c r="P38" i="9" s="1"/>
  <c r="P62" i="9"/>
  <c r="Z63" i="9"/>
  <c r="Z81" i="5" s="1"/>
  <c r="P64" i="9"/>
  <c r="Z65" i="9"/>
  <c r="P66" i="9"/>
  <c r="O38" i="3"/>
  <c r="S38" i="3"/>
  <c r="R38" i="3"/>
  <c r="D58" i="3"/>
  <c r="V45" i="9"/>
  <c r="Y59" i="9"/>
  <c r="Y60" i="9" s="1"/>
  <c r="V60" i="9"/>
  <c r="H193" i="4" s="1"/>
  <c r="I193" i="4" s="1"/>
  <c r="Z89" i="5"/>
  <c r="P46" i="9"/>
  <c r="L194" i="4"/>
  <c r="Z46" i="9"/>
  <c r="O339" i="4" s="1"/>
  <c r="T46" i="9"/>
  <c r="L39" i="9"/>
  <c r="L339" i="4"/>
  <c r="P47" i="9"/>
  <c r="F18" i="12"/>
  <c r="Z47" i="9"/>
  <c r="O343" i="4" s="1"/>
  <c r="T47" i="9"/>
  <c r="L199" i="4"/>
  <c r="M46" i="9"/>
  <c r="W46" i="9"/>
  <c r="O194" i="4" s="1"/>
  <c r="M47" i="9"/>
  <c r="W47" i="9"/>
  <c r="O199" i="4" s="1"/>
  <c r="P58" i="9"/>
  <c r="L198" i="4"/>
  <c r="M198" i="4" s="1"/>
  <c r="M58" i="9"/>
  <c r="Z58" i="9"/>
  <c r="T58" i="9"/>
  <c r="Q62" i="9"/>
  <c r="W62" i="9"/>
  <c r="Q63" i="9"/>
  <c r="W63" i="9"/>
  <c r="Q64" i="9"/>
  <c r="W64" i="9"/>
  <c r="Q65" i="9"/>
  <c r="W65" i="9"/>
  <c r="Q66" i="9"/>
  <c r="W66" i="9"/>
  <c r="Q60" i="9"/>
  <c r="Q38" i="9" s="1"/>
  <c r="V61" i="9"/>
  <c r="W114" i="8"/>
  <c r="Z67" i="8"/>
  <c r="W79" i="8"/>
  <c r="O241" i="4" s="1"/>
  <c r="J387" i="4"/>
  <c r="L249" i="4"/>
  <c r="M249" i="4" s="1"/>
  <c r="W50" i="8"/>
  <c r="O255" i="4" s="1"/>
  <c r="Z55" i="8"/>
  <c r="M60" i="8"/>
  <c r="M67" i="8"/>
  <c r="L105" i="4"/>
  <c r="L241" i="4"/>
  <c r="M241" i="4" s="1"/>
  <c r="J246" i="4"/>
  <c r="L250" i="4"/>
  <c r="M250" i="4" s="1"/>
  <c r="L388" i="4"/>
  <c r="L252" i="4"/>
  <c r="M252" i="4" s="1"/>
  <c r="J116" i="4"/>
  <c r="J118" i="4"/>
  <c r="J257" i="4"/>
  <c r="J260" i="4"/>
  <c r="M260" i="4" s="1"/>
  <c r="H120" i="4"/>
  <c r="I120" i="4" s="1"/>
  <c r="K97" i="5"/>
  <c r="Q49" i="8"/>
  <c r="Z49" i="8"/>
  <c r="M50" i="8"/>
  <c r="M76" i="8"/>
  <c r="Z78" i="8"/>
  <c r="O377" i="4" s="1"/>
  <c r="W83" i="8"/>
  <c r="O244" i="4" s="1"/>
  <c r="M84" i="8"/>
  <c r="P95" i="8"/>
  <c r="P96" i="8"/>
  <c r="W100" i="8"/>
  <c r="K35" i="3"/>
  <c r="L104" i="4"/>
  <c r="N104" i="4" s="1"/>
  <c r="W78" i="8"/>
  <c r="O240" i="4" s="1"/>
  <c r="M79" i="8"/>
  <c r="W84" i="8"/>
  <c r="O245" i="4" s="1"/>
  <c r="K41" i="8"/>
  <c r="L35" i="3" s="1"/>
  <c r="L100" i="4"/>
  <c r="J375" i="4"/>
  <c r="M375" i="4" s="1"/>
  <c r="L376" i="4"/>
  <c r="L387" i="4"/>
  <c r="L109" i="4"/>
  <c r="M109" i="4" s="1"/>
  <c r="L119" i="4"/>
  <c r="L258" i="4"/>
  <c r="L394" i="4"/>
  <c r="M394" i="4" s="1"/>
  <c r="K78" i="5"/>
  <c r="L97" i="5"/>
  <c r="L31" i="8"/>
  <c r="F11" i="12" s="1"/>
  <c r="K29" i="8"/>
  <c r="L23" i="3" s="1"/>
  <c r="P55" i="8"/>
  <c r="T60" i="8"/>
  <c r="O104" i="4" s="1"/>
  <c r="P67" i="8"/>
  <c r="V68" i="8"/>
  <c r="Y68" i="8" s="1"/>
  <c r="P78" i="8"/>
  <c r="T79" i="8"/>
  <c r="M81" i="8"/>
  <c r="Z83" i="8"/>
  <c r="O386" i="4" s="1"/>
  <c r="P92" i="8"/>
  <c r="M95" i="8"/>
  <c r="M100" i="8"/>
  <c r="M106" i="8"/>
  <c r="M113" i="8"/>
  <c r="M114" i="8"/>
  <c r="T57" i="8"/>
  <c r="O102" i="4" s="1"/>
  <c r="Q77" i="8"/>
  <c r="Q35" i="8" s="1"/>
  <c r="S29" i="3" s="1"/>
  <c r="Q82" i="8"/>
  <c r="J100" i="4"/>
  <c r="L106" i="4"/>
  <c r="M106" i="4" s="1"/>
  <c r="L239" i="4"/>
  <c r="J240" i="4"/>
  <c r="M240" i="4" s="1"/>
  <c r="L385" i="4"/>
  <c r="M385" i="4" s="1"/>
  <c r="J244" i="4"/>
  <c r="M244" i="4" s="1"/>
  <c r="L246" i="4"/>
  <c r="J248" i="4"/>
  <c r="M248" i="4" s="1"/>
  <c r="J391" i="4"/>
  <c r="J119" i="4"/>
  <c r="L122" i="4"/>
  <c r="L408" i="4"/>
  <c r="M408" i="4" s="1"/>
  <c r="E33" i="8"/>
  <c r="D27" i="3" s="1"/>
  <c r="K36" i="8"/>
  <c r="L30" i="3" s="1"/>
  <c r="P49" i="8"/>
  <c r="Z50" i="8"/>
  <c r="T55" i="8"/>
  <c r="O100" i="4" s="1"/>
  <c r="M57" i="8"/>
  <c r="W57" i="8"/>
  <c r="M62" i="8"/>
  <c r="L32" i="8"/>
  <c r="M26" i="3" s="1"/>
  <c r="W76" i="8"/>
  <c r="O238" i="4" s="1"/>
  <c r="M77" i="8"/>
  <c r="T77" i="8"/>
  <c r="P79" i="8"/>
  <c r="Z79" i="8"/>
  <c r="O378" i="4" s="1"/>
  <c r="W81" i="8"/>
  <c r="O242" i="4" s="1"/>
  <c r="M82" i="8"/>
  <c r="T82" i="8"/>
  <c r="P84" i="8"/>
  <c r="Z84" i="8"/>
  <c r="O387" i="4" s="1"/>
  <c r="Z100" i="8"/>
  <c r="O388" i="4" s="1"/>
  <c r="P103" i="8"/>
  <c r="W104" i="8"/>
  <c r="M109" i="8"/>
  <c r="W118" i="8"/>
  <c r="J105" i="4"/>
  <c r="L237" i="4"/>
  <c r="M237" i="4" s="1"/>
  <c r="L373" i="4"/>
  <c r="M373" i="4" s="1"/>
  <c r="J380" i="4"/>
  <c r="L382" i="4"/>
  <c r="M382" i="4" s="1"/>
  <c r="J388" i="4"/>
  <c r="K111" i="4"/>
  <c r="M111" i="4" s="1"/>
  <c r="J258" i="4"/>
  <c r="J261" i="4"/>
  <c r="M261" i="4" s="1"/>
  <c r="G120" i="4"/>
  <c r="F121" i="4"/>
  <c r="G53" i="5"/>
  <c r="L33" i="8"/>
  <c r="M27" i="3" s="1"/>
  <c r="K35" i="8"/>
  <c r="L29" i="3" s="1"/>
  <c r="L36" i="8"/>
  <c r="M30" i="3" s="1"/>
  <c r="O30" i="3" s="1"/>
  <c r="M55" i="8"/>
  <c r="Z57" i="8"/>
  <c r="W65" i="8"/>
  <c r="W72" i="8"/>
  <c r="P76" i="8"/>
  <c r="Z76" i="8"/>
  <c r="W77" i="8"/>
  <c r="O239" i="4" s="1"/>
  <c r="M78" i="8"/>
  <c r="P81" i="8"/>
  <c r="Z81" i="8"/>
  <c r="O384" i="4" s="1"/>
  <c r="W82" i="8"/>
  <c r="O243" i="4" s="1"/>
  <c r="M83" i="8"/>
  <c r="Q90" i="8"/>
  <c r="W106" i="8"/>
  <c r="L370" i="4"/>
  <c r="L243" i="4"/>
  <c r="M243" i="4" s="1"/>
  <c r="L108" i="4"/>
  <c r="M108" i="4" s="1"/>
  <c r="L114" i="4"/>
  <c r="J396" i="4"/>
  <c r="M396" i="4" s="1"/>
  <c r="L79" i="5"/>
  <c r="L35" i="8"/>
  <c r="M29" i="3" s="1"/>
  <c r="O29" i="3" s="1"/>
  <c r="T50" i="8"/>
  <c r="O116" i="4" s="1"/>
  <c r="M51" i="8"/>
  <c r="P57" i="8"/>
  <c r="T62" i="8"/>
  <c r="T79" i="5" s="1"/>
  <c r="T67" i="8"/>
  <c r="O110" i="4" s="1"/>
  <c r="P77" i="8"/>
  <c r="P82" i="8"/>
  <c r="P91" i="8"/>
  <c r="Z106" i="8"/>
  <c r="O379" i="4" s="1"/>
  <c r="M117" i="8"/>
  <c r="M118" i="8"/>
  <c r="O396" i="4"/>
  <c r="Z78" i="5"/>
  <c r="Y84" i="8"/>
  <c r="H387" i="4" s="1"/>
  <c r="I387" i="4" s="1"/>
  <c r="H245" i="4"/>
  <c r="N245" i="4" s="1"/>
  <c r="V91" i="8"/>
  <c r="S92" i="8"/>
  <c r="V92" i="8" s="1"/>
  <c r="Y92" i="8" s="1"/>
  <c r="H409" i="4" s="1"/>
  <c r="I409" i="4" s="1"/>
  <c r="S113" i="8"/>
  <c r="S114" i="8" s="1"/>
  <c r="S115" i="8" s="1"/>
  <c r="S116" i="8" s="1"/>
  <c r="S117" i="8" s="1"/>
  <c r="S118" i="8" s="1"/>
  <c r="S119" i="8" s="1"/>
  <c r="D36" i="3"/>
  <c r="L391" i="4"/>
  <c r="L118" i="4"/>
  <c r="L393" i="4"/>
  <c r="M393" i="4" s="1"/>
  <c r="L259" i="4"/>
  <c r="M259" i="4" s="1"/>
  <c r="G262" i="4"/>
  <c r="J279" i="4"/>
  <c r="K53" i="5"/>
  <c r="L14" i="3" s="1"/>
  <c r="L55" i="3" s="1"/>
  <c r="L96" i="5"/>
  <c r="L29" i="8"/>
  <c r="M23" i="3" s="1"/>
  <c r="O23" i="3" s="1"/>
  <c r="F33" i="8"/>
  <c r="E27" i="3" s="1"/>
  <c r="L39" i="8"/>
  <c r="K40" i="8"/>
  <c r="L34" i="3" s="1"/>
  <c r="L41" i="8"/>
  <c r="M35" i="3" s="1"/>
  <c r="O35" i="3" s="1"/>
  <c r="M47" i="8"/>
  <c r="P48" i="8"/>
  <c r="R50" i="8"/>
  <c r="Q51" i="8"/>
  <c r="M52" i="8"/>
  <c r="T52" i="8"/>
  <c r="R55" i="8"/>
  <c r="R57" i="8"/>
  <c r="P60" i="8"/>
  <c r="Z60" i="8"/>
  <c r="W62" i="8"/>
  <c r="P65" i="8"/>
  <c r="Z65" i="8"/>
  <c r="W67" i="8"/>
  <c r="V82" i="8"/>
  <c r="V90" i="8"/>
  <c r="Y90" i="8" s="1"/>
  <c r="H408" i="4" s="1"/>
  <c r="I408" i="4" s="1"/>
  <c r="M94" i="8"/>
  <c r="T96" i="8"/>
  <c r="P106" i="8"/>
  <c r="W107" i="8"/>
  <c r="M110" i="8"/>
  <c r="W110" i="8"/>
  <c r="Z113" i="8"/>
  <c r="O371" i="4" s="1"/>
  <c r="Z114" i="8"/>
  <c r="O372" i="4" s="1"/>
  <c r="P115" i="8"/>
  <c r="Z118" i="8"/>
  <c r="O376" i="4" s="1"/>
  <c r="J26" i="12"/>
  <c r="W47" i="8"/>
  <c r="O252" i="4" s="1"/>
  <c r="R52" i="8"/>
  <c r="T94" i="8"/>
  <c r="L107" i="4"/>
  <c r="M107" i="4" s="1"/>
  <c r="L247" i="4"/>
  <c r="M247" i="4" s="1"/>
  <c r="L112" i="4"/>
  <c r="M112" i="4" s="1"/>
  <c r="H262" i="4"/>
  <c r="I262" i="4" s="1"/>
  <c r="T46" i="8"/>
  <c r="O112" i="4" s="1"/>
  <c r="R48" i="8"/>
  <c r="W51" i="8"/>
  <c r="W52" i="8"/>
  <c r="V59" i="8"/>
  <c r="Y59" i="8" s="1"/>
  <c r="R60" i="8"/>
  <c r="P62" i="8"/>
  <c r="Z62" i="8"/>
  <c r="O370" i="4" s="1"/>
  <c r="Q64" i="8"/>
  <c r="R65" i="8"/>
  <c r="K33" i="8"/>
  <c r="L27" i="3" s="1"/>
  <c r="V80" i="8"/>
  <c r="Y80" i="8" s="1"/>
  <c r="S86" i="8"/>
  <c r="V86" i="8" s="1"/>
  <c r="V89" i="8"/>
  <c r="Y89" i="8" s="1"/>
  <c r="Z90" i="8"/>
  <c r="O408" i="4" s="1"/>
  <c r="M92" i="8"/>
  <c r="T95" i="8"/>
  <c r="M96" i="8"/>
  <c r="P97" i="8"/>
  <c r="P100" i="8"/>
  <c r="Z110" i="8"/>
  <c r="O383" i="4" s="1"/>
  <c r="P114" i="8"/>
  <c r="W115" i="8"/>
  <c r="P118" i="8"/>
  <c r="T110" i="8"/>
  <c r="M31" i="3"/>
  <c r="O31" i="3" s="1"/>
  <c r="O106" i="4"/>
  <c r="L383" i="4"/>
  <c r="K251" i="4"/>
  <c r="M251" i="4" s="1"/>
  <c r="L113" i="4"/>
  <c r="M113" i="4" s="1"/>
  <c r="L253" i="4"/>
  <c r="M253" i="4" s="1"/>
  <c r="L257" i="4"/>
  <c r="E120" i="4"/>
  <c r="A1" i="8"/>
  <c r="M48" i="8"/>
  <c r="Z48" i="8"/>
  <c r="P52" i="8"/>
  <c r="Z52" i="8"/>
  <c r="O393" i="4" s="1"/>
  <c r="R62" i="8"/>
  <c r="S64" i="8"/>
  <c r="M65" i="8"/>
  <c r="T65" i="8"/>
  <c r="O108" i="4" s="1"/>
  <c r="R67" i="8"/>
  <c r="W87" i="8"/>
  <c r="O260" i="4" s="1"/>
  <c r="Q91" i="8"/>
  <c r="P94" i="8"/>
  <c r="T97" i="8"/>
  <c r="Q98" i="8"/>
  <c r="Z119" i="8"/>
  <c r="W119" i="8"/>
  <c r="H112" i="4"/>
  <c r="I112" i="4" s="1"/>
  <c r="S47" i="8"/>
  <c r="S55" i="8"/>
  <c r="V54" i="8"/>
  <c r="Y54" i="8" s="1"/>
  <c r="W58" i="8"/>
  <c r="R58" i="8"/>
  <c r="M58" i="8"/>
  <c r="Z58" i="8"/>
  <c r="T58" i="8"/>
  <c r="O103" i="4" s="1"/>
  <c r="P58" i="8"/>
  <c r="L103" i="4"/>
  <c r="M103" i="4" s="1"/>
  <c r="Q58" i="8"/>
  <c r="V75" i="8"/>
  <c r="Y75" i="8" s="1"/>
  <c r="S76" i="8"/>
  <c r="Z116" i="8"/>
  <c r="O374" i="4" s="1"/>
  <c r="T116" i="8"/>
  <c r="M116" i="8"/>
  <c r="P116" i="8"/>
  <c r="W116" i="8"/>
  <c r="P23" i="3"/>
  <c r="Q32" i="8"/>
  <c r="S26" i="3" s="1"/>
  <c r="M72" i="8"/>
  <c r="D57" i="3"/>
  <c r="D33" i="8"/>
  <c r="C27" i="3" s="1"/>
  <c r="C57" i="3" s="1"/>
  <c r="S87" i="8"/>
  <c r="L374" i="4"/>
  <c r="M374" i="4" s="1"/>
  <c r="J122" i="4"/>
  <c r="D53" i="5"/>
  <c r="C14" i="3" s="1"/>
  <c r="C55" i="3" s="1"/>
  <c r="J53" i="5"/>
  <c r="K14" i="3" s="1"/>
  <c r="L30" i="8"/>
  <c r="L42" i="8"/>
  <c r="M36" i="3" s="1"/>
  <c r="Z56" i="8"/>
  <c r="T56" i="8"/>
  <c r="O101" i="4" s="1"/>
  <c r="P56" i="8"/>
  <c r="W56" i="8"/>
  <c r="R56" i="8"/>
  <c r="M56" i="8"/>
  <c r="Q56" i="8"/>
  <c r="L101" i="4"/>
  <c r="M101" i="4" s="1"/>
  <c r="M97" i="8"/>
  <c r="K39" i="8"/>
  <c r="L33" i="3" s="1"/>
  <c r="F53" i="5"/>
  <c r="E14" i="3" s="1"/>
  <c r="E55" i="3" s="1"/>
  <c r="V45" i="8"/>
  <c r="P46" i="8"/>
  <c r="W46" i="8"/>
  <c r="F16" i="12"/>
  <c r="Z47" i="8"/>
  <c r="O391" i="4" s="1"/>
  <c r="T47" i="8"/>
  <c r="O113" i="4" s="1"/>
  <c r="P47" i="8"/>
  <c r="R47" i="8"/>
  <c r="T48" i="8"/>
  <c r="O114" i="4" s="1"/>
  <c r="S61" i="8"/>
  <c r="Z69" i="8"/>
  <c r="R69" i="8"/>
  <c r="M69" i="8"/>
  <c r="P69" i="8"/>
  <c r="W69" i="8"/>
  <c r="P70" i="8"/>
  <c r="Z70" i="8"/>
  <c r="R70" i="8"/>
  <c r="M70" i="8"/>
  <c r="P98" i="8"/>
  <c r="S106" i="8"/>
  <c r="V105" i="8"/>
  <c r="Y105" i="8" s="1"/>
  <c r="R46" i="8"/>
  <c r="W49" i="8"/>
  <c r="O254" i="4" s="1"/>
  <c r="R49" i="8"/>
  <c r="M49" i="8"/>
  <c r="Z53" i="8"/>
  <c r="T53" i="8"/>
  <c r="P53" i="8"/>
  <c r="W53" i="8"/>
  <c r="R53" i="8"/>
  <c r="M53" i="8"/>
  <c r="W61" i="8"/>
  <c r="R61" i="8"/>
  <c r="M61" i="8"/>
  <c r="Z61" i="8"/>
  <c r="T61" i="8"/>
  <c r="O105" i="4" s="1"/>
  <c r="P61" i="8"/>
  <c r="W64" i="8"/>
  <c r="R64" i="8"/>
  <c r="M64" i="8"/>
  <c r="Z64" i="8"/>
  <c r="T64" i="8"/>
  <c r="O107" i="4" s="1"/>
  <c r="P64" i="8"/>
  <c r="Z66" i="8"/>
  <c r="T66" i="8"/>
  <c r="O109" i="4" s="1"/>
  <c r="P66" i="8"/>
  <c r="W66" i="8"/>
  <c r="O246" i="4" s="1"/>
  <c r="R66" i="8"/>
  <c r="M66" i="8"/>
  <c r="W70" i="8"/>
  <c r="O262" i="4" s="1"/>
  <c r="P86" i="8"/>
  <c r="Q86" i="8"/>
  <c r="W86" i="8"/>
  <c r="O259" i="4" s="1"/>
  <c r="T86" i="8"/>
  <c r="M86" i="8"/>
  <c r="S94" i="8"/>
  <c r="V93" i="8"/>
  <c r="Y93" i="8" s="1"/>
  <c r="S100" i="8"/>
  <c r="V99" i="8"/>
  <c r="Y99" i="8" s="1"/>
  <c r="H53" i="5"/>
  <c r="M46" i="8"/>
  <c r="Z46" i="8"/>
  <c r="Q48" i="8"/>
  <c r="W48" i="8"/>
  <c r="O253" i="4" s="1"/>
  <c r="T49" i="8"/>
  <c r="O115" i="4" s="1"/>
  <c r="Z51" i="8"/>
  <c r="T51" i="8"/>
  <c r="P51" i="8"/>
  <c r="R51" i="8"/>
  <c r="Q69" i="8"/>
  <c r="Q70" i="8"/>
  <c r="S72" i="8"/>
  <c r="J24" i="12"/>
  <c r="P88" i="8"/>
  <c r="J13" i="12"/>
  <c r="Q88" i="8"/>
  <c r="W88" i="8"/>
  <c r="T88" i="8"/>
  <c r="T78" i="5" s="1"/>
  <c r="M88" i="8"/>
  <c r="V69" i="8"/>
  <c r="Y69" i="8" s="1"/>
  <c r="V81" i="8"/>
  <c r="V83" i="8"/>
  <c r="Q87" i="8"/>
  <c r="P90" i="8"/>
  <c r="P38" i="8" s="1"/>
  <c r="R32" i="3" s="1"/>
  <c r="W90" i="8"/>
  <c r="O278" i="4" s="1"/>
  <c r="Z104" i="8"/>
  <c r="O390" i="4" s="1"/>
  <c r="T104" i="8"/>
  <c r="M104" i="8"/>
  <c r="W109" i="8"/>
  <c r="P109" i="8"/>
  <c r="T109" i="8"/>
  <c r="W113" i="8"/>
  <c r="P113" i="8"/>
  <c r="T113" i="8"/>
  <c r="Z87" i="8"/>
  <c r="O395" i="4" s="1"/>
  <c r="N1" i="8"/>
  <c r="Z108" i="8"/>
  <c r="O381" i="4" s="1"/>
  <c r="T108" i="8"/>
  <c r="M108" i="8"/>
  <c r="W108" i="8"/>
  <c r="Y112" i="8"/>
  <c r="Y113" i="8" s="1"/>
  <c r="Q62" i="8"/>
  <c r="Q31" i="8" s="1"/>
  <c r="S25" i="3" s="1"/>
  <c r="Z72" i="8"/>
  <c r="T72" i="8"/>
  <c r="O122" i="4" s="1"/>
  <c r="P72" i="8"/>
  <c r="R72" i="8"/>
  <c r="M87" i="8"/>
  <c r="T87" i="8"/>
  <c r="T90" i="8"/>
  <c r="Z92" i="8"/>
  <c r="O409" i="4" s="1"/>
  <c r="T92" i="8"/>
  <c r="Q92" i="8"/>
  <c r="E53" i="5"/>
  <c r="D14" i="3" s="1"/>
  <c r="D55" i="3" s="1"/>
  <c r="I53" i="5"/>
  <c r="W117" i="8"/>
  <c r="P117" i="8"/>
  <c r="T117" i="8"/>
  <c r="Q94" i="8"/>
  <c r="Q95" i="8"/>
  <c r="Q96" i="8"/>
  <c r="Q97" i="8"/>
  <c r="M107" i="8"/>
  <c r="T107" i="8"/>
  <c r="M115" i="8"/>
  <c r="T115" i="8"/>
  <c r="T119" i="8"/>
  <c r="Q52" i="7"/>
  <c r="Q42" i="7" s="1"/>
  <c r="M42" i="7"/>
  <c r="E111" i="6"/>
  <c r="V49" i="6"/>
  <c r="V50" i="6" s="1"/>
  <c r="V51" i="6" s="1"/>
  <c r="V52" i="6" s="1"/>
  <c r="V53" i="6" s="1"/>
  <c r="V54" i="6" s="1"/>
  <c r="V55" i="6" s="1"/>
  <c r="V56" i="6" s="1"/>
  <c r="V57" i="6" s="1"/>
  <c r="V58" i="6" s="1"/>
  <c r="V59" i="6" s="1"/>
  <c r="V60" i="6" s="1"/>
  <c r="V61" i="6" s="1"/>
  <c r="V62" i="6" s="1"/>
  <c r="V63" i="6" s="1"/>
  <c r="V64" i="6" s="1"/>
  <c r="V65" i="6" s="1"/>
  <c r="V66" i="6" s="1"/>
  <c r="V67" i="6" s="1"/>
  <c r="V68" i="6" s="1"/>
  <c r="V69" i="6" s="1"/>
  <c r="V70" i="6" s="1"/>
  <c r="V71" i="6" s="1"/>
  <c r="V72" i="6" s="1"/>
  <c r="V73" i="6" s="1"/>
  <c r="Y49" i="6"/>
  <c r="Y50" i="6" s="1"/>
  <c r="Y51" i="6" s="1"/>
  <c r="C18" i="3"/>
  <c r="J40" i="4"/>
  <c r="Z113" i="6"/>
  <c r="H47" i="4"/>
  <c r="I47" i="4" s="1"/>
  <c r="E217" i="4"/>
  <c r="Q114" i="6"/>
  <c r="S22" i="3"/>
  <c r="E18" i="3"/>
  <c r="L81" i="4"/>
  <c r="M81" i="4" s="1"/>
  <c r="K44" i="6"/>
  <c r="L22" i="3" s="1"/>
  <c r="J51" i="4"/>
  <c r="M51" i="4" s="1"/>
  <c r="T69" i="6"/>
  <c r="O67" i="4" s="1"/>
  <c r="T73" i="6"/>
  <c r="O71" i="4" s="1"/>
  <c r="Z78" i="6"/>
  <c r="P84" i="6"/>
  <c r="Q96" i="6"/>
  <c r="N21" i="3"/>
  <c r="F42" i="4"/>
  <c r="E43" i="4"/>
  <c r="L218" i="4"/>
  <c r="G47" i="4"/>
  <c r="E50" i="4"/>
  <c r="L68" i="4"/>
  <c r="M68" i="4" s="1"/>
  <c r="H81" i="4"/>
  <c r="I81" i="4" s="1"/>
  <c r="L83" i="4"/>
  <c r="M83" i="4" s="1"/>
  <c r="L85" i="4"/>
  <c r="M85" i="4" s="1"/>
  <c r="L87" i="4"/>
  <c r="M87" i="4" s="1"/>
  <c r="D44" i="6"/>
  <c r="C22" i="3" s="1"/>
  <c r="W59" i="6"/>
  <c r="W66" i="6"/>
  <c r="M69" i="6"/>
  <c r="W69" i="6"/>
  <c r="M70" i="6"/>
  <c r="M73" i="6"/>
  <c r="W73" i="6"/>
  <c r="Z75" i="6"/>
  <c r="P78" i="6"/>
  <c r="Z79" i="6"/>
  <c r="T83" i="6"/>
  <c r="O46" i="4" s="1"/>
  <c r="Z84" i="6"/>
  <c r="P86" i="6"/>
  <c r="W87" i="6"/>
  <c r="O215" i="4" s="1"/>
  <c r="W91" i="6"/>
  <c r="T92" i="6"/>
  <c r="O48" i="4" s="1"/>
  <c r="Q94" i="6"/>
  <c r="M94" i="6"/>
  <c r="Q95" i="6"/>
  <c r="M109" i="6"/>
  <c r="Z114" i="6"/>
  <c r="T115" i="6"/>
  <c r="L215" i="4"/>
  <c r="L43" i="4"/>
  <c r="M43" i="4" s="1"/>
  <c r="F48" i="4"/>
  <c r="L50" i="4"/>
  <c r="M50" i="4" s="1"/>
  <c r="L80" i="4"/>
  <c r="M80" i="4" s="1"/>
  <c r="F84" i="4"/>
  <c r="F86" i="4"/>
  <c r="F88" i="4"/>
  <c r="W55" i="6"/>
  <c r="W58" i="6"/>
  <c r="M59" i="6"/>
  <c r="Q61" i="6"/>
  <c r="P64" i="6"/>
  <c r="W65" i="6"/>
  <c r="M66" i="6"/>
  <c r="P69" i="6"/>
  <c r="Z69" i="6"/>
  <c r="R70" i="6"/>
  <c r="Z72" i="6"/>
  <c r="P73" i="6"/>
  <c r="Z73" i="6"/>
  <c r="P75" i="6"/>
  <c r="Z76" i="6"/>
  <c r="W77" i="6"/>
  <c r="Q78" i="6"/>
  <c r="P79" i="6"/>
  <c r="R83" i="6"/>
  <c r="W83" i="6"/>
  <c r="K84" i="6"/>
  <c r="J212" i="4" s="1"/>
  <c r="M212" i="4" s="1"/>
  <c r="Q86" i="6"/>
  <c r="P93" i="6"/>
  <c r="P94" i="6"/>
  <c r="Z95" i="6"/>
  <c r="W97" i="6"/>
  <c r="Q98" i="6"/>
  <c r="V101" i="6"/>
  <c r="W103" i="6"/>
  <c r="W105" i="6"/>
  <c r="W107" i="6"/>
  <c r="W109" i="6"/>
  <c r="T114" i="6"/>
  <c r="F3" i="12"/>
  <c r="L216" i="4"/>
  <c r="E51" i="4"/>
  <c r="L67" i="4"/>
  <c r="M67" i="4" s="1"/>
  <c r="L71" i="4"/>
  <c r="M71" i="4" s="1"/>
  <c r="H79" i="4"/>
  <c r="I79" i="4" s="1"/>
  <c r="T50" i="6"/>
  <c r="O55" i="4" s="1"/>
  <c r="W51" i="6"/>
  <c r="W54" i="6"/>
  <c r="M55" i="6"/>
  <c r="Q57" i="6"/>
  <c r="P58" i="6"/>
  <c r="Z58" i="6"/>
  <c r="P59" i="6"/>
  <c r="Q64" i="6"/>
  <c r="P65" i="6"/>
  <c r="Z65" i="6"/>
  <c r="Q69" i="6"/>
  <c r="P72" i="6"/>
  <c r="Q73" i="6"/>
  <c r="Q75" i="6"/>
  <c r="W78" i="6"/>
  <c r="Q79" i="6"/>
  <c r="M83" i="6"/>
  <c r="Z83" i="6"/>
  <c r="Q87" i="6"/>
  <c r="M92" i="6"/>
  <c r="T94" i="6"/>
  <c r="O50" i="4" s="1"/>
  <c r="W96" i="6"/>
  <c r="E45" i="6"/>
  <c r="P115" i="6"/>
  <c r="M81" i="6"/>
  <c r="J217" i="4"/>
  <c r="M217" i="4" s="1"/>
  <c r="D43" i="6"/>
  <c r="C19" i="3" s="1"/>
  <c r="T22" i="3"/>
  <c r="M23" i="4"/>
  <c r="Y74" i="6"/>
  <c r="N22" i="3"/>
  <c r="M156" i="4"/>
  <c r="M82" i="4"/>
  <c r="M294" i="4"/>
  <c r="N156" i="4"/>
  <c r="E43" i="6"/>
  <c r="D19" i="3" s="1"/>
  <c r="M345" i="4"/>
  <c r="M202" i="4"/>
  <c r="M346" i="4"/>
  <c r="L57" i="4"/>
  <c r="L76" i="4"/>
  <c r="M76" i="4" s="1"/>
  <c r="S51" i="6"/>
  <c r="H66" i="4" s="1"/>
  <c r="I66" i="4" s="1"/>
  <c r="H55" i="4"/>
  <c r="N55" i="4" s="1"/>
  <c r="W63" i="6"/>
  <c r="P63" i="6"/>
  <c r="R63" i="6"/>
  <c r="Q63" i="6"/>
  <c r="Z63" i="6"/>
  <c r="M63" i="6"/>
  <c r="T68" i="6"/>
  <c r="O65" i="4" s="1"/>
  <c r="M68" i="6"/>
  <c r="R68" i="6"/>
  <c r="Q68" i="6"/>
  <c r="Z68" i="6"/>
  <c r="P68" i="6"/>
  <c r="L65" i="4"/>
  <c r="M65" i="4" s="1"/>
  <c r="M103" i="6"/>
  <c r="M107" i="6"/>
  <c r="K3" i="3"/>
  <c r="R22" i="3"/>
  <c r="P22" i="3"/>
  <c r="M211" i="4"/>
  <c r="M24" i="4"/>
  <c r="K42" i="6"/>
  <c r="L17" i="3" s="1"/>
  <c r="T63" i="6"/>
  <c r="O60" i="4" s="1"/>
  <c r="W68" i="6"/>
  <c r="M106" i="6"/>
  <c r="M204" i="4"/>
  <c r="M348" i="4"/>
  <c r="M35" i="4"/>
  <c r="L40" i="4"/>
  <c r="K45" i="6"/>
  <c r="Q84" i="6"/>
  <c r="Q85" i="6"/>
  <c r="Z85" i="6"/>
  <c r="P85" i="6"/>
  <c r="W85" i="6"/>
  <c r="O213" i="4" s="1"/>
  <c r="L43" i="6"/>
  <c r="M19" i="3" s="1"/>
  <c r="O19" i="3" s="1"/>
  <c r="T85" i="6"/>
  <c r="M85" i="6"/>
  <c r="M105" i="6"/>
  <c r="Z52" i="6"/>
  <c r="Q52" i="6"/>
  <c r="W52" i="6"/>
  <c r="P52" i="6"/>
  <c r="L42" i="6"/>
  <c r="M17" i="3" s="1"/>
  <c r="T52" i="6"/>
  <c r="O72" i="4" s="1"/>
  <c r="M52" i="6"/>
  <c r="Z56" i="6"/>
  <c r="Q56" i="6"/>
  <c r="W56" i="6"/>
  <c r="P56" i="6"/>
  <c r="T56" i="6"/>
  <c r="O76" i="4" s="1"/>
  <c r="M56" i="6"/>
  <c r="Z60" i="6"/>
  <c r="Q60" i="6"/>
  <c r="W60" i="6"/>
  <c r="P60" i="6"/>
  <c r="T60" i="6"/>
  <c r="O57" i="4" s="1"/>
  <c r="M60" i="6"/>
  <c r="W71" i="6"/>
  <c r="P71" i="6"/>
  <c r="T71" i="6"/>
  <c r="O69" i="4" s="1"/>
  <c r="M71" i="6"/>
  <c r="Z71" i="6"/>
  <c r="R71" i="6"/>
  <c r="L69" i="4"/>
  <c r="M69" i="4" s="1"/>
  <c r="Q71" i="6"/>
  <c r="K82" i="6"/>
  <c r="Z82" i="6"/>
  <c r="E218" i="4"/>
  <c r="W89" i="6"/>
  <c r="O216" i="4" s="1"/>
  <c r="Q89" i="6"/>
  <c r="P89" i="6"/>
  <c r="Z89" i="6"/>
  <c r="M104" i="6"/>
  <c r="M108" i="6"/>
  <c r="M73" i="4"/>
  <c r="M77" i="4"/>
  <c r="M91" i="4"/>
  <c r="M92" i="4"/>
  <c r="M219" i="4"/>
  <c r="M225" i="4"/>
  <c r="M363" i="4"/>
  <c r="M96" i="4"/>
  <c r="M366" i="4"/>
  <c r="M235" i="4"/>
  <c r="M368" i="4"/>
  <c r="M236" i="4"/>
  <c r="M369" i="4"/>
  <c r="M128" i="4"/>
  <c r="R53" i="6"/>
  <c r="R57" i="6"/>
  <c r="T61" i="6"/>
  <c r="O58" i="4" s="1"/>
  <c r="J8" i="12"/>
  <c r="Z62" i="6"/>
  <c r="Q62" i="6"/>
  <c r="T62" i="6"/>
  <c r="O59" i="4" s="1"/>
  <c r="W67" i="6"/>
  <c r="P67" i="6"/>
  <c r="T67" i="6"/>
  <c r="O64" i="4" s="1"/>
  <c r="K87" i="6"/>
  <c r="Z87" i="6"/>
  <c r="P87" i="6"/>
  <c r="M89" i="6"/>
  <c r="M245" i="4"/>
  <c r="M146" i="4"/>
  <c r="M419" i="4"/>
  <c r="Q50" i="6"/>
  <c r="Q51" i="6"/>
  <c r="Z51" i="6"/>
  <c r="M53" i="6"/>
  <c r="T53" i="6"/>
  <c r="O73" i="4" s="1"/>
  <c r="Q55" i="6"/>
  <c r="Z55" i="6"/>
  <c r="M57" i="6"/>
  <c r="T57" i="6"/>
  <c r="O77" i="4" s="1"/>
  <c r="Q59" i="6"/>
  <c r="Z59" i="6"/>
  <c r="M61" i="6"/>
  <c r="W61" i="6"/>
  <c r="M62" i="6"/>
  <c r="W62" i="6"/>
  <c r="Z66" i="6"/>
  <c r="Q66" i="6"/>
  <c r="T66" i="6"/>
  <c r="O63" i="4" s="1"/>
  <c r="M67" i="6"/>
  <c r="Z67" i="6"/>
  <c r="M76" i="6"/>
  <c r="T80" i="6"/>
  <c r="O45" i="4" s="1"/>
  <c r="T81" i="6"/>
  <c r="P81" i="6"/>
  <c r="W84" i="6"/>
  <c r="O212" i="4" s="1"/>
  <c r="T88" i="6"/>
  <c r="O39" i="4" s="1"/>
  <c r="M72" i="4"/>
  <c r="M84" i="4"/>
  <c r="M86" i="4"/>
  <c r="M88" i="4"/>
  <c r="M357" i="4"/>
  <c r="M93" i="4"/>
  <c r="M227" i="4"/>
  <c r="M229" i="4"/>
  <c r="M364" i="4"/>
  <c r="M97" i="4"/>
  <c r="M232" i="4"/>
  <c r="M371" i="4"/>
  <c r="M372" i="4"/>
  <c r="N121" i="4"/>
  <c r="M262" i="4"/>
  <c r="M409" i="4"/>
  <c r="M309" i="4"/>
  <c r="M312" i="4"/>
  <c r="M440" i="4"/>
  <c r="M442" i="4"/>
  <c r="M321" i="4"/>
  <c r="R50" i="6"/>
  <c r="P53" i="6"/>
  <c r="P57" i="6"/>
  <c r="P61" i="6"/>
  <c r="Z61" i="6"/>
  <c r="P62" i="6"/>
  <c r="T64" i="6"/>
  <c r="O61" i="4" s="1"/>
  <c r="M64" i="6"/>
  <c r="W64" i="6"/>
  <c r="Q67" i="6"/>
  <c r="Z70" i="6"/>
  <c r="Q70" i="6"/>
  <c r="W70" i="6"/>
  <c r="P70" i="6"/>
  <c r="T77" i="6"/>
  <c r="O42" i="4" s="1"/>
  <c r="W81" i="6"/>
  <c r="O217" i="4" s="1"/>
  <c r="W86" i="6"/>
  <c r="O214" i="4" s="1"/>
  <c r="T91" i="6"/>
  <c r="O47" i="4" s="1"/>
  <c r="S102" i="6"/>
  <c r="Q103" i="6"/>
  <c r="Q104" i="6"/>
  <c r="Q105" i="6"/>
  <c r="Q106" i="6"/>
  <c r="Q107" i="6"/>
  <c r="Q108" i="6"/>
  <c r="Q109" i="6"/>
  <c r="R93" i="6"/>
  <c r="R95" i="6"/>
  <c r="R96" i="6"/>
  <c r="R97" i="6"/>
  <c r="R98" i="6"/>
  <c r="E46" i="6"/>
  <c r="D20" i="3" s="1"/>
  <c r="M113" i="6"/>
  <c r="R72" i="6"/>
  <c r="R75" i="6"/>
  <c r="R76" i="6"/>
  <c r="R77" i="6"/>
  <c r="R78" i="6"/>
  <c r="R79" i="6"/>
  <c r="R80" i="6"/>
  <c r="Z81" i="6"/>
  <c r="T84" i="6"/>
  <c r="T86" i="6"/>
  <c r="R88" i="6"/>
  <c r="R89" i="6"/>
  <c r="R91" i="6"/>
  <c r="R92" i="6"/>
  <c r="M93" i="6"/>
  <c r="T93" i="6"/>
  <c r="O49" i="4" s="1"/>
  <c r="M95" i="6"/>
  <c r="T95" i="6"/>
  <c r="O51" i="4" s="1"/>
  <c r="M96" i="6"/>
  <c r="T96" i="6"/>
  <c r="O52" i="4" s="1"/>
  <c r="M97" i="6"/>
  <c r="T97" i="6"/>
  <c r="O53" i="4" s="1"/>
  <c r="M98" i="6"/>
  <c r="T98" i="6"/>
  <c r="O54" i="4" s="1"/>
  <c r="V100" i="6"/>
  <c r="P103" i="6"/>
  <c r="T103" i="6"/>
  <c r="O83" i="4" s="1"/>
  <c r="Z103" i="6"/>
  <c r="P104" i="6"/>
  <c r="T104" i="6"/>
  <c r="O84" i="4" s="1"/>
  <c r="Z104" i="6"/>
  <c r="P105" i="6"/>
  <c r="T105" i="6"/>
  <c r="O85" i="4" s="1"/>
  <c r="Z105" i="6"/>
  <c r="P106" i="6"/>
  <c r="T106" i="6"/>
  <c r="O86" i="4" s="1"/>
  <c r="Z106" i="6"/>
  <c r="P107" i="6"/>
  <c r="T107" i="6"/>
  <c r="O87" i="4" s="1"/>
  <c r="Z107" i="6"/>
  <c r="P108" i="6"/>
  <c r="T108" i="6"/>
  <c r="O88" i="4" s="1"/>
  <c r="Z108" i="6"/>
  <c r="P109" i="6"/>
  <c r="T109" i="6"/>
  <c r="O80" i="4" s="1"/>
  <c r="Z109" i="6"/>
  <c r="P113" i="6"/>
  <c r="M114" i="6"/>
  <c r="F4" i="12"/>
  <c r="M72" i="6"/>
  <c r="M75" i="6"/>
  <c r="T76" i="6"/>
  <c r="O41" i="4" s="1"/>
  <c r="M77" i="6"/>
  <c r="M78" i="6"/>
  <c r="M79" i="6"/>
  <c r="M80" i="6"/>
  <c r="Q81" i="6"/>
  <c r="M84" i="6"/>
  <c r="M86" i="6"/>
  <c r="M88" i="6"/>
  <c r="M91" i="6"/>
  <c r="P95" i="6"/>
  <c r="P96" i="6"/>
  <c r="P97" i="6"/>
  <c r="P98" i="6"/>
  <c r="L45" i="6"/>
  <c r="Y100" i="6"/>
  <c r="T113" i="6"/>
  <c r="P114" i="6"/>
  <c r="Q115" i="6"/>
  <c r="M199" i="4"/>
  <c r="M31" i="4"/>
  <c r="S52" i="6"/>
  <c r="M187" i="4"/>
  <c r="M193" i="4"/>
  <c r="M213" i="4"/>
  <c r="M39" i="4"/>
  <c r="M42" i="4"/>
  <c r="M380" i="4"/>
  <c r="M116" i="4"/>
  <c r="M414" i="4"/>
  <c r="M290" i="4"/>
  <c r="N183" i="4"/>
  <c r="S93" i="6"/>
  <c r="Y92" i="6"/>
  <c r="V92" i="6"/>
  <c r="W100" i="6"/>
  <c r="R100" i="6"/>
  <c r="M100" i="6"/>
  <c r="Z100" i="6"/>
  <c r="T100" i="6"/>
  <c r="O79" i="4" s="1"/>
  <c r="P100" i="6"/>
  <c r="W102" i="6"/>
  <c r="R102" i="6"/>
  <c r="M102" i="6"/>
  <c r="Z102" i="6"/>
  <c r="T102" i="6"/>
  <c r="O82" i="4" s="1"/>
  <c r="P102" i="6"/>
  <c r="M14" i="4"/>
  <c r="M344" i="4"/>
  <c r="M201" i="4"/>
  <c r="M20" i="4"/>
  <c r="M48" i="4"/>
  <c r="M53" i="4"/>
  <c r="M383" i="4"/>
  <c r="N268" i="4"/>
  <c r="M129" i="4"/>
  <c r="M403" i="4"/>
  <c r="M404" i="4"/>
  <c r="M144" i="4"/>
  <c r="M420" i="4"/>
  <c r="M155" i="4"/>
  <c r="F43" i="6"/>
  <c r="E19" i="3" s="1"/>
  <c r="T19" i="3" s="1"/>
  <c r="P82" i="6"/>
  <c r="T89" i="6"/>
  <c r="O40" i="4" s="1"/>
  <c r="Y91" i="6"/>
  <c r="V91" i="6"/>
  <c r="W82" i="6"/>
  <c r="O218" i="4" s="1"/>
  <c r="Q82" i="6"/>
  <c r="Q100" i="6"/>
  <c r="W101" i="6"/>
  <c r="R101" i="6"/>
  <c r="M101" i="6"/>
  <c r="Z101" i="6"/>
  <c r="T101" i="6"/>
  <c r="O81" i="4" s="1"/>
  <c r="P101" i="6"/>
  <c r="Q102" i="6"/>
  <c r="S111" i="6"/>
  <c r="V110" i="6"/>
  <c r="V111" i="6" s="1"/>
  <c r="V112" i="6" s="1"/>
  <c r="V113" i="6" s="1"/>
  <c r="V114" i="6" s="1"/>
  <c r="V115" i="6" s="1"/>
  <c r="Y110" i="6"/>
  <c r="Y111" i="6" s="1"/>
  <c r="Y112" i="6" s="1"/>
  <c r="Y113" i="6" s="1"/>
  <c r="Y114" i="6" s="1"/>
  <c r="Y115" i="6" s="1"/>
  <c r="S75" i="6"/>
  <c r="V90" i="6"/>
  <c r="R113" i="6"/>
  <c r="R114" i="6"/>
  <c r="W114" i="6"/>
  <c r="R115" i="6"/>
  <c r="W115" i="6"/>
  <c r="Y90" i="6"/>
  <c r="M115" i="6"/>
  <c r="H412" i="4"/>
  <c r="N412" i="4" s="1"/>
  <c r="Y180" i="5"/>
  <c r="Y181" i="5" s="1"/>
  <c r="Y182" i="5" s="1"/>
  <c r="Y183" i="5" s="1"/>
  <c r="H413" i="4" s="1"/>
  <c r="I413" i="4" s="1"/>
  <c r="M11" i="4"/>
  <c r="M189" i="4"/>
  <c r="M335" i="4"/>
  <c r="M337" i="4"/>
  <c r="M342" i="4"/>
  <c r="M347" i="4"/>
  <c r="M206" i="4"/>
  <c r="M350" i="4"/>
  <c r="M353" i="4"/>
  <c r="M216" i="4"/>
  <c r="M41" i="4"/>
  <c r="M355" i="4"/>
  <c r="M228" i="4"/>
  <c r="M361" i="4"/>
  <c r="M390" i="4"/>
  <c r="M263" i="4"/>
  <c r="N282" i="4"/>
  <c r="M411" i="4"/>
  <c r="M168" i="4"/>
  <c r="M320" i="4"/>
  <c r="M445" i="4"/>
  <c r="M190" i="4"/>
  <c r="M340" i="4"/>
  <c r="M27" i="4"/>
  <c r="M32" i="4"/>
  <c r="M60" i="4"/>
  <c r="M239" i="4"/>
  <c r="M377" i="4"/>
  <c r="M115" i="4"/>
  <c r="M117" i="4"/>
  <c r="M398" i="4"/>
  <c r="M399" i="4"/>
  <c r="M276" i="4"/>
  <c r="M292" i="4"/>
  <c r="N149" i="4"/>
  <c r="M310" i="4"/>
  <c r="M186" i="4"/>
  <c r="M336" i="4"/>
  <c r="M196" i="4"/>
  <c r="M341" i="4"/>
  <c r="M200" i="4"/>
  <c r="M351" i="4"/>
  <c r="M208" i="4"/>
  <c r="M19" i="4"/>
  <c r="M28" i="4"/>
  <c r="M29" i="4"/>
  <c r="M30" i="4"/>
  <c r="M33" i="4"/>
  <c r="M34" i="4"/>
  <c r="M52" i="4"/>
  <c r="M61" i="4"/>
  <c r="M230" i="4"/>
  <c r="M376" i="4"/>
  <c r="M378" i="4"/>
  <c r="M242" i="4"/>
  <c r="M267" i="4"/>
  <c r="M268" i="4"/>
  <c r="M137" i="4"/>
  <c r="M423" i="4"/>
  <c r="N314" i="4"/>
  <c r="M169" i="4"/>
  <c r="M175" i="4"/>
  <c r="M349" i="4"/>
  <c r="M379" i="4"/>
  <c r="M134" i="4"/>
  <c r="M274" i="4"/>
  <c r="M405" i="4"/>
  <c r="M413" i="4"/>
  <c r="M293" i="4"/>
  <c r="M151" i="4"/>
  <c r="M425" i="4"/>
  <c r="M299" i="4"/>
  <c r="M300" i="4"/>
  <c r="M427" i="4"/>
  <c r="N330" i="4"/>
  <c r="M185" i="4"/>
  <c r="M332" i="4"/>
  <c r="M12" i="4"/>
  <c r="M338" i="4"/>
  <c r="M197" i="4"/>
  <c r="M205" i="4"/>
  <c r="M352" i="4"/>
  <c r="M21" i="4"/>
  <c r="M22" i="4"/>
  <c r="M75" i="4"/>
  <c r="M89" i="4"/>
  <c r="M184" i="4"/>
  <c r="M330" i="4"/>
  <c r="N332" i="4"/>
  <c r="M191" i="4"/>
  <c r="M195" i="4"/>
  <c r="M343" i="4"/>
  <c r="M203" i="4"/>
  <c r="M207" i="4"/>
  <c r="M354" i="4"/>
  <c r="M15" i="4"/>
  <c r="M17" i="4"/>
  <c r="M18" i="4"/>
  <c r="M26" i="4"/>
  <c r="M36" i="4"/>
  <c r="M37" i="4"/>
  <c r="M38" i="4"/>
  <c r="M45" i="4"/>
  <c r="M56" i="4"/>
  <c r="M64" i="4"/>
  <c r="M79" i="4"/>
  <c r="M47" i="4"/>
  <c r="M222" i="4"/>
  <c r="M214" i="4"/>
  <c r="M46" i="4"/>
  <c r="M54" i="4"/>
  <c r="M55" i="4"/>
  <c r="M62" i="4"/>
  <c r="M63" i="4"/>
  <c r="M70" i="4"/>
  <c r="M78" i="4"/>
  <c r="M90" i="4"/>
  <c r="M224" i="4"/>
  <c r="M231" i="4"/>
  <c r="M102" i="4"/>
  <c r="M44" i="4"/>
  <c r="M49" i="4"/>
  <c r="M58" i="4"/>
  <c r="M59" i="4"/>
  <c r="M74" i="4"/>
  <c r="M220" i="4"/>
  <c r="M95" i="4"/>
  <c r="N361" i="4"/>
  <c r="M362" i="4"/>
  <c r="N97" i="4"/>
  <c r="M365" i="4"/>
  <c r="M238" i="4"/>
  <c r="M381" i="4"/>
  <c r="M386" i="4"/>
  <c r="M256" i="4"/>
  <c r="M392" i="4"/>
  <c r="N124" i="4"/>
  <c r="M269" i="4"/>
  <c r="M400" i="4"/>
  <c r="M130" i="4"/>
  <c r="M270" i="4"/>
  <c r="M401" i="4"/>
  <c r="M131" i="4"/>
  <c r="M271" i="4"/>
  <c r="M402" i="4"/>
  <c r="M132" i="4"/>
  <c r="M277" i="4"/>
  <c r="M141" i="4"/>
  <c r="M286" i="4"/>
  <c r="M288" i="4"/>
  <c r="M417" i="4"/>
  <c r="M152" i="4"/>
  <c r="M296" i="4"/>
  <c r="M424" i="4"/>
  <c r="M180" i="4"/>
  <c r="M454" i="4"/>
  <c r="N432" i="4"/>
  <c r="I314" i="4"/>
  <c r="M441" i="4"/>
  <c r="N443" i="4"/>
  <c r="M384" i="4"/>
  <c r="M389" i="4"/>
  <c r="I268" i="4"/>
  <c r="M133" i="4"/>
  <c r="N281" i="4"/>
  <c r="M281" i="4"/>
  <c r="M283" i="4"/>
  <c r="M145" i="4"/>
  <c r="M289" i="4"/>
  <c r="M149" i="4"/>
  <c r="M153" i="4"/>
  <c r="M297" i="4"/>
  <c r="M426" i="4"/>
  <c r="M162" i="4"/>
  <c r="M452" i="4"/>
  <c r="M110" i="4"/>
  <c r="M120" i="4"/>
  <c r="M127" i="4"/>
  <c r="M264" i="4"/>
  <c r="M266" i="4"/>
  <c r="M275" i="4"/>
  <c r="M407" i="4"/>
  <c r="M278" i="4"/>
  <c r="M279" i="4"/>
  <c r="N280" i="4"/>
  <c r="M280" i="4"/>
  <c r="M284" i="4"/>
  <c r="M291" i="4"/>
  <c r="M421" i="4"/>
  <c r="M157" i="4"/>
  <c r="M301" i="4"/>
  <c r="M429" i="4"/>
  <c r="M302" i="4"/>
  <c r="M166" i="4"/>
  <c r="M314" i="4"/>
  <c r="M167" i="4"/>
  <c r="M439" i="4"/>
  <c r="M319" i="4"/>
  <c r="M443" i="4"/>
  <c r="M323" i="4"/>
  <c r="I330" i="4"/>
  <c r="N48" i="4"/>
  <c r="M331" i="4"/>
  <c r="M418" i="4"/>
  <c r="M295" i="4"/>
  <c r="M154" i="4"/>
  <c r="N157" i="4"/>
  <c r="N158" i="4"/>
  <c r="M158" i="4"/>
  <c r="M430" i="4"/>
  <c r="M444" i="4"/>
  <c r="N446" i="4"/>
  <c r="M173" i="4"/>
  <c r="M326" i="4"/>
  <c r="M451" i="4"/>
  <c r="M177" i="4"/>
  <c r="N453" i="4"/>
  <c r="M181" i="4"/>
  <c r="M455" i="4"/>
  <c r="M395" i="4"/>
  <c r="M121" i="4"/>
  <c r="N123" i="4"/>
  <c r="M123" i="4"/>
  <c r="M124" i="4"/>
  <c r="M125" i="4"/>
  <c r="M126" i="4"/>
  <c r="N270" i="4"/>
  <c r="N402" i="4"/>
  <c r="M272" i="4"/>
  <c r="M135" i="4"/>
  <c r="M406" i="4"/>
  <c r="M139" i="4"/>
  <c r="I282" i="4"/>
  <c r="N411" i="4"/>
  <c r="M142" i="4"/>
  <c r="M147" i="4"/>
  <c r="M415" i="4"/>
  <c r="M431" i="4"/>
  <c r="M433" i="4"/>
  <c r="M178" i="4"/>
  <c r="M453" i="4"/>
  <c r="N454" i="4"/>
  <c r="N139" i="4"/>
  <c r="M410" i="4"/>
  <c r="N140" i="4"/>
  <c r="N283" i="4"/>
  <c r="I411" i="4"/>
  <c r="M143" i="4"/>
  <c r="M287" i="4"/>
  <c r="N414" i="4"/>
  <c r="M416" i="4"/>
  <c r="I149" i="4"/>
  <c r="N150" i="4"/>
  <c r="M150" i="4"/>
  <c r="M422" i="4"/>
  <c r="M298" i="4"/>
  <c r="N427" i="4"/>
  <c r="M428" i="4"/>
  <c r="M438" i="4"/>
  <c r="M315" i="4"/>
  <c r="M316" i="4"/>
  <c r="M317" i="4"/>
  <c r="M318" i="4"/>
  <c r="M174" i="4"/>
  <c r="M446" i="4"/>
  <c r="N455" i="4"/>
  <c r="I124" i="4"/>
  <c r="M397" i="4"/>
  <c r="M265" i="4"/>
  <c r="N403" i="4"/>
  <c r="M273" i="4"/>
  <c r="M138" i="4"/>
  <c r="N410" i="4"/>
  <c r="M282" i="4"/>
  <c r="M285" i="4"/>
  <c r="N148" i="4"/>
  <c r="M148" i="4"/>
  <c r="N170" i="4"/>
  <c r="M448" i="4"/>
  <c r="M171" i="4"/>
  <c r="M172" i="4"/>
  <c r="N177" i="4"/>
  <c r="N179" i="4"/>
  <c r="M182" i="4"/>
  <c r="X8" i="4"/>
  <c r="N5" i="3"/>
  <c r="N9" i="3"/>
  <c r="P4" i="3"/>
  <c r="N6" i="3"/>
  <c r="P13" i="3"/>
  <c r="P16" i="3"/>
  <c r="P21" i="3"/>
  <c r="N4" i="3"/>
  <c r="N8" i="3"/>
  <c r="N166" i="4"/>
  <c r="I166" i="4"/>
  <c r="N438" i="4"/>
  <c r="I438" i="4"/>
  <c r="N315" i="4"/>
  <c r="I315" i="4"/>
  <c r="N319" i="4"/>
  <c r="I319" i="4"/>
  <c r="N169" i="4"/>
  <c r="I169" i="4"/>
  <c r="N445" i="4"/>
  <c r="I445" i="4"/>
  <c r="N171" i="4"/>
  <c r="I171" i="4"/>
  <c r="N180" i="4"/>
  <c r="I180" i="4"/>
  <c r="K111" i="6"/>
  <c r="K46" i="6" s="1"/>
  <c r="L20" i="3" s="1"/>
  <c r="D46" i="6"/>
  <c r="C20" i="3" s="1"/>
  <c r="M159" i="4"/>
  <c r="M303" i="4"/>
  <c r="M307" i="4"/>
  <c r="M432" i="4"/>
  <c r="M170" i="4"/>
  <c r="M322" i="4"/>
  <c r="M325" i="4"/>
  <c r="M449" i="4"/>
  <c r="N450" i="4"/>
  <c r="I450" i="4"/>
  <c r="M176" i="4"/>
  <c r="M328" i="4"/>
  <c r="N329" i="4"/>
  <c r="I329" i="4"/>
  <c r="M324" i="4"/>
  <c r="N178" i="4"/>
  <c r="I178" i="4"/>
  <c r="N182" i="4"/>
  <c r="I182" i="4"/>
  <c r="M329" i="4"/>
  <c r="F46" i="6"/>
  <c r="E20" i="3" s="1"/>
  <c r="P52" i="7"/>
  <c r="P42" i="7" s="1"/>
  <c r="R61" i="7"/>
  <c r="R43" i="7" s="1"/>
  <c r="Q61" i="7"/>
  <c r="Q43" i="7" s="1"/>
  <c r="P61" i="7"/>
  <c r="P43" i="7" s="1"/>
  <c r="L43" i="7"/>
  <c r="L112" i="6" s="1"/>
  <c r="W101" i="8"/>
  <c r="N303" i="4"/>
  <c r="M313" i="4"/>
  <c r="M437" i="4"/>
  <c r="M304" i="4"/>
  <c r="M305" i="4"/>
  <c r="N160" i="4"/>
  <c r="M447" i="4"/>
  <c r="M450" i="4"/>
  <c r="N176" i="4"/>
  <c r="I176" i="4"/>
  <c r="M179" i="4"/>
  <c r="M327" i="4"/>
  <c r="N181" i="4"/>
  <c r="N328" i="4"/>
  <c r="I328" i="4"/>
  <c r="M183" i="4"/>
  <c r="M311" i="4"/>
  <c r="M435" i="4"/>
  <c r="M164" i="4"/>
  <c r="R52" i="7"/>
  <c r="R42" i="7" s="1"/>
  <c r="L40" i="8"/>
  <c r="M34" i="3" s="1"/>
  <c r="P101" i="8"/>
  <c r="T101" i="8"/>
  <c r="Z101" i="8"/>
  <c r="W102" i="8"/>
  <c r="W98" i="5" s="1"/>
  <c r="M161" i="4"/>
  <c r="M308" i="4"/>
  <c r="M434" i="4"/>
  <c r="M163" i="4"/>
  <c r="Q101" i="8"/>
  <c r="M436" i="4"/>
  <c r="L42" i="7"/>
  <c r="L111" i="6" s="1"/>
  <c r="R101" i="8"/>
  <c r="T102" i="8"/>
  <c r="T98" i="5" s="1"/>
  <c r="N431" i="4"/>
  <c r="N433" i="4"/>
  <c r="I303" i="4"/>
  <c r="I160" i="4"/>
  <c r="I432" i="4"/>
  <c r="Z84" i="5" l="1"/>
  <c r="O364" i="4"/>
  <c r="M132" i="5"/>
  <c r="J306" i="4"/>
  <c r="S73" i="5"/>
  <c r="S74" i="5" s="1"/>
  <c r="S75" i="5" s="1"/>
  <c r="S76" i="5" s="1"/>
  <c r="H175" i="4"/>
  <c r="R49" i="5"/>
  <c r="T10" i="3" s="1"/>
  <c r="M66" i="7"/>
  <c r="J25" i="4"/>
  <c r="M25" i="4" s="1"/>
  <c r="Y128" i="5"/>
  <c r="H428" i="4"/>
  <c r="Y137" i="5"/>
  <c r="H434" i="4"/>
  <c r="Z96" i="5"/>
  <c r="P29" i="3"/>
  <c r="P38" i="3"/>
  <c r="M98" i="4"/>
  <c r="M359" i="4"/>
  <c r="R52" i="5"/>
  <c r="T13" i="3" s="1"/>
  <c r="Z92" i="5"/>
  <c r="O451" i="4"/>
  <c r="Y168" i="5"/>
  <c r="H447" i="4"/>
  <c r="V67" i="5"/>
  <c r="H264" i="4"/>
  <c r="Y158" i="5"/>
  <c r="Y159" i="5" s="1"/>
  <c r="H404" i="4"/>
  <c r="H316" i="4"/>
  <c r="V103" i="5"/>
  <c r="Z102" i="8"/>
  <c r="Z98" i="5" s="1"/>
  <c r="L98" i="5"/>
  <c r="L53" i="5" s="1"/>
  <c r="M14" i="3" s="1"/>
  <c r="P5" i="3"/>
  <c r="P30" i="3"/>
  <c r="L38" i="8"/>
  <c r="L221" i="4"/>
  <c r="M221" i="4" s="1"/>
  <c r="P45" i="7"/>
  <c r="V111" i="5"/>
  <c r="H288" i="4"/>
  <c r="S114" i="5"/>
  <c r="H151" i="4"/>
  <c r="V156" i="5"/>
  <c r="H271" i="4"/>
  <c r="H397" i="4"/>
  <c r="Y67" i="5"/>
  <c r="Y68" i="5" s="1"/>
  <c r="Y69" i="5" s="1"/>
  <c r="V166" i="5"/>
  <c r="H321" i="4"/>
  <c r="S102" i="5"/>
  <c r="S103" i="5" s="1"/>
  <c r="S104" i="5" s="1"/>
  <c r="H167" i="4"/>
  <c r="Q36" i="8"/>
  <c r="S30" i="3" s="1"/>
  <c r="K44" i="7"/>
  <c r="P8" i="3"/>
  <c r="K45" i="7"/>
  <c r="N13" i="3"/>
  <c r="Q45" i="7"/>
  <c r="S154" i="5"/>
  <c r="H128" i="4"/>
  <c r="S135" i="5"/>
  <c r="S136" i="5" s="1"/>
  <c r="H161" i="4"/>
  <c r="H125" i="4"/>
  <c r="S64" i="5"/>
  <c r="J21" i="12"/>
  <c r="J32" i="12" s="1"/>
  <c r="M15" i="3"/>
  <c r="O15" i="3" s="1"/>
  <c r="Y112" i="5"/>
  <c r="H419" i="4"/>
  <c r="Y102" i="5"/>
  <c r="H439" i="4"/>
  <c r="N79" i="4"/>
  <c r="H399" i="4"/>
  <c r="I399" i="4" s="1"/>
  <c r="N23" i="3"/>
  <c r="K46" i="7"/>
  <c r="V177" i="5"/>
  <c r="V178" i="5" s="1"/>
  <c r="V179" i="5" s="1"/>
  <c r="H284" i="4"/>
  <c r="W90" i="5"/>
  <c r="O197" i="4"/>
  <c r="P44" i="7"/>
  <c r="R47" i="5"/>
  <c r="T8" i="3" s="1"/>
  <c r="Q48" i="5"/>
  <c r="S9" i="3" s="1"/>
  <c r="Q44" i="5"/>
  <c r="S21" i="3" s="1"/>
  <c r="H279" i="4"/>
  <c r="I279" i="4" s="1"/>
  <c r="N29" i="3"/>
  <c r="P27" i="3"/>
  <c r="N10" i="3"/>
  <c r="W113" i="6"/>
  <c r="R44" i="6"/>
  <c r="M114" i="4"/>
  <c r="N30" i="3"/>
  <c r="K38" i="8"/>
  <c r="L32" i="3" s="1"/>
  <c r="V151" i="5"/>
  <c r="H327" i="4"/>
  <c r="V126" i="5"/>
  <c r="H299" i="4"/>
  <c r="Z115" i="6"/>
  <c r="Z90" i="5"/>
  <c r="O342" i="4"/>
  <c r="V75" i="5"/>
  <c r="V76" i="5" s="1"/>
  <c r="H326" i="4"/>
  <c r="H172" i="4"/>
  <c r="S171" i="5"/>
  <c r="P26" i="3"/>
  <c r="M40" i="9"/>
  <c r="N38" i="3"/>
  <c r="P40" i="9"/>
  <c r="N7" i="3"/>
  <c r="P51" i="5"/>
  <c r="R12" i="3" s="1"/>
  <c r="T84" i="5"/>
  <c r="O96" i="4"/>
  <c r="P46" i="7"/>
  <c r="O318" i="4"/>
  <c r="W93" i="5"/>
  <c r="P48" i="5"/>
  <c r="R9" i="3" s="1"/>
  <c r="V134" i="5"/>
  <c r="H307" i="4"/>
  <c r="Y76" i="5"/>
  <c r="H452" i="4" s="1"/>
  <c r="H451" i="4"/>
  <c r="P36" i="8"/>
  <c r="R30" i="3" s="1"/>
  <c r="R32" i="10"/>
  <c r="H93" i="4"/>
  <c r="I93" i="4" s="1"/>
  <c r="M27" i="11"/>
  <c r="W84" i="5"/>
  <c r="O231" i="4"/>
  <c r="S176" i="5"/>
  <c r="H141" i="4"/>
  <c r="Q46" i="7"/>
  <c r="M54" i="7"/>
  <c r="J16" i="4"/>
  <c r="M16" i="4" s="1"/>
  <c r="P54" i="5"/>
  <c r="R15" i="3" s="1"/>
  <c r="R50" i="3" s="1"/>
  <c r="P47" i="5"/>
  <c r="R8" i="3" s="1"/>
  <c r="Q52" i="5"/>
  <c r="S13" i="3" s="1"/>
  <c r="P55" i="5"/>
  <c r="R16" i="3" s="1"/>
  <c r="M339" i="4"/>
  <c r="M10" i="4"/>
  <c r="M370" i="4"/>
  <c r="M233" i="4"/>
  <c r="N93" i="4"/>
  <c r="M226" i="4"/>
  <c r="N12" i="3"/>
  <c r="M31" i="10"/>
  <c r="M194" i="4"/>
  <c r="M188" i="4"/>
  <c r="M223" i="4"/>
  <c r="N27" i="3"/>
  <c r="P15" i="3"/>
  <c r="H185" i="4"/>
  <c r="I185" i="4" s="1"/>
  <c r="N331" i="4"/>
  <c r="N223" i="4"/>
  <c r="R43" i="3"/>
  <c r="M257" i="4"/>
  <c r="Q27" i="11"/>
  <c r="R27" i="11"/>
  <c r="V34" i="11"/>
  <c r="H186" i="4"/>
  <c r="N358" i="4"/>
  <c r="H333" i="4"/>
  <c r="Y36" i="11"/>
  <c r="S38" i="11"/>
  <c r="H11" i="4"/>
  <c r="N399" i="4"/>
  <c r="N96" i="4"/>
  <c r="N10" i="4"/>
  <c r="M258" i="4"/>
  <c r="M44" i="3"/>
  <c r="M28" i="11"/>
  <c r="V43" i="11"/>
  <c r="H184" i="4"/>
  <c r="M40" i="4"/>
  <c r="O367" i="4"/>
  <c r="Z82" i="5"/>
  <c r="M122" i="4"/>
  <c r="O93" i="4"/>
  <c r="T83" i="5"/>
  <c r="V45" i="10"/>
  <c r="H228" i="4"/>
  <c r="H366" i="4"/>
  <c r="Y40" i="10"/>
  <c r="S57" i="10"/>
  <c r="H89" i="4"/>
  <c r="N112" i="4"/>
  <c r="Z85" i="5"/>
  <c r="O366" i="4"/>
  <c r="S40" i="10"/>
  <c r="H98" i="4"/>
  <c r="O359" i="4"/>
  <c r="Z86" i="5"/>
  <c r="M39" i="3"/>
  <c r="M30" i="10"/>
  <c r="T85" i="5"/>
  <c r="O98" i="4"/>
  <c r="O233" i="4"/>
  <c r="W85" i="5"/>
  <c r="R30" i="10"/>
  <c r="I245" i="4"/>
  <c r="M388" i="4"/>
  <c r="M119" i="4"/>
  <c r="M118" i="4"/>
  <c r="H219" i="4"/>
  <c r="V61" i="10"/>
  <c r="Y46" i="10"/>
  <c r="H362" i="4"/>
  <c r="T86" i="5"/>
  <c r="O95" i="4"/>
  <c r="Y54" i="10"/>
  <c r="H360" i="4" s="1"/>
  <c r="H359" i="4"/>
  <c r="Q32" i="10"/>
  <c r="H233" i="4"/>
  <c r="V40" i="10"/>
  <c r="Y65" i="10"/>
  <c r="H357" i="4"/>
  <c r="H224" i="4"/>
  <c r="V52" i="10"/>
  <c r="W86" i="5"/>
  <c r="O226" i="4"/>
  <c r="M42" i="3"/>
  <c r="M32" i="10"/>
  <c r="S53" i="10"/>
  <c r="H94" i="4"/>
  <c r="N193" i="4"/>
  <c r="O74" i="8"/>
  <c r="O351" i="4"/>
  <c r="Z88" i="5"/>
  <c r="O353" i="4"/>
  <c r="M104" i="4"/>
  <c r="I55" i="4"/>
  <c r="M38" i="9"/>
  <c r="M37" i="3"/>
  <c r="N408" i="4"/>
  <c r="O352" i="4"/>
  <c r="Z87" i="5"/>
  <c r="O211" i="4"/>
  <c r="W89" i="5"/>
  <c r="W87" i="5"/>
  <c r="O209" i="4"/>
  <c r="O207" i="4"/>
  <c r="W80" i="5"/>
  <c r="V46" i="9"/>
  <c r="Y45" i="9"/>
  <c r="Y46" i="9" s="1"/>
  <c r="Q40" i="9"/>
  <c r="M105" i="4"/>
  <c r="M391" i="4"/>
  <c r="M100" i="4"/>
  <c r="M246" i="4"/>
  <c r="M387" i="4"/>
  <c r="V62" i="9"/>
  <c r="Y61" i="9"/>
  <c r="Y62" i="9" s="1"/>
  <c r="O210" i="4"/>
  <c r="W88" i="5"/>
  <c r="W81" i="5"/>
  <c r="O208" i="4"/>
  <c r="M39" i="9"/>
  <c r="L74" i="8"/>
  <c r="L34" i="8" s="1"/>
  <c r="M28" i="3" s="1"/>
  <c r="P39" i="9"/>
  <c r="P74" i="8" s="1"/>
  <c r="P34" i="8" s="1"/>
  <c r="R28" i="3" s="1"/>
  <c r="Q29" i="8"/>
  <c r="S23" i="3" s="1"/>
  <c r="N26" i="3"/>
  <c r="H278" i="4"/>
  <c r="I278" i="4" s="1"/>
  <c r="Z79" i="5"/>
  <c r="O27" i="3"/>
  <c r="N262" i="4"/>
  <c r="P40" i="8"/>
  <c r="R34" i="3" s="1"/>
  <c r="N120" i="4"/>
  <c r="N387" i="4"/>
  <c r="Q33" i="8"/>
  <c r="S27" i="3" s="1"/>
  <c r="P39" i="8"/>
  <c r="R33" i="3" s="1"/>
  <c r="Q30" i="8"/>
  <c r="S24" i="3" s="1"/>
  <c r="N35" i="3"/>
  <c r="P41" i="8"/>
  <c r="R35" i="3" s="1"/>
  <c r="P32" i="8"/>
  <c r="R26" i="3" s="1"/>
  <c r="N279" i="4"/>
  <c r="N409" i="4"/>
  <c r="Q38" i="8"/>
  <c r="S32" i="3" s="1"/>
  <c r="P31" i="8"/>
  <c r="R25" i="3" s="1"/>
  <c r="R31" i="8"/>
  <c r="T25" i="3" s="1"/>
  <c r="L57" i="3"/>
  <c r="M25" i="3"/>
  <c r="P25" i="3" s="1"/>
  <c r="O26" i="3"/>
  <c r="P35" i="3"/>
  <c r="P35" i="8"/>
  <c r="R29" i="3" s="1"/>
  <c r="O257" i="4"/>
  <c r="W96" i="5"/>
  <c r="Q37" i="8"/>
  <c r="S31" i="3" s="1"/>
  <c r="P30" i="8"/>
  <c r="R24" i="3" s="1"/>
  <c r="N31" i="3"/>
  <c r="O256" i="4"/>
  <c r="W95" i="5"/>
  <c r="Y82" i="8"/>
  <c r="H385" i="4" s="1"/>
  <c r="H243" i="4"/>
  <c r="W79" i="5"/>
  <c r="O237" i="4"/>
  <c r="N81" i="4"/>
  <c r="S65" i="8"/>
  <c r="H107" i="4"/>
  <c r="V64" i="8"/>
  <c r="Y64" i="8" s="1"/>
  <c r="T96" i="5"/>
  <c r="O118" i="4"/>
  <c r="F15" i="12"/>
  <c r="M33" i="3"/>
  <c r="O33" i="3" s="1"/>
  <c r="Y91" i="8"/>
  <c r="R30" i="8"/>
  <c r="T24" i="3" s="1"/>
  <c r="P31" i="3"/>
  <c r="V72" i="8"/>
  <c r="Y72" i="8" s="1"/>
  <c r="H122" i="4"/>
  <c r="S95" i="8"/>
  <c r="V94" i="8"/>
  <c r="V55" i="8"/>
  <c r="Y55" i="8" s="1"/>
  <c r="S56" i="8"/>
  <c r="H100" i="4"/>
  <c r="Q39" i="8"/>
  <c r="S33" i="3" s="1"/>
  <c r="T95" i="5"/>
  <c r="O117" i="4"/>
  <c r="P37" i="8"/>
  <c r="R31" i="3" s="1"/>
  <c r="R32" i="8"/>
  <c r="T26" i="3" s="1"/>
  <c r="T97" i="5"/>
  <c r="O119" i="4"/>
  <c r="P33" i="8"/>
  <c r="R27" i="3" s="1"/>
  <c r="O36" i="3"/>
  <c r="P36" i="3"/>
  <c r="N36" i="3"/>
  <c r="V87" i="8"/>
  <c r="S88" i="8"/>
  <c r="V88" i="8" s="1"/>
  <c r="Y114" i="8"/>
  <c r="H371" i="4"/>
  <c r="Y83" i="8"/>
  <c r="H386" i="4" s="1"/>
  <c r="H244" i="4"/>
  <c r="Z95" i="5"/>
  <c r="O392" i="4"/>
  <c r="S101" i="8"/>
  <c r="V100" i="8"/>
  <c r="Y100" i="8" s="1"/>
  <c r="H388" i="4" s="1"/>
  <c r="Z97" i="5"/>
  <c r="O394" i="4"/>
  <c r="S107" i="8"/>
  <c r="V106" i="8"/>
  <c r="Y106" i="8" s="1"/>
  <c r="H379" i="4" s="1"/>
  <c r="S62" i="8"/>
  <c r="V61" i="8"/>
  <c r="Y61" i="8" s="1"/>
  <c r="H105" i="4"/>
  <c r="P29" i="8"/>
  <c r="R23" i="3" s="1"/>
  <c r="F8" i="12"/>
  <c r="M24" i="3"/>
  <c r="Y86" i="8"/>
  <c r="H259" i="4"/>
  <c r="S48" i="8"/>
  <c r="H113" i="4"/>
  <c r="N413" i="4"/>
  <c r="P42" i="8"/>
  <c r="R36" i="3" s="1"/>
  <c r="Y81" i="8"/>
  <c r="H384" i="4" s="1"/>
  <c r="H242" i="4"/>
  <c r="W78" i="5"/>
  <c r="O261" i="4"/>
  <c r="O258" i="4"/>
  <c r="W97" i="5"/>
  <c r="R29" i="8"/>
  <c r="T23" i="3" s="1"/>
  <c r="R33" i="8"/>
  <c r="T27" i="3" s="1"/>
  <c r="V46" i="8"/>
  <c r="V47" i="8" s="1"/>
  <c r="Y45" i="8"/>
  <c r="Y46" i="8" s="1"/>
  <c r="Y47" i="8" s="1"/>
  <c r="V76" i="8"/>
  <c r="S77" i="8"/>
  <c r="I412" i="4"/>
  <c r="N47" i="4"/>
  <c r="N66" i="4"/>
  <c r="P42" i="6"/>
  <c r="Q43" i="6"/>
  <c r="E71" i="8"/>
  <c r="D18" i="3"/>
  <c r="D56" i="3" s="1"/>
  <c r="P44" i="6"/>
  <c r="Q44" i="6"/>
  <c r="D3" i="3"/>
  <c r="L8" i="4"/>
  <c r="S19" i="3"/>
  <c r="M87" i="6"/>
  <c r="J215" i="4"/>
  <c r="M215" i="4" s="1"/>
  <c r="P43" i="6"/>
  <c r="M57" i="4"/>
  <c r="R42" i="6"/>
  <c r="Q42" i="6"/>
  <c r="M82" i="6"/>
  <c r="J218" i="4"/>
  <c r="M218" i="4" s="1"/>
  <c r="O17" i="3"/>
  <c r="S17" i="3"/>
  <c r="T17" i="3"/>
  <c r="Y52" i="6"/>
  <c r="H401" i="4"/>
  <c r="L71" i="8"/>
  <c r="M18" i="3"/>
  <c r="R43" i="6"/>
  <c r="Y102" i="6"/>
  <c r="S103" i="6"/>
  <c r="V102" i="6"/>
  <c r="H82" i="4"/>
  <c r="K71" i="8"/>
  <c r="L18" i="3"/>
  <c r="R17" i="3"/>
  <c r="P17" i="3"/>
  <c r="N17" i="3"/>
  <c r="K43" i="6"/>
  <c r="L19" i="3" s="1"/>
  <c r="R19" i="3"/>
  <c r="S112" i="6"/>
  <c r="H17" i="4"/>
  <c r="H19" i="4"/>
  <c r="H15" i="4"/>
  <c r="H20" i="4"/>
  <c r="H21" i="4"/>
  <c r="H18" i="4"/>
  <c r="H16" i="4"/>
  <c r="Q45" i="6"/>
  <c r="P45" i="6"/>
  <c r="R45" i="6"/>
  <c r="Y75" i="6"/>
  <c r="S76" i="6"/>
  <c r="V75" i="6"/>
  <c r="H38" i="4"/>
  <c r="V93" i="6"/>
  <c r="S94" i="6"/>
  <c r="Y93" i="6"/>
  <c r="H49" i="4"/>
  <c r="S53" i="6"/>
  <c r="H72" i="4"/>
  <c r="W111" i="6"/>
  <c r="R111" i="6"/>
  <c r="Q111" i="6"/>
  <c r="Z111" i="6"/>
  <c r="T111" i="6"/>
  <c r="P111" i="6"/>
  <c r="L46" i="6"/>
  <c r="M20" i="3" s="1"/>
  <c r="T20" i="3" s="1"/>
  <c r="M111" i="6"/>
  <c r="N34" i="3"/>
  <c r="P34" i="3"/>
  <c r="O34" i="3"/>
  <c r="W112" i="6"/>
  <c r="R112" i="6"/>
  <c r="Q112" i="6"/>
  <c r="Z112" i="6"/>
  <c r="T112" i="6"/>
  <c r="P112" i="6"/>
  <c r="M112" i="6"/>
  <c r="E56" i="3"/>
  <c r="C56" i="3"/>
  <c r="C3" i="3"/>
  <c r="E3" i="3"/>
  <c r="P14" i="3" l="1"/>
  <c r="N14" i="3"/>
  <c r="M55" i="3"/>
  <c r="O14" i="3"/>
  <c r="I447" i="4"/>
  <c r="N447" i="4"/>
  <c r="V112" i="5"/>
  <c r="H293" i="4"/>
  <c r="I434" i="4"/>
  <c r="N434" i="4"/>
  <c r="I125" i="4"/>
  <c r="N125" i="4"/>
  <c r="J33" i="12"/>
  <c r="N141" i="4"/>
  <c r="I141" i="4"/>
  <c r="N451" i="4"/>
  <c r="I451" i="4"/>
  <c r="S172" i="5"/>
  <c r="H173" i="4"/>
  <c r="H300" i="4"/>
  <c r="V127" i="5"/>
  <c r="V128" i="5" s="1"/>
  <c r="I439" i="4"/>
  <c r="N439" i="4"/>
  <c r="I161" i="4"/>
  <c r="N161" i="4"/>
  <c r="I397" i="4"/>
  <c r="N397" i="4"/>
  <c r="I404" i="4"/>
  <c r="N404" i="4"/>
  <c r="I428" i="4"/>
  <c r="N428" i="4"/>
  <c r="H126" i="4"/>
  <c r="S65" i="5"/>
  <c r="I299" i="4"/>
  <c r="N299" i="4"/>
  <c r="N316" i="4"/>
  <c r="I316" i="4"/>
  <c r="M306" i="4"/>
  <c r="N306" i="4"/>
  <c r="O25" i="3"/>
  <c r="S177" i="5"/>
  <c r="H142" i="4"/>
  <c r="I452" i="4"/>
  <c r="N452" i="4"/>
  <c r="I172" i="4"/>
  <c r="N172" i="4"/>
  <c r="I327" i="4"/>
  <c r="N327" i="4"/>
  <c r="H440" i="4"/>
  <c r="Y103" i="5"/>
  <c r="S137" i="5"/>
  <c r="H162" i="4"/>
  <c r="I271" i="4"/>
  <c r="N271" i="4"/>
  <c r="F14" i="12"/>
  <c r="F20" i="12" s="1"/>
  <c r="M32" i="3"/>
  <c r="H406" i="4"/>
  <c r="Y160" i="5"/>
  <c r="Y161" i="5" s="1"/>
  <c r="Y129" i="5"/>
  <c r="H430" i="4" s="1"/>
  <c r="H429" i="4"/>
  <c r="S115" i="5"/>
  <c r="H152" i="4"/>
  <c r="V167" i="5"/>
  <c r="H322" i="4"/>
  <c r="I307" i="4"/>
  <c r="N307" i="4"/>
  <c r="I326" i="4"/>
  <c r="N326" i="4"/>
  <c r="I284" i="4"/>
  <c r="N284" i="4"/>
  <c r="I419" i="4"/>
  <c r="N419" i="4"/>
  <c r="I128" i="4"/>
  <c r="N128" i="4"/>
  <c r="V157" i="5"/>
  <c r="H272" i="4"/>
  <c r="I264" i="4"/>
  <c r="N264" i="4"/>
  <c r="I321" i="4"/>
  <c r="N321" i="4"/>
  <c r="N288" i="4"/>
  <c r="I288" i="4"/>
  <c r="H448" i="4"/>
  <c r="Y169" i="5"/>
  <c r="I175" i="4"/>
  <c r="N175" i="4"/>
  <c r="V104" i="5"/>
  <c r="H318" i="4" s="1"/>
  <c r="H317" i="4"/>
  <c r="Y70" i="5"/>
  <c r="H398" i="4"/>
  <c r="Y138" i="5"/>
  <c r="H435" i="4"/>
  <c r="N15" i="3"/>
  <c r="V135" i="5"/>
  <c r="H308" i="4"/>
  <c r="P32" i="3"/>
  <c r="H285" i="4"/>
  <c r="V180" i="5"/>
  <c r="V181" i="5" s="1"/>
  <c r="V182" i="5" s="1"/>
  <c r="Y113" i="5"/>
  <c r="H420" i="4"/>
  <c r="S155" i="5"/>
  <c r="H130" i="4"/>
  <c r="I167" i="4"/>
  <c r="N167" i="4"/>
  <c r="I151" i="4"/>
  <c r="N151" i="4"/>
  <c r="V68" i="5"/>
  <c r="H265" i="4"/>
  <c r="O8" i="4"/>
  <c r="N185" i="4"/>
  <c r="N278" i="4"/>
  <c r="H12" i="4"/>
  <c r="S39" i="11"/>
  <c r="Y37" i="11"/>
  <c r="H334" i="4"/>
  <c r="I186" i="4"/>
  <c r="N186" i="4"/>
  <c r="N44" i="3"/>
  <c r="O44" i="3"/>
  <c r="S44" i="3"/>
  <c r="R44" i="3"/>
  <c r="M60" i="3"/>
  <c r="P44" i="3"/>
  <c r="I333" i="4"/>
  <c r="N333" i="4"/>
  <c r="V35" i="11"/>
  <c r="H187" i="4"/>
  <c r="I184" i="4"/>
  <c r="N184" i="4"/>
  <c r="I11" i="4"/>
  <c r="N11" i="4"/>
  <c r="I228" i="4"/>
  <c r="N228" i="4"/>
  <c r="H229" i="4"/>
  <c r="V46" i="10"/>
  <c r="R45" i="3"/>
  <c r="I94" i="4"/>
  <c r="N94" i="4"/>
  <c r="I357" i="4"/>
  <c r="N357" i="4"/>
  <c r="I219" i="4"/>
  <c r="N219" i="4"/>
  <c r="M59" i="3"/>
  <c r="N39" i="3"/>
  <c r="T39" i="3"/>
  <c r="O39" i="3"/>
  <c r="S39" i="3"/>
  <c r="R39" i="3"/>
  <c r="P39" i="3"/>
  <c r="H99" i="4"/>
  <c r="S41" i="10"/>
  <c r="S42" i="10" s="1"/>
  <c r="N89" i="4"/>
  <c r="I89" i="4"/>
  <c r="S54" i="10"/>
  <c r="H95" i="4"/>
  <c r="Y66" i="10"/>
  <c r="H356" i="4" s="1"/>
  <c r="H355" i="4"/>
  <c r="I359" i="4"/>
  <c r="N359" i="4"/>
  <c r="N362" i="4"/>
  <c r="I362" i="4"/>
  <c r="H90" i="4"/>
  <c r="S58" i="10"/>
  <c r="H225" i="4"/>
  <c r="V53" i="10"/>
  <c r="V41" i="10"/>
  <c r="H234" i="4"/>
  <c r="N360" i="4"/>
  <c r="I360" i="4"/>
  <c r="H363" i="4"/>
  <c r="Y47" i="10"/>
  <c r="H367" i="4"/>
  <c r="Y41" i="10"/>
  <c r="T42" i="3"/>
  <c r="T3" i="3" s="1"/>
  <c r="U3" i="2" s="1"/>
  <c r="O42" i="3"/>
  <c r="R42" i="3"/>
  <c r="N42" i="3"/>
  <c r="P42" i="3"/>
  <c r="S42" i="3"/>
  <c r="N224" i="4"/>
  <c r="I224" i="4"/>
  <c r="I233" i="4"/>
  <c r="N233" i="4"/>
  <c r="H220" i="4"/>
  <c r="V62" i="10"/>
  <c r="I98" i="4"/>
  <c r="N98" i="4"/>
  <c r="I366" i="4"/>
  <c r="N366" i="4"/>
  <c r="M74" i="8"/>
  <c r="R37" i="3"/>
  <c r="P37" i="3"/>
  <c r="O37" i="3"/>
  <c r="M58" i="3"/>
  <c r="N37" i="3"/>
  <c r="S37" i="3"/>
  <c r="S49" i="3" s="1"/>
  <c r="Y63" i="9"/>
  <c r="Y64" i="9" s="1"/>
  <c r="H351" i="4"/>
  <c r="H339" i="4"/>
  <c r="Y47" i="9"/>
  <c r="O28" i="3"/>
  <c r="P28" i="3"/>
  <c r="N28" i="3"/>
  <c r="H207" i="4"/>
  <c r="V63" i="9"/>
  <c r="V47" i="9"/>
  <c r="H194" i="4"/>
  <c r="M57" i="3"/>
  <c r="T45" i="3"/>
  <c r="N25" i="3"/>
  <c r="P33" i="3"/>
  <c r="N33" i="3"/>
  <c r="S45" i="3"/>
  <c r="I385" i="4"/>
  <c r="N385" i="4"/>
  <c r="I107" i="4"/>
  <c r="N107" i="4"/>
  <c r="V65" i="8"/>
  <c r="Y65" i="8" s="1"/>
  <c r="H108" i="4"/>
  <c r="S66" i="8"/>
  <c r="I243" i="4"/>
  <c r="N243" i="4"/>
  <c r="V107" i="8"/>
  <c r="Y107" i="8" s="1"/>
  <c r="H380" i="4" s="1"/>
  <c r="S108" i="8"/>
  <c r="Y76" i="8"/>
  <c r="H238" i="4"/>
  <c r="I105" i="4"/>
  <c r="N105" i="4"/>
  <c r="S102" i="8"/>
  <c r="V101" i="8"/>
  <c r="Y101" i="8" s="1"/>
  <c r="I386" i="4"/>
  <c r="N386" i="4"/>
  <c r="Y87" i="8"/>
  <c r="H395" i="4" s="1"/>
  <c r="H260" i="4"/>
  <c r="S57" i="8"/>
  <c r="V56" i="8"/>
  <c r="Y56" i="8" s="1"/>
  <c r="H101" i="4"/>
  <c r="S96" i="8"/>
  <c r="V95" i="8"/>
  <c r="Y48" i="8"/>
  <c r="Y49" i="8" s="1"/>
  <c r="Y50" i="8" s="1"/>
  <c r="Y51" i="8" s="1"/>
  <c r="H391" i="4"/>
  <c r="I242" i="4"/>
  <c r="N242" i="4"/>
  <c r="O24" i="3"/>
  <c r="N24" i="3"/>
  <c r="P24" i="3"/>
  <c r="I371" i="4"/>
  <c r="N371" i="4"/>
  <c r="I122" i="4"/>
  <c r="N122" i="4"/>
  <c r="V48" i="8"/>
  <c r="H252" i="4"/>
  <c r="I384" i="4"/>
  <c r="N384" i="4"/>
  <c r="I113" i="4"/>
  <c r="N113" i="4"/>
  <c r="V62" i="8"/>
  <c r="H106" i="4"/>
  <c r="Y115" i="8"/>
  <c r="H372" i="4"/>
  <c r="V77" i="8"/>
  <c r="S78" i="8"/>
  <c r="H114" i="4"/>
  <c r="S49" i="8"/>
  <c r="I259" i="4"/>
  <c r="N259" i="4"/>
  <c r="I379" i="4"/>
  <c r="N379" i="4"/>
  <c r="I388" i="4"/>
  <c r="N388" i="4"/>
  <c r="I244" i="4"/>
  <c r="N244" i="4"/>
  <c r="Y88" i="8"/>
  <c r="H396" i="4" s="1"/>
  <c r="H261" i="4"/>
  <c r="I100" i="4"/>
  <c r="N100" i="4"/>
  <c r="Y94" i="8"/>
  <c r="H247" i="4"/>
  <c r="L56" i="3"/>
  <c r="O18" i="3"/>
  <c r="S18" i="3"/>
  <c r="R18" i="3"/>
  <c r="T18" i="3"/>
  <c r="T47" i="3" s="1"/>
  <c r="Y53" i="6"/>
  <c r="Y54" i="6" s="1"/>
  <c r="Y55" i="6" s="1"/>
  <c r="H405" i="4"/>
  <c r="P18" i="3"/>
  <c r="N18" i="3"/>
  <c r="L3" i="3"/>
  <c r="P19" i="3"/>
  <c r="N19" i="3"/>
  <c r="V103" i="6"/>
  <c r="S104" i="6"/>
  <c r="Y103" i="6"/>
  <c r="H83" i="4"/>
  <c r="P71" i="8"/>
  <c r="R71" i="8"/>
  <c r="Q71" i="8"/>
  <c r="I82" i="4"/>
  <c r="N82" i="4"/>
  <c r="I401" i="4"/>
  <c r="N401" i="4"/>
  <c r="I16" i="4"/>
  <c r="N16" i="4"/>
  <c r="I15" i="4"/>
  <c r="N15" i="4"/>
  <c r="N20" i="3"/>
  <c r="R20" i="3"/>
  <c r="I72" i="4"/>
  <c r="N72" i="4"/>
  <c r="Y94" i="6"/>
  <c r="S95" i="6"/>
  <c r="V94" i="6"/>
  <c r="H50" i="4"/>
  <c r="I38" i="4"/>
  <c r="N38" i="4"/>
  <c r="I18" i="4"/>
  <c r="N18" i="4"/>
  <c r="I19" i="4"/>
  <c r="N19" i="4"/>
  <c r="S54" i="6"/>
  <c r="H73" i="4"/>
  <c r="I21" i="4"/>
  <c r="N21" i="4"/>
  <c r="I17" i="4"/>
  <c r="N17" i="4"/>
  <c r="P20" i="3"/>
  <c r="I49" i="4"/>
  <c r="N49" i="4"/>
  <c r="V76" i="6"/>
  <c r="Y76" i="6"/>
  <c r="S77" i="6"/>
  <c r="H41" i="4"/>
  <c r="I20" i="4"/>
  <c r="N20" i="4"/>
  <c r="S113" i="6"/>
  <c r="H22" i="4"/>
  <c r="H23" i="4"/>
  <c r="P46" i="6"/>
  <c r="R46" i="6"/>
  <c r="M56" i="3"/>
  <c r="O20" i="3"/>
  <c r="S20" i="3"/>
  <c r="M3" i="3"/>
  <c r="S3" i="2" s="1"/>
  <c r="Q46" i="6"/>
  <c r="I308" i="4" l="1"/>
  <c r="N308" i="4"/>
  <c r="I293" i="4"/>
  <c r="N293" i="4"/>
  <c r="V129" i="5"/>
  <c r="H302" i="4" s="1"/>
  <c r="H301" i="4"/>
  <c r="N265" i="4"/>
  <c r="I265" i="4"/>
  <c r="Y170" i="5"/>
  <c r="Y171" i="5" s="1"/>
  <c r="Y172" i="5" s="1"/>
  <c r="Y173" i="5" s="1"/>
  <c r="H444" i="4" s="1"/>
  <c r="H449" i="4"/>
  <c r="I300" i="4"/>
  <c r="N300" i="4"/>
  <c r="H266" i="4"/>
  <c r="V69" i="5"/>
  <c r="Y114" i="5"/>
  <c r="H421" i="4"/>
  <c r="Y139" i="5"/>
  <c r="H436" i="4"/>
  <c r="I448" i="4"/>
  <c r="N448" i="4"/>
  <c r="V158" i="5"/>
  <c r="H273" i="4"/>
  <c r="I430" i="4"/>
  <c r="N430" i="4"/>
  <c r="S138" i="5"/>
  <c r="H163" i="4"/>
  <c r="N173" i="4"/>
  <c r="I173" i="4"/>
  <c r="H153" i="4"/>
  <c r="S116" i="5"/>
  <c r="V183" i="5"/>
  <c r="H287" i="4" s="1"/>
  <c r="H286" i="4"/>
  <c r="I398" i="4"/>
  <c r="N398" i="4"/>
  <c r="H407" i="4"/>
  <c r="Y162" i="5"/>
  <c r="Y104" i="5"/>
  <c r="H442" i="4" s="1"/>
  <c r="H441" i="4"/>
  <c r="I142" i="4"/>
  <c r="N142" i="4"/>
  <c r="S173" i="5"/>
  <c r="H168" i="4" s="1"/>
  <c r="H174" i="4"/>
  <c r="I130" i="4"/>
  <c r="N130" i="4"/>
  <c r="V136" i="5"/>
  <c r="H309" i="4"/>
  <c r="I152" i="4"/>
  <c r="N152" i="4"/>
  <c r="V113" i="5"/>
  <c r="H294" i="4"/>
  <c r="N435" i="4"/>
  <c r="I435" i="4"/>
  <c r="V63" i="10"/>
  <c r="V64" i="10" s="1"/>
  <c r="V65" i="10" s="1"/>
  <c r="V66" i="10" s="1"/>
  <c r="H221" i="4"/>
  <c r="I285" i="4"/>
  <c r="N285" i="4"/>
  <c r="I406" i="4"/>
  <c r="N406" i="4"/>
  <c r="I440" i="4"/>
  <c r="N440" i="4"/>
  <c r="S178" i="5"/>
  <c r="H143" i="4"/>
  <c r="S66" i="5"/>
  <c r="S67" i="5" s="1"/>
  <c r="S68" i="5" s="1"/>
  <c r="S69" i="5" s="1"/>
  <c r="S70" i="5" s="1"/>
  <c r="H127" i="4"/>
  <c r="I318" i="4"/>
  <c r="N318" i="4"/>
  <c r="H323" i="4"/>
  <c r="V168" i="5"/>
  <c r="S156" i="5"/>
  <c r="H131" i="4"/>
  <c r="I420" i="4"/>
  <c r="N420" i="4"/>
  <c r="I272" i="4"/>
  <c r="N272" i="4"/>
  <c r="I429" i="4"/>
  <c r="N429" i="4"/>
  <c r="I162" i="4"/>
  <c r="N162" i="4"/>
  <c r="N317" i="4"/>
  <c r="I317" i="4"/>
  <c r="N322" i="4"/>
  <c r="I322" i="4"/>
  <c r="O32" i="3"/>
  <c r="N32" i="3"/>
  <c r="N126" i="4"/>
  <c r="I126" i="4"/>
  <c r="S40" i="11"/>
  <c r="H14" i="4" s="1"/>
  <c r="H13" i="4"/>
  <c r="N12" i="4"/>
  <c r="I12" i="4"/>
  <c r="V36" i="11"/>
  <c r="V37" i="11" s="1"/>
  <c r="H188" i="4"/>
  <c r="H335" i="4"/>
  <c r="Y38" i="11"/>
  <c r="I187" i="4"/>
  <c r="N187" i="4"/>
  <c r="N334" i="4"/>
  <c r="I334" i="4"/>
  <c r="R46" i="3"/>
  <c r="V47" i="10"/>
  <c r="H230" i="4"/>
  <c r="I229" i="4"/>
  <c r="N229" i="4"/>
  <c r="R49" i="3"/>
  <c r="Y42" i="10"/>
  <c r="H369" i="4" s="1"/>
  <c r="H368" i="4"/>
  <c r="H226" i="4"/>
  <c r="V54" i="10"/>
  <c r="H227" i="4" s="1"/>
  <c r="S59" i="10"/>
  <c r="H91" i="4"/>
  <c r="N95" i="4"/>
  <c r="I95" i="4"/>
  <c r="S46" i="3"/>
  <c r="I367" i="4"/>
  <c r="N367" i="4"/>
  <c r="I225" i="4"/>
  <c r="N225" i="4"/>
  <c r="N90" i="4"/>
  <c r="I90" i="4"/>
  <c r="I99" i="4"/>
  <c r="N99" i="4"/>
  <c r="N220" i="4"/>
  <c r="I220" i="4"/>
  <c r="I363" i="4"/>
  <c r="N363" i="4"/>
  <c r="V42" i="10"/>
  <c r="H236" i="4" s="1"/>
  <c r="H235" i="4"/>
  <c r="I356" i="4"/>
  <c r="N356" i="4"/>
  <c r="Y48" i="10"/>
  <c r="H365" i="4" s="1"/>
  <c r="H364" i="4"/>
  <c r="I234" i="4"/>
  <c r="N234" i="4"/>
  <c r="I355" i="4"/>
  <c r="N355" i="4"/>
  <c r="T49" i="3"/>
  <c r="T46" i="3"/>
  <c r="V64" i="9"/>
  <c r="H208" i="4"/>
  <c r="Y65" i="9"/>
  <c r="H352" i="4"/>
  <c r="I207" i="4"/>
  <c r="N207" i="4"/>
  <c r="H343" i="4"/>
  <c r="Y48" i="9"/>
  <c r="I194" i="4"/>
  <c r="N194" i="4"/>
  <c r="I339" i="4"/>
  <c r="N339" i="4"/>
  <c r="V48" i="9"/>
  <c r="H199" i="4"/>
  <c r="I351" i="4"/>
  <c r="N351" i="4"/>
  <c r="I108" i="4"/>
  <c r="N108" i="4"/>
  <c r="S67" i="8"/>
  <c r="H109" i="4"/>
  <c r="V66" i="8"/>
  <c r="I396" i="4"/>
  <c r="N396" i="4"/>
  <c r="Y77" i="8"/>
  <c r="H239" i="4"/>
  <c r="Y116" i="8"/>
  <c r="H373" i="4"/>
  <c r="V49" i="8"/>
  <c r="H253" i="4"/>
  <c r="Y95" i="8"/>
  <c r="H248" i="4"/>
  <c r="V57" i="8"/>
  <c r="Y57" i="8" s="1"/>
  <c r="S58" i="8"/>
  <c r="H102" i="4"/>
  <c r="I395" i="4"/>
  <c r="N395" i="4"/>
  <c r="S103" i="8"/>
  <c r="V102" i="8"/>
  <c r="Y102" i="8" s="1"/>
  <c r="S50" i="8"/>
  <c r="H115" i="4"/>
  <c r="I106" i="4"/>
  <c r="N106" i="4"/>
  <c r="S97" i="8"/>
  <c r="V96" i="8"/>
  <c r="V108" i="8"/>
  <c r="Y108" i="8" s="1"/>
  <c r="H381" i="4" s="1"/>
  <c r="S109" i="8"/>
  <c r="I261" i="4"/>
  <c r="N261" i="4"/>
  <c r="V78" i="8"/>
  <c r="S79" i="8"/>
  <c r="V79" i="8" s="1"/>
  <c r="I372" i="4"/>
  <c r="N372" i="4"/>
  <c r="I252" i="4"/>
  <c r="N252" i="4"/>
  <c r="Y52" i="8"/>
  <c r="H392" i="4"/>
  <c r="I260" i="4"/>
  <c r="N260" i="4"/>
  <c r="I238" i="4"/>
  <c r="N238" i="4"/>
  <c r="I247" i="4"/>
  <c r="N247" i="4"/>
  <c r="N114" i="4"/>
  <c r="I114" i="4"/>
  <c r="Y62" i="8"/>
  <c r="H370" i="4" s="1"/>
  <c r="H237" i="4"/>
  <c r="I391" i="4"/>
  <c r="N391" i="4"/>
  <c r="N101" i="4"/>
  <c r="I101" i="4"/>
  <c r="I380" i="4"/>
  <c r="N380" i="4"/>
  <c r="I83" i="4"/>
  <c r="N83" i="4"/>
  <c r="I405" i="4"/>
  <c r="N405" i="4"/>
  <c r="V104" i="6"/>
  <c r="S105" i="6"/>
  <c r="Y104" i="6"/>
  <c r="H84" i="4"/>
  <c r="H400" i="4"/>
  <c r="Y56" i="6"/>
  <c r="Y57" i="6" s="1"/>
  <c r="Y58" i="6" s="1"/>
  <c r="Y59" i="6" s="1"/>
  <c r="Y60" i="6" s="1"/>
  <c r="Y61" i="6" s="1"/>
  <c r="Y62" i="6" s="1"/>
  <c r="Y63" i="6" s="1"/>
  <c r="Y64" i="6" s="1"/>
  <c r="Y65" i="6" s="1"/>
  <c r="Y66" i="6" s="1"/>
  <c r="Y67" i="6" s="1"/>
  <c r="Y68" i="6" s="1"/>
  <c r="Y69" i="6" s="1"/>
  <c r="Y70" i="6" s="1"/>
  <c r="Y71" i="6" s="1"/>
  <c r="Y72" i="6" s="1"/>
  <c r="Y73" i="6" s="1"/>
  <c r="S55" i="6"/>
  <c r="H74" i="4"/>
  <c r="S114" i="6"/>
  <c r="H27" i="4"/>
  <c r="H25" i="4"/>
  <c r="H24" i="4"/>
  <c r="H26" i="4"/>
  <c r="I23" i="4"/>
  <c r="N23" i="4"/>
  <c r="V95" i="6"/>
  <c r="Y95" i="6"/>
  <c r="S96" i="6"/>
  <c r="H51" i="4"/>
  <c r="R47" i="3"/>
  <c r="R3" i="3"/>
  <c r="Y3" i="2" s="1"/>
  <c r="O2" i="2" s="1"/>
  <c r="S78" i="6"/>
  <c r="V77" i="6"/>
  <c r="Y77" i="6"/>
  <c r="H42" i="4"/>
  <c r="I73" i="4"/>
  <c r="N73" i="4"/>
  <c r="I50" i="4"/>
  <c r="N50" i="4"/>
  <c r="I22" i="4"/>
  <c r="N22" i="4"/>
  <c r="I41" i="4"/>
  <c r="N41" i="4"/>
  <c r="S47" i="3"/>
  <c r="S3" i="3"/>
  <c r="W3" i="2" s="1"/>
  <c r="I127" i="4" l="1"/>
  <c r="N127" i="4"/>
  <c r="I286" i="4"/>
  <c r="N286" i="4"/>
  <c r="I421" i="4"/>
  <c r="N421" i="4"/>
  <c r="I287" i="4"/>
  <c r="N287" i="4"/>
  <c r="Y115" i="5"/>
  <c r="H422" i="4"/>
  <c r="I131" i="4"/>
  <c r="N131" i="4"/>
  <c r="N143" i="4"/>
  <c r="I143" i="4"/>
  <c r="I221" i="4"/>
  <c r="N221" i="4"/>
  <c r="I309" i="4"/>
  <c r="N309" i="4"/>
  <c r="I441" i="4"/>
  <c r="N441" i="4"/>
  <c r="S117" i="5"/>
  <c r="H111" i="4"/>
  <c r="N273" i="4"/>
  <c r="I273" i="4"/>
  <c r="V70" i="5"/>
  <c r="H263" i="4" s="1"/>
  <c r="H267" i="4"/>
  <c r="I301" i="4"/>
  <c r="N301" i="4"/>
  <c r="V169" i="5"/>
  <c r="H324" i="4"/>
  <c r="H222" i="4"/>
  <c r="N222" i="4" s="1"/>
  <c r="N323" i="4"/>
  <c r="I323" i="4"/>
  <c r="I407" i="4"/>
  <c r="N407" i="4"/>
  <c r="I294" i="4"/>
  <c r="N294" i="4"/>
  <c r="N174" i="4"/>
  <c r="I174" i="4"/>
  <c r="N163" i="4"/>
  <c r="I163" i="4"/>
  <c r="I436" i="4"/>
  <c r="N436" i="4"/>
  <c r="N449" i="4"/>
  <c r="I449" i="4"/>
  <c r="S157" i="5"/>
  <c r="H132" i="4"/>
  <c r="S179" i="5"/>
  <c r="S180" i="5" s="1"/>
  <c r="H144" i="4"/>
  <c r="V137" i="5"/>
  <c r="H310" i="4"/>
  <c r="I442" i="4"/>
  <c r="N442" i="4"/>
  <c r="I153" i="4"/>
  <c r="N153" i="4"/>
  <c r="V159" i="5"/>
  <c r="H274" i="4"/>
  <c r="I266" i="4"/>
  <c r="N266" i="4"/>
  <c r="I302" i="4"/>
  <c r="N302" i="4"/>
  <c r="H295" i="4"/>
  <c r="V114" i="5"/>
  <c r="N168" i="4"/>
  <c r="I168" i="4"/>
  <c r="S139" i="5"/>
  <c r="H164" i="4"/>
  <c r="Y140" i="5"/>
  <c r="Y141" i="5" s="1"/>
  <c r="H437" i="4"/>
  <c r="I444" i="4"/>
  <c r="N444" i="4"/>
  <c r="I335" i="4"/>
  <c r="N335" i="4"/>
  <c r="H336" i="4"/>
  <c r="Y39" i="11"/>
  <c r="I188" i="4"/>
  <c r="N188" i="4"/>
  <c r="I13" i="4"/>
  <c r="N13" i="4"/>
  <c r="H189" i="4"/>
  <c r="V38" i="11"/>
  <c r="I14" i="4"/>
  <c r="N14" i="4"/>
  <c r="H231" i="4"/>
  <c r="V48" i="10"/>
  <c r="H232" i="4" s="1"/>
  <c r="I230" i="4"/>
  <c r="N230" i="4"/>
  <c r="I226" i="4"/>
  <c r="N226" i="4"/>
  <c r="I91" i="4"/>
  <c r="N91" i="4"/>
  <c r="I368" i="4"/>
  <c r="N368" i="4"/>
  <c r="N364" i="4"/>
  <c r="I364" i="4"/>
  <c r="I222" i="4"/>
  <c r="I235" i="4"/>
  <c r="N235" i="4"/>
  <c r="S60" i="10"/>
  <c r="S61" i="10" s="1"/>
  <c r="S62" i="10" s="1"/>
  <c r="S63" i="10" s="1"/>
  <c r="S64" i="10" s="1"/>
  <c r="S65" i="10" s="1"/>
  <c r="S66" i="10" s="1"/>
  <c r="H92" i="4"/>
  <c r="I369" i="4"/>
  <c r="N369" i="4"/>
  <c r="N365" i="4"/>
  <c r="I365" i="4"/>
  <c r="I236" i="4"/>
  <c r="N236" i="4"/>
  <c r="I227" i="4"/>
  <c r="N227" i="4"/>
  <c r="V49" i="9"/>
  <c r="H200" i="4"/>
  <c r="V65" i="9"/>
  <c r="H209" i="4"/>
  <c r="H344" i="4"/>
  <c r="Y49" i="9"/>
  <c r="I352" i="4"/>
  <c r="N352" i="4"/>
  <c r="I343" i="4"/>
  <c r="N343" i="4"/>
  <c r="Y66" i="9"/>
  <c r="H354" i="4" s="1"/>
  <c r="H353" i="4"/>
  <c r="I199" i="4"/>
  <c r="N199" i="4"/>
  <c r="I208" i="4"/>
  <c r="N208" i="4"/>
  <c r="H110" i="4"/>
  <c r="V67" i="8"/>
  <c r="Y67" i="8" s="1"/>
  <c r="I109" i="4"/>
  <c r="N109" i="4"/>
  <c r="Y66" i="8"/>
  <c r="H246" i="4"/>
  <c r="Y78" i="8"/>
  <c r="H377" i="4" s="1"/>
  <c r="H240" i="4"/>
  <c r="I381" i="4"/>
  <c r="N381" i="4"/>
  <c r="V97" i="8"/>
  <c r="S98" i="8"/>
  <c r="V98" i="8" s="1"/>
  <c r="Y98" i="8" s="1"/>
  <c r="V103" i="8"/>
  <c r="Y103" i="8" s="1"/>
  <c r="S104" i="8"/>
  <c r="V104" i="8" s="1"/>
  <c r="Y104" i="8" s="1"/>
  <c r="H390" i="4" s="1"/>
  <c r="H103" i="4"/>
  <c r="V58" i="8"/>
  <c r="Y58" i="8" s="1"/>
  <c r="I253" i="4"/>
  <c r="N253" i="4"/>
  <c r="I239" i="4"/>
  <c r="N239" i="4"/>
  <c r="I392" i="4"/>
  <c r="N392" i="4"/>
  <c r="N115" i="4"/>
  <c r="I115" i="4"/>
  <c r="V50" i="8"/>
  <c r="H254" i="4"/>
  <c r="I370" i="4"/>
  <c r="N370" i="4"/>
  <c r="Y53" i="8"/>
  <c r="H394" i="4" s="1"/>
  <c r="H393" i="4"/>
  <c r="H116" i="4"/>
  <c r="S51" i="8"/>
  <c r="N248" i="4"/>
  <c r="I248" i="4"/>
  <c r="I373" i="4"/>
  <c r="N373" i="4"/>
  <c r="I237" i="4"/>
  <c r="N237" i="4"/>
  <c r="Y79" i="8"/>
  <c r="H378" i="4" s="1"/>
  <c r="H241" i="4"/>
  <c r="S110" i="8"/>
  <c r="V109" i="8"/>
  <c r="Y109" i="8" s="1"/>
  <c r="H382" i="4" s="1"/>
  <c r="Y96" i="8"/>
  <c r="H249" i="4"/>
  <c r="I102" i="4"/>
  <c r="N102" i="4"/>
  <c r="Y117" i="8"/>
  <c r="H374" i="4"/>
  <c r="I84" i="4"/>
  <c r="N84" i="4"/>
  <c r="V105" i="6"/>
  <c r="S106" i="6"/>
  <c r="Y105" i="6"/>
  <c r="H85" i="4"/>
  <c r="I400" i="4"/>
  <c r="N400" i="4"/>
  <c r="I26" i="4"/>
  <c r="N26" i="4"/>
  <c r="S115" i="6"/>
  <c r="H31" i="4"/>
  <c r="H29" i="4"/>
  <c r="H32" i="4"/>
  <c r="H30" i="4"/>
  <c r="H28" i="4"/>
  <c r="Y78" i="6"/>
  <c r="S79" i="6"/>
  <c r="V78" i="6"/>
  <c r="H43" i="4"/>
  <c r="S97" i="6"/>
  <c r="Y96" i="6"/>
  <c r="V96" i="6"/>
  <c r="H52" i="4"/>
  <c r="I27" i="4"/>
  <c r="N27" i="4"/>
  <c r="I42" i="4"/>
  <c r="N42" i="4"/>
  <c r="I24" i="4"/>
  <c r="N24" i="4"/>
  <c r="N74" i="4"/>
  <c r="I74" i="4"/>
  <c r="I51" i="4"/>
  <c r="N51" i="4"/>
  <c r="I25" i="4"/>
  <c r="N25" i="4"/>
  <c r="S56" i="6"/>
  <c r="H75" i="4"/>
  <c r="H275" i="4" l="1"/>
  <c r="V160" i="5"/>
  <c r="S181" i="5"/>
  <c r="H145" i="4"/>
  <c r="V115" i="5"/>
  <c r="H296" i="4"/>
  <c r="I132" i="4"/>
  <c r="N132" i="4"/>
  <c r="I295" i="4"/>
  <c r="N295" i="4"/>
  <c r="S158" i="5"/>
  <c r="H133" i="4"/>
  <c r="I324" i="4"/>
  <c r="N324" i="4"/>
  <c r="I111" i="4"/>
  <c r="N111" i="4"/>
  <c r="S118" i="5"/>
  <c r="H154" i="4"/>
  <c r="I164" i="4"/>
  <c r="N164" i="4"/>
  <c r="S140" i="5"/>
  <c r="S141" i="5" s="1"/>
  <c r="H165" i="4"/>
  <c r="V138" i="5"/>
  <c r="H311" i="4"/>
  <c r="N267" i="4"/>
  <c r="I267" i="4"/>
  <c r="I422" i="4"/>
  <c r="N422" i="4"/>
  <c r="N437" i="4"/>
  <c r="I437" i="4"/>
  <c r="V170" i="5"/>
  <c r="V171" i="5" s="1"/>
  <c r="V172" i="5" s="1"/>
  <c r="V173" i="5" s="1"/>
  <c r="H320" i="4" s="1"/>
  <c r="H325" i="4"/>
  <c r="I310" i="4"/>
  <c r="N310" i="4"/>
  <c r="I274" i="4"/>
  <c r="N274" i="4"/>
  <c r="I144" i="4"/>
  <c r="N144" i="4"/>
  <c r="I263" i="4"/>
  <c r="N263" i="4"/>
  <c r="Y116" i="5"/>
  <c r="H423" i="4"/>
  <c r="Y40" i="11"/>
  <c r="H338" i="4" s="1"/>
  <c r="H337" i="4"/>
  <c r="I336" i="4"/>
  <c r="N336" i="4"/>
  <c r="V39" i="11"/>
  <c r="H190" i="4"/>
  <c r="I189" i="4"/>
  <c r="N189" i="4"/>
  <c r="N232" i="4"/>
  <c r="I232" i="4"/>
  <c r="N231" i="4"/>
  <c r="I231" i="4"/>
  <c r="I92" i="4"/>
  <c r="N92" i="4"/>
  <c r="I344" i="4"/>
  <c r="N344" i="4"/>
  <c r="V50" i="9"/>
  <c r="H201" i="4"/>
  <c r="I353" i="4"/>
  <c r="N353" i="4"/>
  <c r="I209" i="4"/>
  <c r="N209" i="4"/>
  <c r="I354" i="4"/>
  <c r="N354" i="4"/>
  <c r="V66" i="9"/>
  <c r="H211" i="4" s="1"/>
  <c r="H210" i="4"/>
  <c r="H345" i="4"/>
  <c r="Y50" i="9"/>
  <c r="I200" i="4"/>
  <c r="N200" i="4"/>
  <c r="I246" i="4"/>
  <c r="N246" i="4"/>
  <c r="I110" i="4"/>
  <c r="N110" i="4"/>
  <c r="I382" i="4"/>
  <c r="N382" i="4"/>
  <c r="I393" i="4"/>
  <c r="N393" i="4"/>
  <c r="I254" i="4"/>
  <c r="N254" i="4"/>
  <c r="I390" i="4"/>
  <c r="N390" i="4"/>
  <c r="S111" i="8"/>
  <c r="V111" i="8" s="1"/>
  <c r="Y111" i="8" s="1"/>
  <c r="V110" i="8"/>
  <c r="Y110" i="8" s="1"/>
  <c r="H383" i="4" s="1"/>
  <c r="I394" i="4"/>
  <c r="N394" i="4"/>
  <c r="V51" i="8"/>
  <c r="H255" i="4"/>
  <c r="I374" i="4"/>
  <c r="N374" i="4"/>
  <c r="I249" i="4"/>
  <c r="N249" i="4"/>
  <c r="I241" i="4"/>
  <c r="N241" i="4"/>
  <c r="S52" i="8"/>
  <c r="H117" i="4"/>
  <c r="I240" i="4"/>
  <c r="N240" i="4"/>
  <c r="Y118" i="8"/>
  <c r="H375" i="4"/>
  <c r="I378" i="4"/>
  <c r="N378" i="4"/>
  <c r="I116" i="4"/>
  <c r="N116" i="4"/>
  <c r="N103" i="4"/>
  <c r="I103" i="4"/>
  <c r="Y97" i="8"/>
  <c r="H250" i="4"/>
  <c r="I377" i="4"/>
  <c r="N377" i="4"/>
  <c r="V106" i="6"/>
  <c r="S107" i="6"/>
  <c r="Y106" i="6"/>
  <c r="H86" i="4"/>
  <c r="I85" i="4"/>
  <c r="N85" i="4"/>
  <c r="Y79" i="6"/>
  <c r="S80" i="6"/>
  <c r="V79" i="6"/>
  <c r="H44" i="4"/>
  <c r="I32" i="4"/>
  <c r="N32" i="4"/>
  <c r="I52" i="4"/>
  <c r="N52" i="4"/>
  <c r="N43" i="4"/>
  <c r="I43" i="4"/>
  <c r="I28" i="4"/>
  <c r="N28" i="4"/>
  <c r="I31" i="4"/>
  <c r="N31" i="4"/>
  <c r="I30" i="4"/>
  <c r="N30" i="4"/>
  <c r="H35" i="4"/>
  <c r="H37" i="4"/>
  <c r="H33" i="4"/>
  <c r="H36" i="4"/>
  <c r="H34" i="4"/>
  <c r="N75" i="4"/>
  <c r="I75" i="4"/>
  <c r="S57" i="6"/>
  <c r="H76" i="4"/>
  <c r="Y97" i="6"/>
  <c r="V97" i="6"/>
  <c r="S98" i="6"/>
  <c r="H53" i="4"/>
  <c r="I29" i="4"/>
  <c r="N29" i="4"/>
  <c r="I325" i="4" l="1"/>
  <c r="N325" i="4"/>
  <c r="N320" i="4"/>
  <c r="I320" i="4"/>
  <c r="N165" i="4"/>
  <c r="I165" i="4"/>
  <c r="I296" i="4"/>
  <c r="N296" i="4"/>
  <c r="H297" i="4"/>
  <c r="V116" i="5"/>
  <c r="I145" i="4"/>
  <c r="N145" i="4"/>
  <c r="S159" i="5"/>
  <c r="H134" i="4"/>
  <c r="S182" i="5"/>
  <c r="H146" i="4"/>
  <c r="I423" i="4"/>
  <c r="N423" i="4"/>
  <c r="I154" i="4"/>
  <c r="N154" i="4"/>
  <c r="H276" i="4"/>
  <c r="V161" i="5"/>
  <c r="I311" i="4"/>
  <c r="N311" i="4"/>
  <c r="V139" i="5"/>
  <c r="H312" i="4"/>
  <c r="I133" i="4"/>
  <c r="N133" i="4"/>
  <c r="Y117" i="5"/>
  <c r="H389" i="4"/>
  <c r="S119" i="5"/>
  <c r="S120" i="5" s="1"/>
  <c r="S121" i="5" s="1"/>
  <c r="S122" i="5" s="1"/>
  <c r="S123" i="5" s="1"/>
  <c r="H155" i="4"/>
  <c r="I275" i="4"/>
  <c r="N275" i="4"/>
  <c r="I190" i="4"/>
  <c r="N190" i="4"/>
  <c r="I337" i="4"/>
  <c r="N337" i="4"/>
  <c r="H191" i="4"/>
  <c r="V40" i="11"/>
  <c r="H192" i="4" s="1"/>
  <c r="I338" i="4"/>
  <c r="N338" i="4"/>
  <c r="I345" i="4"/>
  <c r="N345" i="4"/>
  <c r="I210" i="4"/>
  <c r="N210" i="4"/>
  <c r="N201" i="4"/>
  <c r="I201" i="4"/>
  <c r="I211" i="4"/>
  <c r="N211" i="4"/>
  <c r="V51" i="9"/>
  <c r="H202" i="4"/>
  <c r="Y51" i="9"/>
  <c r="H346" i="4"/>
  <c r="Y119" i="8"/>
  <c r="H376" i="4"/>
  <c r="S53" i="8"/>
  <c r="H119" i="4" s="1"/>
  <c r="H118" i="4"/>
  <c r="V52" i="8"/>
  <c r="H256" i="4"/>
  <c r="N250" i="4"/>
  <c r="I250" i="4"/>
  <c r="I375" i="4"/>
  <c r="N375" i="4"/>
  <c r="I117" i="4"/>
  <c r="N117" i="4"/>
  <c r="I255" i="4"/>
  <c r="N255" i="4"/>
  <c r="I383" i="4"/>
  <c r="N383" i="4"/>
  <c r="I86" i="4"/>
  <c r="N86" i="4"/>
  <c r="V107" i="6"/>
  <c r="S108" i="6"/>
  <c r="Y107" i="6"/>
  <c r="H87" i="4"/>
  <c r="S58" i="6"/>
  <c r="H77" i="4"/>
  <c r="I33" i="4"/>
  <c r="N33" i="4"/>
  <c r="V98" i="6"/>
  <c r="Y98" i="6"/>
  <c r="H54" i="4"/>
  <c r="I37" i="4"/>
  <c r="N37" i="4"/>
  <c r="V80" i="6"/>
  <c r="S81" i="6"/>
  <c r="Y80" i="6"/>
  <c r="H45" i="4"/>
  <c r="I53" i="4"/>
  <c r="N53" i="4"/>
  <c r="I76" i="4"/>
  <c r="N76" i="4"/>
  <c r="I34" i="4"/>
  <c r="N34" i="4"/>
  <c r="I35" i="4"/>
  <c r="N35" i="4"/>
  <c r="I36" i="4"/>
  <c r="N36" i="4"/>
  <c r="I44" i="4"/>
  <c r="N44" i="4"/>
  <c r="N146" i="4" l="1"/>
  <c r="I146" i="4"/>
  <c r="I389" i="4"/>
  <c r="N389" i="4"/>
  <c r="I134" i="4"/>
  <c r="N134" i="4"/>
  <c r="H424" i="4"/>
  <c r="Y118" i="5"/>
  <c r="N276" i="4"/>
  <c r="I276" i="4"/>
  <c r="S183" i="5"/>
  <c r="H147" i="4"/>
  <c r="N312" i="4"/>
  <c r="I312" i="4"/>
  <c r="V117" i="5"/>
  <c r="V118" i="5" s="1"/>
  <c r="V119" i="5" s="1"/>
  <c r="H251" i="4"/>
  <c r="I155" i="4"/>
  <c r="N155" i="4"/>
  <c r="V162" i="5"/>
  <c r="H269" i="4" s="1"/>
  <c r="H277" i="4"/>
  <c r="H135" i="4"/>
  <c r="S160" i="5"/>
  <c r="H313" i="4"/>
  <c r="V140" i="5"/>
  <c r="I297" i="4"/>
  <c r="N297" i="4"/>
  <c r="I192" i="4"/>
  <c r="N192" i="4"/>
  <c r="N191" i="4"/>
  <c r="I191" i="4"/>
  <c r="V52" i="9"/>
  <c r="H203" i="4"/>
  <c r="I346" i="4"/>
  <c r="N346" i="4"/>
  <c r="H347" i="4"/>
  <c r="Y52" i="9"/>
  <c r="I202" i="4"/>
  <c r="N202" i="4"/>
  <c r="V53" i="8"/>
  <c r="H258" i="4" s="1"/>
  <c r="H257" i="4"/>
  <c r="I118" i="4"/>
  <c r="N118" i="4"/>
  <c r="I119" i="4"/>
  <c r="N119" i="4"/>
  <c r="I256" i="4"/>
  <c r="N256" i="4"/>
  <c r="I376" i="4"/>
  <c r="N376" i="4"/>
  <c r="V108" i="6"/>
  <c r="S109" i="6"/>
  <c r="Y108" i="6"/>
  <c r="H88" i="4"/>
  <c r="I87" i="4"/>
  <c r="N87" i="4"/>
  <c r="S82" i="6"/>
  <c r="Y81" i="6"/>
  <c r="V81" i="6"/>
  <c r="H217" i="4" s="1"/>
  <c r="I54" i="4"/>
  <c r="N54" i="4"/>
  <c r="I77" i="4"/>
  <c r="N77" i="4"/>
  <c r="N45" i="4"/>
  <c r="I45" i="4"/>
  <c r="S59" i="6"/>
  <c r="H78" i="4"/>
  <c r="V120" i="5" l="1"/>
  <c r="H298" i="4"/>
  <c r="I277" i="4"/>
  <c r="N277" i="4"/>
  <c r="I147" i="4"/>
  <c r="N147" i="4"/>
  <c r="I251" i="4"/>
  <c r="N251" i="4"/>
  <c r="I313" i="4"/>
  <c r="N313" i="4"/>
  <c r="I269" i="4"/>
  <c r="N269" i="4"/>
  <c r="Y119" i="5"/>
  <c r="H425" i="4"/>
  <c r="S161" i="5"/>
  <c r="H137" i="4"/>
  <c r="H136" i="4"/>
  <c r="N135" i="4"/>
  <c r="I135" i="4"/>
  <c r="V141" i="5"/>
  <c r="H305" i="4" s="1"/>
  <c r="H304" i="4"/>
  <c r="I424" i="4"/>
  <c r="N424" i="4"/>
  <c r="I347" i="4"/>
  <c r="N347" i="4"/>
  <c r="V53" i="9"/>
  <c r="H204" i="4"/>
  <c r="Y53" i="9"/>
  <c r="H348" i="4"/>
  <c r="I203" i="4"/>
  <c r="N203" i="4"/>
  <c r="I257" i="4"/>
  <c r="N257" i="4"/>
  <c r="I258" i="4"/>
  <c r="N258" i="4"/>
  <c r="I88" i="4"/>
  <c r="N88" i="4"/>
  <c r="V109" i="6"/>
  <c r="Y109" i="6"/>
  <c r="H80" i="4"/>
  <c r="I217" i="4"/>
  <c r="N217" i="4"/>
  <c r="S60" i="6"/>
  <c r="H56" i="4"/>
  <c r="I78" i="4"/>
  <c r="N78" i="4"/>
  <c r="Y82" i="6"/>
  <c r="S83" i="6"/>
  <c r="V82" i="6"/>
  <c r="H218" i="4" s="1"/>
  <c r="I137" i="4" l="1"/>
  <c r="N137" i="4"/>
  <c r="I304" i="4"/>
  <c r="N304" i="4"/>
  <c r="N305" i="4"/>
  <c r="I305" i="4"/>
  <c r="Y120" i="5"/>
  <c r="H426" i="4"/>
  <c r="I298" i="4"/>
  <c r="N298" i="4"/>
  <c r="S162" i="5"/>
  <c r="H129" i="4" s="1"/>
  <c r="H138" i="4"/>
  <c r="I425" i="4"/>
  <c r="N425" i="4"/>
  <c r="N136" i="4"/>
  <c r="I136" i="4"/>
  <c r="V121" i="5"/>
  <c r="H289" i="4"/>
  <c r="Y54" i="9"/>
  <c r="H349" i="4"/>
  <c r="N204" i="4"/>
  <c r="I204" i="4"/>
  <c r="V54" i="9"/>
  <c r="H205" i="4"/>
  <c r="I348" i="4"/>
  <c r="N348" i="4"/>
  <c r="I80" i="4"/>
  <c r="N80" i="4"/>
  <c r="S84" i="6"/>
  <c r="Y83" i="6"/>
  <c r="V83" i="6"/>
  <c r="H46" i="4"/>
  <c r="I56" i="4"/>
  <c r="N56" i="4"/>
  <c r="I218" i="4"/>
  <c r="N218" i="4"/>
  <c r="S61" i="6"/>
  <c r="H57" i="4"/>
  <c r="I138" i="4" l="1"/>
  <c r="N138" i="4"/>
  <c r="I426" i="4"/>
  <c r="N426" i="4"/>
  <c r="Y121" i="5"/>
  <c r="H415" i="4"/>
  <c r="I129" i="4"/>
  <c r="N129" i="4"/>
  <c r="N289" i="4"/>
  <c r="I289" i="4"/>
  <c r="V122" i="5"/>
  <c r="H290" i="4"/>
  <c r="V55" i="9"/>
  <c r="H206" i="4"/>
  <c r="Y55" i="9"/>
  <c r="H350" i="4"/>
  <c r="I205" i="4"/>
  <c r="N205" i="4"/>
  <c r="I349" i="4"/>
  <c r="N349" i="4"/>
  <c r="S62" i="6"/>
  <c r="H58" i="4"/>
  <c r="I46" i="4"/>
  <c r="N46" i="4"/>
  <c r="I57" i="4"/>
  <c r="N57" i="4"/>
  <c r="Y84" i="6"/>
  <c r="V84" i="6"/>
  <c r="H212" i="4" s="1"/>
  <c r="S85" i="6"/>
  <c r="I415" i="4" l="1"/>
  <c r="N415" i="4"/>
  <c r="I290" i="4"/>
  <c r="N290" i="4"/>
  <c r="V123" i="5"/>
  <c r="H292" i="4" s="1"/>
  <c r="H291" i="4"/>
  <c r="Y122" i="5"/>
  <c r="H416" i="4"/>
  <c r="V56" i="9"/>
  <c r="H195" i="4"/>
  <c r="I350" i="4"/>
  <c r="N350" i="4"/>
  <c r="Y56" i="9"/>
  <c r="H340" i="4"/>
  <c r="I206" i="4"/>
  <c r="N206" i="4"/>
  <c r="I212" i="4"/>
  <c r="N212" i="4"/>
  <c r="I58" i="4"/>
  <c r="N58" i="4"/>
  <c r="V85" i="6"/>
  <c r="H213" i="4" s="1"/>
  <c r="S86" i="6"/>
  <c r="Y85" i="6"/>
  <c r="S63" i="6"/>
  <c r="H59" i="4"/>
  <c r="I291" i="4" l="1"/>
  <c r="N291" i="4"/>
  <c r="I416" i="4"/>
  <c r="N416" i="4"/>
  <c r="N292" i="4"/>
  <c r="I292" i="4"/>
  <c r="Y123" i="5"/>
  <c r="H418" i="4" s="1"/>
  <c r="H417" i="4"/>
  <c r="H341" i="4"/>
  <c r="Y57" i="9"/>
  <c r="V57" i="9"/>
  <c r="H196" i="4"/>
  <c r="I340" i="4"/>
  <c r="N340" i="4"/>
  <c r="N195" i="4"/>
  <c r="I195" i="4"/>
  <c r="N59" i="4"/>
  <c r="I59" i="4"/>
  <c r="S64" i="6"/>
  <c r="H60" i="4"/>
  <c r="V86" i="6"/>
  <c r="H214" i="4" s="1"/>
  <c r="S87" i="6"/>
  <c r="I213" i="4"/>
  <c r="N213" i="4"/>
  <c r="I418" i="4" l="1"/>
  <c r="N418" i="4"/>
  <c r="I417" i="4"/>
  <c r="N417" i="4"/>
  <c r="I196" i="4"/>
  <c r="N196" i="4"/>
  <c r="V58" i="9"/>
  <c r="H198" i="4" s="1"/>
  <c r="H197" i="4"/>
  <c r="Y58" i="9"/>
  <c r="H342" i="4"/>
  <c r="I341" i="4"/>
  <c r="N341" i="4"/>
  <c r="I60" i="4"/>
  <c r="N60" i="4"/>
  <c r="S88" i="6"/>
  <c r="V87" i="6"/>
  <c r="H215" i="4" s="1"/>
  <c r="Y87" i="6"/>
  <c r="S65" i="6"/>
  <c r="H61" i="4"/>
  <c r="I214" i="4"/>
  <c r="N214" i="4"/>
  <c r="N197" i="4" l="1"/>
  <c r="I197" i="4"/>
  <c r="I198" i="4"/>
  <c r="N198" i="4"/>
  <c r="I342" i="4"/>
  <c r="N342" i="4"/>
  <c r="I61" i="4"/>
  <c r="N61" i="4"/>
  <c r="I215" i="4"/>
  <c r="N215" i="4"/>
  <c r="S89" i="6"/>
  <c r="V88" i="6"/>
  <c r="H39" i="4"/>
  <c r="S66" i="6"/>
  <c r="H62" i="4"/>
  <c r="S67" i="6" l="1"/>
  <c r="H63" i="4"/>
  <c r="I39" i="4"/>
  <c r="N39" i="4"/>
  <c r="I62" i="4"/>
  <c r="N62" i="4"/>
  <c r="Y89" i="6"/>
  <c r="V89" i="6"/>
  <c r="H216" i="4" s="1"/>
  <c r="H40" i="4"/>
  <c r="I216" i="4" l="1"/>
  <c r="N216" i="4"/>
  <c r="N63" i="4"/>
  <c r="I63" i="4"/>
  <c r="I40" i="4"/>
  <c r="N40" i="4"/>
  <c r="S68" i="6"/>
  <c r="H64" i="4"/>
  <c r="S69" i="6" l="1"/>
  <c r="H65" i="4"/>
  <c r="I64" i="4"/>
  <c r="N64" i="4"/>
  <c r="I65" i="4" l="1"/>
  <c r="N65" i="4"/>
  <c r="S70" i="6"/>
  <c r="H67" i="4"/>
  <c r="I67" i="4" l="1"/>
  <c r="N67" i="4"/>
  <c r="S71" i="6"/>
  <c r="H68" i="4"/>
  <c r="I68" i="4" l="1"/>
  <c r="N68" i="4"/>
  <c r="S72" i="6"/>
  <c r="H69" i="4"/>
  <c r="I69" i="4" l="1"/>
  <c r="N69" i="4"/>
  <c r="S73" i="6"/>
  <c r="H71" i="4" s="1"/>
  <c r="H70" i="4"/>
  <c r="I71" i="4" l="1"/>
  <c r="N71" i="4"/>
  <c r="I70" i="4"/>
  <c r="N70" i="4"/>
  <c r="N8" i="4" l="1"/>
</calcChain>
</file>

<file path=xl/sharedStrings.xml><?xml version="1.0" encoding="utf-8"?>
<sst xmlns="http://schemas.openxmlformats.org/spreadsheetml/2006/main" count="4659" uniqueCount="1329">
  <si>
    <t>Индекс кибербезопасности</t>
  </si>
  <si>
    <t>Данный файл предназначен для проведения самооценки состояния информационной безопасности и расчета итогового "Индекса кибербезопасности".</t>
  </si>
  <si>
    <t>Для работы с файлом необходимо заполнить данные в ячейках с желтым фоном на листах с зелеными ярлычками.</t>
  </si>
  <si>
    <t>На вкладке "ИТОГ" отображается сводный график достижения целевого уровня кибербезопасности.</t>
  </si>
  <si>
    <t xml:space="preserve">Лист "Расчет" - это итоговая служебная таблица, на которой осуществляется промежуточный расчет, он не предназначен для редактирования </t>
  </si>
  <si>
    <t>Рассчет индекса ведется как некоторая усредненная величина показателей по отдельным доменам кибербезопасности.</t>
  </si>
  <si>
    <t>В каждой отдельной вкладке домена строится своя диаграмма и рассчитывается свой локальный индекс.</t>
  </si>
  <si>
    <t>Итоговый рассчетный индекс кибербезопасности и диаграмма достижения целевых показателей в различных доменах информационной безопасности</t>
  </si>
  <si>
    <t xml:space="preserve">Целевой уровень </t>
  </si>
  <si>
    <t>КБ1</t>
  </si>
  <si>
    <t>КБ2</t>
  </si>
  <si>
    <t>КБ3</t>
  </si>
  <si>
    <t>КБ 3</t>
  </si>
  <si>
    <t>на</t>
  </si>
  <si>
    <t>да</t>
  </si>
  <si>
    <t>Лицензиат ФСТЭК/ФСБ</t>
  </si>
  <si>
    <t>Участие в госконтрактах на разработку/сопровождение ГИС</t>
  </si>
  <si>
    <t>Субьект КИИ</t>
  </si>
  <si>
    <t>Наличие ЗОКИИ</t>
  </si>
  <si>
    <t>Обработка сторонних ПДН</t>
  </si>
  <si>
    <t>Спец. Категории ПДН</t>
  </si>
  <si>
    <t>ПДН о судимости</t>
  </si>
  <si>
    <t>Наличие Коммерческой тайны</t>
  </si>
  <si>
    <t>Безопасная разработка</t>
  </si>
  <si>
    <t>СКЗИ ГОСТ</t>
  </si>
  <si>
    <t>нет</t>
  </si>
  <si>
    <t>Подключены сервисы Сервисной Компании</t>
  </si>
  <si>
    <t xml:space="preserve"> Исторические данные</t>
  </si>
  <si>
    <t xml:space="preserve"> Исторические данные середину 2024 г.</t>
  </si>
  <si>
    <t xml:space="preserve"> Исторические данные на конец 2024 г.</t>
  </si>
  <si>
    <t>Архивные расчетные данные на 31.12.2024</t>
  </si>
  <si>
    <t>Расчетные данные на 31.12.2026</t>
  </si>
  <si>
    <t>Расчетные данные на</t>
  </si>
  <si>
    <t>Текущий показатель</t>
  </si>
  <si>
    <t>Флаг внимания</t>
  </si>
  <si>
    <t>Степень выполнения расчетного показателя</t>
  </si>
  <si>
    <t>Степень достижения КБ3</t>
  </si>
  <si>
    <t>Степень достижения КБ2</t>
  </si>
  <si>
    <t>Степень достижения КБ1</t>
  </si>
  <si>
    <t>Дата заполнения</t>
  </si>
  <si>
    <t>ИНДЕКС КИБЕРБЕЗОПАСНОСТИ</t>
  </si>
  <si>
    <t>прирост 
(дек.24- т.вр)</t>
  </si>
  <si>
    <t>СУИБ</t>
  </si>
  <si>
    <t>СКЗИ (ГОСТ)</t>
  </si>
  <si>
    <t>СЗИ</t>
  </si>
  <si>
    <t>2FA</t>
  </si>
  <si>
    <t>CPT</t>
  </si>
  <si>
    <t>RA VPN</t>
  </si>
  <si>
    <t>СКЗИ (ГОСТ) Site-to-Site</t>
  </si>
  <si>
    <t>МСЭ\NGFW</t>
  </si>
  <si>
    <t>Прокси-сервер</t>
  </si>
  <si>
    <t>Anti-DDoS</t>
  </si>
  <si>
    <t>AntiSPAM</t>
  </si>
  <si>
    <t>WAF</t>
  </si>
  <si>
    <t>PAM</t>
  </si>
  <si>
    <t>DLP</t>
  </si>
  <si>
    <t>Аномалии и хранение событий</t>
  </si>
  <si>
    <t>Реагирование</t>
  </si>
  <si>
    <t>Восстановление</t>
  </si>
  <si>
    <t>Реализация технических мер</t>
  </si>
  <si>
    <t>Организационные меры</t>
  </si>
  <si>
    <t>Нормативное соответствие</t>
  </si>
  <si>
    <t>Мониторинг и реагирование</t>
  </si>
  <si>
    <t>Расчетные данные на 31.12.2025</t>
  </si>
  <si>
    <t>Мониторинг</t>
  </si>
  <si>
    <r>
      <t>ПЛАН ОБЕСПЕЧЕНИЯ И РАЗВИТИЯ ИБ ООО "</t>
    </r>
    <r>
      <rPr>
        <b/>
        <sz val="36"/>
        <color indexed="2"/>
        <rFont val="Calibri"/>
        <family val="2"/>
        <charset val="204"/>
      </rPr>
      <t>РОМАШКА</t>
    </r>
    <r>
      <rPr>
        <b/>
        <sz val="36"/>
        <color theme="1"/>
        <rFont val="Calibri"/>
        <family val="2"/>
        <charset val="204"/>
      </rPr>
      <t xml:space="preserve">" НА </t>
    </r>
    <r>
      <rPr>
        <b/>
        <sz val="36"/>
        <color indexed="2"/>
        <rFont val="Calibri"/>
        <family val="2"/>
        <charset val="204"/>
      </rPr>
      <t>2026</t>
    </r>
    <r>
      <rPr>
        <b/>
        <sz val="36"/>
        <color theme="1"/>
        <rFont val="Calibri"/>
        <family val="2"/>
        <charset val="204"/>
      </rPr>
      <t xml:space="preserve"> г.</t>
    </r>
  </si>
  <si>
    <t>СОГЛАСОВАНО:</t>
  </si>
  <si>
    <t>УТВЕРЖДЕНО:</t>
  </si>
  <si>
    <t>Вице-Президент по развитию и обеспечению информационной безопасности ПАО "Ростелеком"</t>
  </si>
  <si>
    <r>
      <rPr>
        <b/>
        <sz val="14"/>
        <color theme="2" tint="-0.499984740745262"/>
        <rFont val="Calibri"/>
        <family val="2"/>
        <charset val="204"/>
      </rPr>
      <t>Рекомендации по заполнению</t>
    </r>
    <r>
      <rPr>
        <b/>
        <sz val="14"/>
        <color indexed="2"/>
        <rFont val="Calibri"/>
        <family val="2"/>
        <charset val="204"/>
      </rPr>
      <t xml:space="preserve"> (удалить при печати)</t>
    </r>
    <r>
      <rPr>
        <b/>
        <sz val="14"/>
        <color theme="2" tint="-0.499984740745262"/>
        <rFont val="Calibri"/>
        <family val="2"/>
        <charset val="204"/>
      </rPr>
      <t>:</t>
    </r>
    <r>
      <rPr>
        <sz val="14"/>
        <color theme="2" tint="-0.499984740745262"/>
        <rFont val="Calibri"/>
        <family val="2"/>
        <charset val="204"/>
      </rPr>
      <t xml:space="preserve">
1. Столбец "Индикатор (статус выполнения)" используем для формирования программы, используя фильтр: цвет ячейки - Красный;
2. Столбец "Мероприятия ДЗО" предназначен для формирования мероприятий применимых к конкретному ДЗО, с учетом специфики и достаточным уровнем детализации, сформированных в соответствии с рекомендациями Блока ИБ (столбец - "Рекомендации ПАО");
3. Столбец "Доп .ФОТ (руб.)" не требуется разбивать по каждой статье (мероприятию), достаточно указать в одном мероприятии полную стоимость затрат на ФОТ.
</t>
    </r>
  </si>
  <si>
    <r>
      <t>Генеральный директор ООО "</t>
    </r>
    <r>
      <rPr>
        <i/>
        <sz val="20"/>
        <color indexed="2"/>
        <rFont val="Calibri"/>
        <family val="2"/>
        <charset val="204"/>
      </rPr>
      <t>Ромашка</t>
    </r>
    <r>
      <rPr>
        <i/>
        <sz val="20"/>
        <rFont val="Calibri"/>
        <family val="2"/>
        <charset val="204"/>
      </rPr>
      <t>"</t>
    </r>
  </si>
  <si>
    <t>Чугунов А.В.</t>
  </si>
  <si>
    <t xml:space="preserve">Иванов И.И. </t>
  </si>
  <si>
    <t>(ФИО)</t>
  </si>
  <si>
    <t>(Подпись)</t>
  </si>
  <si>
    <t>(Дата)</t>
  </si>
  <si>
    <t>Тематика</t>
  </si>
  <si>
    <t>Домен</t>
  </si>
  <si>
    <t>Наименование показателя</t>
  </si>
  <si>
    <t>Сокращенное наименование</t>
  </si>
  <si>
    <t>Приоритет</t>
  </si>
  <si>
    <t>Уровень КБ</t>
  </si>
  <si>
    <t>Плановый срок выполнения</t>
  </si>
  <si>
    <t>Статус</t>
  </si>
  <si>
    <t>Расчетный показатель 2025</t>
  </si>
  <si>
    <t>Начальный показатель (на 01.25)</t>
  </si>
  <si>
    <t>Динамика</t>
  </si>
  <si>
    <t>Индикатор
(статус выполнения)</t>
  </si>
  <si>
    <t>Рекомендации ПАО</t>
  </si>
  <si>
    <t>Мероприятия ДЗО</t>
  </si>
  <si>
    <t>Артефакты достижения</t>
  </si>
  <si>
    <t>Методика проверки</t>
  </si>
  <si>
    <t>CAPEX (руб.)</t>
  </si>
  <si>
    <t>OPEX (руб.)</t>
  </si>
  <si>
    <t>Доп. ФОТ (руб.)</t>
  </si>
  <si>
    <t>Итог (руб.)</t>
  </si>
  <si>
    <t>Двухфакторная аутентификация пользователей (2FA)</t>
  </si>
  <si>
    <t>Заполнить</t>
  </si>
  <si>
    <t xml:space="preserve">1. Скан-копия лицензии
2. Снимки экрана/выгрузка конфигураций консоли управления средствами 2FA
3. Снимки экрана/выгрузка конфигураций консоли управления средства удаленного доступа
4. Снимки экрана/выгрузка конфигураций пограничного сетевого оборудования
</t>
  </si>
  <si>
    <t>Не готово</t>
  </si>
  <si>
    <t>1. Снимки экрана/выгрузка конфигураций консоли управления средствами 2FA
2. Снимки экрана/выгрузка конфигураций консоли управления средства удаленного доступа
3. Снимки экрана/выгрузка конфигураций пограничного сетевого оборудования</t>
  </si>
  <si>
    <t>Защита внешнего инфраструктурного периметра (CPT)</t>
  </si>
  <si>
    <t>1. Скан-копия лицензии
2. Снимки экрана/выгрузка конфигураций консоли управления средствами CPT
Снак-копия договора на предоставление услуги</t>
  </si>
  <si>
    <t>Снимки экрана/выгрузка конфигураций консоли управления средствами CPT</t>
  </si>
  <si>
    <t>Отчеты сканирования CPT</t>
  </si>
  <si>
    <t>1.Формализованный документ, регламентирующий процесс управления уязвимостями на периметре
2.  Снимки экрана/выгрузка конфигураций консоли управления средствами CPT, отражающие интеграцию с системами Service Desk</t>
  </si>
  <si>
    <t>Сетевая безопасность (NGFW)</t>
  </si>
  <si>
    <t>1. Сетевые схемы организации DMZ
2. Скан-копия лицезии
3. Снимки экрана/выгрузка конфигураций консоли управления NGFW</t>
  </si>
  <si>
    <t>1. Сетевые схемы, отражающие разграничение сегментов по уровню критичности.
2. Снимки экрана/выгрузка конфигураций консоли управления МСЭ</t>
  </si>
  <si>
    <t>Снимки экрана/выгрузка конфигураций консоли управления МСЭ</t>
  </si>
  <si>
    <t>Защита и фильтрация сетевого трафика (Прокси-сервер)</t>
  </si>
  <si>
    <t>1.Формализованный документ, регламентирующий доступ в интернет
2.  Снимки экрана/выгрузка конфигураций консоли управления системой  WebProxy</t>
  </si>
  <si>
    <t>Снимки экрана/выгрузка конфигураций консоли управления системой  WebProxy</t>
  </si>
  <si>
    <t>Защита удаленного доступа (RA VPN)</t>
  </si>
  <si>
    <t>Снимки экрана/выгрузка конфигураций консоли управления средствами RA VPN</t>
  </si>
  <si>
    <t>1. Скан-копия лицензии
2. Снимки экрана/выгрузка конфигураций консоли управления средства удаленного доступа
3. Снимки экрана/выгрузка конфигураций пограничного сетевого оборудования</t>
  </si>
  <si>
    <t xml:space="preserve"> Снимки экрана/выгрузка конфигураций консоли управления средства удаленного доступа</t>
  </si>
  <si>
    <t xml:space="preserve"> Снимки экрана/выгрузка конфигураций консоли управления средства удаленного доступа, СЗИ и службы каталогов</t>
  </si>
  <si>
    <t>Сертификат ФСБ России</t>
  </si>
  <si>
    <t>Фильтрация нежелательных и вредоносных сообщений (Антиспам)</t>
  </si>
  <si>
    <t>Снимки экрана/выгрузка конфигураций консоли почтовых серверов</t>
  </si>
  <si>
    <t>Планирование реагирования</t>
  </si>
  <si>
    <t>Инструкции/статьи в базе знаний/письма в электронной почте</t>
  </si>
  <si>
    <t>КИИ</t>
  </si>
  <si>
    <t>1) Положение "О подразделении, обеспечивающем ИБ" в соответствии с Постановлением Правительства РФ от 15.07.2022 № 1272.
2) Приказ "О назначении ответственных за обеспечение безопасности значимых объектов критической информационной инфраструктуры";
3) Приказ о создании отдельного структурного подразделение (СП) по ИБ или возложие функций по обеспечению ИБ на действующих работников СП по ИТ (при их отсутствии возложение обязанностей допустимо на иную техническую должность, приближенную к ИТ).</t>
  </si>
  <si>
    <t>1) Приказ о создании Комиссии по категорированию объектов КИИ
2) Утвержденное Положение о работе Комиссии по категорированию объектов КИИ</t>
  </si>
  <si>
    <t>Перечень объектов КИИ подлежащих категорированию.</t>
  </si>
  <si>
    <t>1) Утвержденные руководителем Акты категорирования
2) Сканы писем, направленных в ФСТЭК России по результатам проведения заседаний Комиссии по категорированию объектов КИИ
3) Сканы писем от ФСТЭК России о внесении объектов КИИ в реестр значимых объектов КИИ</t>
  </si>
  <si>
    <t>1) Сканы писем, направленных в ФСТЭК России по результатам проведения заседаний Комиссии по категорированию объектов КИИ
2) Сканы писем, направленных в ФСТЭК России со сведениями состава ЗОКИИ</t>
  </si>
  <si>
    <t>1) Программа и методика испытаний и оценки соответствия СрЗИ;
2) Протоколы испытаний СрЗИ (с привлечением сторонних организаций либо собственными силами).</t>
  </si>
  <si>
    <t xml:space="preserve">1) План перехода на преимущественное применение доверенных программно-аппаратных комплексов на принадлежащих ему значимых объектах критической информационной инфраструктуры Российской Федерации;
2) Утвержденный Минцифры России "Детализированный план
перехода на использование российского ПО".
</t>
  </si>
  <si>
    <t>1) План перехода на отечественные СЗИ;
2) Разработанное ПМИ;
3) Протоколы проведения испытаний СЗИ.</t>
  </si>
  <si>
    <t>1) Разработанный внутренний нормативный документ: "Положение о повышении осведомленности работников";
2) Организация рассылок работникам Общества с наиболее актуальной информацией в области информационной безопасности (угрозы информационной безопасности, схемы мошенничества, правила безопасной работы);
3) Организация обучения работников в очной/заочной форме (например, онлайн курсы с последующим тестированием знаний)</t>
  </si>
  <si>
    <t>1) Скан договора на подключение к КЦ ГосСОПКА ПАО "Ростелеком"
2) Регламент взаимодействия с КЦ ГосСОПКА
или
1) Соглашение с подписью сторон с НКЦКИ о взаимодействии в области обнаружения, предупреждения и ликвидации последствий компьютерных атак;
2) Утвержденный Регламент взаимодействия при осуществлении информационного обмена в области обнаружения, предупреждения и ликвидации последствий компьютерных атак.</t>
  </si>
  <si>
    <t>ОРД с указанием ответственного работника за взаимодействие с гос.регуляторами в области запросов КИИ</t>
  </si>
  <si>
    <t>250 Указ</t>
  </si>
  <si>
    <t>1. Утвержденное положение о заместителе, ответственном за обеспечение ИБ в соответствии с Постановлением Правительства РФ от 15.07.2022 № 1272
2. Листы ознакомления</t>
  </si>
  <si>
    <t>Предусмотрено в типовом Положении о заместителе руководителя организации, ответственном за обеспечение ИБ в соответствии с Постановлением Правительства РФ от 15.07.2022 № 1272.</t>
  </si>
  <si>
    <t>Скан-копия диплома/свидетельства о переподготовке</t>
  </si>
  <si>
    <t>Скан-копии свидетельств о повышении квалификации</t>
  </si>
  <si>
    <t>Скан-копии ВНД и листов согласования/выгрузка и системы ЭД</t>
  </si>
  <si>
    <t>Ежегодный отчёт руководству Общества (в рамках отчёта по ежегодному Плану мероприятий.</t>
  </si>
  <si>
    <t>Утвержденное положение о структурном подразделении, ответственном за обеспечение ИБ, в соответствии с требованиями ПП от 15.07.2022 № 1272</t>
  </si>
  <si>
    <t>Скан-копии договоров с подрядчиками, скан-копии лицензий</t>
  </si>
  <si>
    <t>Скан-копия договора на предоставление услуг SOC</t>
  </si>
  <si>
    <t>Скан-копия договора с подрядчиком, скан копия лицензии</t>
  </si>
  <si>
    <t>Перечень используемых средств защиты информации из недружественных государств</t>
  </si>
  <si>
    <t>Результат анализа возможности перехода</t>
  </si>
  <si>
    <t>Утвержденный План перехода</t>
  </si>
  <si>
    <t>Документ по результатам проведения пилотирования</t>
  </si>
  <si>
    <t>Утвержденный Акт ввода в эксплуатацию средств защиты информации.</t>
  </si>
  <si>
    <t xml:space="preserve">Соглашение между ПАО "Ростелеком"  и ДЗО в области обнаружения, предупреждения и ликвидации последствий компьютерных атак
Утвержденный набор ВНД и ОРД
</t>
  </si>
  <si>
    <t>Утвержденный Регламент взаимодействия с КЦ ГосСОПКА</t>
  </si>
  <si>
    <t>Утвержденный Регламент информирования ФСБ России (НКЦКИ) о компьютерных инцидентах</t>
  </si>
  <si>
    <t>Утвержденный План реагирования на компьютерные инциденты и принятия мер по ликвидации последствий компьютерных атак</t>
  </si>
  <si>
    <t>Письмо в адрес Директора НКЦКИ письмо о принятом решении информировать НКЦКИ через КЦ ГосСОПКА</t>
  </si>
  <si>
    <t>Управление ИБ</t>
  </si>
  <si>
    <t>Система управления ИБ</t>
  </si>
  <si>
    <t>Утвержденная Политика ИБ</t>
  </si>
  <si>
    <t>Утвержденный приказ об ответственном за обеспечение ИБ</t>
  </si>
  <si>
    <t>Утвержденное положение о подразделении ИБ</t>
  </si>
  <si>
    <t>Формализованные цели обеспечения ИБ</t>
  </si>
  <si>
    <t>Формализованные Планы развития ИБ</t>
  </si>
  <si>
    <t>Инвентаризация</t>
  </si>
  <si>
    <t>Снимки экрана/выгрузка конфигураций консоли управления средства Антиспам</t>
  </si>
  <si>
    <t xml:space="preserve">Управление доступом </t>
  </si>
  <si>
    <t xml:space="preserve"> - Предоставить ВНД в котором регламентирован порядок использования учетных записей
 - Представить реквизиты приказа об утверждении ВНД
 - Предоставить подтверждение регулярного прохождения процедуры контроля использования учетных запиcей</t>
  </si>
  <si>
    <t>Идентификация и аутентификация</t>
  </si>
  <si>
    <t xml:space="preserve"> - Предоставить ВНД в котором регламентирован порядок использования учетных записей
 - Представить реквизиты приказа об утверждении ВНД
 - Предоставить подтверждение регулярного прохождения процедуры контроля использования учетных запимей</t>
  </si>
  <si>
    <t>Планирование восстановления</t>
  </si>
  <si>
    <t xml:space="preserve"> Выгрузка конфигураций ПО для резервного копирования/ скрипты
- Снимки экрана мест хранения резервных копий
- Скан-копия договора о предоставлении услуги резервного копирования / Электронная версия договора с реквизитами ЭП</t>
  </si>
  <si>
    <t xml:space="preserve"> Выгрузка конфигураций ПО для резервного копирования/ скрипты
- Снимки экрана мест хранения резервных копий
- Скан-копия договора о предоставлении услуги резервного копирования / Электронная версия договора с реквизитами ЭП</t>
  </si>
  <si>
    <t>1. Формализованный план восстановления
2.Отчет о проведенном тестировании</t>
  </si>
  <si>
    <t>1. Формализованные требования к договорам с поставщиками услуг</t>
  </si>
  <si>
    <t>1. Справки/аналитические записки, материалы/служебные записки</t>
  </si>
  <si>
    <t>ПДн</t>
  </si>
  <si>
    <t>Утвержденная Политика по обработке персональных данных</t>
  </si>
  <si>
    <t>Ссылка на сайт организации (страницу, где размещена Политика, при условии обработки ПДн посредством телекоммуникационных каналов)
Снимок экрана внутреннего информационного портала, либо адрес и фото размещенной Политики на стенде в офисе (в случае отсутствия сайта)</t>
  </si>
  <si>
    <t>Приказ о назначении лица, ответственного за организацию обработки персональных данных и инструкцию ответственного за организацию обработки ПДн
Положение об ответственном за организацию обработки персональных данных</t>
  </si>
  <si>
    <t>Уведомление об обработке персональных данных, содержащее актуальные сведения об организации</t>
  </si>
  <si>
    <t xml:space="preserve"> примеры согласий, а также ВНД, регламентирующий их форму</t>
  </si>
  <si>
    <t>форма согласий, собираемых при трудоустройстве, а также ВНД, регламентирующий форму</t>
  </si>
  <si>
    <t>Формализованный документ, регламентирующий процедуру либо раздел в Положении об обработке ПДн о порядке отзыва согласия</t>
  </si>
  <si>
    <t>Формализованная форма соглашения о конфиденциальности.
Примеры заключенных соглашений</t>
  </si>
  <si>
    <t xml:space="preserve">Утвержденная Модель угроз и модель нарушителя информационной безопасности для каждой ИСПДн, включенной в перечень ИСПДн </t>
  </si>
  <si>
    <t>Уведомление о трансграничной передаче с обратной связью о разрешнии Роскомнадзором осуществлять такую передачу (при необходимости трансграничной передачи ПДн)</t>
  </si>
  <si>
    <t>Формализованный перечень ИСПДн с указанием адресов их размещения</t>
  </si>
  <si>
    <t>Утвержденное Положение (инструкция) по использованию машинных носителей информации, в которое включен раздел про хранение и учет носителей. В качестве приложения Журнал регистрации, учета и выдачи МНИ</t>
  </si>
  <si>
    <t xml:space="preserve">Акт определения уровня защищенности персональных данных для каждой ИСПДн, включенной в перечень ИСПДн </t>
  </si>
  <si>
    <t>Утвержденное Положение о проведении внутреннего контроля и(или) аудита, приложением к которому определить план проведения, программу, отчет</t>
  </si>
  <si>
    <t>Акт оценки вреда, который может быть причинен субъектам персональных данных в случае нарушения требований Федерального закона "О персональных данных"</t>
  </si>
  <si>
    <t>Формализованный Регламент взаимодействия внутренних подразделений по информированию координирующего подразделения организации в части сбора информации об инцидентах</t>
  </si>
  <si>
    <t>Положение о повышении осведомленности работников по вопросам информационной безопасности
Либо раздел в Положении об обработке персональных данных, в котором описан раздел об ознакомлении работников, а также механизм проверок осведомленности персонала в области защиты информации</t>
  </si>
  <si>
    <t>Утвержденный перечень лиц, доступ которых к ПДн, обрабатываемым в ИСПДн, необходим им для выполнения служебных (трудовых) обязанностей</t>
  </si>
  <si>
    <t xml:space="preserve">Утвержденный Перечень помещений специально оборудованных для хранения материальных носителей, содержащих персональные данные и иную конфиденциальную информацию, расположенных на объектах Организации, 
и лиц, осуществляющих обработку персональных данных либо имеющих к ним доступ 
</t>
  </si>
  <si>
    <t>Формализованная Инструкция по работе с материальными носителям, содержащими персональные данные и иную конфиденциальную информацию (работа, размещение, хранение, ответственные)</t>
  </si>
  <si>
    <t>Раздел в Положениие об обработке персональных данных, регламентирующий процесс уничтожения ПДн, а также форму актов об уничтожении ПДн</t>
  </si>
  <si>
    <t>Модель нарушителя информационной безопасности в ИСПДн
Типовое соглашение по обеспечению ИБ для включения в договоры с третьими лицами, включающее требование по шифрованию</t>
  </si>
  <si>
    <t>Плейбуки</t>
  </si>
  <si>
    <t>Формализованные плейбуки (учитывающие известные вектора атак)</t>
  </si>
  <si>
    <t>Формализованные плейбуки
Отчеты о тестировании</t>
  </si>
  <si>
    <t>Управление активами</t>
  </si>
  <si>
    <t>Анализ и расследование</t>
  </si>
  <si>
    <t>Отчеты о проведенных расследованиях</t>
  </si>
  <si>
    <t>Справки/аналитические записки, материалы/служебные записки/протоколы заседаний РГ, комиссий и т.д.</t>
  </si>
  <si>
    <t>Осведомленность пользователей и обучение персонала</t>
  </si>
  <si>
    <t>Физический доступ</t>
  </si>
  <si>
    <t>Управление рисками в цепочке поставок</t>
  </si>
  <si>
    <t>СКЗИ</t>
  </si>
  <si>
    <t>Приказ о создании ОКЗ.
Утвержден состав ОКЗ.
Утверждено Положение об ОКЗ.</t>
  </si>
  <si>
    <t>Заполненный Журнал поэкземплярного учета СКЗИ, ключевых документов (КД), ключевых носителей (КН).</t>
  </si>
  <si>
    <t>Инструкция для пользователей СКЗИ.
Оформленные заключения о допуске лиц к самостоятельной работе с СКЗИ.</t>
  </si>
  <si>
    <t>Заполненные лицевые счета на Пользователей СКЗИ</t>
  </si>
  <si>
    <t>Коммуникации</t>
  </si>
  <si>
    <t>Скан-копия/скриншот уведомлений регуляторов (при наличии)</t>
  </si>
  <si>
    <t>План коммуникаций</t>
  </si>
  <si>
    <t>Заполненный Журнал учета хранилищ</t>
  </si>
  <si>
    <t>Утвержденный Руководителем ОКЗ график проверок.
Отчет о преведении проверки.</t>
  </si>
  <si>
    <t>Оформленные Акты уничтожения СКЗИ, КИ, документации.</t>
  </si>
  <si>
    <t>Заполненный журнал учета спецпомещений.</t>
  </si>
  <si>
    <t>Регламент ОКЗ (с приложениями)</t>
  </si>
  <si>
    <t>Персонал</t>
  </si>
  <si>
    <t>Коммерческая тайна</t>
  </si>
  <si>
    <t>Утвержденный перечень информации, составляющей коммерческую тайну</t>
  </si>
  <si>
    <t>фото/скан-копии материальных носителей с КТ (без раскрытия КТ), фото, скан, скрин журнала (бумажный, ЕСЭД) учета МТ с КТ</t>
  </si>
  <si>
    <t>Фото, скан, скрин ж-ла (бумажный, ЕСЭД, иная ИС), где учитываются факты получения, предоставления и прередачи КТ соответствующим лицам</t>
  </si>
  <si>
    <t>Утвержденные формы типового ТД с работниками и NDA для контрагентов, содержащие положения, регулирующие отношения по использованию КТ, а также по одному примеру заключенного ТД с работником и ГПД с контрагентом (без раскрытия КТ)</t>
  </si>
  <si>
    <t>Утвержденный документ (со всеми  реквизитами, предусмотренными делопроизводством), а также документ (например, отчет или акт с реквизитами, предусмотренными делопроизводством ) об осуществленном контроле соблюдения порядка</t>
  </si>
  <si>
    <t>Фото, скан ТД или его частей, позволяющих оценить с кем заключен ТД (реквизиты и подписи сторон), раздел (обзац), содержащий обязанности руководителя Общества по обеспечению охраны КТ</t>
  </si>
  <si>
    <t>Фото или скан листа ознакомления или скрин из ЕСЭД по которому можно определить какой работник когда и с каким документом ознакомился</t>
  </si>
  <si>
    <t>Если применимо, то артефакт такого согласия (например, материальное согласие или скрин с ИС, в которой реализована подобная процедура получения и хранения согласия)</t>
  </si>
  <si>
    <t>Управление рисками</t>
  </si>
  <si>
    <t>Защита данных и информации</t>
  </si>
  <si>
    <t xml:space="preserve"> Снимки экрана/выгрузка конфигураций консоли управления средства Антиспам, телекоммуникационного оборудования, почтовых серверов</t>
  </si>
  <si>
    <t>Обнаружение и блокирование сетевых атак на web-приложении (WAF)</t>
  </si>
  <si>
    <t>1.Формализованный документ, регаментирующий процесс публикации сервисов на внешнем периметре
2. Снимки экрана интеграции систем управления задачами/servicedesk и т.д. с  WAF</t>
  </si>
  <si>
    <t>Защита от ВПО</t>
  </si>
  <si>
    <t>Скан копия лицензии</t>
  </si>
  <si>
    <t>Снимки экрана/выгрузка конфигураций консоли управления  средства АВЗ</t>
  </si>
  <si>
    <t>SIEM</t>
  </si>
  <si>
    <t xml:space="preserve">1. Штатное расписание, долностные инструкции
2. Скан-копии лицензий, снимок экрана ЛК
Или копия договора на услугу SOC
</t>
  </si>
  <si>
    <t>Выгрузка конфигураций SIEM/снимки экрана с настройками (подключенные источники)</t>
  </si>
  <si>
    <t>Выгрузка конфигураций SIEM/снимки экрана с настройками (подключенные источники и решающие правила)</t>
  </si>
  <si>
    <t xml:space="preserve">Формализованный документ, описывающий процесс управления сбоями и мониторинга работоспособности SIEM
- Выгрузка конфигураций ПО мониторинга/снимки экрана с настройками
- ПСИ на SIEM
</t>
  </si>
  <si>
    <t>1. Формализованный порядок взаимодействия с внешним поставщиком
2.Выгрузка конфигураций SIEM/снимки экрана с настройками (подключенные источники и решающие правила)</t>
  </si>
  <si>
    <t>Формализованный документ, регламентирующий процесс реагирования на инциденты ИБ
Сники экрана средств автоматизации</t>
  </si>
  <si>
    <t>Формализованный документ, регламентирующий процесс категорирования инцидентов ИБ;
Сники экрана средств автоматизации</t>
  </si>
  <si>
    <t>Планы реагирования
Справки/аналитические записки, материалы/служебные записки/протоколы заседаний РГ, комиссий и т.д.</t>
  </si>
  <si>
    <t>Перечень запросов со стороны ФСТЭК России и ответов на них.</t>
  </si>
  <si>
    <t>Формализованный документ, регламентирующий антивирусную защиту в Обществе</t>
  </si>
  <si>
    <t>Формализованный документ, регламентирующий антивирусную защиту в Обществе, в том числе процесс обновления средств АВЗ</t>
  </si>
  <si>
    <t>Формализованный документ, регламентирующий антивирусную защиту в Обществе, в том числе процесс реагирования на события средств АВЗ</t>
  </si>
  <si>
    <t>Сканер уязвимостей</t>
  </si>
  <si>
    <t>Скан-копия лицензии</t>
  </si>
  <si>
    <t>Снимки экрана/выгрузка конфигураций консоли управления  сканеров уязвимости</t>
  </si>
  <si>
    <t>Копии отчетов о достижении целей ИБ</t>
  </si>
  <si>
    <t>Формализованный документ, регламентирующий процесс управления уязвимостями</t>
  </si>
  <si>
    <t>Сетевые схемы информационного взаимодействия между площадками
Технический проект/техно-рабочий проект/проектная документация на систему защиты каналов связи
Формуляры СКЗИ
Снимки экрана/выгрузка конфигураций консоли управления СКЗИ</t>
  </si>
  <si>
    <t>Снимки экрана/выгрузка конфигураций консоли управления СКЗИ</t>
  </si>
  <si>
    <t>Сертификат ФСБ России, формуляры</t>
  </si>
  <si>
    <t>Защита от вредоносного трафика (Anti-DDoS)</t>
  </si>
  <si>
    <t>Аномалии и события</t>
  </si>
  <si>
    <t>Выгрузка конфигураций SIEM/снимки экрана с настройками</t>
  </si>
  <si>
    <t>Мониторинг - Процессы</t>
  </si>
  <si>
    <t>Справки/отчеты о выполнении рекомендаций</t>
  </si>
  <si>
    <t>Формализованный документ, регламентирующий процесс мониторинга событий ИБ</t>
  </si>
  <si>
    <t>1. Выгрузка конфигураций SIEM/снимки экрана с настройками (подключенные источники и решающие правила)
2. Выгрузка из систем инвентаризации</t>
  </si>
  <si>
    <t>Формализованный документ, регламентирующий процесс контроля источников</t>
  </si>
  <si>
    <t>Формализованный документ по ОНИВД</t>
  </si>
  <si>
    <t>Формализованный документ, определяющий сроки восстановления в зависимости от критичности ИА</t>
  </si>
  <si>
    <t>Утвержденный План ОНИВД</t>
  </si>
  <si>
    <t>Формализованный документ, определяющих порядок резервного копирования</t>
  </si>
  <si>
    <t xml:space="preserve"> Выгрузка конфигураций ПО для резервного копирования/ скрипты
- Снимки экрана мест хранения резервных копий</t>
  </si>
  <si>
    <t>Лист учета изменений планов/протоколы заседаний комиссий, рабочих групп и т.д.</t>
  </si>
  <si>
    <t>Штатное расписание/положение о подразделении/долностная инструкция/скан-копия сервисного договора</t>
  </si>
  <si>
    <t>1. Формализованный документ, регламентирующий процесс расследования инцидентов ИБ
2. Снимки экрана средств автоматизации и базы знаний</t>
  </si>
  <si>
    <t>КБ1+ скриншоты из автоматизированных систем, дашбордов с метриками</t>
  </si>
  <si>
    <t>КБ1+Формализованный документ, регламентирующий процесс пост-анализа+снимки экрана средств автоматизации</t>
  </si>
  <si>
    <t>Формализованные документы по проведению киберучений по реагированию на инциденты ИБ
Планы проведения киберучений</t>
  </si>
  <si>
    <t>Восстановление - Коммуникации</t>
  </si>
  <si>
    <t>1. Формализованный документ, описыввающий коммуникации подразделений на случай сбоев, с указанием ответственных лиц.
2. Листы ознакомления ответственных\артефакты доведения до ответственных</t>
  </si>
  <si>
    <t>Формализованный документ, регламентирующий порядок взаимодействия смежных подразделений на инциденты ИБ</t>
  </si>
  <si>
    <t>Формализованный документ, регламентирующий критерии и порядок эскалации инцидентов ИБ</t>
  </si>
  <si>
    <t>Формализованный документ, регламентирующий порядок взаимодействия с регуляторами</t>
  </si>
  <si>
    <t>Обеспечение доступности</t>
  </si>
  <si>
    <t>Снимки экрана средств визуального мониторинга</t>
  </si>
  <si>
    <t>Снимки экрана средства визуального мониторинга параметров процесса</t>
  </si>
  <si>
    <t>Скан-копии лицензий, снимок экрана ЛК
Или копия договора на услугу SOC</t>
  </si>
  <si>
    <t>Документ, определяющий процесс разработки и доработки решающих правил</t>
  </si>
  <si>
    <t>1. Сетевые схемы инфраструктуры SIEM
2. Выгрузка конфигураций/снимки экрана с настройками кластеризации SIEM</t>
  </si>
  <si>
    <t>Формализованный документ, регламентирующий процесс категорирования инцидентов ИБ;
Снимки экрана средств автоматизации</t>
  </si>
  <si>
    <t>Снимки экрана/выгрузка конфигураций консоли управления  сканеров уязвимости
Снимки экрана/выгрузка конфигураций консоли управления системы автоматизации</t>
  </si>
  <si>
    <t>Формализованный документ, регламентирующий процесс анализа угроз и защиты от релевантных угроз</t>
  </si>
  <si>
    <t>1. Формализованный документ, определяющий процесс разработки и доработки решающих правил
2. Формализованный план разработки решающих правил
3. Выгрузка конфигураций SIEM/снимки экрана с настройками (подключенные источники и решающие правила)</t>
  </si>
  <si>
    <t>Формализованный документ, регламентирующий порядок подключения источников событий к SIEM</t>
  </si>
  <si>
    <t>Отчет о проведенном Аудите</t>
  </si>
  <si>
    <t>Планы ОНИВД за последние 3 года/лист учета изменений ВНД/протоколы заседаний комиссий, рабочих групп и т.д.</t>
  </si>
  <si>
    <t>Лист учета изменений ВНД/протоколы заседаний комиссий, рабочих групп и т.д.</t>
  </si>
  <si>
    <t xml:space="preserve">1. Артефакты КБ1/КБ2
2. Формализованный документ, описывающий процесс резервного копирования
3. Отчеты о проведенных тестированиях восстановления ИА из резервных копий </t>
  </si>
  <si>
    <t xml:space="preserve"> Выгрузка конфигураций ПО для резервного копирования/ скрипты
- Снимки экрана мест хранения резервных копий
- Журнал/реестр учета резервных копий
- Скан-копия договора о предоставлении услуги резервного копирования / Электронная версия договора с реквизитами ЭП</t>
  </si>
  <si>
    <t>1. Формализованный порядок тестирования планов восстановления
2. Отчеты о проведенном тестировании</t>
  </si>
  <si>
    <t>1. Формализованный план восстановления
2.Отчеты о проведенных тестированиях</t>
  </si>
  <si>
    <t>КБ1+КБ2+ отчеты о повторных тестированиях</t>
  </si>
  <si>
    <t>1. Скан-копия лицензии
2. Снимки экрана/выгрузка конфигураций консоли управления WAF</t>
  </si>
  <si>
    <t>Снимки экрана/выгрузка конфигураций консоли управления WAF</t>
  </si>
  <si>
    <t>Контроль учетных записей (PAM)</t>
  </si>
  <si>
    <t>Снимки экрана/выгрузка конфигураций консоли управления</t>
  </si>
  <si>
    <t>Предотвращение утечки данных (Data Loss Prevention (DLP)</t>
  </si>
  <si>
    <t>Снимки экрана/выгрузка конфигураций консоли управления средствами DLP</t>
  </si>
  <si>
    <t>1. Формализованный документ, регламентирующий применение средств DLP
2. Снимки экрана средства визуального мониторинга параметров процесса контроля утечек информации по техническим каналам</t>
  </si>
  <si>
    <t>Дашборды с метриками</t>
  </si>
  <si>
    <t>КБ1+КБ2+ дашборды с метриками</t>
  </si>
  <si>
    <t>КБ2+ отчеты о проведенных киберучениях, материалы тренингов/семинаров</t>
  </si>
  <si>
    <t>1. Артефакты на КБ2
2. Формализованы требования по актуализации планов
3. Планы за последние 2 года</t>
  </si>
  <si>
    <t>Формализованные типовые ответы</t>
  </si>
  <si>
    <t>Отчеты о пройденных аудитах подрядчиков</t>
  </si>
  <si>
    <t>Отчеты о проведенных периодических проверках каналов коммуникаций</t>
  </si>
  <si>
    <t>Категория</t>
  </si>
  <si>
    <t>Исторические данные</t>
  </si>
  <si>
    <t>УР</t>
  </si>
  <si>
    <t>ЦП</t>
  </si>
  <si>
    <t>ИН</t>
  </si>
  <si>
    <t>УА</t>
  </si>
  <si>
    <t>ПР</t>
  </si>
  <si>
    <t>Выберите ответ</t>
  </si>
  <si>
    <t>Комментарий</t>
  </si>
  <si>
    <t>Очередь 1 (КБ1)</t>
  </si>
  <si>
    <t>Очередь 2 (КБ2)</t>
  </si>
  <si>
    <t>Очередь 3 (КБ3)</t>
  </si>
  <si>
    <t>Утверждена Политика информационной безопасности Общества</t>
  </si>
  <si>
    <t>СУИБ.УР.1</t>
  </si>
  <si>
    <t>0    - нет</t>
  </si>
  <si>
    <t>Назначено лицо, ответственное за обеспечение информационной безопасности</t>
  </si>
  <si>
    <t>СУИБ.УР.10</t>
  </si>
  <si>
    <t>Создано подразделение по ИБ или задачи возложены на другое подразделение</t>
  </si>
  <si>
    <t>СУИБ.УР.11</t>
  </si>
  <si>
    <t>Определены цели обеспечения ИБ</t>
  </si>
  <si>
    <t>СУИБ.УР.2</t>
  </si>
  <si>
    <t>Наличие планов развития ИБ</t>
  </si>
  <si>
    <t>СУИБ.УР.3</t>
  </si>
  <si>
    <t>Статус достижения целей ИБ регулярно доводится до руководства Общества</t>
  </si>
  <si>
    <t>СУИБ.УР.4</t>
  </si>
  <si>
    <t>0      - Не формализовано, не доводится</t>
  </si>
  <si>
    <t>Проводится регулярный (ежегодный) внешний аудит</t>
  </si>
  <si>
    <t>СУИБ.УР.5</t>
  </si>
  <si>
    <t>Проводятся регулярные (ежегодные) киберучения</t>
  </si>
  <si>
    <t>СУИБ.УР.6</t>
  </si>
  <si>
    <t>Требования по ИБ к информационным активам (ИА) предьявляются на стадиях принятия решения о создании/приобретении ИА</t>
  </si>
  <si>
    <t>СУИБ.УР.7</t>
  </si>
  <si>
    <t>0      - Контроль не выполняется</t>
  </si>
  <si>
    <t>Актуализация внутренних нормативных документов в соответствии с изменениями в нормативно-правовых актах и распоряжениях регуляторов и контрольных (надзорных) ведомств в сфере ИБ</t>
  </si>
  <si>
    <t>СУИБ.УР.8</t>
  </si>
  <si>
    <t>Определены основные нежелательные события ИБ</t>
  </si>
  <si>
    <t>УИБ.УР.1</t>
  </si>
  <si>
    <t>Разработана и утверждена Политика управления рисками ИБ</t>
  </si>
  <si>
    <t>УИБ.УР.2</t>
  </si>
  <si>
    <t>Риски определены качественно</t>
  </si>
  <si>
    <t>УИБ.УР.3</t>
  </si>
  <si>
    <t>УИБ.УР.4</t>
  </si>
  <si>
    <t>0   - Процесс отсутствует</t>
  </si>
  <si>
    <t>Процесс оценки рисков ИБ интегрирован в общую систему управления рисками Общества</t>
  </si>
  <si>
    <t>УИБ.УР.5</t>
  </si>
  <si>
    <t>Процессы</t>
  </si>
  <si>
    <t>Процесс эскалации инцидентов</t>
  </si>
  <si>
    <t>Количественная оценка рисков</t>
  </si>
  <si>
    <t>Процедура публикации внешних ресурсов</t>
  </si>
  <si>
    <t>УИБ.УА.1</t>
  </si>
  <si>
    <t>Внедрен процесс инвентаризации и категорирования информационных активов</t>
  </si>
  <si>
    <t>УИБ.УА.2</t>
  </si>
  <si>
    <t>Описаны все сетевые взаимодействия между компонентами инфраструктуры и информационными системами</t>
  </si>
  <si>
    <t>УИБ.УА.3</t>
  </si>
  <si>
    <t>Определены правила конфигурирования ативов (Харденинг)</t>
  </si>
  <si>
    <t>УИБ.УА.4</t>
  </si>
  <si>
    <t>УИБ.УА.5</t>
  </si>
  <si>
    <t>Процессы взаимодействия в ИТ цепочке c участниками цепочки поставок определены, управляются и согласовываются заинтересованными сторонами Общества</t>
  </si>
  <si>
    <t>УИБ.ЦП.1</t>
  </si>
  <si>
    <t>УИБ.ЦП.2</t>
  </si>
  <si>
    <t>Поставщики и сторонние партнеры (имеющие доступ в инфраструктуру Общества) регулярно проходят оценку, чтобы подтвердить, что они выполняют свои договорные обязательства. Проводятся обзоры аудитов, резюме результатов испытаний или другие эквивалентные оценки поставщиков</t>
  </si>
  <si>
    <t>УИБ.ЦП.3</t>
  </si>
  <si>
    <t>Ведется учет используемых и (или) эксплуатируемых физических устройств (АРМ, сервера, принтеры, коммутационное оборудование и т.п.)</t>
  </si>
  <si>
    <t>УИБ.ИН.1</t>
  </si>
  <si>
    <t>Ведется учет имеющегося и используемого ПО</t>
  </si>
  <si>
    <t>УИБ.ИН.2</t>
  </si>
  <si>
    <t>Ведется персонифицированный учет учетных записей (УЗ), технологических УЗ, привилегированных УЗ и УЗ групповых почтовых ящиков</t>
  </si>
  <si>
    <t>УИБ.ИН.3</t>
  </si>
  <si>
    <t>Контроль белого (разрешенного) и черного (неразрешенного) списка программного обеспечения.</t>
  </si>
  <si>
    <t>УИБ.ИН.4</t>
  </si>
  <si>
    <t>Ведется учет использования адресных пространств (IP)</t>
  </si>
  <si>
    <t>УИБ.ИН.5</t>
  </si>
  <si>
    <t>Ведется учет созданных, используемых и (или) эксплуатируемых ИС</t>
  </si>
  <si>
    <t>УИБ.ИН.6</t>
  </si>
  <si>
    <t xml:space="preserve">Процедура публикации внешних ресурсов описана и контролируется службой ИБ </t>
  </si>
  <si>
    <t>СЗИ.WAF.2</t>
  </si>
  <si>
    <t>Ведется учет опубликованных на внешнем периметре информационные систем, доменов</t>
  </si>
  <si>
    <t>УИБ.ИН.7</t>
  </si>
  <si>
    <t>За информационными активами закреплены ответственные</t>
  </si>
  <si>
    <t>УИБ.ИН.8</t>
  </si>
  <si>
    <t>Наличие специализированного ПО для хранения инвентаризационных данных</t>
  </si>
  <si>
    <t>УИБ.ИН.9</t>
  </si>
  <si>
    <t>Используется инструментарий активного/пассивного обнаружения активов</t>
  </si>
  <si>
    <t>УИБ.ИН.10</t>
  </si>
  <si>
    <t>Результаты работы сканеров уязвимости являются источниками для пополнения БД систем инвентаризации</t>
  </si>
  <si>
    <t>УИБ.ИН.11</t>
  </si>
  <si>
    <t>Производится регулярный контроль фактического состава созданных, используемых и (или) эксплуатируемых информационных активов и их корректного размещения в сегментах вычислительных сетей</t>
  </si>
  <si>
    <t>УИБ.ИН.12</t>
  </si>
  <si>
    <t>Осуществляется разработка, ведение, актуализация, хранение проектной, рабочей, эксплуатационной документации на информационные системы</t>
  </si>
  <si>
    <t>УИБ.ИН.13</t>
  </si>
  <si>
    <t>ОД</t>
  </si>
  <si>
    <t>Определены требования к отказоустойчивости компонент</t>
  </si>
  <si>
    <t>УИБ.ОД.1</t>
  </si>
  <si>
    <t>Осуществляется дублирование инфраструктуры в разных территориально разделенных ЦОД</t>
  </si>
  <si>
    <t>УИБ.ОД.2</t>
  </si>
  <si>
    <t>Осуществляется кластеризация компонентов Mission Critical и Busines Critical систем</t>
  </si>
  <si>
    <t>УИБ.ОД.3</t>
  </si>
  <si>
    <t>Наличие достаточного перечня запасных частей и материалов, а также активной технической поддержки на оборудование и программное обеспечение</t>
  </si>
  <si>
    <t>Обеспечивается уровень доступности систем и средств защиты не ниже, чем уровень доступности защищаемых информационных систем</t>
  </si>
  <si>
    <t>Требования ИБ формируются на этапе разработки требований к ПО</t>
  </si>
  <si>
    <t>0      - Не реализовано</t>
  </si>
  <si>
    <t>Определен Порядок фиксации замечаний по безопасности и последующего исправления багов</t>
  </si>
  <si>
    <t>Организован процесс приемки и инсталляции ПО: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t>
  </si>
  <si>
    <t>Организован процесс эксплуатации ПО:
- назначены ответственные за техническую поддержку пользователей ПО
- сформирован порядок информирования пользователей об обновлениях ПО, обнаруженных уязвимостях и окончании технической поддержки
- назначены ответственные за поиск уязвимостей ПО и их устранение</t>
  </si>
  <si>
    <t xml:space="preserve">Используются проверенные модули безопасности (шифрования, ведения журналов, идентификации/аутентификапции) </t>
  </si>
  <si>
    <t>Формализованы и определены процедуры контроля сторонней разработки.
Заказчиком осуществляется контроль безопасности ПО при заказе разработки ПО</t>
  </si>
  <si>
    <t>Создан и актуален реестр одобренных компонентов ПО, принадлежащих сторонним производителям. 
Отслеживаются  обновления и свежие версии компонентов не реже раз в месяц.</t>
  </si>
  <si>
    <t>Компоненты Реестра ПО скачиваются из проверенных источников и проверяются на безопасность перед установкой</t>
  </si>
  <si>
    <t>Используется система обнаружения уязвимостей с рейтингом критичности и отслеживанием метрик</t>
  </si>
  <si>
    <t xml:space="preserve">Наиболее критичные замечания исправляются в первую очередь. </t>
  </si>
  <si>
    <t>Люди</t>
  </si>
  <si>
    <t>При приеме на работу проверка всех кандидатов должна соответствовать законам, регламентам, этическим нормам и быть соразмерной бизнес-требованиям, уровню доступа к информации и предполагаемым рискам.</t>
  </si>
  <si>
    <t>УИБ.Л.1</t>
  </si>
  <si>
    <t>Соглашения о конфиденциальности или неразглашении, отражающие потребности Общества в защите информации, должны быть определены, документированы, регулярно пересматриваться и быть подписанными работниками и иными заинтересованными сторонами.</t>
  </si>
  <si>
    <t>УИБ.Л.2</t>
  </si>
  <si>
    <t>Ответственность и обязанности по соблюдению информационной безопасности, которые остаются в силе после прекращения или изменения трудовых отношений, должны быть определены и сообщены соответствующему работникиу и иным заинтересованным сторонам, а также обеспечено их выполнение.</t>
  </si>
  <si>
    <t>УИБ.Л.3</t>
  </si>
  <si>
    <t>ФД</t>
  </si>
  <si>
    <t>Зоны безопасности, порядок доступа и требования к их защите должны быть определены и документированы</t>
  </si>
  <si>
    <t>УИБ.ФД.1</t>
  </si>
  <si>
    <t>Зоны безопасности с ограниченным доступом должны быть защищены с использованием СКУД</t>
  </si>
  <si>
    <t>УИБ.ФД.2</t>
  </si>
  <si>
    <t>Определены требования к защите информационных активов (в части элементов инфраструктуры (серверное, телекоммуникационное оборудование и т.д.)), размещенных вне Общества</t>
  </si>
  <si>
    <t>УИБ.ФД.3</t>
  </si>
  <si>
    <t>Управление устройствами хранения информации должно осуществляться на всем протяжении их жизненного цикла, включающего приобретение, использование, транспортировку и уничтожение, в соответствии с классификационной схемой Общества и требованиями к обращению.</t>
  </si>
  <si>
    <t>УИБ.ФД.4</t>
  </si>
  <si>
    <t>Конфиденциальная информация гарантированно удалятся с машинных носителей перед их утилизацией либо повторным использованием</t>
  </si>
  <si>
    <t>УИБ.ФД.5</t>
  </si>
  <si>
    <t>AW</t>
  </si>
  <si>
    <t>Проводится регулярное профессиональное обучение и повышение квалификации работников ИБ</t>
  </si>
  <si>
    <t>УИБ.AW.1</t>
  </si>
  <si>
    <t>Проводится регулярное повышение осведомленности работников Общества</t>
  </si>
  <si>
    <t>УИБ.AW.2</t>
  </si>
  <si>
    <t xml:space="preserve">При приеме на работу проводится инструктаж по информационной безопасности  и повторяется раз в год или чаще. </t>
  </si>
  <si>
    <t>УИБ.AW.3</t>
  </si>
  <si>
    <t>Учебные материалы пересматриваются раз в год или чаще.</t>
  </si>
  <si>
    <t>УИБ.AW.4</t>
  </si>
  <si>
    <t>Осуществляется обучение работников распознавать атаки с использованием социальной инженерии</t>
  </si>
  <si>
    <t>УИБ.AW.5</t>
  </si>
  <si>
    <t>Осуществляется обучение работников по теме многофакторной аутентификации, создании сильных паролей и управлении учетными записями.</t>
  </si>
  <si>
    <t>УИБ.AW.6</t>
  </si>
  <si>
    <t>Осуществляется обучение работников о необходимости блокировать рабочие станции, стирать информацию с флипчартов и виртуальных досок после совещаний и хранить данные в защищенном месте.</t>
  </si>
  <si>
    <t>УИБ.AW.7</t>
  </si>
  <si>
    <t>Осуществляется обучение работников по теме ошибочной отправки и публикации конфиденциальных данных, потери рабочих устройств и съемных носителей. </t>
  </si>
  <si>
    <t>УИБ.AW.8</t>
  </si>
  <si>
    <t>Осуществляется обучение работников распознавать инциденты безопасности и сообщать о них</t>
  </si>
  <si>
    <t>УИБ.AW.9</t>
  </si>
  <si>
    <t>Осуществляется обучение привелигированных пользователей приемам безопасной работы</t>
  </si>
  <si>
    <t>УИБ.AW.10</t>
  </si>
  <si>
    <t>УД</t>
  </si>
  <si>
    <t>Наличие политики/регламентов управления доступом к ИА</t>
  </si>
  <si>
    <t>УИБ.УД.1</t>
  </si>
  <si>
    <t>0     -Документация по контролю отсутствует</t>
  </si>
  <si>
    <t>Доступ к ИА Осуществляется на основе согласованных с ИБ ролевых моделей (исключение SoD-конфликтов)</t>
  </si>
  <si>
    <t>УИБ.УД.2</t>
  </si>
  <si>
    <t>ИБ участвует в согласовании и предоставлении доступа</t>
  </si>
  <si>
    <t>УИБ.УД.3</t>
  </si>
  <si>
    <t>При приеме нового сотрудника, изменении должности или роли осуществляется автоматическое назначение прав доступа</t>
  </si>
  <si>
    <t>УИБ.УД.4</t>
  </si>
  <si>
    <t>При увольнении работника происходит автоматический отзыв прав и блокировка УЗ</t>
  </si>
  <si>
    <t>УИБ.УД.5</t>
  </si>
  <si>
    <t>Проводится регулярный аудит УЗ и доступов не реже одного раза в год</t>
  </si>
  <si>
    <t>УИБ.УД.6</t>
  </si>
  <si>
    <t>Привелигированные пользователи для администрирования используют дополнительные учетные записи</t>
  </si>
  <si>
    <t>УИБ.УД.7</t>
  </si>
  <si>
    <t>Существует возможность быстрого отзыва прав доступа</t>
  </si>
  <si>
    <t>УИБ.УД.9</t>
  </si>
  <si>
    <t>Обеспечиваются возможности принудительного прерывания сессии доступа пользователем, а также прохождение процедуры повторной аутентификации после прерывания сессии</t>
  </si>
  <si>
    <t>УИБ.УД.10</t>
  </si>
  <si>
    <t xml:space="preserve">При организации доступа к сети Интернет осуществляется контроль сетевых  протоколов и портов, URL адресов </t>
  </si>
  <si>
    <t>ИА</t>
  </si>
  <si>
    <t>Парольная политика соответствуют требованиям ПАО "Ростелеком"</t>
  </si>
  <si>
    <t>УИБ.ИА.1</t>
  </si>
  <si>
    <t>Доступ пользователей осуществляется под уникальными и персонифицированными учетными записями</t>
  </si>
  <si>
    <t>УИБ.ИА.2</t>
  </si>
  <si>
    <t>Аутентификация программных сервисов, устройств и т.п. осуществляется с использованием технологических учетных записей</t>
  </si>
  <si>
    <t>УИБ.ИА.3</t>
  </si>
  <si>
    <t>Запрещено использование предустановленных аутентификационных данных, создание учетных записей с пустыми паролями и предоставление доступа без идентификации</t>
  </si>
  <si>
    <t>УИБ.ИА.4</t>
  </si>
  <si>
    <t>Пароли локальных УЗ администраторов на АРМ с ОС Windows хранятся с применением технологии LAPS</t>
  </si>
  <si>
    <t>УИБ.ИА.5</t>
  </si>
  <si>
    <t>Внедрены политики и механизмы безопасности блокирования УЗ при неправильном вводе пароля, рекомендованые ПАО Ростелеком</t>
  </si>
  <si>
    <t>УИБ.ИА.6</t>
  </si>
  <si>
    <t xml:space="preserve">Наличие ограничения количества параллельных сессий удаленного доступа у одной учетной записи (пользователя, администратора, технической). </t>
  </si>
  <si>
    <t>УИБ.ИА.7</t>
  </si>
  <si>
    <t>Осуществляется запрет на хранение, использование и передачу аутентификационных данных в открытом виде</t>
  </si>
  <si>
    <t>УИБ.ИА.8</t>
  </si>
  <si>
    <t>Наличие специализированного ПО для хранения аутентификационных данных (оценить покрытие средством)</t>
  </si>
  <si>
    <t>УИБ.ИА.9</t>
  </si>
  <si>
    <t>Д</t>
  </si>
  <si>
    <t>Наличие нормативного документа, регламентирующего категории конфиденциальности обрабатываемой информации</t>
  </si>
  <si>
    <t>УИБ.Д.1</t>
  </si>
  <si>
    <t>Данные на носимых устройствах хранятся в зашифрованном виде</t>
  </si>
  <si>
    <t>УИБ.Д.2</t>
  </si>
  <si>
    <t>УИБ.Д.3</t>
  </si>
  <si>
    <t>Осуществляется контроль использования личных мобильных устройств</t>
  </si>
  <si>
    <t>УИБ.Д.4</t>
  </si>
  <si>
    <t>0 - 01.2024</t>
  </si>
  <si>
    <t>ФЛАГ ОТКЛОНЕНИЯ</t>
  </si>
  <si>
    <t>Персональные данные</t>
  </si>
  <si>
    <t>Перс.данные</t>
  </si>
  <si>
    <r>
      <t xml:space="preserve">Наличие политики в отношении обработки ПДН, соответствующей требованиям законодательтсва </t>
    </r>
    <r>
      <rPr>
        <b/>
        <i/>
        <sz val="11"/>
        <rFont val="Arial"/>
        <family val="2"/>
        <charset val="204"/>
      </rPr>
      <t>(https://62.rkn.gov.ru/directions/p3535/p6528</t>
    </r>
    <r>
      <rPr>
        <b/>
        <sz val="11"/>
        <rFont val="Arial"/>
        <family val="2"/>
        <charset val="204"/>
      </rPr>
      <t xml:space="preserve">) </t>
    </r>
  </si>
  <si>
    <t>НС.ПР.5.8.15.1</t>
  </si>
  <si>
    <t>Политика опубликована и/или доступна (вебсайт или иные ресурсы) для чтения субъектам ПДН</t>
  </si>
  <si>
    <t>НС.ПР.5.8.15.2</t>
  </si>
  <si>
    <t>Назначено лицо, ответственное за организацию обработки персональных данных, определены его функции и обязанности</t>
  </si>
  <si>
    <t>НС.ПР.5.8.15.3</t>
  </si>
  <si>
    <t xml:space="preserve">Уведомление об обработке персональных данных направлено в Роскомнадзор, сведения об организации в реестре РКН поддерживаются в акутальном состоянии </t>
  </si>
  <si>
    <t>НС.ПР.5.8.15.4</t>
  </si>
  <si>
    <r>
      <t>Наличие ВНД, регламентирующих порядок реализации процессов обработки ПДН в соответствии с рекомендациями ПАО "Ростелеком" (</t>
    </r>
    <r>
      <rPr>
        <b/>
        <sz val="11"/>
        <color indexed="2"/>
        <rFont val="Arial"/>
        <family val="2"/>
        <charset val="204"/>
      </rPr>
      <t>размещено на киберпортале)</t>
    </r>
  </si>
  <si>
    <t>НС.ПР.5.8.15.5</t>
  </si>
  <si>
    <t xml:space="preserve">Наличие согласия на обработку персональных данных от субъекта персональных данных в соответствии с законодательством РФ </t>
  </si>
  <si>
    <t>НС.ПР.5.8.15.6</t>
  </si>
  <si>
    <t>При поступлении на работу работник дает согласие на передачу его персональных данных третьим лицам</t>
  </si>
  <si>
    <t>НС.ПР.5.8.15.7</t>
  </si>
  <si>
    <t>Обеспечивается ли прекращение обработки персональных данных в случае отзыва субъектом персональных данных согласия на обработку своих персональных данных в срок, установленный законодательством РФ?</t>
  </si>
  <si>
    <t>НС.ПР.5.8.15.8</t>
  </si>
  <si>
    <t>Осуществляется ознакомление всех работников с требованием о неразглашении информации, содержащей персональные данные субъектов персональных данных третьим лицам</t>
  </si>
  <si>
    <t>НС.ПР.5.8.15.9</t>
  </si>
  <si>
    <t>Наличие документа, подтверждающего определение угроз безопасности ПДн при их обработке в ИСПДн</t>
  </si>
  <si>
    <t>НС.ПР.5.8.15.10</t>
  </si>
  <si>
    <t xml:space="preserve">Направлено отдельное уведомление в Роскомнадзор  в случае трансграничной передачи персональных данных </t>
  </si>
  <si>
    <t>НС.ПР.5.8.15.11</t>
  </si>
  <si>
    <t xml:space="preserve">При сборе персональных данных, в том числе посредством информационно-телекоммуникационной сети "Интернет", запись, систематизация, накопление, хранение, уточнение (обновление, изменение), извлечение персональных данных граждан Российской Федерации с использованием баз данных, находящихся за пределами территории Российской Федерации, не допускаются.
</t>
  </si>
  <si>
    <t>НС.ПР.5.8.15.12</t>
  </si>
  <si>
    <t xml:space="preserve">Наличие перечня ИСПДН </t>
  </si>
  <si>
    <t>НС.ПР.5.8.15.13</t>
  </si>
  <si>
    <t>Учет машинных носителей персональных данных;</t>
  </si>
  <si>
    <t>НС.ПР.5.8.15.14</t>
  </si>
  <si>
    <t>Наличие документов, подтверждающих определение уровня защищенности ПДн в ИСПДн</t>
  </si>
  <si>
    <t>НС.ПР.5.8.15.15</t>
  </si>
  <si>
    <t>Проводится периодический внутренний контроль и (или) аудит соответствия обработки персональных данных Федеральному закону №152-ФЗ "О персональных данных" и принятым требованиям к защите персональных данных, политике в отношении обработки персональных данных и прочим внутренним нормативным документам.</t>
  </si>
  <si>
    <t>НС.ПР.5.8.15.16</t>
  </si>
  <si>
    <t>Наличие оценки вреда, который может быть причинен субъектам персональных данных в случае нарушения законодательства в области персональных данных, в соответствии с требованиями, установленными Роскомнадзором.</t>
  </si>
  <si>
    <t>НС.ПР.5.8.15.17</t>
  </si>
  <si>
    <t>Осуществляется информирование Роскомнадзора об инцидентах, связанных с обработкой персональных данных, повлекших нарушение прав субъектов персональных данных, с момента выявления такого инцидента в порядке, определенном Федеральным законом 152-ФЗ "О персональных данных".</t>
  </si>
  <si>
    <t>НС.ПР.5.8.15.18</t>
  </si>
  <si>
    <t>Организовано периодическое ознакомление работников, непосредственно осуществляющих обработку персональных данных, с положениями законодательства Российской Федерации о персональных данных, в том числе с требованиями к защите персональных данных и внутренними нормативными документами по вопросам обработки персональных данных</t>
  </si>
  <si>
    <t>НС.ПР.5.8.15.19</t>
  </si>
  <si>
    <t>Наличие перечня лиц, доступ которых к ПДн, обрабатываемым в ИСПДн, необходим им для выполнения служебных (трудовых) обязанностей</t>
  </si>
  <si>
    <t>НС.ПР.5.8.15.20</t>
  </si>
  <si>
    <t>Определены места хранения персональных данных (материальных носителей), а также перечни лиц, осуществляющих обработку персональных данных либо имеющих к ним доступ</t>
  </si>
  <si>
    <t>НС.ПР.5.8.15.21</t>
  </si>
  <si>
    <t>Определены и соблюдаются меры, необходимые для обеспечения сохранности персональных данных и исключающие несанкционированный к ним доступ при хранении материальных носителей, а также перечень лиц, ответственных за реализацию указанных мер (наличие запираемых шкафов, сигнализации и пр.)</t>
  </si>
  <si>
    <t>НС.ПР.5.8.15.22</t>
  </si>
  <si>
    <t>Организован процесс уничтожения перс.данных в соответствии с требованиями Приказа Роскомнадзора от 28.10.2022  № 179 "Об утверждении Требований к подтверждению уничтожения персональных данных"</t>
  </si>
  <si>
    <t>НС.ПР.5.8.15.23</t>
  </si>
  <si>
    <t>Обеспечена защита персональных данных при их передаче/выходе за пределы контролируемой зоны организации</t>
  </si>
  <si>
    <t>НС.ПР.5.8.15.24</t>
  </si>
  <si>
    <t>Полномочия по обеспечению ИБ возложены на заместителя руководителя Общества</t>
  </si>
  <si>
    <t>НС.КИИ.1</t>
  </si>
  <si>
    <t>Функции по обеспечению Иб возложены на структурное подразделение</t>
  </si>
  <si>
    <t>НС.КИИ.2</t>
  </si>
  <si>
    <t>Создана Комиссия по категорированию объектов КИИ</t>
  </si>
  <si>
    <t>НС.КИИ.3</t>
  </si>
  <si>
    <t>Проведен анализ  критичных процессов,  сформирован перечень систем, подлежащих категорированию (ИС, ИТКС, АСУ)</t>
  </si>
  <si>
    <t>НС.КИИ.4</t>
  </si>
  <si>
    <t>Проведено категорирование объктов КИИ</t>
  </si>
  <si>
    <t>НС.КИИ.5</t>
  </si>
  <si>
    <t>Сведения о системах передаются в ФСТЭК России</t>
  </si>
  <si>
    <t>НС.КИИ.6</t>
  </si>
  <si>
    <t xml:space="preserve">Реализованы организационные меры для обеспечения информационной безопаности значимых объектов КИИ (ЗОКИИ) </t>
  </si>
  <si>
    <t>НС.КИИ.7</t>
  </si>
  <si>
    <t xml:space="preserve">Реализованы технические меры для обеспечения информационной безопаности значимых объектов КИИ (ЗОКИИ) </t>
  </si>
  <si>
    <t>НС.КИИ.8</t>
  </si>
  <si>
    <t>Проведены мероприятия по оценке уровня защищенности
информационных систем с привлечением организаций, имеющих соответствующие лицензии ФСБ России и ФСТЭК России</t>
  </si>
  <si>
    <t>НС.КИИ.9</t>
  </si>
  <si>
    <t>Подготовка к импортозамещению (до 1 января 2025г.) иностранного ПО на значимых объектах КИИ: в части общесистемного (ОС) и прикладного ПО</t>
  </si>
  <si>
    <t>НС.КИИ.10</t>
  </si>
  <si>
    <t>Подготовка к импортозамещению (до 1 января 2025г.) иностранного ПО на значимых объектах КИИ: в части ПО входящего в состав средств (систем) обеспечения ИБ</t>
  </si>
  <si>
    <t>НС.КИИ.11</t>
  </si>
  <si>
    <t xml:space="preserve">Подготовка к импортозамещению (до 1 января 2025г.) ПАК на значимых объектах КИИ </t>
  </si>
  <si>
    <t>НС.КИИ.12</t>
  </si>
  <si>
    <t>Информирование и обучение персонала</t>
  </si>
  <si>
    <t>НС.КИИ.13</t>
  </si>
  <si>
    <t>Взаимодействие с ГОССОПКА</t>
  </si>
  <si>
    <t>НС.КИИ.14</t>
  </si>
  <si>
    <t>Предоставлены своевременные ответы на запросы ФСТЭК России о выполнении мер по защите информации, рекомендованных к реализации (ответы предоставлены на более чем 95% запросов)</t>
  </si>
  <si>
    <t>НС.КИИ.15</t>
  </si>
  <si>
    <t>КТ</t>
  </si>
  <si>
    <t>Комм.тайна</t>
  </si>
  <si>
    <t>Определен перечень КТ</t>
  </si>
  <si>
    <t>НС.КТ.1</t>
  </si>
  <si>
    <t>Организовано и осуществляется маркирование материальных носителей КТ, или включение в состав реквизита документа грифа КТ</t>
  </si>
  <si>
    <t>НС.КТ.2</t>
  </si>
  <si>
    <t>Организован и осуществляется учет лиц, получивших доступ к КТ, и (или) лиц, которым такая информация была предоставлена или передана</t>
  </si>
  <si>
    <t>НС.КТ.3</t>
  </si>
  <si>
    <t>Отношения по использованию КТ с работниками регулируются на основании трудовых договоров, а с контрагентами на основании гражданско-правовых договоров</t>
  </si>
  <si>
    <t>НС.КТ.4</t>
  </si>
  <si>
    <t>Определен порядок обращения с КТ и контроля за соблюдением такого порядка</t>
  </si>
  <si>
    <t>НС.КТ.5</t>
  </si>
  <si>
    <t>В трудовом договоре с руководителем Общества предусмотрены его обязанности по обеспечению охраны КТ</t>
  </si>
  <si>
    <t>НС.КТ.6</t>
  </si>
  <si>
    <t>НС.КТ.7</t>
  </si>
  <si>
    <t>Доступ работника к КТ осуществляется с его согласия, если это не предусмотрено его трудовыми обязанностями</t>
  </si>
  <si>
    <t>НС.КТ.8</t>
  </si>
  <si>
    <t>Средства криптографической защиты информации (СКЗИ ГОСТ)</t>
  </si>
  <si>
    <t>Создан орган криптографической защиты (ОКЗ), или возложены функции ОКЗ</t>
  </si>
  <si>
    <t>НС.СКЗИ.5.9.3.1</t>
  </si>
  <si>
    <t>Ведется учет ключевой информации</t>
  </si>
  <si>
    <t>НС.СКЗИ.5.9.3.2</t>
  </si>
  <si>
    <t>Ведется обучение лиц, допускаемых и использующих СКЗИ, правилам их использования, оформлены заключения о допуске к самостоятельной работе с СКЗИ</t>
  </si>
  <si>
    <t>НС.СКЗИ.5.9.3.3</t>
  </si>
  <si>
    <t>На каждого пользователя СКЗИ ведется лицевой счет</t>
  </si>
  <si>
    <t>НС.СКЗИ.5.9.3.4</t>
  </si>
  <si>
    <t>Ведется поэкземплярный учет используемых СКЗИ, эксплуатационной и технической документации к ним, ключевых документов</t>
  </si>
  <si>
    <t>НС.СКЗИ.5.9.3.5</t>
  </si>
  <si>
    <t>Ведется учет хранилищ ключевых документов</t>
  </si>
  <si>
    <t>НС.СКЗИ.5.9.3.6</t>
  </si>
  <si>
    <t>Осуществляется контроль за соблюдением условий использования
(эксплуатации) СКЗИ, установленный эксплуатационной документацией на СКЗИ</t>
  </si>
  <si>
    <t>НС.СКЗИ.5.9.3.7</t>
  </si>
  <si>
    <t xml:space="preserve">Осуществляется уничтожение ключевой информации </t>
  </si>
  <si>
    <t>НС.СКЗИ.5.9.3.8</t>
  </si>
  <si>
    <t>Ведется учет спецпомещений</t>
  </si>
  <si>
    <t>НС.СКЗИ.5.9.3.9</t>
  </si>
  <si>
    <t>Утвержден документ, регламентирующий  организацию, эксплуатацию и вывод из эксплуатации СКЗИ в организации, включая формы соответствующих документов</t>
  </si>
  <si>
    <t>НС.СКЗИ.5.9.3.10</t>
  </si>
  <si>
    <t>250 указ</t>
  </si>
  <si>
    <t>НС.250.1</t>
  </si>
  <si>
    <t>НС.250.2</t>
  </si>
  <si>
    <t>НС.250.3</t>
  </si>
  <si>
    <t>НС.250.5</t>
  </si>
  <si>
    <t>НС.250.6</t>
  </si>
  <si>
    <t>250 приказ</t>
  </si>
  <si>
    <t>0 - 0 - 2024</t>
  </si>
  <si>
    <t>ОУ</t>
  </si>
  <si>
    <t>ПДР</t>
  </si>
  <si>
    <t>ПДРД</t>
  </si>
  <si>
    <t>СОПКА</t>
  </si>
  <si>
    <t xml:space="preserve">Созданы органы управления </t>
  </si>
  <si>
    <t>Назначен заместитель руководителя Общества, ответственный за обеспечение ИБ</t>
  </si>
  <si>
    <t>НС.250.ОУ.2</t>
  </si>
  <si>
    <t>Заместитель по ИБ входит в состав коллегиальных органов Общества</t>
  </si>
  <si>
    <t>НС.250.ОУ.3</t>
  </si>
  <si>
    <t>Проводится обучение пользователей по ИБ</t>
  </si>
  <si>
    <t>НС.250.ОУ.4</t>
  </si>
  <si>
    <t>Заместитель руководителя Общества имеет необходимое обучение</t>
  </si>
  <si>
    <t>НС.250.ОУ.5</t>
  </si>
  <si>
    <t>Заместитель  руководителя Общества проходит регулярное повышение квалификации</t>
  </si>
  <si>
    <t>НС.250.ОУ.6</t>
  </si>
  <si>
    <t>Документы по цифровой трансформации и т.п проходят согласование с ИБ</t>
  </si>
  <si>
    <t>НС.250.ОУ.7</t>
  </si>
  <si>
    <t>Проводится регулярное повышение осведомленности</t>
  </si>
  <si>
    <t>НС.250.ОУ.8</t>
  </si>
  <si>
    <t>Подразделение по ИБ</t>
  </si>
  <si>
    <t>Создано подразделение по ИБ или задачи возложены на подразделение</t>
  </si>
  <si>
    <t>НС.250.ПДР.2</t>
  </si>
  <si>
    <t>Подразделение подчинено заместителю руководителю Общества, ответственному за ИБ</t>
  </si>
  <si>
    <t>НС.250.ПДР.3</t>
  </si>
  <si>
    <t>Организованно взаимодействие с подрядчиками</t>
  </si>
  <si>
    <t>Все привлекаемые к осуществлению мероприятий по ИБ организации имеют лицензии</t>
  </si>
  <si>
    <t>НС.250.ПДРД.1</t>
  </si>
  <si>
    <t>Привлекаемый SOC имеет аккредитацию</t>
  </si>
  <si>
    <t>НС.250.ПДРД.2</t>
  </si>
  <si>
    <t>Привлекаемые для оценки защищенности организации имеют лицензию ФСТЭК</t>
  </si>
  <si>
    <t>НС.250.ПДРД.3</t>
  </si>
  <si>
    <t>Привлекаемые для оценки защищенности организации имеют лицензию ФСБ</t>
  </si>
  <si>
    <t>НС.250.ПДРД.4</t>
  </si>
  <si>
    <t>Использование СЗИ</t>
  </si>
  <si>
    <t>Произведена инвентаризация СЗИ на предмет выявления импортного</t>
  </si>
  <si>
    <t>НС.250.СЗИ.1</t>
  </si>
  <si>
    <t>Проведена оценка возможности перехода на отечественное</t>
  </si>
  <si>
    <t>НС.250.СЗИ.2</t>
  </si>
  <si>
    <t>Подготовлен план перехода</t>
  </si>
  <si>
    <t>НС.250.СЗИ.3</t>
  </si>
  <si>
    <t>Осуществлено пилотирование</t>
  </si>
  <si>
    <t>НС.250.СЗИ.4</t>
  </si>
  <si>
    <t>Сделан выбор и осуществлено внедрение выбранного СЗИ</t>
  </si>
  <si>
    <t>НС.250.СЗИ.5</t>
  </si>
  <si>
    <t>Утвержден регламент взаимодействия с ГосСОПКА</t>
  </si>
  <si>
    <t>НС.250.СОПКА.1</t>
  </si>
  <si>
    <t>Осуществляется мониторинг ресурсов</t>
  </si>
  <si>
    <t>НС.250.СОПКА.2</t>
  </si>
  <si>
    <t>Организовано взаимодействие с должностными лицами ФСБ России по результатам мониторинга</t>
  </si>
  <si>
    <t>НС.250.СОПКА.3</t>
  </si>
  <si>
    <t>Заключено соглашение с НКЦКИ</t>
  </si>
  <si>
    <t>НС.250.СОПКА.4</t>
  </si>
  <si>
    <t>Организовано взаимодействие с НКЦКИ</t>
  </si>
  <si>
    <t>НС.250.СОПКА.5</t>
  </si>
  <si>
    <t>Мониторинг, обнаружение, анализ и реагирование на инциденты в информационных системах (SOC)</t>
  </si>
  <si>
    <t>Сетевая безопасность (МСЭ\NGFW)</t>
  </si>
  <si>
    <t>NGFW</t>
  </si>
  <si>
    <t>Proxy</t>
  </si>
  <si>
    <t>АВЗ</t>
  </si>
  <si>
    <t>DDoS</t>
  </si>
  <si>
    <t>SPAM</t>
  </si>
  <si>
    <t>ВПО</t>
  </si>
  <si>
    <t>Процент покрытия инфраструктуры лицензиями на антивирусное ПО</t>
  </si>
  <si>
    <t>СЗИ.ВПО.1</t>
  </si>
  <si>
    <t>Процент покрытия инфраструктуры средствами антивирусного ПО</t>
  </si>
  <si>
    <t>СЗИ.ВПО.2</t>
  </si>
  <si>
    <t>Осуществляется централизованное управление средствами антивирусной защиты (САВЗ)</t>
  </si>
  <si>
    <t>СЗИ.ВПО.3</t>
  </si>
  <si>
    <t>Настроены и применены централизованные политики АВЗ, рекомендованые ПАО "Ростелеком"</t>
  </si>
  <si>
    <t>СЗИ.ВПО.4</t>
  </si>
  <si>
    <t>Архитектура решения соответствует ТТР Блока ИБ</t>
  </si>
  <si>
    <t>СЗИ.ВПО.5</t>
  </si>
  <si>
    <t>Процесс контроля работоспособности САВЗ</t>
  </si>
  <si>
    <t>СЗИ.ВПО.6</t>
  </si>
  <si>
    <t>Процесс обновления антивирусных средств</t>
  </si>
  <si>
    <t>СЗИ.ВПО.7</t>
  </si>
  <si>
    <t>Процесс реагирования на события САВЗ</t>
  </si>
  <si>
    <t>СЗИ.ВПО.8</t>
  </si>
  <si>
    <t>Процент покрытия необходимой инфраструктуры средствами 2FA (все необходимые системы используют второй фактор согласно Тех. проекта)</t>
  </si>
  <si>
    <t>СЗИ.2FA.1</t>
  </si>
  <si>
    <t>Двухфакторная аутентификация используется для удаленного доступа  работников к ресурсам Общества</t>
  </si>
  <si>
    <t>СЗИ.2FA.2</t>
  </si>
  <si>
    <t>Двухфакторная аутентификация используется для удаленного доступа подрядчиков к ресурсам Общества</t>
  </si>
  <si>
    <t>СЗИ.2FA.3</t>
  </si>
  <si>
    <t>Двухфакторная аутентификация используется для привелигированных УЗ</t>
  </si>
  <si>
    <t>СЗИ.2FA.4</t>
  </si>
  <si>
    <t>Процент покрытия активов на внешнем периметре лицензиями/договорами</t>
  </si>
  <si>
    <t>СЗИ.CPT.1</t>
  </si>
  <si>
    <t>Процент охваченных регулярным сканированием активов от числа покрытых лицензиями (процент утилизации закупленных лицензий)</t>
  </si>
  <si>
    <t>СЗИ.CPT.2</t>
  </si>
  <si>
    <t>Внедрен процесс управления уязвимостями на периметре (CPT)</t>
  </si>
  <si>
    <t>СЗИ.CPT.3</t>
  </si>
  <si>
    <t>RA-VPN</t>
  </si>
  <si>
    <t>Наличие средств RA VPN</t>
  </si>
  <si>
    <t>СЗИ.RA-VPN.1</t>
  </si>
  <si>
    <t>Покрытие инфраструктуры средствами защищенного удаленного доступа</t>
  </si>
  <si>
    <t>СЗИ.RA-VPN.2</t>
  </si>
  <si>
    <t>Осуществляется централизованное управление удаленным доступом</t>
  </si>
  <si>
    <t>СЗИ.RA-VPN.3</t>
  </si>
  <si>
    <t>Наличие действующего сертификата ФСБ России на этапе проведения аудита</t>
  </si>
  <si>
    <t>СЗИ.RA-VPN.4</t>
  </si>
  <si>
    <t>Защищены взаимодействия между площадками и ЦОД</t>
  </si>
  <si>
    <t>СЗИ.СКЗИ.1</t>
  </si>
  <si>
    <t>Осуществляется централизованное управление СКЗИ</t>
  </si>
  <si>
    <t>СЗИ.СКЗИ.2</t>
  </si>
  <si>
    <t>Обеспечено нормативное соответствие</t>
  </si>
  <si>
    <t>СЗИ.СКЗИ.3</t>
  </si>
  <si>
    <t>Наличие действующего сертификата ФСБ на этапе проведения аудита</t>
  </si>
  <si>
    <t>СЗИ.СКЗИ.4</t>
  </si>
  <si>
    <t>\</t>
  </si>
  <si>
    <t>СЗИ.SIEM.1</t>
  </si>
  <si>
    <t>Сетевая безопасность (МСЭ/NGFW)</t>
  </si>
  <si>
    <t>Защита периметра и DMZ реализована с использованием аппаратных NGFW</t>
  </si>
  <si>
    <t>СЗИ.NGFW.1</t>
  </si>
  <si>
    <t>Межсегментное взаимодействие реализовано с учетом критичности этих сегментов</t>
  </si>
  <si>
    <t>СЗИ.NGFW.2</t>
  </si>
  <si>
    <t>Осуществляется централизованное управление и контроль настроек</t>
  </si>
  <si>
    <t>СЗИ.NGFW.3</t>
  </si>
  <si>
    <t>Настроенные политики соответствуют ТТР Блока ИБ</t>
  </si>
  <si>
    <t>СЗИ.NGFW.4</t>
  </si>
  <si>
    <t>PROXY</t>
  </si>
  <si>
    <t>Доступ пользователей в интернет организован через PROXY</t>
  </si>
  <si>
    <t>СЗИ.PROXY.1</t>
  </si>
  <si>
    <t>Настроены политики разграничения доступа</t>
  </si>
  <si>
    <t>СЗИ.PROXY.2</t>
  </si>
  <si>
    <t>Проведена интеграция со средствами защиты от ВПО и AD</t>
  </si>
  <si>
    <t>СЗИ.PROXY.3</t>
  </si>
  <si>
    <t>0   - Контроль не выполняется</t>
  </si>
  <si>
    <t>СЗИ.PROXY.4</t>
  </si>
  <si>
    <t>САЗ</t>
  </si>
  <si>
    <t>Процент покрытия активов  лицензиями</t>
  </si>
  <si>
    <t>СЗИ.САЗ.1</t>
  </si>
  <si>
    <t>Процент охваченных регулярным сканированием активов</t>
  </si>
  <si>
    <t>СЗИ.САЗ.2</t>
  </si>
  <si>
    <t>Внедрен процесс управления уязвимостями</t>
  </si>
  <si>
    <t>СЗИ.САЗ.3</t>
  </si>
  <si>
    <t>УИБ.DDoS.1</t>
  </si>
  <si>
    <t>УИБ.DDoS.2</t>
  </si>
  <si>
    <t>Наличие плейбука по реагированию на сработки (Anti-DDoS)</t>
  </si>
  <si>
    <t>РЕАГ.PB.10</t>
  </si>
  <si>
    <t>Проводится актуализация защищаемых ресурсов и порогов срабатывания защиты от отказа в обслуживании</t>
  </si>
  <si>
    <t>0   - нет</t>
  </si>
  <si>
    <t>Настроены и актуализированы SPF, DKIM, DMARC записи</t>
  </si>
  <si>
    <t>СЗИ.SPAM.1</t>
  </si>
  <si>
    <t>Наличие антиспам решения, реализующего контентный, сигнатурный и динамический анализ писем и вложений</t>
  </si>
  <si>
    <t>СЗИ.SPAM.2</t>
  </si>
  <si>
    <t>Наличие антиспам решения, осуществляющего проверки писем на предмет вредоносного содержимого антивирусными средствами</t>
  </si>
  <si>
    <t>СЗИ.SPAM.3</t>
  </si>
  <si>
    <t>Весь почтовый трафик Общества предварительно проходит через системы Антиспам</t>
  </si>
  <si>
    <t>СЗИ.SPAM.4</t>
  </si>
  <si>
    <t>Процент покрытия внешних активов лицензиями и/или услугами</t>
  </si>
  <si>
    <t>СЗИ.WAF.1</t>
  </si>
  <si>
    <t>Наличие плейбука по реагированию на сработки (WAF)</t>
  </si>
  <si>
    <t>Как часто обновляются правила и сигнатуры в WAF и проверяются настройки</t>
  </si>
  <si>
    <t>СЗИ.WAF.3</t>
  </si>
  <si>
    <t>Процент покрытия инфраструктуры JumpHost</t>
  </si>
  <si>
    <t>СЗИ.PAM.1</t>
  </si>
  <si>
    <t>JumpHost настроены в соответствии с требованиями ТТР</t>
  </si>
  <si>
    <t>СЗИ.PAM.2</t>
  </si>
  <si>
    <t>Процент покрытия инфраструктуры лицензиями PAM</t>
  </si>
  <si>
    <t>СЗИ.PAM.3</t>
  </si>
  <si>
    <t>Процент активов, администрируемых через PAM</t>
  </si>
  <si>
    <t>СЗИ.PAM.4</t>
  </si>
  <si>
    <t>СЗИ.PAM.5</t>
  </si>
  <si>
    <t>Все каналы выхода информации за периметр Общества контролируются средствами DLP</t>
  </si>
  <si>
    <t>СЗИ.DLP.1</t>
  </si>
  <si>
    <t>Процент покрытия инфраструктуры лицензиями на DLP</t>
  </si>
  <si>
    <t>СЗИ.DLP.2</t>
  </si>
  <si>
    <t>Процент покрытия инфраструктуры средствами DLP от числа закупленных лицензий (процент утилизации закупленных лицензий)</t>
  </si>
  <si>
    <t>СЗИ.DLP.3</t>
  </si>
  <si>
    <t>Осуществляется централизованное управление DLP</t>
  </si>
  <si>
    <t>СЗИ.DLP.4</t>
  </si>
  <si>
    <t>СЗИ.DLP.5</t>
  </si>
  <si>
    <t>Процесс контроля утечек информации по техническим каналам средствами DLP</t>
  </si>
  <si>
    <t>СЗИ.DLP.6</t>
  </si>
  <si>
    <t>Наличие плейбука по реагированию на события DLP</t>
  </si>
  <si>
    <t>SIEM (внедрение системы как СЗИ)</t>
  </si>
  <si>
    <t>Процент покрытия инфраструктуры лицензиями на мониторинг</t>
  </si>
  <si>
    <t>МНТ.SIEM.1</t>
  </si>
  <si>
    <t>Процент покрытия инфраструктуры мониторингом</t>
  </si>
  <si>
    <t>МНТ.SIEM.2</t>
  </si>
  <si>
    <t>Определен набор решающих правил и пороги страбатывания</t>
  </si>
  <si>
    <t>МНТ.SIEM.3</t>
  </si>
  <si>
    <t>Осуществляется сбор событий, необходимых для детекта и обогащения в объеме, достаточном для решения задач            
(- создания, изменения, удаления субъектов и объектов доступа;
- аутентификации (вход и выход субъектов);
- авторизации (доступа субъектов к объектам);
- запуска и остановки, удаления и остановки служб (ПО);
- изменения настроек ПО и средств защиты информации;
- обработки сетевого трафика (netflow))</t>
  </si>
  <si>
    <t>МНТ.SIEM.4</t>
  </si>
  <si>
    <t>Настроенные решающие правила соответствуют ТТР Блока ИБ</t>
  </si>
  <si>
    <t>МНТ.SIEM.5</t>
  </si>
  <si>
    <t>Контролируются сетевые события</t>
  </si>
  <si>
    <t>МНТ.SIEM.6</t>
  </si>
  <si>
    <t>Контролируются  события ОС</t>
  </si>
  <si>
    <t>МНТ.SIEM.7</t>
  </si>
  <si>
    <t>Контролируются события СУБД</t>
  </si>
  <si>
    <t>МНТ.SIEM.8</t>
  </si>
  <si>
    <t>Контролируются события прикладных ИС</t>
  </si>
  <si>
    <t>МНТ.SIEM.9</t>
  </si>
  <si>
    <t>Контроль событий СЗИ</t>
  </si>
  <si>
    <t>МНТ.SIEM.10</t>
  </si>
  <si>
    <t>Контроль событий о действиях привелигированных пользователей</t>
  </si>
  <si>
    <t>МНТ.SIEM.11</t>
  </si>
  <si>
    <t>Внедрен процесс управления сбоями и мониторинга работоспособности SIEM</t>
  </si>
  <si>
    <t>МНТ.SIEM.12</t>
  </si>
  <si>
    <t>Осуществляется контроль событий о действиях внешних поставщиков ИТ услуг, имеющих доступ к инфраструктуре Общества</t>
  </si>
  <si>
    <t>МНТ.SIEM.13</t>
  </si>
  <si>
    <t>Аномалии и события (Хранение информации о событиях)</t>
  </si>
  <si>
    <t>А</t>
  </si>
  <si>
    <t>Обеспечено хранение событий ИБ минимум в течении 6 месяцев</t>
  </si>
  <si>
    <t>МНТ.A.3</t>
  </si>
  <si>
    <t>Процесс анализа информации о киберугрозах</t>
  </si>
  <si>
    <t>МНТ.ПР.1</t>
  </si>
  <si>
    <t>Процесс мониторинга событий ИБ</t>
  </si>
  <si>
    <t>МНТ.ПР.2</t>
  </si>
  <si>
    <t>Процесс создания решающих правил</t>
  </si>
  <si>
    <t>МНТ.ПР.3</t>
  </si>
  <si>
    <t>Процесс подключения источников информации</t>
  </si>
  <si>
    <t>МНТ.ПР.4</t>
  </si>
  <si>
    <t>Процесс контроля источников информации</t>
  </si>
  <si>
    <t>МНТ.ПР.5</t>
  </si>
  <si>
    <t>Очередь 2  (КБ2)</t>
  </si>
  <si>
    <t>ПЛР</t>
  </si>
  <si>
    <t>Процесс реагирования на инциденты ИБ</t>
  </si>
  <si>
    <t>РЕАГ.ПЛР.1</t>
  </si>
  <si>
    <t>Процесс категорирования инцидентов ИБ</t>
  </si>
  <si>
    <t>РЕАГ.ПЛР.2</t>
  </si>
  <si>
    <t>Определен мандат на действие в ходе реагирования на инцидент</t>
  </si>
  <si>
    <t>РЕАГ.ПЛР.3</t>
  </si>
  <si>
    <t>Планы реагирования совершенствуются по результатам тестирования и пост-анализа</t>
  </si>
  <si>
    <t>РЕАГ.ПЛР.4</t>
  </si>
  <si>
    <t>Коммуникации (реагирование на инциденты)</t>
  </si>
  <si>
    <t>КМНК</t>
  </si>
  <si>
    <t>Определен и обновляется список участников процессов реагирования (ИБ, ИТ, PR, HR, юристы, подрядчики)</t>
  </si>
  <si>
    <t>РЕАГ.КМНК.1</t>
  </si>
  <si>
    <t>Определены средства и каналы коммуникации и приоритет их использования</t>
  </si>
  <si>
    <t>РЕАГ.КМНК.2</t>
  </si>
  <si>
    <t>Определен порядок эскалации инцидентов</t>
  </si>
  <si>
    <t>РЕАГ.КМНК.3</t>
  </si>
  <si>
    <t>Определен порядок взаимодействия с регуляторами по инцидентам ИБ</t>
  </si>
  <si>
    <t>РЕАГ.КМНК.4</t>
  </si>
  <si>
    <t>Для значимых инцидентов подготовлены планы коммуникаций</t>
  </si>
  <si>
    <t>РЕАГ.КМНК.5</t>
  </si>
  <si>
    <t>АНЛЗ</t>
  </si>
  <si>
    <t>Есть собственная команда или договор на расследование инцидентов ИБ</t>
  </si>
  <si>
    <t>РЕАГ.АНЛЗ.1</t>
  </si>
  <si>
    <t>Процесс расследования инцидентов</t>
  </si>
  <si>
    <t>РЕАГ.АНЛЗ.2</t>
  </si>
  <si>
    <t>Анализируются причины возникновения инцидентов</t>
  </si>
  <si>
    <t>РЕАГ.АНЛЗ.3</t>
  </si>
  <si>
    <t>Процесс пост-анализа инцидентов</t>
  </si>
  <si>
    <t>РЕАГ.АНЛЗ.4</t>
  </si>
  <si>
    <t>Проводятся регулярные киберучения по реагированию на инциденты ИБ</t>
  </si>
  <si>
    <t>РЕАГ.АНЛЗ.5</t>
  </si>
  <si>
    <t>Плейбуки по реагированию</t>
  </si>
  <si>
    <t>PB</t>
  </si>
  <si>
    <t>Все предполагаемые вектора атак покрыты сценариями по реагированию</t>
  </si>
  <si>
    <t>РЕАГ.PB.5.9.3.1</t>
  </si>
  <si>
    <t>Наличие плейбука по реагированию на сработки АВЗ</t>
  </si>
  <si>
    <t>РЕАГ.PB.5.9.3.2</t>
  </si>
  <si>
    <t>Наличие плейбука по реагированию на сработки (2FA)</t>
  </si>
  <si>
    <t>РЕАГ.PB.5.9.3.3</t>
  </si>
  <si>
    <t>Наличие плейбука по реагированию на сработки(RA VPN)</t>
  </si>
  <si>
    <t>РЕАГ.PB.5.9.3.4</t>
  </si>
  <si>
    <t>Наличие плейбука по реагированию на сработки (NGFW)</t>
  </si>
  <si>
    <t>РЕАГ.PB.5.9.3.5</t>
  </si>
  <si>
    <t>Наличие плейбука по реагированию на сработки (Прокси-сервер)</t>
  </si>
  <si>
    <t>РЕАГ.PB.5.9.3.6</t>
  </si>
  <si>
    <t>РЕАГ.PB.5.9.3.7</t>
  </si>
  <si>
    <t>Наличие плейбука по реагированию на сработки (Антиспам)</t>
  </si>
  <si>
    <t>РЕАГ.PB.5.9.3.8</t>
  </si>
  <si>
    <t>Наличие плейбука по реагированию на сработки PAM</t>
  </si>
  <si>
    <t>РЕАГ.PB.5.9.3.9</t>
  </si>
  <si>
    <t>РЕАГ.PB.5.9.3.10</t>
  </si>
  <si>
    <t>РЕАГ.PB.5.9.3.11</t>
  </si>
  <si>
    <t xml:space="preserve">Расчетный показатель </t>
  </si>
  <si>
    <t>ПЛН</t>
  </si>
  <si>
    <t>Разработана политика обеспечения непрерывности и восстановления деятельности (ОНИВД)</t>
  </si>
  <si>
    <t>ВССТ.ПЛН.1</t>
  </si>
  <si>
    <t>Определены уровни и сроки восстановления систем в зависимости от критичности ИА</t>
  </si>
  <si>
    <t>ВССТ.ПЛН.2</t>
  </si>
  <si>
    <t>Планы ОНИВД разработаны</t>
  </si>
  <si>
    <t>ВССТ.ПЛН.3</t>
  </si>
  <si>
    <t>Разработан регламент резервного копирования</t>
  </si>
  <si>
    <t>ВССТ.ПЛН.4</t>
  </si>
  <si>
    <t>Выполняется регулярное создание резервных копий в соответствии с регламентом</t>
  </si>
  <si>
    <t>ВССТ.ПЛН.5</t>
  </si>
  <si>
    <t>Резервные копии хранятся на сторонних площадках</t>
  </si>
  <si>
    <t>ВССТ.ПЛН.6</t>
  </si>
  <si>
    <t>Определены требования восстановления и проводятся тестирования</t>
  </si>
  <si>
    <t>ВССТ.ПЛН.7</t>
  </si>
  <si>
    <t>Тестирование планов по реагированию и восстановлению проводятся совместно с поставщиками и сторонними провайдерами (имеющими доступ в инфраструктуру Общества)</t>
  </si>
  <si>
    <t>ВССТ.ПЛН.8</t>
  </si>
  <si>
    <t>Планы восстановления совершенствуются по результатам тестирования и реагирования</t>
  </si>
  <si>
    <t>ВССТ.ПЛН.9</t>
  </si>
  <si>
    <t>Подготовлены планы коммуникаций на случай сбоев в планах по восстановлению</t>
  </si>
  <si>
    <t>ВССТ.КМНК.1</t>
  </si>
  <si>
    <t>Юристами Общества подготовлены типовые ответы на претензии по факту инцидента</t>
  </si>
  <si>
    <t>ВССТ.КМНК.2</t>
  </si>
  <si>
    <t xml:space="preserve"> ФСТЭК</t>
  </si>
  <si>
    <t>Отраслевой стандарт АБД</t>
  </si>
  <si>
    <t>Группа показателей j</t>
  </si>
  <si>
    <t>Номер I и наименование показателя безопасности kij</t>
  </si>
  <si>
    <t xml:space="preserve">Значение </t>
  </si>
  <si>
    <t>Весовой коэффициент группы Rj</t>
  </si>
  <si>
    <t>Тек. оценка из Индекса КБ</t>
  </si>
  <si>
    <t xml:space="preserve">Группа показателей </t>
  </si>
  <si>
    <t xml:space="preserve">Номер и наименование показателя безопасности </t>
  </si>
  <si>
    <t>Организация и управление обеспечением безопасности</t>
  </si>
  <si>
    <t>1. Имеется приказ о назначении заместителя руководителя органа (организации) ответственным за обеспечение информационной безопасности органа (организации), и определены его обязанности</t>
  </si>
  <si>
    <t>Организация и управление защитой информации</t>
  </si>
  <si>
    <t>1.Руководство системой организации защиты информации</t>
  </si>
  <si>
    <t xml:space="preserve">Требуется дополнительный показатель:
Назначенный ЗГД:
- совмещает функции ИБ с иными функциями 
- ответственный за цифровую трансформацию
- только за защиту
- из головной компании
</t>
  </si>
  <si>
    <t>2. Имеется приказ об определении структурного подразделения, осуществляющего функции по обеспечению информационной безопасности органа (организации),  или о назначении выделенных специалистов, и определены функции (обязанности)</t>
  </si>
  <si>
    <t>2. Подразделение по защите информации</t>
  </si>
  <si>
    <t xml:space="preserve">Требуется дополнительный показатель:
Назначенное подразделение:
- непрофильное подразделение 
- по ИТ
- профильное по ИБ
- передано на аутсорс
</t>
  </si>
  <si>
    <t>3. В договорах с подрядными организациями установлена ответственность за реализацию угроз через информационную инфраструктуру подрядчика (для 90% подрядчиков установлены требования)</t>
  </si>
  <si>
    <t>3. Положение об организации защиты информации (политика)</t>
  </si>
  <si>
    <t>4. Предоставлены своевременные ответы на запросы ФСТЭК России о выполнении мер по защите информации, рекомендованных к реализации (ответы предоставлены на более чем 95% запросов)</t>
  </si>
  <si>
    <t>4. Планирование мероприятий по защите информации (стратегия)</t>
  </si>
  <si>
    <t>Защита пользователей</t>
  </si>
  <si>
    <t>1. Отсутствуют учетные записи с паролем, сложность которого не соответствует установленным требованиям к парольной защите</t>
  </si>
  <si>
    <t>5. Определение негативных последствий от реализации угроз безопасности информации</t>
  </si>
  <si>
    <t>2. Для привилегированных пользователей при аутентификации используется второй фактор (не менее 85% привилегированных пользователей)</t>
  </si>
  <si>
    <t>6. Моделирование угроз безопасности информации</t>
  </si>
  <si>
    <t>3. Отсутствуют учетные записи, заданные по умолчанию и (или) неиспользуемые сервисные учетные записи</t>
  </si>
  <si>
    <t>7.Контроль услуг контрагентов, имеющих доступ к ИСПДн, или организаций, которым поручена обработка персональных данных</t>
  </si>
  <si>
    <t>Защита информационной инфраструктуры</t>
  </si>
  <si>
    <t>1. На периметре информационной инфраструктуры установлены межсетевые экраны (доступ к 100% внешних интерфейсов контроируется межсетевым экраном)</t>
  </si>
  <si>
    <t>Реализация процессов защиты информации</t>
  </si>
  <si>
    <t>1. Регламент правил управления доступом</t>
  </si>
  <si>
    <t>2. На периметре информационной инфраструктуры отсутствуют уязвимости критического или высокого уровня с датой публикации обновления (мер по устранению) более 30 дней</t>
  </si>
  <si>
    <t>2.Аутентификация доступа к информационным системам Общества и их ресурсам с применением однофакторной и двухфакторной аутентификации.</t>
  </si>
  <si>
    <t>3. На АРМ и серверах отсутствуют уязвимости критического уровня с датой публикации обновления (мер по устранению) более 90 дней (не менее 90% АРМ и серверов)</t>
  </si>
  <si>
    <t>3.Управление учётными записями</t>
  </si>
  <si>
    <t xml:space="preserve">В текущих показателях нет про "Назначены минимальные права" </t>
  </si>
  <si>
    <t>4. Обеспечен учет информационных ресурсов (ИТ-активов) (не менее 85% информационных ресурсов учтено (паспортизировано))</t>
  </si>
  <si>
    <t>4.Выявление и оценка уязвимостей</t>
  </si>
  <si>
    <t>Не очень сопоставляется со стандартом</t>
  </si>
  <si>
    <t>5. Реализована очистка входящего сетевого трафика от аномалий на сетевом уровне</t>
  </si>
  <si>
    <t>5.Управление обновлениями безопасности</t>
  </si>
  <si>
    <t>Про управление обновлениями нашел только в разделе Безопасная разработка</t>
  </si>
  <si>
    <t>6. Обеспечена проверка вложений в электронные письма (проверяются вложения для не менее чем 75% АРМ пользователей</t>
  </si>
  <si>
    <t>6.Инвентаризация информационных ресурсов</t>
  </si>
  <si>
    <t>Не хватает про наличие регламента по инвентаризации</t>
  </si>
  <si>
    <t xml:space="preserve">7. Средства антивирусной защиты с централизованным управлением установлены (не менее чем на 85% АРМ пользователей </t>
  </si>
  <si>
    <t>7.Управление изменениями конфигурации</t>
  </si>
  <si>
    <t xml:space="preserve">Мониторинг информационной безопасности и реагирование на инциденты
</t>
  </si>
  <si>
    <t>1. Реализован централизованный сбор событий безопасности и оповещение о неудачных попытках входа для привилегированных учетных записей</t>
  </si>
  <si>
    <t>8.Мониторинг информационной безопасности</t>
  </si>
  <si>
    <t>2. Реализован централизованный сбор и анализ событий безопасности на всех узлах, находящихся на периметре информационной инфраструктуры</t>
  </si>
  <si>
    <t>9.Реагирование на инциденты безопасности информации</t>
  </si>
  <si>
    <t>В текущих показателях отсутствуют временные интервалы начала процедур реагирования (36 часов и 4 часов)</t>
  </si>
  <si>
    <t>3. Информация о всех компьютерных инцидентах своевременно передается в НКЦКИ и (или) отраслевой центр мониторинга информационной безопасности</t>
  </si>
  <si>
    <t>10.Действия в нештатных ситуациях</t>
  </si>
  <si>
    <t>11.Информирование и обучение персонала</t>
  </si>
  <si>
    <t>В текущих показателях нет:
- "Наличие регламента обучения"
- "Определены лица, ответственные за информирование персонала"</t>
  </si>
  <si>
    <t>12.Безопасность приложений и программного обеспечения</t>
  </si>
  <si>
    <t>В текущих показателях нет:
- Реализован статический анализ программного кода
- Реализован динамический анализ программного кода
- внедрены процедуры безопасной разработки в соответствии с международными стандартами
- внедрены процедуры безопасной разработки с учетом требований применимых национальных стандартов</t>
  </si>
  <si>
    <t>13.На периметре информационной инфраструктуры установлены межсетевые экраны</t>
  </si>
  <si>
    <t>14.На периметре информационной инфраструктуры отсутствуют уязвимости критического или высокого уровня (с датой публикации обновления более 30 дней)</t>
  </si>
  <si>
    <t>В показателях нет такой формулировки (про 30 дней)</t>
  </si>
  <si>
    <t>15.На аппаратных и программно-аппаратных средствах отсутствуют уязвимости критического уровня (с датой публикации обновления более 60 дней)</t>
  </si>
  <si>
    <t>16.Реализована очистка входящего сетевого трафика от аномалий на сетевом уровне.</t>
  </si>
  <si>
    <t>17. Обеспечена проверка вложений в электронных письмах (осуществляется для более 90% пользователей).</t>
  </si>
  <si>
    <t>18. Установлены средства антивирусной защиты с централизованным управлением, автономные средства защиты или другие системы защиты от вредоносного кода</t>
  </si>
  <si>
    <t>19.Тестирование на проникновение внешнего периметра проводится не реже, чем раз в полгода.</t>
  </si>
  <si>
    <t>Не нашёл в показателях</t>
  </si>
  <si>
    <t>20.Внедрена политика разглашения уязвимостей</t>
  </si>
  <si>
    <t>21.Внедрена программа по поиску уязвимостей (баг-баунти).</t>
  </si>
  <si>
    <t>22.Внутренний аудит ИБ проводится не реже раза в год</t>
  </si>
  <si>
    <t>Сумма значений показателей</t>
  </si>
  <si>
    <t>Итоговое значение для Категории 4</t>
  </si>
  <si>
    <t>Типовые ответы</t>
  </si>
  <si>
    <t>Для оценки процессов</t>
  </si>
  <si>
    <t>0  - Мы не занимаемся этим вопросом</t>
  </si>
  <si>
    <t>1  - Мы делаем это только в тех случаях, когда оно необходимо</t>
  </si>
  <si>
    <t>1   - Начальный/Повторяющийся эпизодически и бессистемно. Процессы используются разово или в отдельных случаях по образцу.</t>
  </si>
  <si>
    <t>2  - Мы делаем это постоянно, но процессы не регламентированы</t>
  </si>
  <si>
    <t>2  - Определенный. Процессы документально оформлены и доведены до сведения заинтересованных лиц</t>
  </si>
  <si>
    <t>3  - Мы делаем это в рамках внутренних процессов ИБ, но опирраемся на свою интуицию</t>
  </si>
  <si>
    <t>3   - Автоматизированный. Процессы автоматизирован</t>
  </si>
  <si>
    <t>4  - Мы делаем это хорошо, процессы описаны и согласованы с бизнесом</t>
  </si>
  <si>
    <t>4   - Управляемый и измеряемый. Ведется мониторинг процесса в измеряемых показателях</t>
  </si>
  <si>
    <t>5   - Я считаю, мы делаем это максимально эффективно</t>
  </si>
  <si>
    <t>5   - Оптимизированный. Лучшие практики внедрены и оптимизированы</t>
  </si>
  <si>
    <t>Вопрос про ожидание</t>
  </si>
  <si>
    <t>Неопределенные ответы</t>
  </si>
  <si>
    <t>Логический ответ</t>
  </si>
  <si>
    <t>0  -совсем нет</t>
  </si>
  <si>
    <t>1  -не соответствует ожиданию</t>
  </si>
  <si>
    <t>1,6   - скорее нет</t>
  </si>
  <si>
    <t>5     -да</t>
  </si>
  <si>
    <t>2  -Не полностью соответствует ожиданию</t>
  </si>
  <si>
    <t>3,2 -  скорее да</t>
  </si>
  <si>
    <t>Светофор ДЗО: Уровень защищенности</t>
  </si>
  <si>
    <t>3  -Соответствует ожиданию</t>
  </si>
  <si>
    <t>0 - 9 - красный</t>
  </si>
  <si>
    <t>4  -Лучше, чем ожидал</t>
  </si>
  <si>
    <t>10 - 13- желтый</t>
  </si>
  <si>
    <t>5  -Превосходит ожидание</t>
  </si>
  <si>
    <t>Применимость требований</t>
  </si>
  <si>
    <t>14 - 20 - зеленый</t>
  </si>
  <si>
    <t>0    - требование не применимо</t>
  </si>
  <si>
    <t>Степень задокументированности контроля</t>
  </si>
  <si>
    <t>5     -требование применимо</t>
  </si>
  <si>
    <t>1,6  -Документация по контролю частично сформирована</t>
  </si>
  <si>
    <t>3,2  -Документация по контролю сформирована</t>
  </si>
  <si>
    <t>Просто оценка</t>
  </si>
  <si>
    <t>5     -Документация по контролю соответствует лучшим практикам</t>
  </si>
  <si>
    <t>Уровень покрытия (охвата) контролем</t>
  </si>
  <si>
    <t>1,6   - Объем покрытия минимальный</t>
  </si>
  <si>
    <t>3,2   - Объем покрытия частичный</t>
  </si>
  <si>
    <t>5      - Объем покрытия полный</t>
  </si>
  <si>
    <t>0    - Нет</t>
  </si>
  <si>
    <t>1     - Да</t>
  </si>
  <si>
    <t>Уровень автоматизации контроля</t>
  </si>
  <si>
    <t>КБ 1</t>
  </si>
  <si>
    <t>2,5 - Контроль выполнен частично</t>
  </si>
  <si>
    <t>КБ 2</t>
  </si>
  <si>
    <t>5    - Контроль выполнен полностью</t>
  </si>
  <si>
    <t>Актуализация настроек</t>
  </si>
  <si>
    <t>Уровень отчетности о контроле (мониторинг реализации)</t>
  </si>
  <si>
    <t>0     - Отчетность отсутствует</t>
  </si>
  <si>
    <t>1   - раз в год или реже</t>
  </si>
  <si>
    <t>2,5  - Отчетность частично реализована</t>
  </si>
  <si>
    <t>2,5  – раз в квартал</t>
  </si>
  <si>
    <t>5     - Отчетность реализована согласно лучшим практикам</t>
  </si>
  <si>
    <t>3,6 – раз в месяц</t>
  </si>
  <si>
    <t>5     – непрерывно</t>
  </si>
  <si>
    <t>Уровень реализации</t>
  </si>
  <si>
    <t>1,6   - Реализовано частично</t>
  </si>
  <si>
    <t>1,6   - Не формализовано, доводится</t>
  </si>
  <si>
    <t>3,2   - Реализовано не в полном объеме</t>
  </si>
  <si>
    <t>3,2   - Формализовано, доводится ежегодно</t>
  </si>
  <si>
    <t>5      - Реализовано полностью</t>
  </si>
  <si>
    <t>5      - Формализовано, доводится ежеквартально</t>
  </si>
  <si>
    <t>тематика</t>
  </si>
  <si>
    <t>приоритет</t>
  </si>
  <si>
    <t>Нормативка</t>
  </si>
  <si>
    <t>Приоритет тематики</t>
  </si>
  <si>
    <t>Домен (предметная область ИБ)</t>
  </si>
  <si>
    <t>приоритет внутри тематики</t>
  </si>
  <si>
    <t>признак необходимости финансирования</t>
  </si>
  <si>
    <t>Промежуточный приоритет</t>
  </si>
  <si>
    <t>Приоритет 1</t>
  </si>
  <si>
    <t>+</t>
  </si>
  <si>
    <t>СКЗИ (нормативная обвязка процессов эксплуатации)</t>
  </si>
  <si>
    <r>
      <t>1 М</t>
    </r>
    <r>
      <rPr>
        <sz val="12"/>
        <rFont val="Times New Roman"/>
        <family val="1"/>
        <charset val="204"/>
      </rPr>
      <t xml:space="preserve">еньшие значения означают более высокий приоритет. </t>
    </r>
  </si>
  <si>
    <t>ИКБ итоговый</t>
  </si>
  <si>
    <t xml:space="preserve"> - число вопросов</t>
  </si>
  <si>
    <t>Утверждена политика информационной безопасности организации</t>
  </si>
  <si>
    <t>Проходит регулярный внешний аудит</t>
  </si>
  <si>
    <t>Определены основные нежелательные события в ИБ</t>
  </si>
  <si>
    <t>Риски определены количественно</t>
  </si>
  <si>
    <t>Оцените зрелость процессов ИБ</t>
  </si>
  <si>
    <t>Определены ли правила конфигурирования ативов (Хардеринг) и осуществляется ли контроль за ними</t>
  </si>
  <si>
    <t>Есть документ, регламентирующий категории конфиденциальности обрабатываемой информации</t>
  </si>
  <si>
    <t>Хранение (на мобильных устройствах) и передача данных между сетевыми сегментами защищена с использованием шифрования</t>
  </si>
  <si>
    <t>Ведется Учет созданных, используемых и (или) эксплуатируемых информационных активов (в том числе информация, информационные ресурсы, информационные системы, технические, программные средства, учетные записи пользователей, доступы и так далее)</t>
  </si>
  <si>
    <t>Наличие и соблюдение политики/регламентов управления доступом к ИА</t>
  </si>
  <si>
    <t>Привелигированные пользователи для администрирования используют дополнительные учетные запииси</t>
  </si>
  <si>
    <t>Требования парольной политики соответствуют требованиям ПАО "Ростелеком"</t>
  </si>
  <si>
    <t>Осуществляется ли резервирование критичных компонент</t>
  </si>
  <si>
    <t>Применимы ли к вам требования</t>
  </si>
  <si>
    <t>Насколько по 5 шкале вы обеспечиваете процессы безопасной разработки</t>
  </si>
  <si>
    <t xml:space="preserve">Осуществляется ли проверка при приеме на работу </t>
  </si>
  <si>
    <t>Подписывается ли с работником соглашение о конфиденциальности</t>
  </si>
  <si>
    <t xml:space="preserve">Инструктаж по информационной безопасности проводится при приеме на работу и повторяется раз в год или чаще. </t>
  </si>
  <si>
    <t>Разработаны и применяются меры физической защиты безопасности для офисов и помещений</t>
  </si>
  <si>
    <t>Требования ИБ включены во все договоры с поставщиками и подрядчиками и проходят согласование в подразделениях ИБ</t>
  </si>
  <si>
    <t>Оцените насколько вы обеспечиваете соответствие требованиям регулятора</t>
  </si>
  <si>
    <t>Являетесь ли субьектом  КИИ</t>
  </si>
  <si>
    <t>В Обществе введен режим КТ</t>
  </si>
  <si>
    <t>Эксплуатируются ли в Обществе СКЗИ?</t>
  </si>
  <si>
    <t>Насколько по 5 шкале вы обеспечиваете соответствие требованиям регуляторов</t>
  </si>
  <si>
    <t>Покрытие инфраструктуры лицензиями на антивирусное ПО</t>
  </si>
  <si>
    <t>Охват АВЗ централизованным управлением</t>
  </si>
  <si>
    <t>Покрытие 2FA удаленного доступа  работников</t>
  </si>
  <si>
    <t>Покрытие 2FA удаленного доступа администраторов ИА</t>
  </si>
  <si>
    <t xml:space="preserve">Покрытие 2FA удаленного доступа подрядчиков </t>
  </si>
  <si>
    <t xml:space="preserve">Покрытие лицензиями на CPT ИА на внешнем периметре </t>
  </si>
  <si>
    <t xml:space="preserve">Объем охвата регулярным сканированием ИА на внешнем периметре </t>
  </si>
  <si>
    <t>Оцените выполнение SLA по устранению критичных уязвимостей ИА на внешнем периметре</t>
  </si>
  <si>
    <t>Покрытие защиты взаимодействия между площадками и ЦОД</t>
  </si>
  <si>
    <t>Оценка обеспечения нормативного соответствия</t>
  </si>
  <si>
    <t>Покрытие защитой периметра и DMZ с использованием аппаратных NGFW</t>
  </si>
  <si>
    <t>Защита доступа пользователей в интернет через PROXY</t>
  </si>
  <si>
    <t>Покрытие ИА  лицензиями на сканер</t>
  </si>
  <si>
    <t>Объем охвата ИА внутренним регулярным сканированием</t>
  </si>
  <si>
    <t>Оцентите зрелость процесса управления уязвимостями</t>
  </si>
  <si>
    <t>Имеются ли у вас  общедоступные ресурсы, критичные по доступности</t>
  </si>
  <si>
    <t>Осуществляется ли блокирование атак типа «отказ в обслуживании» в масштабе времени, близком к реальному</t>
  </si>
  <si>
    <t>Покрытие защитой почтовых шлюзов</t>
  </si>
  <si>
    <t>Покрытие защитой конечных станций</t>
  </si>
  <si>
    <t>Покрытие внешних ИА лицензиями и/или услугами WAF</t>
  </si>
  <si>
    <t>Охват защитой WAF внешних ИА</t>
  </si>
  <si>
    <t>Покрытие инфраструктуры лицензиями PAM</t>
  </si>
  <si>
    <t>Объем ИА, администрируемых через PAM</t>
  </si>
  <si>
    <t>Покрытие инфраструктуры лицензиями на DLP</t>
  </si>
  <si>
    <t>Покрытие инфраструктуры средствами DLP</t>
  </si>
  <si>
    <t>Объем покрытия инфраструктуры мониторингом событий ИБ</t>
  </si>
  <si>
    <t>Оцените зрелость процесса мониторинга</t>
  </si>
  <si>
    <t>Наличие собственной команды или договора на расследование инцидента</t>
  </si>
  <si>
    <t>Все предполагаемые вектора атак покрыты сценариями реагирования</t>
  </si>
  <si>
    <t>Оцените зрелость процесса реагирования</t>
  </si>
  <si>
    <t>Разработана Политика ОНИВД</t>
  </si>
  <si>
    <t>Разработаны регламенты резервного копирования</t>
  </si>
  <si>
    <t>Планы восстановления протестированы</t>
  </si>
  <si>
    <t>Скриншот\выгрузка Реестра эксплуатируемых АРМ и серверов</t>
  </si>
  <si>
    <t>Скриншот\выгрузка из автоматизированной системы Реестра эксплуатируемых АРМ и серверов
Расписание инвентаризационных сканирований</t>
  </si>
  <si>
    <t>Скриншот\выгрузка из автоматизированной системы Реестра эксплуатируемых АРМ и серверов, коммутационного оборудования, перефирийных устройств, машинных носителей информации
Расписание инвентаризационных сканирований
Скриншот\выгрузка жкрналов DHCP-серверов</t>
  </si>
  <si>
    <t>Скан-копия должностной инструкции, содержащей пункт о мониторинге НПА либо формализованный документ, определяющий ответственного за мониторинг НПА
Листы ознакомления с ВНД в области ИБ</t>
  </si>
  <si>
    <t>Скриншот\выгрузкаа конфигураций AD и настроек программных сервисов;
Формализованных документ, устанавливающий запрет на запуск сервисов с использованием УЗ пользователей</t>
  </si>
  <si>
    <t>В договорах со всеми подрядчиками, имеющими доступ к ИБ инфраструктуре Общества, прописана необходимость соблюдения мер информационной безопасности</t>
  </si>
  <si>
    <t xml:space="preserve">Типовая форма "соглашения по ИБ"
Скан-копии договоров с подрядчиками </t>
  </si>
  <si>
    <t xml:space="preserve">Формализованный документ, описывающий процесс управления учетными записями.
Выгрузка конфигураций\скриншоты из  службы каталогов;
Реестр учетных записей
</t>
  </si>
  <si>
    <t>Выгрузка конфигураций\скриншоты из  службы каталогов и кадровой системы;
Описание интеграции службы каталогов с кадровой системой</t>
  </si>
  <si>
    <t>Формализованный документ, регламентирующий процесс аудита УЗ
Отчеты о проведенных аудитах</t>
  </si>
  <si>
    <t>Скриншот\выгрузка реестра ПО</t>
  </si>
  <si>
    <t>Выгрузка\скриншоты из автоматизированной системы процесса удаления неучтенного ПО</t>
  </si>
  <si>
    <t>Скриншот\выгрузка реестра адресных пространств</t>
  </si>
  <si>
    <t>Формализованный документ определяющий порядок учета управления IP-адресным пространством
Утвержденный реестр адресных пространств</t>
  </si>
  <si>
    <t>Скриншот из автоматизированной системы учета адресных пространств</t>
  </si>
  <si>
    <t>Скриншот\выгрузка реестра внешних доменов</t>
  </si>
  <si>
    <t>Скриншот из автоматизированной системы учета внешних доменов
Выгрузка\скриншот настроек интеграции средства автоматизации со средствами активного/пассивного обнаружения активов</t>
  </si>
  <si>
    <t>Скриншот\выгрузка реестра информационных систем</t>
  </si>
  <si>
    <t>Формализованный документ, регламентирующий порядок ввода\вывода из эксплуатации и учета ИС</t>
  </si>
  <si>
    <t>Скриншот из автоматизированной системы учета ИС</t>
  </si>
  <si>
    <t>Скриншот\выгрузка реестра информационных активов</t>
  </si>
  <si>
    <t>Формалиованный документ, устанавливающий критерии категорирования ИА;
Скриншот\выгрузка из средств автоматизации</t>
  </si>
  <si>
    <t>Скриншот\выгрузка метрик</t>
  </si>
  <si>
    <t>Внедрен процесс количественной оценки рисков ИБ</t>
  </si>
  <si>
    <t>Выгрузка\скриншот политик LDAP
Выгрузка\скриншот конфигураций ИС</t>
  </si>
  <si>
    <t>Для обеспечения безопасности критичных компонентов ПО используются механизмы безопасности системного уровня</t>
  </si>
  <si>
    <t>Скан-копия соглашения о соблюдении ИБ</t>
  </si>
  <si>
    <t>Утверждено положение о подразделении, обеспечивающим ИБ в соответствии с требованиями Постановления Правительства РФ от 15.07.2022 № 1272</t>
  </si>
  <si>
    <t>Подготовлено и утверждено положение о заместителе, ответственном за обеспечение ИБ, в соответствии с требованиями Постановления Правительства РФ от 15.07.2022 № 1272</t>
  </si>
  <si>
    <t>ПРС</t>
  </si>
  <si>
    <t>УИБ.ПРС.1</t>
  </si>
  <si>
    <t>УИБ.ПРС.2</t>
  </si>
  <si>
    <t>УИБ.ПРС.3</t>
  </si>
  <si>
    <t>УИБ.ПРС.4</t>
  </si>
  <si>
    <t>УИБ.ПРС.5</t>
  </si>
  <si>
    <t>УИБ.ПРС.6</t>
  </si>
  <si>
    <t>УИБ.ПРС.7</t>
  </si>
  <si>
    <t>УИБ.ПРС.8</t>
  </si>
  <si>
    <t>УИБ.ПРС.9</t>
  </si>
  <si>
    <t>УИБ.ПРС.10</t>
  </si>
  <si>
    <t>УИБ.ПРС.11</t>
  </si>
  <si>
    <t>Формализованный документ, определяющий требования к проведению внешнего аудита ИБ
Отчеты\акты\заключения проведенных аудитов</t>
  </si>
  <si>
    <t>Формализованный документ, определяющий требования к проведению киберучений
Отчеты\акты\заключения проведенных  киберучений</t>
  </si>
  <si>
    <t>Формализованный документ, описывающий процесс создания\приобретения ИА
Примеры ТЗ\заявок\ПМИ\иной документации к ИА</t>
  </si>
  <si>
    <t>Примеры ТЗ\заявок\ПМИ\иной документации к ИА</t>
  </si>
  <si>
    <t>Скан-копии дипломов\удостоверений\сертификатов\договоров на обучение</t>
  </si>
  <si>
    <t>Формализованный план обучения
Заявки работников</t>
  </si>
  <si>
    <t xml:space="preserve">Скрин-шот образовательного курса </t>
  </si>
  <si>
    <t>Скриншоты образовательной платформы\договор на предоставление услуг по обучению</t>
  </si>
  <si>
    <t>Скриншоты рассылок</t>
  </si>
  <si>
    <t>Скриншоты рассылок
Справки/аналитические записки, материалы/служебные записки/протоколы заседаний РГ, комиссий и т.д.</t>
  </si>
  <si>
    <t xml:space="preserve">Журналы инструктажа\выгрузка из образовательной платформы </t>
  </si>
  <si>
    <t xml:space="preserve">Скриншот\выгрузка из образовательной платформы </t>
  </si>
  <si>
    <t xml:space="preserve">13.11.2025 г. </t>
  </si>
  <si>
    <t>Формализованный документ, регламентирующий категории конфиденциальности и порядок их присвоения</t>
  </si>
  <si>
    <t>Скрин-шот\выгрузка настроек и\или политик средств шифрования</t>
  </si>
  <si>
    <t>Передаваемые между сегментами, сетями за пределами контролируемой зоны данные защищены (сетевые протоколы шифрования и VPN)</t>
  </si>
  <si>
    <t>Описание правил защищенного информационного взаимодействия</t>
  </si>
  <si>
    <t>Формализованный документ, регламентирующий правила защищенного информационного взаимодействия между сегментами сети и внешними сетями</t>
  </si>
  <si>
    <t>Формализованный документ, регламентирующий порядок использования личных устройств</t>
  </si>
  <si>
    <t>Скрин-шот\выгрузка настроек и\или политик средств контроля</t>
  </si>
  <si>
    <t>Формализованный документ, определяющий требования к парольной политике
Скрин-шот\выгрузка парольных политик</t>
  </si>
  <si>
    <t xml:space="preserve">Формализованный документ, определяющий требования к учетным записям и процессу аутентификации в ИС
</t>
  </si>
  <si>
    <t>Выгрузка политик MS AD</t>
  </si>
  <si>
    <t>не применимо</t>
  </si>
  <si>
    <t>Не применимо</t>
  </si>
  <si>
    <t xml:space="preserve">Формализованный документ, в котором установлен запрет на пересылку паролей пользователями в открытом виде, а также определен порядок защищенной передачи паролей
</t>
  </si>
  <si>
    <t>Скрин-шоты\выгрузки настроек ИС</t>
  </si>
  <si>
    <t>Скрин-шот\выгрузка настроек\политик средств защищенного хранения паролей</t>
  </si>
  <si>
    <t>Выгрузка\скриншот политик\настроек средств удаленного доступа</t>
  </si>
  <si>
    <t>Скрин-шот\выгрузка конфигураций\настроек средств активного обнаружения активов (сканеры сети и т.д.)</t>
  </si>
  <si>
    <t>Скрин-шот\выгрузка конфигураций\настроек средств пассивного обнаружения активов (анализ сетевого трафика, утилиты для пассивного обнаружения новых сетевых активов)</t>
  </si>
  <si>
    <t>Скрин-шоты\выгрузки настроек сканеров уязвимостей и инвентаризационных реестров\систем</t>
  </si>
  <si>
    <t>Скрин-шоты\выгрузки настроек\описание интеграции сканеров с автоматизированными системами учета активов</t>
  </si>
  <si>
    <t>Формализованный документ, описывающий процесс контроля фактического состава информационных активов и их размещения в сегментах вычислительных сетей</t>
  </si>
  <si>
    <t>Скрин-шот\выгрузка из средств автоматизации</t>
  </si>
  <si>
    <t>Скрин-шот\выгрузка из единой автоматизированной системы учета</t>
  </si>
  <si>
    <t>Формализованный документ, регламентирующий жизненный цикл информационных систем</t>
  </si>
  <si>
    <t>Формализованный документ, определяющий процедуры проверки кандидатов, с отсылками на законные основания для их проведения;
Формы анкет для кандидатов</t>
  </si>
  <si>
    <t>Формализованный документ, утверждающий формы соглашений о конфиденциальности  и процедуры их сбора и хранения</t>
  </si>
  <si>
    <t>Формализованный документ, утверждающий формы соглашений о конфиденциальности  и процедуры их сбора и хранения
Форма трудового договора</t>
  </si>
  <si>
    <t>Формализованный документ, определяющий требования к процессу отказоустойчивости</t>
  </si>
  <si>
    <t>Формализованный документ, регламентирующий порядок дублирования инфраструктуры в территориально распределенных ЦОД</t>
  </si>
  <si>
    <t xml:space="preserve">Сетевые схемы дублирования инфраструктуры критичных ИС в разных ЦОД
</t>
  </si>
  <si>
    <t>Формализованный документ, определяющий требования к кластеризации компонентов информационных систем</t>
  </si>
  <si>
    <t>УИБ.ОД.4</t>
  </si>
  <si>
    <t>УИБ.ОД.5</t>
  </si>
  <si>
    <t>Скрин-шот\выгрузка из систем учета запасных частей</t>
  </si>
  <si>
    <t>Формализованный документ, регламентирующий процессы обеспечения запасными частями и материалами, с учетом критичности информационных систем.
Скрин-шот\выгрузка из систем учета запасных частей.
Скан-копии договоров на техподдержку оборудования и ПО</t>
  </si>
  <si>
    <t>Приобретение, разработка и обслуживание систем и ПО</t>
  </si>
  <si>
    <t>Приказы по зареплению ответственных за ИС Mission Critical и Busines Critical</t>
  </si>
  <si>
    <t>Приказы по зареплению ответственных за каждым информационным активом</t>
  </si>
  <si>
    <t>Скрин-шот\выгрузка из локальных баз данных и информационных ресурсов для хранения инвентаризационных данных</t>
  </si>
  <si>
    <t>Скрин-шот\выгрузка из CMDB</t>
  </si>
  <si>
    <t>копия\выгрузка реестра инвентаризации</t>
  </si>
  <si>
    <t>Формализованный документ, описывающий процесс управления доступом</t>
  </si>
  <si>
    <t>Формализованный документ, описывающий процесс управления доступом
Формализованный документ, описывающий процесс защиты привилегированного доступа</t>
  </si>
  <si>
    <t>Утвержденный перечень нежелательных событий ИБ</t>
  </si>
  <si>
    <t>Формализованный документ, определяющий порядок доступа к серверному и сетевому оборудованию и использование СКУД
Скрин-шот\выгрузка из СКУД</t>
  </si>
  <si>
    <t>Формализованный документ, определяющий порядок доступа к серверному и сетевому оборудованию 
Журнал выдачи ключей к серверным помещениям\выгрузка из СКУД</t>
  </si>
  <si>
    <t>Формализованный документ, регламентирующий  процедуру размещения активов, находящихся вне террритории Общества</t>
  </si>
  <si>
    <t>Реестр разрешенного и запрещенного ПО;
Скрин-шот\выгрузка политик LDAP
должнастная инструкция\регламент администратора либо формализованный документ, определяющий порядок установки ПО</t>
  </si>
  <si>
    <t>Скриншот\выгрузка политик применямого средства контроля ПО</t>
  </si>
  <si>
    <t>Скриншот\выгрузка политик применямого средства контроля ПО
Примеры проектной документации на ИС</t>
  </si>
  <si>
    <t>Формализованный документ, определяющий требования к уровням доступности ИС и применямых в них СЗИ, в зависимости от их критичности</t>
  </si>
  <si>
    <t>Формализованный документ, регламентирующий процесс тестирования ИС на отказоустойчивость;
Результаты тестирования.</t>
  </si>
  <si>
    <t>Информационные системы Общества соотнесены с ИТ-инфраструктурой, на которой они функциониуют, а также с информационными ресурсами, относящимися к данным ИС</t>
  </si>
  <si>
    <t xml:space="preserve"> Последовательность скриншотов\запись экрана из ресурса доступа, демонстрирующая прерывание сессии логического доступа и переход к странице, требующей выполнения аутентификации следующим шагом</t>
  </si>
  <si>
    <t>Формализованный документ, определяющий правила сетевых взаимодействий между компонентами инфраструктуры и ИС
Сетевые схемы взаимодействия
Выгрузка правил сетевого оборудования</t>
  </si>
  <si>
    <t>Формализованный документ, определяющий правила конфигурирования активов</t>
  </si>
  <si>
    <t>Формализованный документ, регламентирующий организацию доступа к сети Интернет;
Скрин-шот\выгрузка конфигураций пограничных сетевых устройств
Подтверждение наличия атрибута 'доступ в Интернет' в реестре ИС</t>
  </si>
  <si>
    <t>Примеры проектной документации на ИС, взаимодействующие с сетью Интернет;
Скрин-шот\выгрузка конфигураций пограничных сетевых устройств
Подтверждение наличия компенсирующих мер защиты, для ИС, не соответствующих требованиям</t>
  </si>
  <si>
    <t>Скрин-шот\выгрузка конфигураций пограничных сетевых устройств</t>
  </si>
  <si>
    <t>Формализованный документ, определяющий правила формирования ролевых моделей доступа;
Примеры ролевых моделей</t>
  </si>
  <si>
    <t>Результаты аудита</t>
  </si>
  <si>
    <t>Результаты аудита
Примеры ролевых моделей</t>
  </si>
  <si>
    <t>Формализованный документ, описывающий процесс согласования прав доступа к ИС
Примеры заявок</t>
  </si>
  <si>
    <t xml:space="preserve">Скрин-шот заявок из средства автоматизации </t>
  </si>
  <si>
    <t>Последовательность скриншотов\запись экрана, демонстрирующая процесс автоматического назначения прав в зависимости от должности</t>
  </si>
  <si>
    <t>Подтверждение интеграции кадровой и ААА систем;
Последовательность скриншотов\запись экрана, демонстрирующая процесс автоматической блокировки УЗ</t>
  </si>
  <si>
    <t xml:space="preserve">Подтверждение интеграции кадровой и ААА систем;
Последовательность скриншотов\запись экрана, демонстрирующая процесс автоматического отзыва прав </t>
  </si>
  <si>
    <t>Подтверждение интеграции кадровой и ААА систем;
Последовательность скриншотов\запись экрана, демонстрирующая процесс автоматического создания УЗ и назначения базовых прав</t>
  </si>
  <si>
    <t>Отчеты о проведенных аудитах</t>
  </si>
  <si>
    <t>Формализованный документ, регламентирующий процедуру блокировки УЗ и отзыва прав доступа при инцидентах ИБ;
Результаты тестирования</t>
  </si>
  <si>
    <t>Формализованный документ, регламентирующий процессы утилизации машинных носителей и процедуры уничтожения\стирания информации с МНИ
Акты уничтожения\стирания информации, утилизации МНИ</t>
  </si>
  <si>
    <t>1.Формализованный документ, включающий следующие положения: 
- порядок предъявления требований безопасности ПО;
- порядок предоставления требований безопасности ПО исполнителям;
- порядок отслеживания процесса предоставления, получения и выполнения требований безопасности ПО;
- критерии пересмотра требований безопасности ПО (периодически, при наступлении определенных событий);
-процедура проверки требований.
2.Набор требований безопасности ПО для систем Mission Critical, содержащий следующую информацию:
- идентификатор требования безопасности ПО;
- формулировку требования безопасности ПО;
- дату предъявления требований безопасности ПО;
- приоритет/важность требования безопасности ПО;
- предполагаемые сроки реализации;
- сведения о сотрудниках (подразделениях), предъявивших требования;
- сведения о сотрудниках (подразделениях), принявших требования к реализации.
3.Руководство по внедрению требований для систем Mission Critical</t>
  </si>
  <si>
    <t>1.Формализованный документ, определяющий требования безопасности ПО
2.Набор требований безопасности ПО для всех систем
3.Руководство по внедрению требований для всех систем
4.Электровнный журнал учета изменений предъявленных требований безопасности и контроля однозначности трактования и непротиворечивости набора требований безопасности ПО</t>
  </si>
  <si>
    <t>1.Формализованный документ, определяющий требования безопасности ПО
2.Набор требований безопасности ПО для систем Business Critical;
3.Руководство по внедрению требований для систем Business Critical
4.Электровнный журнал учета изменений предъявленных требований безопасности и контроля однозначности трактования и непротиворечивости набора требований безопасности ПО</t>
  </si>
  <si>
    <t>Формализованный документ, определяющий  набор механизмов безопасности системного уровня для обеспечения безопасности критичных компонентов ПО для систем Mission Critical.</t>
  </si>
  <si>
    <t>Формализованный документ, определяющий  набор механизмов безопасности системного уровня для обеспечения безопасности критичных компонентов ПО для систем Business Critical.</t>
  </si>
  <si>
    <t>1.
- Отчеты о проведенных сканированиях на уязвимости.
- Логи и алерты от системы обнаружения уязвимостей.
- Документация по настройке и использованию системы обнаружения уязвимостей.
- Статистика выявленных и исправленных уязвимостей.
2.
- Подписанные SLA-документы.
- Журналы выполнения обязательств по SLA.
3.
- Политики и руководства по оценке критичности библиотек.
- Матрица критичности библиотек с оценками и классификацией.
- Отчеты о регулярных проверках и обновлениях библиотек.
- Документация по процедуре оценки и принятия решений по критичности.
4.
- Список и описание метрик отслеживаемости.
- Инструменты и системы мониторинга, используемые для сбора метрик.
- Отчеты о текущих значениях метрик.
- Процедуры и документация по анализу и интерпретации метрик.</t>
  </si>
  <si>
    <t>Формализованный документ, определяющий  набор механизмов безопасности системного уровня для обеспечения безопасности критичных компонентов ПО для всех систем</t>
  </si>
  <si>
    <t xml:space="preserve">- Формализованный документ, содержащий порядок фиксации замечаний по безопасности и процедуры исправления багов.
-Логи и журналы, где фиксируются все замечания по безопасности.
-Отчеты о исправлении багов:
-Инструкции, описывающие шаги по фиксации и исправлению замечаний.
- Артефакты реальных примеров фиксации и исправления замечаний по безопасности, с указанием дат, ответственных лиц и результатов.
</t>
  </si>
  <si>
    <t xml:space="preserve">1.
-Формализованный документ, описывающий процедуры и критерии приемки ПО.
-Журналы и протоколы, фиксирующие проведенные приемочные тесты и их результаты.
-Документы, содержащие сводные отчеты о приемке ПО, включая заключения о готовности к запуску.
2.
- Формализованный документ, описывающий процедуры и этапы передачи ПО в продуктивную среду.
-Логи и журналы, фиксирующие все действия по передаче ПО в продуктивную среду.
- Документы, содержащие сводные отчеты о успешности и проблемах при передаче ПО в продуктивную среду.
3. 
- Формализованный документ, описывающий состав и содержание необходимых эксплуатационных документов.
-Документы, содержащие информацию о создании и обновлении эксплуатационных документов, включая даты и ответственные лица.
</t>
  </si>
  <si>
    <t>1.
-Перечень лиц, ответственных за техническую поддержку пользователей ПО.
-Документы, содержащие сводные отчеты о деятельности службы поддержки, включая время реакции и решение проблем.
2.
- Формализованный документ, описывающий процедуры информирования пользователей.
-Примеры шаблонов уведомлений, используемых для информирования пользователей.
-Логи и журналы, фиксирующие отправку уведомлений пользователям.
-Документы, содержащие информацию о выполненных уведомлениях, включая даты и способы доставки.
3.
-Перечень лиц, ответственных за поиск и устранение уязвимостей.
-Логи и журналы, фиксирующие проведение аудита и поиск уязвимостей.
-Журналы и протоколы, фиксирующие действия по устранению обнаруженных уязвимостей
-Документы, содержащие сводные отчеты о проведенных аудитах, найденных уязвимостях и их устранении.</t>
  </si>
  <si>
    <t>1.Список всех используемых модулей и служб с их описаниями;
2.
-Формализованный документ, описывающий критерии оценки модулей и служб;
- Документы, содержащие результаты оценки модулей и служб по указанным критериям;
3.Реестр, содержащий список проверенных модулей и служб с указанием источника и даты проверки.
4.
- Формализованный документ, описывающий использование только модулей и служб из реестра;
-Логи и записи, фиксирующие использование только модулей и служб из реестра.
5.
-Формализованный документ, описывающий процедуры настройки автоматических обновлений;
-Журналы, фиксирующие автоматические обновления;
-Документы с информацией о успешности и проблемах при автоматических обновлениях.</t>
  </si>
  <si>
    <t xml:space="preserve">1.
-Подписанный лицензионный договор;
-Подписанный акт приема-передачи.
2.
- Формализованный документ, описывающий процедуры анализа кода;
-Отчеты, содержащие результаты анализа кода на наличие вредоносного ПО;
-Журналы, фиксирующие процесс анализа кода и выявленные угрозы.
</t>
  </si>
  <si>
    <t xml:space="preserve">1.
- Формализованный документ, описывающий процедуры анализа кода;
-Отчеты, содержащие результаты анализа кода на наличие вредоносного ПО;
-Журналы, фиксирующие процесс анализа кода и выявленные угрозы.
2.
- Формализованный документ, описывающий стратегию и план автоматизации контроля безопасности ПО;
- Журналы, фиксирующие выполнение автоматизированных проверок безопасности ПО;
-Документы, содержащие результаты автоматизированных проверок и выявленные проблемы;
-Список и описания используемых инструментов автоматизации (например, SonarQube, OWASP ZAP, Snyk)
</t>
  </si>
  <si>
    <t xml:space="preserve">1.
-Формализованный документ, описывающий порядок формирования списка доверенных компонентов, критерии доверия и правила использования;
-Документы, показывающие, как порядок и критерии применялись для формирования списка доверенных компонентов.
2.
-Реестр  одобренных компонентов ПО с указанием их версий, источников и дат одобрения;
-Логи и записи, фиксирующие изменения в реестре одобренных компонентов;
-Документы, содержащие результаты проверок компонентов на соответствие критериям доверия.
</t>
  </si>
  <si>
    <t xml:space="preserve">1.
- Формализованный документ, описывающий стратегию и план автоматизации поиска уязвимостей;
-Журналы, фиксирующие выполнение автоматизированных проверок на уязвимости;
-Документы, содержащие результаты автоматизированных проверок и выявленные уязвимости;
-Список и описания используемых инструментов автоматизации поиска уязвимостей.
2.
- Формализованный документ, описывающий стратегию и план автоматизации отслеживания обновлений и информации об уязвимостях;
-Журналы, фиксирующие выполнение автоматизированных проверок на обновления и уязвимости;
-Список и описания используемых инструментов автоматизации для отслеживания обновлений ПО и информации об уязвимостях.
</t>
  </si>
  <si>
    <t xml:space="preserve">1.
- Формализованный документ, описывающий процедуры мониторинга процесса поиска уязвимостей.
-Документы, содержащие результаты мониторинга и анализы выявленных уязвимостей.
2.
-Формализованный документ, описывающий метрики и процедуры отслеживания процесса обновления ПО и информации об уязвимостях;
-Документы, содержащие ежемесячные значения метрик и анализы процесса обновления.
</t>
  </si>
  <si>
    <t>1.
-Формализованный документ, описывающий процедуры скачивания компонентов ПО из проверенных источников;
-Журналы, фиксирующие процесс скачивания компонентов из проверенных источников;
-Документы, содержащие результаты проверок источников на предмет их надежности и доверенности.
2.
-Формализованный документ, описывающий критерии, по которым компоненты ПО признаются доверенными;
-Документы, показывающие, как критерии доверия применялись для оценки конкретных компонентов;
-Документ, содержащий матрицу критериев доверия с описанием каждого критерия и его значимости.</t>
  </si>
  <si>
    <t xml:space="preserve">1.
- Формализованный документ, описывающий стратегию и план автоматизации проверки компонентов;
- Журналы, фиксирующие выполнение автоматизированных проверок на уязвимости и угрозы безопасности;
-Документы, содержащие результаты автоматизированных проверок и выявленные проблемы;
-Список и описания используемых инструментов автоматизации для проверки компонентов на уязвимости и угрозы безопасности. 
2.
-  Формализованный документ, описывающий политику получения компонентов ПО только из доверенных источников;
-Список доверенных источников для получения компонентов ПО;
-Журналы, фиксирующие процесс скачивания компонентов только из доверенных источников;
- Документы, содержащие результаты проверок источников на предмет их надежности и доверенности.
</t>
  </si>
  <si>
    <t xml:space="preserve">Скриншот: Визуализация метрик в виде графиков и дашбордов  для M38проверки компонентов на уязвимости и угрозы безопасности.
</t>
  </si>
  <si>
    <t>Работник Общества знакомится под расписку с документами Общества, устанавливающими режим КТ в Обществе и мерами отвественности за его нарушение, а также с полученными докуменами контрагента, содержащего сведения КТ в рамках исполнения своих трудовых обязанностей</t>
  </si>
  <si>
    <t>Утвержденная Политика управления рисками ИБ</t>
  </si>
  <si>
    <t>Согласованный список источников
Согласованный список собираемых событий (соответствующий требованиям по харденингу ПАО
Плейбуки по процессу
Выгрузка конфигураций SIEM/снимки экрана с настройками (подключенные источники и решающие правила)</t>
  </si>
  <si>
    <t>Покрытие инфраструктуры внедренным решением или используемым внешним сервисом по защите от DDoS</t>
  </si>
  <si>
    <t>Скриншот\выгрузка конфигураций средств AntiDDoS
Спецификация оборудования
Скан-копия договора на сервис AntiDDos</t>
  </si>
  <si>
    <t>Результаты пост-анализа инцидентов типа DDoS-атака
Информация о выполнении рекомендаций</t>
  </si>
  <si>
    <t>Формализованный документ, определяющий правила сетевых взаимодействий между компонентами инфраструктуры и ИС
Формализованный документ, регламентирующий процесс согласования и изменения конфигурации сети
Сетевые схемы взаимодействия
Выгрузка правил сетевого оборудования</t>
  </si>
  <si>
    <t>Осуществляется контроль изменений конфигураций оборудования (АРМ, Серверы, Активное сетевое оборудование)</t>
  </si>
  <si>
    <t>Формализованный документ, определяющий порядок управления конфигурациями оборудования
Скрин-шот/выгрузка настроек автоматизированного средства управления конфигурациями
выгрузка файлов конфигураций</t>
  </si>
  <si>
    <t>Документы, подтверждающие процедуру качественной оценки рисков ИБ</t>
  </si>
  <si>
    <t>Формализованный документ, определяющий методику количественной оценки рисков ИБ
Скрин-шот из автоматизированной системы оценки рисков ИБ
Утвержденные ключевые индикаторы риска
Скрин-шоты метрик процесса</t>
  </si>
  <si>
    <t>Формализованный документ, регламентирующий управление рисками</t>
  </si>
  <si>
    <t>Скрин-шот\выгрузка из системы управления устройствами</t>
  </si>
  <si>
    <t xml:space="preserve">Формализованный документ, определяющий порядок управления устройствами хранения информации
</t>
  </si>
  <si>
    <t>Журналы учета МНИ, акты уничтожения
Отчеты проверок соблюдения регламента обращения с МНИ</t>
  </si>
  <si>
    <t>Примеры заключенных договоров за последний год</t>
  </si>
  <si>
    <t>Формализованный документ, в котором закреплена роль подразделений ИБ в согласовании договоров</t>
  </si>
  <si>
    <t>Утвержденные схемы интеграции</t>
  </si>
  <si>
    <t>1) Утвержденная МУиН;
 2) Базовый набор  организационных и технических мер по обеспечению безопасности
3) Разработанные компенсирующие меры (пообъектно).
4) Комплект ОРД и ВНД регламентирующие процессы обеспечения безопасности ОКИИ</t>
  </si>
  <si>
    <r>
      <t>Разработанная Проектная и эксплуатационная документация:
1) Техническое задание (ТЗ) на создание СОИБ КИИ.
2) Техническое решение (ТР) СОИБ КИИ.
3) Программа и методика испытаний (ПМИ) СОИБ КИИ.
4) протокол ПСИ</t>
    </r>
    <r>
      <rPr>
        <sz val="18"/>
        <rFont val="Calibri"/>
        <family val="2"/>
        <charset val="204"/>
      </rPr>
      <t xml:space="preserve">
5) Утвержденный Акт ввода в эксплуатацию СОИБ КИИ.
Актуальные скрин-шоты по контролям ПМИ
Отчет\акт о результатах контроля СОИБ КИИ не реже, чем раз в 3 года</t>
    </r>
  </si>
  <si>
    <t>СУИБ.УР.9</t>
  </si>
  <si>
    <t>Рекомендации ПАО Ростелеком
Очередь 1 (КБ1)</t>
  </si>
  <si>
    <t>Рекомендации ПАО Ростелеком
Очередь 2 (КБ2)</t>
  </si>
  <si>
    <t>Рекомендации ПАО Ростелеком
Очередь 3 (КБ3)</t>
  </si>
  <si>
    <t>Артефакты (КБ1)</t>
  </si>
  <si>
    <t>Артефакты (КБ2)</t>
  </si>
  <si>
    <t>Артефакты (КБ3)</t>
  </si>
  <si>
    <t>Копия\выгрузка реестра инвентаризации</t>
  </si>
  <si>
    <t>Сетевые схемы дублирования инфраструктуры критичных ИС в разных ЦОД</t>
  </si>
  <si>
    <t>Формализованный документ, регламентирующий процесс тестирования ИС на отказоустойчивость;</t>
  </si>
  <si>
    <t>Результаты тестирования.</t>
  </si>
  <si>
    <t xml:space="preserve"> Формализованный документ, содержащий порядок фиксации замечаний по безопасности и процедуры исправления багов.
Логи и журналы, где фиксируются все замечания по безопасности.
Отчеты о исправлении багов:
Инструкции, описывающие шаги по фиксации и исправлению замечаний.
Артефакты реальных примеров фиксации и исправления замечаний по безопасности, с указанием дат, ответственных лиц и результатов.
</t>
  </si>
  <si>
    <t>1.
- Формализованный документ, описывающий процедуры мониторинга процесса поиска уязвимостей.
-Документы, содержащие результаты мониторинга и анализы выявленных уязвимостей.
2.
-Формализованный документ, описывающий метрики и процедуры отслеживания процесса обновления ПО и информации об уязвимостях;
-Документы, содержащие ежемесячные значения метрик и анализы процесса обновления.</t>
  </si>
  <si>
    <t>Скриншот: Визуализация метрик в виде графиков и дашбордов  для M38проверки компонентов на уязвимости и угрозы безопасности.</t>
  </si>
  <si>
    <t>1.-Документ с описанием критериев оценки замечаний.
- Матрица критериев, включающая параметры оценки (например, степень влияния, вероятность возникновения, сложность исправления).
- Примеры оценки замечаний по формализованным критериям.
- Журналы и отчеты о проведенных оценках замечаний.
2.
- Процедура приоритезации замечаний.
- Матрица приоритетов, связывающая уровни критичности с соответствующими действиями и сроками исправления.
- Примеры приоритизации замечаний по формализованному порядку.
- Журналы и отчеты о приоритезации и исправлении замечаний.</t>
  </si>
  <si>
    <t>b,</t>
  </si>
  <si>
    <t>УИБ.УД.8</t>
  </si>
  <si>
    <r>
      <t xml:space="preserve">Разработанная Проектная и эксплуатационная документация:
1) Техническое задание (ТЗ) на создание СОИБ КИИ.
2) Техническое решение (ТР) СОИБ КИИ.
3) Программа и методика испытаний (ПМИ) СОИБ КИИ.
4) </t>
    </r>
    <r>
      <rPr>
        <sz val="12"/>
        <color theme="1"/>
        <rFont val="Calibri"/>
        <family val="2"/>
        <charset val="204"/>
      </rPr>
      <t>протокол ПСИ</t>
    </r>
    <r>
      <rPr>
        <sz val="12"/>
        <rFont val="Calibri"/>
        <family val="2"/>
        <charset val="204"/>
      </rPr>
      <t xml:space="preserve">
5) Утвержденный Акт ввода в эксплуатацию СОИБ КИИ.
Актуальные скрин-шоты по контролям ПМИ
Отчет\акт о результатах контроля СОИБ КИИ не реже, чем раз в 3 года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</si>
</sst>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 [$₽-419]_-;\-* #,##0.00\ [$₽-419]_-;_-* &quot;-&quot;??\ [$₽-419]_-;_-@_-"/>
    <numFmt numFmtId="166" formatCode="0.0"/>
    <numFmt numFmtId="167" formatCode="0.000"/>
  </numFmts>
  <fonts count="69">
    <font>
      <sz val="12"/>
      <color theme="1"/>
      <name val="Calibri"/>
    </font>
    <font>
      <sz val="11"/>
      <color theme="1"/>
      <name val="Arial"/>
      <family val="2"/>
      <charset val="204"/>
      <scheme val="minor"/>
    </font>
    <font>
      <sz val="11"/>
      <color theme="1"/>
      <name val="Arial"/>
      <family val="2"/>
      <charset val="204"/>
      <scheme val="minor"/>
    </font>
    <font>
      <sz val="12"/>
      <name val="Calibri"/>
      <family val="2"/>
      <charset val="204"/>
    </font>
    <font>
      <sz val="28"/>
      <name val="Rostelecom Basis Medium"/>
      <family val="2"/>
    </font>
    <font>
      <b/>
      <sz val="12"/>
      <name val="Arial"/>
      <family val="2"/>
      <charset val="204"/>
      <scheme val="major"/>
    </font>
    <font>
      <b/>
      <sz val="12"/>
      <name val="Arial"/>
      <family val="2"/>
      <charset val="204"/>
    </font>
    <font>
      <sz val="12"/>
      <name val="Arial"/>
      <family val="2"/>
      <charset val="204"/>
    </font>
    <font>
      <sz val="11"/>
      <name val="Arial"/>
      <family val="2"/>
      <charset val="204"/>
    </font>
    <font>
      <b/>
      <sz val="16"/>
      <color theme="3"/>
      <name val="Rostelecom Basis"/>
      <family val="2"/>
    </font>
    <font>
      <b/>
      <sz val="16"/>
      <color theme="7"/>
      <name val="Rostelecom Basis"/>
      <family val="2"/>
    </font>
    <font>
      <b/>
      <sz val="16"/>
      <color theme="1"/>
      <name val="Rostelecom Basis"/>
      <family val="2"/>
    </font>
    <font>
      <b/>
      <sz val="48"/>
      <color indexed="2"/>
      <name val="Rostelecom Basis"/>
      <family val="2"/>
    </font>
    <font>
      <b/>
      <sz val="12"/>
      <name val="Calibri"/>
      <family val="2"/>
      <charset val="204"/>
    </font>
    <font>
      <b/>
      <sz val="20"/>
      <color theme="1"/>
      <name val="Calibri"/>
      <family val="2"/>
      <charset val="204"/>
    </font>
    <font>
      <b/>
      <sz val="26"/>
      <color rgb="FFC00000"/>
      <name val="Calibri"/>
      <family val="2"/>
      <charset val="204"/>
    </font>
    <font>
      <b/>
      <sz val="18"/>
      <color theme="1"/>
      <name val="Calibri"/>
      <family val="2"/>
      <charset val="204"/>
    </font>
    <font>
      <sz val="16"/>
      <name val="Calibri"/>
      <family val="2"/>
      <charset val="204"/>
    </font>
    <font>
      <b/>
      <sz val="16"/>
      <name val="Calibri"/>
      <family val="2"/>
      <charset val="204"/>
    </font>
    <font>
      <sz val="18"/>
      <name val="Calibri"/>
      <family val="2"/>
      <charset val="204"/>
    </font>
    <font>
      <sz val="12"/>
      <color theme="0"/>
      <name val="Calibri"/>
      <family val="2"/>
      <charset val="204"/>
    </font>
    <font>
      <b/>
      <sz val="11"/>
      <color theme="0"/>
      <name val="Arial"/>
      <family val="2"/>
      <charset val="204"/>
    </font>
    <font>
      <b/>
      <sz val="12"/>
      <color theme="1"/>
      <name val="Calibri"/>
      <family val="2"/>
      <charset val="204"/>
    </font>
    <font>
      <b/>
      <sz val="18"/>
      <name val="Calibri"/>
      <family val="2"/>
      <charset val="204"/>
    </font>
    <font>
      <sz val="14"/>
      <name val="Calibri"/>
      <family val="2"/>
      <charset val="204"/>
    </font>
    <font>
      <b/>
      <i/>
      <sz val="18"/>
      <name val="Calibri"/>
      <family val="2"/>
      <charset val="204"/>
    </font>
    <font>
      <b/>
      <sz val="36"/>
      <color theme="1"/>
      <name val="Calibri"/>
      <family val="2"/>
      <charset val="204"/>
    </font>
    <font>
      <b/>
      <sz val="22"/>
      <name val="Calibri"/>
      <family val="2"/>
      <charset val="204"/>
    </font>
    <font>
      <sz val="22"/>
      <name val="Calibri"/>
      <family val="2"/>
      <charset val="204"/>
    </font>
    <font>
      <i/>
      <sz val="22"/>
      <name val="Calibri"/>
      <family val="2"/>
      <charset val="204"/>
    </font>
    <font>
      <sz val="14"/>
      <color theme="2" tint="-0.499984740745262"/>
      <name val="Calibri"/>
      <family val="2"/>
      <charset val="204"/>
    </font>
    <font>
      <i/>
      <sz val="20"/>
      <name val="Calibri"/>
      <family val="2"/>
      <charset val="204"/>
    </font>
    <font>
      <i/>
      <sz val="18"/>
      <name val="Calibri"/>
      <family val="2"/>
      <charset val="204"/>
    </font>
    <font>
      <i/>
      <sz val="20"/>
      <color indexed="2"/>
      <name val="Calibri"/>
      <family val="2"/>
      <charset val="204"/>
    </font>
    <font>
      <i/>
      <sz val="18"/>
      <color indexed="2"/>
      <name val="Calibri"/>
      <family val="2"/>
      <charset val="204"/>
    </font>
    <font>
      <i/>
      <sz val="22"/>
      <color indexed="2"/>
      <name val="Calibri"/>
      <family val="2"/>
      <charset val="204"/>
    </font>
    <font>
      <i/>
      <sz val="18"/>
      <color rgb="FFC00000"/>
      <name val="Calibri"/>
      <family val="2"/>
      <charset val="204"/>
    </font>
    <font>
      <b/>
      <sz val="14"/>
      <name val="Calibri"/>
      <family val="2"/>
      <charset val="204"/>
    </font>
    <font>
      <b/>
      <sz val="48"/>
      <name val="Calibri"/>
      <family val="2"/>
      <charset val="204"/>
    </font>
    <font>
      <sz val="14"/>
      <name val="Arial"/>
      <family val="2"/>
      <charset val="204"/>
    </font>
    <font>
      <b/>
      <sz val="11"/>
      <color theme="1"/>
      <name val="Arial"/>
      <family val="2"/>
      <charset val="204"/>
    </font>
    <font>
      <b/>
      <sz val="12"/>
      <color theme="0"/>
      <name val="Arial"/>
      <family val="2"/>
      <charset val="204"/>
    </font>
    <font>
      <b/>
      <sz val="14"/>
      <name val="Arial"/>
      <family val="2"/>
      <charset val="204"/>
    </font>
    <font>
      <b/>
      <sz val="12"/>
      <color theme="0"/>
      <name val="Calibri"/>
      <family val="2"/>
      <charset val="204"/>
    </font>
    <font>
      <b/>
      <sz val="11"/>
      <name val="Arial"/>
      <family val="2"/>
      <charset val="204"/>
    </font>
    <font>
      <sz val="11"/>
      <name val="Calibri"/>
      <family val="2"/>
      <charset val="204"/>
    </font>
    <font>
      <sz val="11"/>
      <color theme="0"/>
      <name val="Arial"/>
      <family val="2"/>
      <charset val="204"/>
    </font>
    <font>
      <sz val="10"/>
      <name val="Arial"/>
      <family val="2"/>
      <charset val="204"/>
    </font>
    <font>
      <sz val="36"/>
      <name val="Calibri"/>
      <family val="2"/>
      <charset val="204"/>
    </font>
    <font>
      <b/>
      <sz val="11"/>
      <name val="Calibri"/>
      <family val="2"/>
      <charset val="204"/>
    </font>
    <font>
      <sz val="11"/>
      <color theme="0"/>
      <name val="Calibri"/>
      <family val="2"/>
      <charset val="204"/>
    </font>
    <font>
      <b/>
      <sz val="26"/>
      <name val="Calibri"/>
      <family val="2"/>
      <charset val="204"/>
    </font>
    <font>
      <b/>
      <sz val="12"/>
      <color theme="1"/>
      <name val="Arial"/>
      <family val="2"/>
      <charset val="204"/>
      <scheme val="minor"/>
    </font>
    <font>
      <b/>
      <sz val="11"/>
      <color theme="1"/>
      <name val="Arial"/>
      <family val="2"/>
      <charset val="204"/>
      <scheme val="minor"/>
    </font>
    <font>
      <sz val="11"/>
      <name val="Arial"/>
      <family val="2"/>
      <charset val="204"/>
      <scheme val="minor"/>
    </font>
    <font>
      <sz val="8"/>
      <name val="Segoe UI"/>
      <family val="2"/>
      <charset val="204"/>
    </font>
    <font>
      <b/>
      <sz val="12"/>
      <color theme="0"/>
      <name val="Arial"/>
      <family val="2"/>
      <charset val="204"/>
      <scheme val="minor"/>
    </font>
    <font>
      <sz val="12"/>
      <name val="Times New Roman"/>
      <family val="1"/>
      <charset val="204"/>
    </font>
    <font>
      <b/>
      <sz val="14"/>
      <color theme="0"/>
      <name val="Calibri"/>
      <family val="2"/>
      <charset val="204"/>
    </font>
    <font>
      <i/>
      <sz val="12"/>
      <name val="Calibri"/>
      <family val="2"/>
      <charset val="204"/>
    </font>
    <font>
      <b/>
      <sz val="36"/>
      <color indexed="2"/>
      <name val="Calibri"/>
      <family val="2"/>
      <charset val="204"/>
    </font>
    <font>
      <b/>
      <sz val="14"/>
      <color theme="2" tint="-0.499984740745262"/>
      <name val="Calibri"/>
      <family val="2"/>
      <charset val="204"/>
    </font>
    <font>
      <b/>
      <sz val="14"/>
      <color indexed="2"/>
      <name val="Calibri"/>
      <family val="2"/>
      <charset val="204"/>
    </font>
    <font>
      <b/>
      <i/>
      <sz val="11"/>
      <name val="Arial"/>
      <family val="2"/>
      <charset val="204"/>
    </font>
    <font>
      <b/>
      <sz val="11"/>
      <color indexed="2"/>
      <name val="Arial"/>
      <family val="2"/>
      <charset val="204"/>
    </font>
    <font>
      <b/>
      <sz val="11"/>
      <name val="Arial"/>
      <family val="2"/>
      <charset val="204"/>
    </font>
    <font>
      <sz val="18"/>
      <name val="Calibri"/>
      <family val="2"/>
      <charset val="204"/>
    </font>
    <font>
      <sz val="11"/>
      <name val="Arial"/>
      <family val="2"/>
      <charset val="204"/>
    </font>
    <font>
      <sz val="12"/>
      <color theme="1"/>
      <name val="Calibri"/>
      <family val="2"/>
      <charset val="204"/>
    </font>
  </fonts>
  <fills count="44">
    <fill>
      <patternFill patternType="none"/>
    </fill>
    <fill>
      <patternFill patternType="gray125"/>
    </fill>
    <fill>
      <patternFill patternType="solid">
        <fgColor theme="4" tint="0.39997558519241921"/>
        <bgColor indexed="65"/>
      </patternFill>
    </fill>
    <fill>
      <patternFill patternType="solid">
        <fgColor theme="0"/>
      </patternFill>
    </fill>
    <fill>
      <patternFill patternType="solid">
        <fgColor theme="5" tint="0.39997558519241921"/>
        <bgColor indexed="65"/>
      </patternFill>
    </fill>
    <fill>
      <patternFill patternType="solid">
        <fgColor theme="6" tint="0.79998168889431442"/>
        <bgColor indexed="65"/>
      </patternFill>
    </fill>
    <fill>
      <patternFill patternType="solid">
        <fgColor theme="7" tint="0.39997558519241921"/>
        <bgColor indexed="65"/>
      </patternFill>
    </fill>
    <fill>
      <patternFill patternType="solid">
        <fgColor rgb="FFE87722"/>
      </patternFill>
    </fill>
    <fill>
      <patternFill patternType="solid">
        <fgColor rgb="FFAADB1E"/>
      </patternFill>
    </fill>
    <fill>
      <patternFill patternType="solid">
        <fgColor theme="0" tint="-0.499984740745262"/>
        <bgColor indexed="65"/>
      </patternFill>
    </fill>
    <fill>
      <patternFill patternType="solid">
        <fgColor theme="7" tint="0.59999389629810485"/>
        <bgColor indexed="65"/>
      </patternFill>
    </fill>
    <fill>
      <patternFill patternType="solid">
        <fgColor rgb="FF00B0F0"/>
      </patternFill>
    </fill>
    <fill>
      <patternFill patternType="solid">
        <fgColor theme="4"/>
      </patternFill>
    </fill>
    <fill>
      <patternFill patternType="solid">
        <fgColor theme="2" tint="-9.9978637043366805E-2"/>
        <bgColor indexed="65"/>
      </patternFill>
    </fill>
    <fill>
      <patternFill patternType="solid">
        <fgColor rgb="FFFDE9F9"/>
      </patternFill>
    </fill>
    <fill>
      <patternFill patternType="solid">
        <fgColor theme="7" tint="0.79998168889431442"/>
        <bgColor indexed="65"/>
      </patternFill>
    </fill>
    <fill>
      <patternFill patternType="solid">
        <fgColor theme="4" tint="0.79998168889431442"/>
        <bgColor indexed="65"/>
      </patternFill>
    </fill>
    <fill>
      <patternFill patternType="solid">
        <fgColor theme="5" tint="0.79998168889431442"/>
        <bgColor indexed="65"/>
      </patternFill>
    </fill>
    <fill>
      <patternFill patternType="solid">
        <fgColor theme="0" tint="-0.249977111117893"/>
        <bgColor indexed="65"/>
      </patternFill>
    </fill>
    <fill>
      <patternFill patternType="solid">
        <fgColor indexed="42"/>
      </patternFill>
    </fill>
    <fill>
      <patternFill patternType="solid">
        <fgColor rgb="FF7030A0"/>
      </patternFill>
    </fill>
    <fill>
      <patternFill patternType="solid">
        <fgColor indexed="5"/>
      </patternFill>
    </fill>
    <fill>
      <patternFill patternType="solid">
        <fgColor indexed="26"/>
      </patternFill>
    </fill>
    <fill>
      <patternFill patternType="solid">
        <fgColor theme="4" tint="-0.249977111117893"/>
        <bgColor indexed="65"/>
      </patternFill>
    </fill>
    <fill>
      <patternFill patternType="solid">
        <fgColor rgb="FFF4C8F4"/>
      </patternFill>
    </fill>
    <fill>
      <patternFill patternType="solid">
        <fgColor rgb="FF9BE5FF"/>
      </patternFill>
    </fill>
    <fill>
      <patternFill patternType="solid">
        <fgColor rgb="FFFF9999"/>
      </patternFill>
    </fill>
    <fill>
      <patternFill patternType="solid">
        <fgColor theme="9" tint="0.59999389629810485"/>
        <bgColor indexed="65"/>
      </patternFill>
    </fill>
    <fill>
      <patternFill patternType="solid">
        <fgColor theme="0" tint="-0.14999847407452621"/>
        <bgColor indexed="65"/>
      </patternFill>
    </fill>
    <fill>
      <patternFill patternType="solid">
        <fgColor theme="2"/>
      </patternFill>
    </fill>
    <fill>
      <patternFill patternType="solid">
        <fgColor indexed="65"/>
      </patternFill>
    </fill>
    <fill>
      <patternFill patternType="solid">
        <fgColor theme="9" tint="0.39997558519241921"/>
        <bgColor indexed="65"/>
      </patternFill>
    </fill>
    <fill>
      <patternFill patternType="solid">
        <fgColor theme="9" tint="0.79998168889431442"/>
        <bgColor indexed="65"/>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rgb="FFE77119"/>
      </patternFill>
    </fill>
    <fill>
      <patternFill patternType="solid">
        <fgColor indexed="2"/>
      </patternFill>
    </fill>
    <fill>
      <patternFill patternType="solid">
        <fgColor theme="3"/>
      </patternFill>
    </fill>
    <fill>
      <patternFill patternType="solid">
        <fgColor theme="2" tint="-0.499984740745262"/>
        <bgColor indexed="65"/>
      </patternFill>
    </fill>
    <fill>
      <patternFill patternType="solid">
        <fgColor theme="3" tint="-0.499984740745262"/>
        <bgColor indexed="65"/>
      </patternFill>
    </fill>
    <fill>
      <patternFill patternType="solid">
        <fgColor theme="6" tint="0.39997558519241921"/>
        <bgColor indexed="65"/>
      </patternFill>
    </fill>
    <fill>
      <patternFill patternType="solid">
        <fgColor theme="3" tint="0.39997558519241921"/>
        <bgColor indexed="65"/>
      </patternFill>
    </fill>
    <fill>
      <patternFill patternType="solid">
        <fgColor theme="0" tint="-4.9989318521683403E-2"/>
        <bgColor indexed="65"/>
      </patternFill>
    </fill>
    <fill>
      <patternFill patternType="solid">
        <fgColor rgb="FFFFFF00"/>
        <bgColor indexed="64"/>
      </patternFill>
    </fill>
  </fills>
  <borders count="44">
    <border>
      <left/>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s>
  <cellStyleXfs count="10">
    <xf numFmtId="0" fontId="0" fillId="0" borderId="0"/>
    <xf numFmtId="0" fontId="2" fillId="0" borderId="0"/>
    <xf numFmtId="9" fontId="2" fillId="0" borderId="0" applyFont="0" applyFill="0" applyBorder="0" applyProtection="0"/>
    <xf numFmtId="0" fontId="2" fillId="0" borderId="0"/>
    <xf numFmtId="0" fontId="2" fillId="0" borderId="0"/>
    <xf numFmtId="0" fontId="3" fillId="0" borderId="0"/>
    <xf numFmtId="0" fontId="3" fillId="0" borderId="0"/>
    <xf numFmtId="9" fontId="3" fillId="0" borderId="0" applyFont="0" applyFill="0" applyBorder="0" applyProtection="0"/>
    <xf numFmtId="9" fontId="3" fillId="0" borderId="0" applyFont="0" applyFill="0" applyBorder="0" applyProtection="0"/>
    <xf numFmtId="0" fontId="1" fillId="0" borderId="0"/>
  </cellStyleXfs>
  <cellXfs count="793">
    <xf numFmtId="0" fontId="0" fillId="0" borderId="0" xfId="0"/>
    <xf numFmtId="0" fontId="0" fillId="2" borderId="0" xfId="0" applyFill="1"/>
    <xf numFmtId="0" fontId="3" fillId="2" borderId="0" xfId="0" applyFont="1" applyFill="1"/>
    <xf numFmtId="0" fontId="5" fillId="2" borderId="0" xfId="0" applyFont="1" applyFill="1"/>
    <xf numFmtId="0" fontId="6" fillId="2" borderId="0" xfId="0" applyFont="1" applyFill="1"/>
    <xf numFmtId="0" fontId="7" fillId="2" borderId="0" xfId="0" applyFont="1" applyFill="1"/>
    <xf numFmtId="0" fontId="0" fillId="3" borderId="0" xfId="0" applyFill="1"/>
    <xf numFmtId="0" fontId="9" fillId="3" borderId="0" xfId="0" applyFont="1" applyFill="1" applyAlignment="1">
      <alignment vertical="center" wrapText="1"/>
    </xf>
    <xf numFmtId="0" fontId="3" fillId="5" borderId="7" xfId="0" applyFont="1" applyFill="1" applyBorder="1" applyAlignment="1">
      <alignment horizontal="right" vertical="top"/>
    </xf>
    <xf numFmtId="14" fontId="3" fillId="5" borderId="9" xfId="0" applyNumberFormat="1" applyFont="1" applyFill="1" applyBorder="1" applyAlignment="1">
      <alignment horizontal="right" vertical="top"/>
    </xf>
    <xf numFmtId="14" fontId="0" fillId="5" borderId="9" xfId="0" applyNumberFormat="1" applyFill="1" applyBorder="1" applyAlignment="1">
      <alignment vertical="top"/>
    </xf>
    <xf numFmtId="2" fontId="15" fillId="5" borderId="8" xfId="0" applyNumberFormat="1" applyFont="1" applyFill="1" applyBorder="1" applyAlignment="1">
      <alignment vertical="top"/>
    </xf>
    <xf numFmtId="0" fontId="18" fillId="0" borderId="0" xfId="0" applyFont="1" applyAlignment="1">
      <alignment horizontal="center" vertical="center"/>
    </xf>
    <xf numFmtId="0" fontId="17" fillId="3" borderId="0" xfId="0" applyFont="1" applyFill="1" applyAlignment="1">
      <alignment horizontal="left" vertical="top" wrapText="1"/>
    </xf>
    <xf numFmtId="0" fontId="19" fillId="3" borderId="4" xfId="0" applyFont="1" applyFill="1" applyBorder="1" applyAlignment="1" applyProtection="1">
      <alignment horizontal="center" vertical="center"/>
      <protection locked="0"/>
    </xf>
    <xf numFmtId="0" fontId="0" fillId="0" borderId="0" xfId="0" applyAlignment="1">
      <alignment vertical="top"/>
    </xf>
    <xf numFmtId="0" fontId="13" fillId="8" borderId="10" xfId="0" applyFont="1" applyFill="1" applyBorder="1" applyAlignment="1">
      <alignment horizontal="center" vertical="center"/>
    </xf>
    <xf numFmtId="0" fontId="13" fillId="7" borderId="10" xfId="0" applyFont="1" applyFill="1" applyBorder="1" applyAlignment="1">
      <alignment horizontal="center" vertical="center"/>
    </xf>
    <xf numFmtId="0" fontId="13" fillId="6" borderId="10" xfId="0" applyFont="1" applyFill="1" applyBorder="1" applyAlignment="1">
      <alignment horizontal="center" vertical="center"/>
    </xf>
    <xf numFmtId="0" fontId="21" fillId="9" borderId="0" xfId="0" applyFont="1" applyFill="1" applyAlignment="1">
      <alignment horizontal="center" vertical="center" wrapText="1"/>
    </xf>
    <xf numFmtId="0" fontId="21" fillId="10" borderId="0" xfId="0" applyFont="1" applyFill="1" applyAlignment="1">
      <alignment horizontal="center" vertical="center" wrapText="1"/>
    </xf>
    <xf numFmtId="0" fontId="21" fillId="11" borderId="0" xfId="0" applyFont="1" applyFill="1" applyAlignment="1">
      <alignment horizontal="center" vertical="center" wrapText="1"/>
    </xf>
    <xf numFmtId="0" fontId="21" fillId="6" borderId="12" xfId="0" applyFont="1" applyFill="1" applyBorder="1" applyAlignment="1">
      <alignment horizontal="center" vertical="center" wrapText="1"/>
    </xf>
    <xf numFmtId="0" fontId="21" fillId="12" borderId="13" xfId="0" applyFont="1" applyFill="1" applyBorder="1" applyAlignment="1">
      <alignment horizontal="center" vertical="center" wrapText="1"/>
    </xf>
    <xf numFmtId="0" fontId="0" fillId="0" borderId="13" xfId="0" applyBorder="1" applyAlignment="1">
      <alignment vertical="top"/>
    </xf>
    <xf numFmtId="0" fontId="0" fillId="8" borderId="14" xfId="0" applyFill="1" applyBorder="1"/>
    <xf numFmtId="0" fontId="0" fillId="7" borderId="14" xfId="0" applyFill="1" applyBorder="1"/>
    <xf numFmtId="0" fontId="0" fillId="6" borderId="14" xfId="0" applyFill="1" applyBorder="1"/>
    <xf numFmtId="14" fontId="21" fillId="9" borderId="0" xfId="0" applyNumberFormat="1" applyFont="1" applyFill="1" applyAlignment="1">
      <alignment horizontal="center" wrapText="1"/>
    </xf>
    <xf numFmtId="14" fontId="21" fillId="10" borderId="0" xfId="0" applyNumberFormat="1" applyFont="1" applyFill="1" applyAlignment="1">
      <alignment horizontal="center" wrapText="1"/>
    </xf>
    <xf numFmtId="14" fontId="21" fillId="11" borderId="0" xfId="0" applyNumberFormat="1" applyFont="1" applyFill="1" applyAlignment="1">
      <alignment horizontal="center" wrapText="1"/>
    </xf>
    <xf numFmtId="14" fontId="21" fillId="6" borderId="15" xfId="0" applyNumberFormat="1" applyFont="1" applyFill="1" applyBorder="1" applyAlignment="1">
      <alignment horizontal="center" vertical="center" wrapText="1"/>
    </xf>
    <xf numFmtId="14" fontId="21" fillId="12" borderId="13" xfId="0" applyNumberFormat="1" applyFont="1" applyFill="1" applyBorder="1" applyAlignment="1">
      <alignment horizontal="center" wrapText="1"/>
    </xf>
    <xf numFmtId="0" fontId="13" fillId="0" borderId="0" xfId="0" applyFont="1"/>
    <xf numFmtId="0" fontId="13" fillId="0" borderId="4" xfId="0" applyFont="1" applyBorder="1" applyAlignment="1">
      <alignment vertical="center" wrapText="1"/>
    </xf>
    <xf numFmtId="2" fontId="13" fillId="8" borderId="1" xfId="0" applyNumberFormat="1" applyFont="1" applyFill="1" applyBorder="1" applyAlignment="1">
      <alignment horizontal="center" vertical="center"/>
    </xf>
    <xf numFmtId="2" fontId="13" fillId="7" borderId="17" xfId="0" applyNumberFormat="1" applyFont="1" applyFill="1" applyBorder="1" applyAlignment="1">
      <alignment horizontal="center" vertical="center"/>
    </xf>
    <xf numFmtId="2" fontId="13" fillId="6" borderId="17" xfId="0" applyNumberFormat="1" applyFont="1" applyFill="1" applyBorder="1" applyAlignment="1">
      <alignment horizontal="center" vertical="center"/>
    </xf>
    <xf numFmtId="2" fontId="22" fillId="13" borderId="17" xfId="0" applyNumberFormat="1" applyFont="1" applyFill="1" applyBorder="1" applyAlignment="1">
      <alignment horizontal="center" vertical="center"/>
    </xf>
    <xf numFmtId="2" fontId="13" fillId="14" borderId="17" xfId="0" applyNumberFormat="1" applyFont="1" applyFill="1" applyBorder="1" applyAlignment="1">
      <alignment horizontal="center" vertical="center"/>
    </xf>
    <xf numFmtId="2" fontId="13" fillId="11" borderId="17" xfId="0" applyNumberFormat="1" applyFont="1" applyFill="1" applyBorder="1" applyAlignment="1">
      <alignment horizontal="center" vertical="center"/>
    </xf>
    <xf numFmtId="2" fontId="13" fillId="15" borderId="17" xfId="0" applyNumberFormat="1" applyFont="1" applyFill="1" applyBorder="1" applyAlignment="1">
      <alignment horizontal="center" vertical="center"/>
    </xf>
    <xf numFmtId="2" fontId="13" fillId="16" borderId="8" xfId="0" applyNumberFormat="1" applyFont="1" applyFill="1" applyBorder="1" applyAlignment="1">
      <alignment horizontal="center" vertical="center"/>
    </xf>
    <xf numFmtId="0" fontId="13" fillId="17" borderId="0" xfId="0" applyFont="1" applyFill="1" applyAlignment="1">
      <alignment vertical="center" wrapText="1"/>
    </xf>
    <xf numFmtId="9" fontId="13" fillId="0" borderId="16" xfId="7" applyFont="1" applyBorder="1" applyAlignment="1">
      <alignment horizontal="center" vertical="center"/>
    </xf>
    <xf numFmtId="9" fontId="23" fillId="0" borderId="0" xfId="7" applyFont="1" applyAlignment="1">
      <alignment horizontal="center" vertical="center"/>
    </xf>
    <xf numFmtId="0" fontId="0" fillId="0" borderId="11" xfId="0" applyBorder="1"/>
    <xf numFmtId="2" fontId="0" fillId="8" borderId="10" xfId="0" applyNumberFormat="1" applyFill="1" applyBorder="1" applyAlignment="1">
      <alignment horizontal="center"/>
    </xf>
    <xf numFmtId="2" fontId="0" fillId="7" borderId="14" xfId="0" applyNumberFormat="1" applyFill="1" applyBorder="1" applyAlignment="1">
      <alignment horizontal="center"/>
    </xf>
    <xf numFmtId="2" fontId="0" fillId="6" borderId="14" xfId="0" applyNumberFormat="1" applyFill="1" applyBorder="1" applyAlignment="1">
      <alignment horizontal="center"/>
    </xf>
    <xf numFmtId="2" fontId="8" fillId="0" borderId="0" xfId="0" applyNumberFormat="1" applyFont="1" applyAlignment="1">
      <alignment horizontal="center" vertical="center" wrapText="1"/>
    </xf>
    <xf numFmtId="2" fontId="0" fillId="0" borderId="18" xfId="0" applyNumberFormat="1" applyBorder="1" applyAlignment="1">
      <alignment horizontal="center"/>
    </xf>
    <xf numFmtId="2" fontId="0" fillId="14" borderId="0" xfId="0" applyNumberFormat="1" applyFill="1" applyAlignment="1">
      <alignment horizontal="center"/>
    </xf>
    <xf numFmtId="2" fontId="0" fillId="11" borderId="14" xfId="0" applyNumberFormat="1" applyFill="1" applyBorder="1" applyAlignment="1">
      <alignment horizontal="center"/>
    </xf>
    <xf numFmtId="2" fontId="0" fillId="15" borderId="10" xfId="0" applyNumberFormat="1" applyFill="1" applyBorder="1" applyAlignment="1">
      <alignment horizontal="center"/>
    </xf>
    <xf numFmtId="2" fontId="0" fillId="16" borderId="18" xfId="0" applyNumberFormat="1" applyFill="1" applyBorder="1" applyAlignment="1">
      <alignment horizontal="center"/>
    </xf>
    <xf numFmtId="2" fontId="0" fillId="0" borderId="0" xfId="0" applyNumberFormat="1" applyAlignment="1">
      <alignment horizontal="left"/>
    </xf>
    <xf numFmtId="2" fontId="0" fillId="19" borderId="0" xfId="0" applyNumberFormat="1" applyFill="1" applyAlignment="1">
      <alignment horizontal="left"/>
    </xf>
    <xf numFmtId="9" fontId="0" fillId="0" borderId="0" xfId="7" applyFont="1"/>
    <xf numFmtId="9" fontId="24" fillId="0" borderId="0" xfId="7" applyFont="1" applyAlignment="1">
      <alignment horizontal="right" vertical="center"/>
    </xf>
    <xf numFmtId="2" fontId="0" fillId="8" borderId="14" xfId="0" applyNumberFormat="1" applyFill="1" applyBorder="1" applyAlignment="1">
      <alignment horizontal="center"/>
    </xf>
    <xf numFmtId="2" fontId="8" fillId="0" borderId="3" xfId="0" applyNumberFormat="1" applyFont="1" applyBorder="1" applyAlignment="1">
      <alignment horizontal="center" vertical="center" wrapText="1"/>
    </xf>
    <xf numFmtId="2" fontId="0" fillId="15" borderId="14" xfId="0" applyNumberFormat="1" applyFill="1" applyBorder="1" applyAlignment="1">
      <alignment horizontal="center"/>
    </xf>
    <xf numFmtId="0" fontId="0" fillId="0" borderId="0" xfId="0" applyAlignment="1">
      <alignment horizontal="left"/>
    </xf>
    <xf numFmtId="0" fontId="0" fillId="0" borderId="11" xfId="0" applyBorder="1" applyAlignment="1">
      <alignment horizontal="left"/>
    </xf>
    <xf numFmtId="9" fontId="24" fillId="18" borderId="0" xfId="7" applyFont="1" applyFill="1" applyAlignment="1">
      <alignment horizontal="right" vertical="center"/>
    </xf>
    <xf numFmtId="0" fontId="0" fillId="18" borderId="11" xfId="0" applyFill="1" applyBorder="1"/>
    <xf numFmtId="2" fontId="0" fillId="18" borderId="14" xfId="0" applyNumberFormat="1" applyFill="1" applyBorder="1" applyAlignment="1">
      <alignment horizontal="center"/>
    </xf>
    <xf numFmtId="2" fontId="8" fillId="18" borderId="3" xfId="0" applyNumberFormat="1" applyFont="1" applyFill="1" applyBorder="1" applyAlignment="1">
      <alignment horizontal="center" vertical="center" wrapText="1"/>
    </xf>
    <xf numFmtId="2" fontId="0" fillId="18" borderId="18" xfId="0" applyNumberFormat="1" applyFill="1" applyBorder="1" applyAlignment="1">
      <alignment horizontal="center"/>
    </xf>
    <xf numFmtId="2" fontId="0" fillId="18" borderId="0" xfId="0" applyNumberFormat="1" applyFill="1" applyAlignment="1">
      <alignment horizontal="center"/>
    </xf>
    <xf numFmtId="2" fontId="0" fillId="18" borderId="0" xfId="0" applyNumberFormat="1" applyFill="1" applyAlignment="1">
      <alignment horizontal="left"/>
    </xf>
    <xf numFmtId="9" fontId="0" fillId="18" borderId="0" xfId="7" applyFont="1" applyFill="1"/>
    <xf numFmtId="0" fontId="0" fillId="18" borderId="0" xfId="0" applyFill="1"/>
    <xf numFmtId="2" fontId="3" fillId="14" borderId="0" xfId="0" applyNumberFormat="1" applyFont="1" applyFill="1" applyAlignment="1">
      <alignment horizontal="center"/>
    </xf>
    <xf numFmtId="2" fontId="0" fillId="14" borderId="8" xfId="0" applyNumberFormat="1" applyFill="1" applyBorder="1" applyAlignment="1">
      <alignment horizontal="center"/>
    </xf>
    <xf numFmtId="2" fontId="0" fillId="11" borderId="19" xfId="0" applyNumberFormat="1" applyFill="1" applyBorder="1" applyAlignment="1">
      <alignment horizontal="center"/>
    </xf>
    <xf numFmtId="2" fontId="0" fillId="15" borderId="19" xfId="0" applyNumberFormat="1" applyFill="1" applyBorder="1" applyAlignment="1">
      <alignment horizontal="center"/>
    </xf>
    <xf numFmtId="0" fontId="0" fillId="0" borderId="1" xfId="0" applyBorder="1"/>
    <xf numFmtId="2" fontId="0" fillId="7" borderId="10" xfId="0" applyNumberFormat="1" applyFill="1" applyBorder="1" applyAlignment="1">
      <alignment horizontal="center"/>
    </xf>
    <xf numFmtId="2" fontId="0" fillId="6" borderId="10" xfId="0" applyNumberFormat="1" applyFill="1" applyBorder="1" applyAlignment="1">
      <alignment horizontal="center"/>
    </xf>
    <xf numFmtId="2" fontId="0" fillId="11" borderId="10" xfId="0" applyNumberFormat="1" applyFill="1" applyBorder="1" applyAlignment="1">
      <alignment horizontal="center"/>
    </xf>
    <xf numFmtId="2" fontId="0" fillId="16" borderId="2" xfId="0" applyNumberFormat="1" applyFill="1" applyBorder="1" applyAlignment="1">
      <alignment horizontal="center"/>
    </xf>
    <xf numFmtId="0" fontId="0" fillId="0" borderId="7" xfId="0" applyBorder="1"/>
    <xf numFmtId="2" fontId="0" fillId="8" borderId="19" xfId="0" applyNumberFormat="1" applyFill="1" applyBorder="1" applyAlignment="1">
      <alignment horizontal="center"/>
    </xf>
    <xf numFmtId="2" fontId="0" fillId="7" borderId="19" xfId="0" applyNumberFormat="1" applyFill="1" applyBorder="1" applyAlignment="1">
      <alignment horizontal="center"/>
    </xf>
    <xf numFmtId="2" fontId="0" fillId="6" borderId="19" xfId="0" applyNumberFormat="1" applyFill="1" applyBorder="1" applyAlignment="1">
      <alignment horizontal="center"/>
    </xf>
    <xf numFmtId="2" fontId="0" fillId="16" borderId="8" xfId="0" applyNumberFormat="1" applyFill="1" applyBorder="1" applyAlignment="1">
      <alignment horizontal="center"/>
    </xf>
    <xf numFmtId="0" fontId="0" fillId="0" borderId="0" xfId="0" applyAlignment="1">
      <alignment vertical="center"/>
    </xf>
    <xf numFmtId="2" fontId="3" fillId="11" borderId="14" xfId="0" applyNumberFormat="1" applyFont="1" applyFill="1" applyBorder="1" applyAlignment="1">
      <alignment horizontal="center"/>
    </xf>
    <xf numFmtId="2" fontId="3" fillId="15" borderId="14" xfId="0" applyNumberFormat="1" applyFont="1" applyFill="1" applyBorder="1" applyAlignment="1">
      <alignment horizontal="center"/>
    </xf>
    <xf numFmtId="2" fontId="0" fillId="14" borderId="18" xfId="0" applyNumberFormat="1" applyFill="1" applyBorder="1" applyAlignment="1">
      <alignment horizontal="center"/>
    </xf>
    <xf numFmtId="0" fontId="0" fillId="0" borderId="3" xfId="0" applyBorder="1" applyAlignment="1">
      <alignment vertical="center"/>
    </xf>
    <xf numFmtId="2" fontId="0" fillId="8" borderId="10" xfId="0" applyNumberFormat="1" applyFill="1" applyBorder="1" applyAlignment="1">
      <alignment horizontal="center" vertical="center"/>
    </xf>
    <xf numFmtId="2" fontId="0" fillId="7" borderId="10" xfId="0" applyNumberFormat="1" applyFill="1" applyBorder="1" applyAlignment="1">
      <alignment horizontal="center" vertical="center"/>
    </xf>
    <xf numFmtId="2" fontId="0" fillId="6" borderId="1" xfId="0" applyNumberFormat="1" applyFill="1" applyBorder="1" applyAlignment="1">
      <alignment horizontal="center" vertical="center"/>
    </xf>
    <xf numFmtId="2" fontId="0" fillId="0" borderId="2" xfId="0" applyNumberFormat="1" applyBorder="1" applyAlignment="1">
      <alignment horizontal="center"/>
    </xf>
    <xf numFmtId="2" fontId="0" fillId="14" borderId="3" xfId="0" applyNumberFormat="1" applyFill="1" applyBorder="1" applyAlignment="1">
      <alignment horizontal="center"/>
    </xf>
    <xf numFmtId="2" fontId="0" fillId="16" borderId="10" xfId="0" applyNumberFormat="1" applyFill="1" applyBorder="1" applyAlignment="1">
      <alignment horizontal="center" vertical="center"/>
    </xf>
    <xf numFmtId="0" fontId="0" fillId="0" borderId="9" xfId="0" applyBorder="1"/>
    <xf numFmtId="2" fontId="0" fillId="6" borderId="7" xfId="0" applyNumberFormat="1" applyFill="1" applyBorder="1" applyAlignment="1">
      <alignment horizontal="center"/>
    </xf>
    <xf numFmtId="2" fontId="8" fillId="0" borderId="6" xfId="0" applyNumberFormat="1" applyFont="1" applyBorder="1" applyAlignment="1">
      <alignment horizontal="center" vertical="center" wrapText="1"/>
    </xf>
    <xf numFmtId="2" fontId="0" fillId="0" borderId="8" xfId="0" applyNumberFormat="1" applyBorder="1" applyAlignment="1">
      <alignment horizontal="center"/>
    </xf>
    <xf numFmtId="2" fontId="0" fillId="16" borderId="19" xfId="0" applyNumberFormat="1" applyFill="1" applyBorder="1" applyAlignment="1">
      <alignment horizontal="center" vertical="center"/>
    </xf>
    <xf numFmtId="2" fontId="0" fillId="7" borderId="1" xfId="0" applyNumberFormat="1" applyFill="1" applyBorder="1" applyAlignment="1">
      <alignment horizontal="center"/>
    </xf>
    <xf numFmtId="2" fontId="0" fillId="15" borderId="1" xfId="0" applyNumberFormat="1" applyFill="1" applyBorder="1" applyAlignment="1">
      <alignment horizontal="center"/>
    </xf>
    <xf numFmtId="2" fontId="0" fillId="16" borderId="10" xfId="0" applyNumberFormat="1" applyFill="1" applyBorder="1" applyAlignment="1">
      <alignment horizontal="center"/>
    </xf>
    <xf numFmtId="2" fontId="0" fillId="7" borderId="7" xfId="0" applyNumberFormat="1" applyFill="1" applyBorder="1" applyAlignment="1">
      <alignment horizontal="center"/>
    </xf>
    <xf numFmtId="2" fontId="0" fillId="15" borderId="7" xfId="0" applyNumberFormat="1" applyFill="1" applyBorder="1" applyAlignment="1">
      <alignment horizontal="center"/>
    </xf>
    <xf numFmtId="2" fontId="0" fillId="16" borderId="19" xfId="0" applyNumberFormat="1" applyFill="1" applyBorder="1" applyAlignment="1">
      <alignment horizontal="center"/>
    </xf>
    <xf numFmtId="9" fontId="25" fillId="0" borderId="0" xfId="7" applyFont="1" applyAlignment="1">
      <alignment horizontal="center"/>
    </xf>
    <xf numFmtId="9" fontId="25" fillId="0" borderId="0" xfId="7" applyFont="1" applyAlignment="1">
      <alignment horizontal="center" vertical="center"/>
    </xf>
    <xf numFmtId="0" fontId="21" fillId="0" borderId="0" xfId="0" applyFont="1" applyAlignment="1">
      <alignment horizontal="center" vertical="center" wrapText="1"/>
    </xf>
    <xf numFmtId="0" fontId="21" fillId="20" borderId="0" xfId="0" applyFont="1" applyFill="1" applyAlignment="1">
      <alignment horizontal="center" vertical="center" wrapText="1"/>
    </xf>
    <xf numFmtId="0" fontId="21" fillId="12" borderId="0" xfId="0" applyFont="1" applyFill="1" applyAlignment="1">
      <alignment horizontal="center" vertical="center" wrapText="1"/>
    </xf>
    <xf numFmtId="14" fontId="21" fillId="0" borderId="0" xfId="0" applyNumberFormat="1" applyFont="1" applyAlignment="1">
      <alignment horizontal="center" wrapText="1"/>
    </xf>
    <xf numFmtId="14" fontId="21" fillId="20" borderId="0" xfId="0" applyNumberFormat="1" applyFont="1" applyFill="1" applyAlignment="1">
      <alignment horizontal="center" wrapText="1"/>
    </xf>
    <xf numFmtId="14" fontId="21" fillId="12" borderId="0" xfId="0" applyNumberFormat="1" applyFont="1" applyFill="1" applyAlignment="1">
      <alignment horizontal="center" wrapText="1"/>
    </xf>
    <xf numFmtId="2" fontId="0" fillId="6" borderId="10" xfId="0" applyNumberFormat="1" applyFill="1" applyBorder="1" applyAlignment="1">
      <alignment horizontal="center" vertical="center"/>
    </xf>
    <xf numFmtId="2" fontId="0" fillId="0" borderId="0" xfId="0" applyNumberFormat="1" applyAlignment="1">
      <alignment horizontal="center"/>
    </xf>
    <xf numFmtId="0" fontId="13"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top"/>
    </xf>
    <xf numFmtId="0" fontId="0" fillId="21" borderId="0" xfId="0" applyFill="1" applyAlignment="1">
      <alignment horizontal="left" vertical="top" wrapText="1"/>
    </xf>
    <xf numFmtId="49" fontId="0" fillId="0" borderId="0" xfId="0" applyNumberFormat="1" applyAlignment="1">
      <alignment horizontal="left" vertical="top" wrapText="1"/>
    </xf>
    <xf numFmtId="0" fontId="26" fillId="0" borderId="0" xfId="0" applyFont="1" applyAlignment="1">
      <alignment vertical="top"/>
    </xf>
    <xf numFmtId="0" fontId="0" fillId="0" borderId="0" xfId="0" applyAlignment="1">
      <alignment horizontal="left" vertical="center" wrapText="1"/>
    </xf>
    <xf numFmtId="0" fontId="0" fillId="0" borderId="0" xfId="0" applyAlignment="1">
      <alignment horizontal="center" vertical="center" wrapText="1"/>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vertical="center"/>
    </xf>
    <xf numFmtId="0" fontId="34" fillId="0" borderId="0" xfId="0" applyFont="1" applyAlignment="1">
      <alignment vertical="center"/>
    </xf>
    <xf numFmtId="0" fontId="33" fillId="0" borderId="0" xfId="0" applyFont="1" applyAlignment="1">
      <alignment horizontal="left" vertical="center"/>
    </xf>
    <xf numFmtId="0" fontId="33" fillId="0" borderId="18" xfId="0" applyFont="1" applyBorder="1" applyAlignment="1">
      <alignment horizontal="left" vertical="center"/>
    </xf>
    <xf numFmtId="0" fontId="13" fillId="0" borderId="11" xfId="0" applyFont="1" applyBorder="1"/>
    <xf numFmtId="0" fontId="34" fillId="0" borderId="0" xfId="0" applyFont="1" applyAlignment="1">
      <alignment horizontal="right" vertical="center"/>
    </xf>
    <xf numFmtId="0" fontId="33" fillId="0" borderId="9" xfId="0" applyFont="1" applyBorder="1" applyAlignment="1">
      <alignment horizontal="left" vertical="center"/>
    </xf>
    <xf numFmtId="0" fontId="33" fillId="0" borderId="8" xfId="0" applyFont="1" applyBorder="1" applyAlignment="1">
      <alignment horizontal="left" vertical="center"/>
    </xf>
    <xf numFmtId="0" fontId="13" fillId="0" borderId="7" xfId="0" applyFont="1" applyBorder="1"/>
    <xf numFmtId="0" fontId="34" fillId="0" borderId="9" xfId="0" applyFont="1" applyBorder="1" applyAlignment="1">
      <alignment horizontal="right" vertical="center"/>
    </xf>
    <xf numFmtId="0" fontId="23" fillId="16" borderId="13" xfId="0" applyFont="1" applyFill="1" applyBorder="1" applyAlignment="1" applyProtection="1">
      <alignment horizontal="center" vertical="center" wrapText="1"/>
      <protection locked="0"/>
    </xf>
    <xf numFmtId="0" fontId="19" fillId="0" borderId="0" xfId="0" applyFont="1" applyAlignment="1">
      <alignment horizontal="center" vertical="top" wrapText="1"/>
    </xf>
    <xf numFmtId="0" fontId="19" fillId="0" borderId="0" xfId="0" applyFont="1" applyAlignment="1">
      <alignment horizontal="left" vertical="top" wrapText="1"/>
    </xf>
    <xf numFmtId="0" fontId="23" fillId="16" borderId="13" xfId="0" applyFont="1" applyFill="1" applyBorder="1" applyAlignment="1">
      <alignment horizontal="center" vertical="center" wrapText="1"/>
    </xf>
    <xf numFmtId="165" fontId="23" fillId="16" borderId="13" xfId="0" applyNumberFormat="1" applyFont="1" applyFill="1" applyBorder="1" applyAlignment="1">
      <alignment horizontal="center" vertical="center"/>
    </xf>
    <xf numFmtId="0" fontId="17" fillId="0" borderId="0" xfId="0" applyFont="1"/>
    <xf numFmtId="0" fontId="13" fillId="0" borderId="0" xfId="0" applyFont="1" applyAlignment="1">
      <alignment horizontal="center" vertical="center"/>
    </xf>
    <xf numFmtId="0" fontId="23" fillId="16" borderId="27" xfId="0" applyFont="1" applyFill="1" applyBorder="1" applyAlignment="1" applyProtection="1">
      <alignment horizontal="center" vertical="center" wrapText="1"/>
      <protection locked="0"/>
    </xf>
    <xf numFmtId="0" fontId="23" fillId="16" borderId="28" xfId="0" applyFont="1" applyFill="1" applyBorder="1" applyAlignment="1" applyProtection="1">
      <alignment horizontal="center" vertical="center" wrapText="1"/>
      <protection locked="0"/>
    </xf>
    <xf numFmtId="49" fontId="23" fillId="16" borderId="13" xfId="0" applyNumberFormat="1" applyFont="1" applyFill="1" applyBorder="1" applyAlignment="1" applyProtection="1">
      <alignment horizontal="center" vertical="center" wrapText="1"/>
      <protection locked="0"/>
    </xf>
    <xf numFmtId="0" fontId="23" fillId="0" borderId="13" xfId="0" applyFont="1" applyBorder="1" applyAlignment="1">
      <alignment horizontal="center" vertical="top" wrapText="1"/>
    </xf>
    <xf numFmtId="0" fontId="19" fillId="0" borderId="27" xfId="0" applyFont="1" applyBorder="1" applyAlignment="1">
      <alignment horizontal="center" vertical="top" wrapText="1"/>
    </xf>
    <xf numFmtId="0" fontId="19" fillId="0" borderId="13" xfId="0" applyFont="1" applyBorder="1" applyAlignment="1">
      <alignment horizontal="left" vertical="top" wrapText="1"/>
    </xf>
    <xf numFmtId="0" fontId="19" fillId="0" borderId="13" xfId="0" applyFont="1" applyBorder="1" applyAlignment="1">
      <alignment horizontal="center" vertical="top" wrapText="1"/>
    </xf>
    <xf numFmtId="0" fontId="36" fillId="5" borderId="13" xfId="0" applyFont="1" applyFill="1" applyBorder="1" applyAlignment="1">
      <alignment horizontal="center" vertical="top" wrapText="1"/>
    </xf>
    <xf numFmtId="49" fontId="19" fillId="0" borderId="13" xfId="0" applyNumberFormat="1" applyFont="1" applyBorder="1" applyAlignment="1">
      <alignment horizontal="left" vertical="top" wrapText="1"/>
    </xf>
    <xf numFmtId="0" fontId="19" fillId="0" borderId="13" xfId="0" applyFont="1" applyBorder="1" applyAlignment="1">
      <alignment vertical="top" wrapText="1"/>
    </xf>
    <xf numFmtId="165" fontId="19" fillId="0" borderId="13" xfId="0" applyNumberFormat="1" applyFont="1" applyBorder="1" applyAlignment="1">
      <alignment vertical="top" wrapText="1"/>
    </xf>
    <xf numFmtId="0" fontId="17" fillId="0" borderId="0" xfId="0" applyFont="1" applyAlignment="1">
      <alignment wrapText="1"/>
    </xf>
    <xf numFmtId="0" fontId="0" fillId="0" borderId="0" xfId="0" applyAlignment="1">
      <alignment wrapText="1"/>
    </xf>
    <xf numFmtId="0" fontId="19" fillId="3" borderId="13" xfId="0" applyFont="1" applyFill="1" applyBorder="1" applyAlignment="1">
      <alignment horizontal="left" vertical="top" wrapText="1"/>
    </xf>
    <xf numFmtId="49" fontId="19" fillId="0" borderId="13" xfId="6" applyNumberFormat="1" applyFont="1" applyBorder="1" applyAlignment="1">
      <alignment horizontal="left" vertical="top" wrapText="1"/>
    </xf>
    <xf numFmtId="2" fontId="19" fillId="0" borderId="13" xfId="0" applyNumberFormat="1" applyFont="1" applyBorder="1" applyAlignment="1">
      <alignment horizontal="left" vertical="top" wrapText="1"/>
    </xf>
    <xf numFmtId="0" fontId="19" fillId="0" borderId="13" xfId="6" quotePrefix="1" applyFont="1" applyBorder="1" applyAlignment="1">
      <alignment horizontal="left" vertical="top" wrapText="1"/>
    </xf>
    <xf numFmtId="0" fontId="19" fillId="21" borderId="13" xfId="0" applyFont="1" applyFill="1" applyBorder="1" applyAlignment="1">
      <alignment horizontal="left" vertical="top" wrapText="1"/>
    </xf>
    <xf numFmtId="49" fontId="19" fillId="0" borderId="13" xfId="6" quotePrefix="1" applyNumberFormat="1" applyFont="1" applyBorder="1" applyAlignment="1">
      <alignment horizontal="left" vertical="top" wrapText="1"/>
    </xf>
    <xf numFmtId="0" fontId="19" fillId="3" borderId="27" xfId="0" applyFont="1" applyFill="1" applyBorder="1" applyAlignment="1">
      <alignment horizontal="center" vertical="top" wrapText="1"/>
    </xf>
    <xf numFmtId="4" fontId="19" fillId="3" borderId="13" xfId="0" applyNumberFormat="1" applyFont="1" applyFill="1" applyBorder="1" applyAlignment="1">
      <alignment horizontal="left" vertical="top" wrapText="1"/>
    </xf>
    <xf numFmtId="0" fontId="19" fillId="3" borderId="13" xfId="0" applyFont="1" applyFill="1" applyBorder="1" applyAlignment="1">
      <alignment horizontal="center" vertical="top" wrapText="1"/>
    </xf>
    <xf numFmtId="4" fontId="19" fillId="0" borderId="13" xfId="0" applyNumberFormat="1" applyFont="1" applyBorder="1" applyAlignment="1">
      <alignment horizontal="left" vertical="top" wrapText="1"/>
    </xf>
    <xf numFmtId="0" fontId="0" fillId="0" borderId="0" xfId="0" applyAlignment="1">
      <alignment horizontal="center" vertical="center"/>
    </xf>
    <xf numFmtId="0" fontId="17" fillId="0" borderId="0" xfId="0" applyFont="1" applyAlignment="1">
      <alignment horizontal="center" vertical="center" wrapText="1"/>
    </xf>
    <xf numFmtId="165" fontId="19" fillId="0" borderId="13" xfId="0" applyNumberFormat="1" applyFont="1" applyBorder="1" applyAlignment="1">
      <alignment horizontal="center" vertical="top" wrapText="1"/>
    </xf>
    <xf numFmtId="9" fontId="19" fillId="0" borderId="13" xfId="0" applyNumberFormat="1" applyFont="1" applyBorder="1" applyAlignment="1">
      <alignment horizontal="left" vertical="top" wrapText="1"/>
    </xf>
    <xf numFmtId="0" fontId="23" fillId="0" borderId="0" xfId="0" applyFont="1" applyAlignment="1">
      <alignment horizontal="center" vertical="top" wrapText="1"/>
    </xf>
    <xf numFmtId="49" fontId="19" fillId="0" borderId="0" xfId="0" applyNumberFormat="1" applyFont="1" applyAlignment="1">
      <alignment horizontal="left" vertical="top" wrapText="1"/>
    </xf>
    <xf numFmtId="0" fontId="19" fillId="0" borderId="0" xfId="0" applyFont="1" applyAlignment="1">
      <alignment vertical="top" wrapText="1"/>
    </xf>
    <xf numFmtId="0" fontId="19" fillId="21" borderId="0" xfId="0" applyFont="1" applyFill="1" applyAlignment="1">
      <alignment horizontal="left" vertical="top" wrapText="1"/>
    </xf>
    <xf numFmtId="0" fontId="37" fillId="0" borderId="0" xfId="0" applyFont="1" applyAlignment="1">
      <alignment horizontal="center" vertical="top" wrapText="1"/>
    </xf>
    <xf numFmtId="0" fontId="24" fillId="0" borderId="0" xfId="0" applyFont="1" applyAlignment="1">
      <alignment horizontal="center" vertical="top" wrapText="1"/>
    </xf>
    <xf numFmtId="0" fontId="24" fillId="0" borderId="0" xfId="0" applyFont="1" applyAlignment="1">
      <alignment horizontal="left" vertical="top" wrapText="1"/>
    </xf>
    <xf numFmtId="0" fontId="24" fillId="21" borderId="0" xfId="0" applyFont="1" applyFill="1" applyAlignment="1">
      <alignment horizontal="left" vertical="top" wrapText="1"/>
    </xf>
    <xf numFmtId="49" fontId="24" fillId="0" borderId="0" xfId="0" applyNumberFormat="1" applyFont="1" applyAlignment="1">
      <alignment horizontal="left" vertical="top" wrapText="1"/>
    </xf>
    <xf numFmtId="0" fontId="24" fillId="0" borderId="0" xfId="0" applyFont="1" applyAlignment="1">
      <alignment vertical="top" wrapText="1"/>
    </xf>
    <xf numFmtId="0" fontId="24" fillId="0" borderId="0" xfId="0" applyFont="1" applyAlignment="1">
      <alignment wrapText="1"/>
    </xf>
    <xf numFmtId="0" fontId="0" fillId="0" borderId="0" xfId="0" applyAlignment="1">
      <alignment horizontal="center" wrapText="1"/>
    </xf>
    <xf numFmtId="0" fontId="0" fillId="22" borderId="0" xfId="0" applyFill="1" applyAlignment="1" applyProtection="1">
      <alignment wrapText="1"/>
      <protection locked="0"/>
    </xf>
    <xf numFmtId="0" fontId="0" fillId="0" borderId="0" xfId="0" applyAlignment="1" applyProtection="1">
      <alignment horizontal="center" vertical="center" wrapText="1"/>
      <protection locked="0"/>
    </xf>
    <xf numFmtId="0" fontId="38" fillId="0" borderId="0" xfId="0" applyFont="1" applyAlignment="1">
      <alignment horizontal="left" vertical="top" wrapText="1"/>
    </xf>
    <xf numFmtId="0" fontId="0" fillId="0" borderId="0" xfId="0" applyAlignment="1" applyProtection="1">
      <alignment wrapText="1"/>
      <protection locked="0"/>
    </xf>
    <xf numFmtId="0" fontId="39" fillId="0" borderId="0" xfId="0" applyFont="1" applyAlignment="1">
      <alignment wrapText="1"/>
    </xf>
    <xf numFmtId="14" fontId="21" fillId="23" borderId="0" xfId="0" applyNumberFormat="1" applyFont="1" applyFill="1" applyAlignment="1">
      <alignment horizontal="center" wrapText="1"/>
    </xf>
    <xf numFmtId="0" fontId="21" fillId="23" borderId="1" xfId="0" applyFont="1" applyFill="1" applyBorder="1" applyAlignment="1">
      <alignment wrapText="1"/>
    </xf>
    <xf numFmtId="0" fontId="21" fillId="23" borderId="3" xfId="0" applyFont="1" applyFill="1" applyBorder="1" applyAlignment="1">
      <alignment wrapText="1"/>
    </xf>
    <xf numFmtId="0" fontId="21" fillId="8" borderId="10" xfId="0" applyFont="1" applyFill="1" applyBorder="1" applyAlignment="1">
      <alignment horizontal="center" wrapText="1"/>
    </xf>
    <xf numFmtId="0" fontId="21" fillId="7" borderId="10" xfId="0" applyFont="1" applyFill="1" applyBorder="1" applyAlignment="1">
      <alignment horizontal="center" wrapText="1"/>
    </xf>
    <xf numFmtId="0" fontId="21" fillId="6" borderId="10" xfId="0" applyFont="1" applyFill="1" applyBorder="1" applyAlignment="1">
      <alignment horizontal="center" wrapText="1"/>
    </xf>
    <xf numFmtId="0" fontId="20" fillId="9" borderId="3" xfId="0" applyFont="1" applyFill="1" applyBorder="1" applyAlignment="1">
      <alignment horizontal="center" vertical="center" wrapText="1"/>
    </xf>
    <xf numFmtId="0" fontId="21" fillId="11" borderId="3" xfId="0" applyFont="1" applyFill="1" applyBorder="1" applyAlignment="1">
      <alignment horizontal="center" vertical="center" wrapText="1"/>
    </xf>
    <xf numFmtId="0" fontId="21" fillId="20" borderId="3" xfId="0" applyFont="1" applyFill="1" applyBorder="1" applyAlignment="1">
      <alignment horizontal="center" vertical="center" wrapText="1"/>
    </xf>
    <xf numFmtId="0" fontId="21" fillId="23" borderId="10" xfId="0" applyFont="1" applyFill="1" applyBorder="1" applyAlignment="1">
      <alignment horizontal="center" wrapText="1"/>
    </xf>
    <xf numFmtId="0" fontId="40" fillId="0" borderId="0" xfId="0" applyFont="1" applyAlignment="1" applyProtection="1">
      <alignment horizontal="center" wrapText="1"/>
      <protection locked="0"/>
    </xf>
    <xf numFmtId="0" fontId="40" fillId="0" borderId="0" xfId="0" applyFont="1" applyAlignment="1" applyProtection="1">
      <alignment horizontal="center" vertical="center" wrapText="1"/>
      <protection locked="0"/>
    </xf>
    <xf numFmtId="0" fontId="8" fillId="0" borderId="0" xfId="0" applyFont="1" applyAlignment="1">
      <alignment wrapText="1"/>
    </xf>
    <xf numFmtId="0" fontId="3" fillId="0" borderId="11" xfId="0" applyFont="1" applyBorder="1"/>
    <xf numFmtId="0" fontId="8" fillId="0" borderId="1" xfId="0" applyFont="1" applyBorder="1" applyAlignment="1">
      <alignment wrapText="1"/>
    </xf>
    <xf numFmtId="0" fontId="8" fillId="0" borderId="3" xfId="0" applyFont="1" applyBorder="1" applyAlignment="1">
      <alignment horizontal="center" wrapText="1"/>
    </xf>
    <xf numFmtId="2" fontId="8" fillId="8" borderId="3" xfId="0" applyNumberFormat="1" applyFont="1" applyFill="1" applyBorder="1" applyAlignment="1">
      <alignment horizontal="center" vertical="center" wrapText="1"/>
    </xf>
    <xf numFmtId="2" fontId="8" fillId="7" borderId="3" xfId="0" applyNumberFormat="1" applyFont="1" applyFill="1" applyBorder="1" applyAlignment="1">
      <alignment horizontal="center" vertical="center" wrapText="1"/>
    </xf>
    <xf numFmtId="2" fontId="8" fillId="6" borderId="3" xfId="0" applyNumberFormat="1" applyFont="1" applyFill="1" applyBorder="1" applyAlignment="1">
      <alignment horizontal="center" vertical="center" wrapText="1"/>
    </xf>
    <xf numFmtId="2" fontId="8" fillId="17" borderId="3" xfId="0" applyNumberFormat="1" applyFont="1" applyFill="1" applyBorder="1" applyAlignment="1">
      <alignment horizontal="center" vertical="center" wrapText="1"/>
    </xf>
    <xf numFmtId="2" fontId="8" fillId="24" borderId="3" xfId="0" applyNumberFormat="1" applyFont="1" applyFill="1" applyBorder="1" applyAlignment="1">
      <alignment horizontal="center" vertical="center" wrapText="1"/>
    </xf>
    <xf numFmtId="2" fontId="8" fillId="0" borderId="2" xfId="0" applyNumberFormat="1" applyFont="1" applyBorder="1" applyAlignment="1">
      <alignment horizontal="center" vertical="center" wrapText="1"/>
    </xf>
    <xf numFmtId="2" fontId="0" fillId="0" borderId="0" xfId="0" applyNumberFormat="1"/>
    <xf numFmtId="0" fontId="8" fillId="0" borderId="0" xfId="0" applyFont="1" applyAlignment="1" applyProtection="1">
      <alignment wrapText="1"/>
      <protection locked="0"/>
    </xf>
    <xf numFmtId="0" fontId="8" fillId="0" borderId="0" xfId="0" applyFont="1" applyAlignment="1" applyProtection="1">
      <alignment horizontal="center" vertical="center" wrapText="1"/>
      <protection locked="0"/>
    </xf>
    <xf numFmtId="9" fontId="0" fillId="0" borderId="13" xfId="7" applyFont="1" applyBorder="1" applyAlignment="1">
      <alignment horizontal="center" vertical="center"/>
    </xf>
    <xf numFmtId="0" fontId="8" fillId="0" borderId="11" xfId="0" applyFont="1" applyBorder="1" applyAlignment="1">
      <alignment wrapText="1"/>
    </xf>
    <xf numFmtId="0" fontId="8" fillId="0" borderId="0" xfId="0" applyFont="1" applyAlignment="1">
      <alignment horizontal="center" wrapText="1"/>
    </xf>
    <xf numFmtId="2" fontId="8" fillId="8" borderId="0" xfId="0" applyNumberFormat="1" applyFont="1" applyFill="1" applyAlignment="1">
      <alignment horizontal="center" vertical="center" wrapText="1"/>
    </xf>
    <xf numFmtId="2" fontId="8" fillId="7" borderId="0" xfId="0" applyNumberFormat="1" applyFont="1" applyFill="1" applyAlignment="1">
      <alignment horizontal="center" vertical="center" wrapText="1"/>
    </xf>
    <xf numFmtId="2" fontId="8" fillId="6" borderId="0" xfId="0" applyNumberFormat="1" applyFont="1" applyFill="1" applyAlignment="1">
      <alignment horizontal="center" vertical="center" wrapText="1"/>
    </xf>
    <xf numFmtId="2" fontId="8" fillId="17" borderId="0" xfId="0" applyNumberFormat="1" applyFont="1" applyFill="1" applyAlignment="1">
      <alignment horizontal="center" vertical="center" wrapText="1"/>
    </xf>
    <xf numFmtId="2" fontId="8" fillId="24" borderId="0" xfId="0" applyNumberFormat="1" applyFont="1" applyFill="1" applyAlignment="1">
      <alignment horizontal="center" vertical="center" wrapText="1"/>
    </xf>
    <xf numFmtId="2" fontId="8" fillId="0" borderId="18" xfId="0" applyNumberFormat="1" applyFont="1" applyBorder="1" applyAlignment="1">
      <alignment horizontal="center" vertical="center" wrapText="1"/>
    </xf>
    <xf numFmtId="0" fontId="8" fillId="18" borderId="11" xfId="0" applyFont="1" applyFill="1" applyBorder="1" applyAlignment="1">
      <alignment wrapText="1"/>
    </xf>
    <xf numFmtId="0" fontId="8" fillId="18" borderId="0" xfId="0" applyFont="1" applyFill="1" applyAlignment="1">
      <alignment horizontal="center" wrapText="1"/>
    </xf>
    <xf numFmtId="2" fontId="8" fillId="18" borderId="0" xfId="0" applyNumberFormat="1" applyFont="1" applyFill="1" applyAlignment="1">
      <alignment horizontal="center" vertical="center" wrapText="1"/>
    </xf>
    <xf numFmtId="2" fontId="8" fillId="18" borderId="18" xfId="0" applyNumberFormat="1" applyFont="1" applyFill="1" applyBorder="1" applyAlignment="1">
      <alignment horizontal="center" vertical="center" wrapText="1"/>
    </xf>
    <xf numFmtId="2" fontId="0" fillId="18" borderId="0" xfId="0" applyNumberFormat="1" applyFill="1"/>
    <xf numFmtId="0" fontId="8" fillId="18" borderId="0" xfId="0" applyFont="1" applyFill="1" applyAlignment="1" applyProtection="1">
      <alignment wrapText="1"/>
      <protection locked="0"/>
    </xf>
    <xf numFmtId="0" fontId="8" fillId="18" borderId="0" xfId="0" applyFont="1" applyFill="1" applyAlignment="1" applyProtection="1">
      <alignment horizontal="center" vertical="center" wrapText="1"/>
      <protection locked="0"/>
    </xf>
    <xf numFmtId="0" fontId="8" fillId="0" borderId="7" xfId="0" applyFont="1" applyBorder="1" applyAlignment="1">
      <alignment wrapText="1"/>
    </xf>
    <xf numFmtId="0" fontId="8" fillId="0" borderId="9" xfId="0" applyFont="1" applyBorder="1" applyAlignment="1">
      <alignment horizontal="center" wrapText="1"/>
    </xf>
    <xf numFmtId="2" fontId="8" fillId="8" borderId="9" xfId="0" applyNumberFormat="1" applyFont="1" applyFill="1" applyBorder="1" applyAlignment="1">
      <alignment horizontal="center" vertical="center" wrapText="1"/>
    </xf>
    <xf numFmtId="2" fontId="8" fillId="7" borderId="9" xfId="0" applyNumberFormat="1" applyFont="1" applyFill="1" applyBorder="1" applyAlignment="1">
      <alignment horizontal="center" vertical="center" wrapText="1"/>
    </xf>
    <xf numFmtId="2" fontId="8" fillId="6" borderId="9" xfId="0" applyNumberFormat="1" applyFont="1" applyFill="1" applyBorder="1" applyAlignment="1">
      <alignment horizontal="center" vertical="center" wrapText="1"/>
    </xf>
    <xf numFmtId="2" fontId="8" fillId="0" borderId="9" xfId="0" applyNumberFormat="1" applyFont="1" applyBorder="1" applyAlignment="1">
      <alignment horizontal="center" vertical="center" wrapText="1"/>
    </xf>
    <xf numFmtId="2" fontId="8" fillId="17" borderId="9" xfId="0" applyNumberFormat="1" applyFont="1" applyFill="1" applyBorder="1" applyAlignment="1">
      <alignment horizontal="center" vertical="center" wrapText="1"/>
    </xf>
    <xf numFmtId="2" fontId="8" fillId="24" borderId="9" xfId="0" applyNumberFormat="1" applyFont="1" applyFill="1" applyBorder="1" applyAlignment="1">
      <alignment horizontal="center" vertical="center" wrapText="1"/>
    </xf>
    <xf numFmtId="2" fontId="8" fillId="0" borderId="8" xfId="0" applyNumberFormat="1" applyFont="1" applyBorder="1" applyAlignment="1">
      <alignment horizontal="center" vertical="center" wrapText="1"/>
    </xf>
    <xf numFmtId="0" fontId="8" fillId="0" borderId="0" xfId="0" applyFont="1" applyAlignment="1">
      <alignment horizontal="center" vertical="center" wrapText="1"/>
    </xf>
    <xf numFmtId="0" fontId="3" fillId="0" borderId="0" xfId="0" applyFont="1"/>
    <xf numFmtId="0" fontId="6" fillId="22" borderId="0" xfId="0" applyFont="1" applyFill="1" applyAlignment="1" applyProtection="1">
      <alignment wrapText="1"/>
      <protection locked="0"/>
    </xf>
    <xf numFmtId="0" fontId="13" fillId="22" borderId="0" xfId="0" applyFont="1" applyFill="1" applyAlignment="1" applyProtection="1">
      <alignment horizontal="center" vertical="center"/>
      <protection locked="0"/>
    </xf>
    <xf numFmtId="0" fontId="3" fillId="22" borderId="0" xfId="0" applyFont="1" applyFill="1" applyAlignment="1">
      <alignment horizontal="center" vertical="center"/>
    </xf>
    <xf numFmtId="0" fontId="41" fillId="11" borderId="0" xfId="0" applyFont="1" applyFill="1" applyAlignment="1">
      <alignment horizontal="center" vertical="center"/>
    </xf>
    <xf numFmtId="0" fontId="41" fillId="11" borderId="0" xfId="0" applyFont="1" applyFill="1" applyAlignment="1">
      <alignment horizontal="center" vertical="center" wrapText="1"/>
    </xf>
    <xf numFmtId="0" fontId="21" fillId="11" borderId="0" xfId="0" applyFont="1" applyFill="1" applyAlignment="1">
      <alignment vertical="center" wrapText="1"/>
    </xf>
    <xf numFmtId="0" fontId="20" fillId="11" borderId="0" xfId="0" applyFont="1" applyFill="1" applyAlignment="1">
      <alignment horizontal="center" vertical="center" wrapText="1"/>
    </xf>
    <xf numFmtId="0" fontId="21" fillId="11" borderId="0" xfId="0" applyFont="1" applyFill="1" applyAlignment="1" applyProtection="1">
      <alignment horizontal="center" vertical="center" wrapText="1"/>
      <protection locked="0"/>
    </xf>
    <xf numFmtId="0" fontId="42" fillId="11" borderId="0" xfId="0" applyFont="1" applyFill="1" applyAlignment="1">
      <alignment horizontal="center" vertical="center"/>
    </xf>
    <xf numFmtId="0" fontId="43" fillId="11" borderId="0" xfId="0" applyFont="1" applyFill="1" applyAlignment="1">
      <alignment horizontal="center" wrapText="1"/>
    </xf>
    <xf numFmtId="0" fontId="44" fillId="0" borderId="0" xfId="0" applyFont="1" applyAlignment="1">
      <alignment vertical="center" wrapText="1"/>
    </xf>
    <xf numFmtId="0" fontId="44" fillId="0" borderId="0" xfId="0" applyFont="1" applyAlignment="1">
      <alignment horizontal="center" vertical="center" wrapText="1"/>
    </xf>
    <xf numFmtId="0" fontId="8" fillId="8" borderId="0" xfId="0" applyFont="1" applyFill="1" applyAlignment="1">
      <alignment horizontal="center" vertical="center" wrapText="1"/>
    </xf>
    <xf numFmtId="0" fontId="8" fillId="7" borderId="0" xfId="0" applyFont="1" applyFill="1" applyAlignment="1">
      <alignment horizontal="center" vertical="center" wrapText="1"/>
    </xf>
    <xf numFmtId="0" fontId="8" fillId="6" borderId="0" xfId="0" applyFont="1" applyFill="1" applyAlignment="1">
      <alignment horizontal="center" vertical="center" wrapText="1"/>
    </xf>
    <xf numFmtId="0" fontId="8" fillId="17" borderId="0" xfId="0" applyFont="1" applyFill="1" applyAlignment="1">
      <alignment horizontal="center" vertical="center" wrapText="1"/>
    </xf>
    <xf numFmtId="0" fontId="8" fillId="15" borderId="0" xfId="0" applyFont="1" applyFill="1" applyAlignment="1">
      <alignment horizontal="center" vertical="center" wrapText="1"/>
    </xf>
    <xf numFmtId="0" fontId="8" fillId="22" borderId="0" xfId="0" applyFont="1" applyFill="1" applyAlignment="1" applyProtection="1">
      <alignment wrapText="1"/>
      <protection locked="0"/>
    </xf>
    <xf numFmtId="9" fontId="0" fillId="0" borderId="0" xfId="7" applyFont="1" applyAlignment="1">
      <alignment horizontal="center" vertical="center"/>
    </xf>
    <xf numFmtId="0" fontId="42" fillId="25" borderId="0" xfId="0" applyFont="1" applyFill="1" applyAlignment="1">
      <alignment horizontal="center" vertical="center" wrapText="1"/>
    </xf>
    <xf numFmtId="0" fontId="8" fillId="0" borderId="0" xfId="0" applyFont="1" applyAlignment="1">
      <alignment vertical="top" wrapText="1"/>
    </xf>
    <xf numFmtId="0" fontId="0" fillId="0" borderId="0" xfId="0" applyAlignment="1">
      <alignment vertical="top" wrapText="1"/>
    </xf>
    <xf numFmtId="0" fontId="45" fillId="0" borderId="0" xfId="0" applyFont="1" applyAlignment="1">
      <alignment vertical="top" wrapText="1"/>
    </xf>
    <xf numFmtId="2" fontId="42" fillId="25" borderId="0" xfId="0" applyNumberFormat="1" applyFont="1" applyFill="1" applyAlignment="1">
      <alignment horizontal="center" vertical="center" wrapText="1"/>
    </xf>
    <xf numFmtId="0" fontId="43" fillId="11" borderId="0" xfId="0" applyFont="1" applyFill="1" applyAlignment="1">
      <alignment horizontal="center" vertical="center" wrapText="1"/>
    </xf>
    <xf numFmtId="0" fontId="8" fillId="22" borderId="0" xfId="0" applyFont="1" applyFill="1" applyAlignment="1" applyProtection="1">
      <alignment horizontal="left" wrapText="1"/>
      <protection locked="0"/>
    </xf>
    <xf numFmtId="0" fontId="0" fillId="11" borderId="0" xfId="0" applyFill="1" applyAlignment="1">
      <alignment horizontal="center" wrapText="1"/>
    </xf>
    <xf numFmtId="0" fontId="0" fillId="3" borderId="0" xfId="0" applyFill="1" applyAlignment="1">
      <alignment wrapText="1"/>
    </xf>
    <xf numFmtId="0" fontId="44" fillId="18" borderId="0" xfId="0" applyFont="1" applyFill="1" applyAlignment="1">
      <alignment vertical="center" wrapText="1"/>
    </xf>
    <xf numFmtId="0" fontId="44" fillId="18" borderId="0" xfId="0" applyFont="1" applyFill="1" applyAlignment="1">
      <alignment horizontal="center" vertical="center" wrapText="1"/>
    </xf>
    <xf numFmtId="0" fontId="0" fillId="18" borderId="0" xfId="0" applyFill="1" applyAlignment="1" applyProtection="1">
      <alignment wrapText="1"/>
      <protection locked="0"/>
    </xf>
    <xf numFmtId="0" fontId="0" fillId="18" borderId="0" xfId="0" applyFill="1" applyAlignment="1" applyProtection="1">
      <alignment horizontal="center" vertical="center" wrapText="1"/>
      <protection locked="0"/>
    </xf>
    <xf numFmtId="0" fontId="0" fillId="18" borderId="0" xfId="0" applyFill="1" applyAlignment="1">
      <alignment horizontal="center" vertical="center" wrapText="1"/>
    </xf>
    <xf numFmtId="0" fontId="0" fillId="18" borderId="0" xfId="0" applyFill="1" applyAlignment="1">
      <alignment horizontal="left" vertical="top" wrapText="1"/>
    </xf>
    <xf numFmtId="0" fontId="0" fillId="18" borderId="0" xfId="0" applyFill="1" applyAlignment="1">
      <alignment horizontal="left" vertical="center" wrapText="1"/>
    </xf>
    <xf numFmtId="0" fontId="44" fillId="18" borderId="0" xfId="0" applyFont="1" applyFill="1" applyAlignment="1" applyProtection="1">
      <alignment horizontal="center" vertical="center" wrapText="1"/>
      <protection locked="0"/>
    </xf>
    <xf numFmtId="0" fontId="8" fillId="18" borderId="0" xfId="0" applyFont="1" applyFill="1" applyAlignment="1">
      <alignment horizontal="center" vertical="center" wrapText="1"/>
    </xf>
    <xf numFmtId="0" fontId="3" fillId="18" borderId="0" xfId="0" applyFont="1" applyFill="1" applyAlignment="1">
      <alignment horizontal="left" vertical="top" wrapText="1"/>
    </xf>
    <xf numFmtId="0" fontId="44" fillId="18" borderId="0" xfId="0" applyFont="1" applyFill="1" applyAlignment="1" applyProtection="1">
      <alignment vertical="center" wrapText="1"/>
      <protection locked="0"/>
    </xf>
    <xf numFmtId="0" fontId="8" fillId="18" borderId="0" xfId="0" applyFont="1" applyFill="1" applyAlignment="1">
      <alignment vertical="center" wrapText="1"/>
    </xf>
    <xf numFmtId="0" fontId="8" fillId="3" borderId="0" xfId="0" applyFont="1" applyFill="1" applyAlignment="1">
      <alignment horizontal="center" vertical="center" wrapText="1"/>
    </xf>
    <xf numFmtId="0" fontId="0" fillId="18" borderId="0" xfId="0" applyFill="1" applyAlignment="1">
      <alignment wrapText="1"/>
    </xf>
    <xf numFmtId="0" fontId="8" fillId="17" borderId="0" xfId="0" applyFont="1" applyFill="1" applyAlignment="1">
      <alignment horizontal="center" vertical="center"/>
    </xf>
    <xf numFmtId="0" fontId="44" fillId="3" borderId="0" xfId="0" applyFont="1" applyFill="1" applyAlignment="1">
      <alignment vertical="center" wrapText="1"/>
    </xf>
    <xf numFmtId="0" fontId="3" fillId="0" borderId="0" xfId="0" applyFont="1" applyAlignment="1">
      <alignment horizontal="left" vertical="top" wrapText="1"/>
    </xf>
    <xf numFmtId="0" fontId="45" fillId="0" borderId="0" xfId="0" applyFont="1" applyAlignment="1">
      <alignment horizontal="center" vertical="center"/>
    </xf>
    <xf numFmtId="0" fontId="45" fillId="0" borderId="0" xfId="0" applyFont="1" applyAlignment="1">
      <alignment horizontal="center" vertical="center" wrapText="1"/>
    </xf>
    <xf numFmtId="9" fontId="8" fillId="22" borderId="0" xfId="7" applyFont="1" applyFill="1" applyAlignment="1" applyProtection="1">
      <alignment horizontal="left"/>
      <protection locked="0"/>
    </xf>
    <xf numFmtId="0" fontId="8" fillId="3" borderId="0" xfId="0" applyFont="1" applyFill="1" applyAlignment="1">
      <alignment vertical="top" wrapText="1"/>
    </xf>
    <xf numFmtId="0" fontId="8" fillId="3" borderId="0" xfId="0" applyFont="1" applyFill="1" applyAlignment="1">
      <alignment vertical="center" wrapText="1"/>
    </xf>
    <xf numFmtId="0" fontId="21" fillId="11" borderId="0" xfId="0" applyFont="1" applyFill="1" applyAlignment="1">
      <alignment horizontal="center"/>
    </xf>
    <xf numFmtId="0" fontId="21" fillId="11" borderId="0" xfId="0" applyFont="1" applyFill="1" applyAlignment="1" applyProtection="1">
      <alignment horizontal="center"/>
      <protection locked="0"/>
    </xf>
    <xf numFmtId="0" fontId="3" fillId="0" borderId="0" xfId="0" applyFont="1" applyAlignment="1">
      <alignment horizontal="left" vertical="center" wrapText="1"/>
    </xf>
    <xf numFmtId="0" fontId="0" fillId="3" borderId="0" xfId="0" applyFill="1" applyAlignment="1">
      <alignment horizontal="center" vertical="center" wrapText="1"/>
    </xf>
    <xf numFmtId="0" fontId="3" fillId="0" borderId="0" xfId="0" applyFont="1" applyAlignment="1" applyProtection="1">
      <alignment horizontal="center" vertical="center" wrapText="1"/>
      <protection locked="0"/>
    </xf>
    <xf numFmtId="0" fontId="3" fillId="3" borderId="0" xfId="0" applyFont="1" applyFill="1" applyAlignment="1">
      <alignment horizontal="left" vertical="top" wrapText="1"/>
    </xf>
    <xf numFmtId="0" fontId="8" fillId="0" borderId="0" xfId="0" applyFont="1"/>
    <xf numFmtId="0" fontId="0" fillId="26" borderId="0" xfId="0" applyFill="1"/>
    <xf numFmtId="0" fontId="0" fillId="11" borderId="0" xfId="0" applyFill="1" applyAlignment="1">
      <alignment horizontal="center"/>
    </xf>
    <xf numFmtId="0" fontId="8" fillId="0" borderId="0" xfId="0" applyFont="1" applyAlignment="1">
      <alignment horizontal="center" vertical="center"/>
    </xf>
    <xf numFmtId="0" fontId="8" fillId="0" borderId="0" xfId="0" applyFont="1" applyAlignment="1" applyProtection="1">
      <alignment horizontal="center" vertical="center"/>
      <protection locked="0"/>
    </xf>
    <xf numFmtId="0" fontId="21" fillId="11" borderId="0" xfId="0" applyFont="1" applyFill="1" applyAlignment="1">
      <alignment wrapText="1"/>
    </xf>
    <xf numFmtId="0" fontId="21" fillId="11" borderId="0" xfId="0" applyFont="1" applyFill="1" applyAlignment="1">
      <alignment horizontal="center" vertical="center"/>
    </xf>
    <xf numFmtId="0" fontId="46" fillId="11" borderId="0" xfId="0" applyFont="1" applyFill="1" applyAlignment="1">
      <alignment horizontal="center" vertical="center"/>
    </xf>
    <xf numFmtId="0" fontId="8" fillId="8" borderId="14" xfId="0" applyFont="1" applyFill="1" applyBorder="1" applyAlignment="1">
      <alignment horizontal="center" vertical="center" wrapText="1"/>
    </xf>
    <xf numFmtId="0" fontId="38" fillId="0" borderId="0" xfId="0" applyFont="1" applyAlignment="1">
      <alignment horizontal="left" vertical="top"/>
    </xf>
    <xf numFmtId="0" fontId="21" fillId="8" borderId="17" xfId="0" applyFont="1" applyFill="1" applyBorder="1" applyAlignment="1">
      <alignment horizontal="center" vertical="center" wrapText="1"/>
    </xf>
    <xf numFmtId="0" fontId="21" fillId="7" borderId="6" xfId="0" applyFont="1" applyFill="1" applyBorder="1" applyAlignment="1">
      <alignment horizontal="center" vertical="center" wrapText="1"/>
    </xf>
    <xf numFmtId="0" fontId="21" fillId="6" borderId="6" xfId="0" applyFont="1" applyFill="1" applyBorder="1" applyAlignment="1">
      <alignment horizontal="center" vertical="center" wrapText="1"/>
    </xf>
    <xf numFmtId="0" fontId="20" fillId="9" borderId="6" xfId="0" applyFont="1" applyFill="1" applyBorder="1" applyAlignment="1">
      <alignment horizontal="center" vertical="center" wrapText="1"/>
    </xf>
    <xf numFmtId="0" fontId="20" fillId="9" borderId="3" xfId="0" applyFont="1" applyFill="1" applyBorder="1" applyAlignment="1">
      <alignment vertical="center" wrapText="1"/>
    </xf>
    <xf numFmtId="2" fontId="8" fillId="8" borderId="14" xfId="0" applyNumberFormat="1" applyFont="1" applyFill="1" applyBorder="1" applyAlignment="1">
      <alignment horizontal="center" vertical="center" wrapText="1"/>
    </xf>
    <xf numFmtId="2" fontId="8" fillId="7" borderId="14" xfId="0" applyNumberFormat="1" applyFont="1" applyFill="1" applyBorder="1" applyAlignment="1">
      <alignment horizontal="center" vertical="center" wrapText="1"/>
    </xf>
    <xf numFmtId="2" fontId="8" fillId="6" borderId="14" xfId="0" applyNumberFormat="1" applyFont="1" applyFill="1" applyBorder="1" applyAlignment="1">
      <alignment horizontal="center" vertical="center" wrapText="1"/>
    </xf>
    <xf numFmtId="2" fontId="8" fillId="0" borderId="14" xfId="0" applyNumberFormat="1" applyFont="1" applyBorder="1" applyAlignment="1">
      <alignment horizontal="center" vertical="center" wrapText="1"/>
    </xf>
    <xf numFmtId="2" fontId="8" fillId="17" borderId="14" xfId="0" applyNumberFormat="1" applyFont="1" applyFill="1" applyBorder="1" applyAlignment="1">
      <alignment horizontal="center" vertical="center" wrapText="1"/>
    </xf>
    <xf numFmtId="0" fontId="8" fillId="0" borderId="7" xfId="0" applyFont="1" applyBorder="1" applyAlignment="1">
      <alignment horizontal="left" wrapText="1"/>
    </xf>
    <xf numFmtId="2" fontId="8" fillId="8" borderId="19" xfId="0" applyNumberFormat="1" applyFont="1" applyFill="1" applyBorder="1" applyAlignment="1">
      <alignment horizontal="center" vertical="center" wrapText="1"/>
    </xf>
    <xf numFmtId="2" fontId="8" fillId="7" borderId="19" xfId="0" applyNumberFormat="1" applyFont="1" applyFill="1" applyBorder="1" applyAlignment="1">
      <alignment horizontal="center" vertical="center" wrapText="1"/>
    </xf>
    <xf numFmtId="2" fontId="8" fillId="6" borderId="19" xfId="0" applyNumberFormat="1" applyFont="1" applyFill="1" applyBorder="1" applyAlignment="1">
      <alignment horizontal="center" vertical="center" wrapText="1"/>
    </xf>
    <xf numFmtId="2" fontId="8" fillId="0" borderId="19" xfId="0" applyNumberFormat="1" applyFont="1" applyBorder="1" applyAlignment="1">
      <alignment horizontal="center" vertical="center" wrapText="1"/>
    </xf>
    <xf numFmtId="2" fontId="8" fillId="17" borderId="19" xfId="0" applyNumberFormat="1" applyFont="1" applyFill="1" applyBorder="1" applyAlignment="1">
      <alignment horizontal="center" vertical="center" wrapText="1"/>
    </xf>
    <xf numFmtId="0" fontId="13" fillId="22" borderId="0" xfId="0" applyFont="1" applyFill="1" applyAlignment="1" applyProtection="1">
      <alignment vertical="center"/>
      <protection locked="0"/>
    </xf>
    <xf numFmtId="0" fontId="3" fillId="22" borderId="0" xfId="0" applyFont="1" applyFill="1" applyAlignment="1">
      <alignment vertical="center"/>
    </xf>
    <xf numFmtId="0" fontId="0" fillId="11" borderId="0" xfId="0" applyFill="1" applyAlignment="1">
      <alignment wrapText="1"/>
    </xf>
    <xf numFmtId="0" fontId="0" fillId="11" borderId="0" xfId="0" applyFill="1"/>
    <xf numFmtId="0" fontId="47" fillId="11" borderId="0" xfId="0" applyFont="1" applyFill="1" applyAlignment="1" applyProtection="1">
      <alignment horizontal="right" vertical="center" wrapText="1"/>
      <protection locked="0"/>
    </xf>
    <xf numFmtId="0" fontId="47" fillId="11" borderId="15" xfId="0" applyFont="1" applyFill="1" applyBorder="1" applyAlignment="1" applyProtection="1">
      <alignment horizontal="right" vertical="center" wrapText="1"/>
      <protection locked="0"/>
    </xf>
    <xf numFmtId="0" fontId="47" fillId="11" borderId="0" xfId="0" applyFont="1" applyFill="1" applyAlignment="1">
      <alignment horizontal="right" vertical="center" wrapText="1"/>
    </xf>
    <xf numFmtId="0" fontId="3" fillId="0" borderId="0" xfId="0" applyFont="1" applyAlignment="1" applyProtection="1">
      <alignment vertical="center" wrapText="1"/>
      <protection locked="0"/>
    </xf>
    <xf numFmtId="9" fontId="0" fillId="27" borderId="0" xfId="7" applyFont="1" applyFill="1" applyAlignment="1">
      <alignment horizontal="center" vertical="center"/>
    </xf>
    <xf numFmtId="0" fontId="0" fillId="0" borderId="0" xfId="0" applyAlignment="1">
      <alignment vertical="center" wrapText="1"/>
    </xf>
    <xf numFmtId="0" fontId="8" fillId="11" borderId="0" xfId="0" applyFont="1" applyFill="1" applyAlignment="1" applyProtection="1">
      <alignment wrapText="1"/>
      <protection locked="0"/>
    </xf>
    <xf numFmtId="0" fontId="8" fillId="11" borderId="15" xfId="0" applyFont="1" applyFill="1" applyBorder="1" applyAlignment="1" applyProtection="1">
      <alignment wrapText="1"/>
      <protection locked="0"/>
    </xf>
    <xf numFmtId="0" fontId="8" fillId="11" borderId="0" xfId="0" applyFont="1" applyFill="1" applyAlignment="1">
      <alignment wrapText="1"/>
    </xf>
    <xf numFmtId="0" fontId="0" fillId="11" borderId="0" xfId="0" applyFill="1" applyAlignment="1" applyProtection="1">
      <alignment wrapText="1"/>
      <protection locked="0"/>
    </xf>
    <xf numFmtId="0" fontId="0" fillId="11" borderId="15" xfId="0" applyFill="1" applyBorder="1" applyAlignment="1" applyProtection="1">
      <alignment wrapText="1"/>
      <protection locked="0"/>
    </xf>
    <xf numFmtId="0" fontId="44" fillId="16" borderId="0" xfId="0" applyFont="1" applyFill="1" applyAlignment="1">
      <alignment vertical="center" wrapText="1"/>
    </xf>
    <xf numFmtId="166" fontId="0" fillId="0" borderId="0" xfId="0" applyNumberFormat="1" applyAlignment="1">
      <alignment horizontal="center" vertical="center" wrapText="1"/>
    </xf>
    <xf numFmtId="166" fontId="8" fillId="0" borderId="0" xfId="0" applyNumberFormat="1" applyFont="1" applyAlignment="1">
      <alignment horizontal="center" vertical="center" wrapText="1"/>
    </xf>
    <xf numFmtId="2" fontId="0" fillId="0" borderId="0" xfId="0" applyNumberFormat="1" applyAlignment="1">
      <alignment horizontal="center" vertical="center" wrapText="1"/>
    </xf>
    <xf numFmtId="166" fontId="8" fillId="17" borderId="0" xfId="0" applyNumberFormat="1" applyFont="1" applyFill="1" applyAlignment="1">
      <alignment horizontal="center" vertical="center" wrapText="1"/>
    </xf>
    <xf numFmtId="0" fontId="0" fillId="22" borderId="0" xfId="0" applyFill="1" applyProtection="1">
      <protection locked="0"/>
    </xf>
    <xf numFmtId="0" fontId="0" fillId="22" borderId="0" xfId="0" applyFill="1"/>
    <xf numFmtId="0" fontId="48" fillId="0" borderId="0" xfId="0" applyFont="1" applyAlignment="1">
      <alignment horizontal="center" vertical="center" wrapText="1"/>
    </xf>
    <xf numFmtId="0" fontId="0" fillId="0" borderId="0" xfId="0" applyProtection="1">
      <protection locked="0"/>
    </xf>
    <xf numFmtId="0" fontId="21" fillId="7" borderId="1" xfId="0" applyFont="1" applyFill="1" applyBorder="1" applyAlignment="1">
      <alignment horizontal="center" wrapText="1"/>
    </xf>
    <xf numFmtId="0" fontId="21" fillId="6" borderId="1" xfId="0" applyFont="1" applyFill="1" applyBorder="1" applyAlignment="1">
      <alignment horizontal="center" wrapText="1"/>
    </xf>
    <xf numFmtId="9" fontId="8" fillId="0" borderId="13" xfId="7" applyFont="1" applyBorder="1" applyAlignment="1">
      <alignment horizontal="center" vertical="center" wrapText="1"/>
    </xf>
    <xf numFmtId="0" fontId="8" fillId="0" borderId="9" xfId="0" applyFont="1" applyBorder="1" applyAlignment="1">
      <alignment wrapText="1"/>
    </xf>
    <xf numFmtId="0" fontId="6" fillId="22" borderId="0" xfId="0" applyFont="1" applyFill="1" applyAlignment="1">
      <alignment wrapText="1"/>
    </xf>
    <xf numFmtId="0" fontId="44" fillId="0" borderId="0" xfId="0" applyFont="1" applyAlignment="1">
      <alignment vertical="top" wrapText="1"/>
    </xf>
    <xf numFmtId="0" fontId="20" fillId="11" borderId="0" xfId="0" applyFont="1" applyFill="1" applyAlignment="1">
      <alignment vertical="center" wrapText="1"/>
    </xf>
    <xf numFmtId="0" fontId="0" fillId="28" borderId="0" xfId="0" applyFill="1"/>
    <xf numFmtId="0" fontId="44" fillId="28" borderId="0" xfId="0" applyFont="1" applyFill="1" applyAlignment="1">
      <alignment vertical="center" wrapText="1"/>
    </xf>
    <xf numFmtId="0" fontId="8" fillId="28" borderId="0" xfId="0" applyFont="1" applyFill="1" applyAlignment="1">
      <alignment horizontal="center" vertical="center" wrapText="1"/>
    </xf>
    <xf numFmtId="0" fontId="0" fillId="28" borderId="0" xfId="0" applyFill="1" applyAlignment="1">
      <alignment horizontal="center" vertical="center" wrapText="1"/>
    </xf>
    <xf numFmtId="0" fontId="0" fillId="29" borderId="0" xfId="0" applyFill="1" applyAlignment="1" applyProtection="1">
      <alignment horizontal="center" vertical="center" wrapText="1"/>
      <protection locked="0"/>
    </xf>
    <xf numFmtId="0" fontId="0" fillId="28" borderId="0" xfId="0" applyFill="1" applyAlignment="1">
      <alignment vertical="top" wrapText="1"/>
    </xf>
    <xf numFmtId="0" fontId="45" fillId="0" borderId="0" xfId="0" applyFont="1" applyAlignment="1">
      <alignment vertical="center" wrapText="1"/>
    </xf>
    <xf numFmtId="0" fontId="8" fillId="27" borderId="0" xfId="0" applyFont="1" applyFill="1" applyAlignment="1" applyProtection="1">
      <alignment horizontal="center" vertical="center" wrapText="1"/>
      <protection locked="0"/>
    </xf>
    <xf numFmtId="0" fontId="45" fillId="18" borderId="0" xfId="0" applyFont="1" applyFill="1" applyAlignment="1">
      <alignment vertical="top" wrapText="1"/>
    </xf>
    <xf numFmtId="0" fontId="44" fillId="0" borderId="0" xfId="0" applyFont="1" applyAlignment="1">
      <alignment horizontal="left" vertical="center" wrapText="1"/>
    </xf>
    <xf numFmtId="0" fontId="45" fillId="0" borderId="0" xfId="0" applyFont="1"/>
    <xf numFmtId="0" fontId="8" fillId="0" borderId="0" xfId="0" applyFont="1" applyAlignment="1">
      <alignment vertical="center"/>
    </xf>
    <xf numFmtId="0" fontId="8" fillId="3" borderId="0" xfId="0" applyFont="1" applyFill="1"/>
    <xf numFmtId="0" fontId="8" fillId="0" borderId="0" xfId="0" applyFont="1" applyProtection="1">
      <protection locked="0"/>
    </xf>
    <xf numFmtId="2" fontId="8" fillId="0" borderId="0" xfId="0" applyNumberFormat="1" applyFont="1"/>
    <xf numFmtId="0" fontId="45" fillId="0" borderId="0" xfId="0" applyFont="1" applyAlignment="1" applyProtection="1">
      <alignment wrapText="1"/>
      <protection locked="0"/>
    </xf>
    <xf numFmtId="0" fontId="8" fillId="0" borderId="0" xfId="0" applyFont="1" applyAlignment="1" applyProtection="1">
      <alignment horizontal="left" wrapText="1"/>
      <protection locked="0"/>
    </xf>
    <xf numFmtId="14" fontId="21" fillId="9" borderId="0" xfId="0" applyNumberFormat="1" applyFont="1" applyFill="1" applyAlignment="1">
      <alignment horizontal="center" vertical="center" wrapText="1"/>
    </xf>
    <xf numFmtId="0" fontId="45" fillId="0" borderId="0" xfId="0" applyFont="1" applyAlignment="1" applyProtection="1">
      <alignment horizontal="left" wrapText="1"/>
      <protection locked="0"/>
    </xf>
    <xf numFmtId="0" fontId="45" fillId="0" borderId="0" xfId="0" applyFont="1" applyProtection="1">
      <protection locked="0"/>
    </xf>
    <xf numFmtId="0" fontId="45" fillId="3" borderId="0" xfId="0" applyFont="1" applyFill="1"/>
    <xf numFmtId="0" fontId="21" fillId="23" borderId="4" xfId="0" applyFont="1" applyFill="1" applyBorder="1" applyAlignment="1">
      <alignment wrapText="1"/>
    </xf>
    <xf numFmtId="0" fontId="21" fillId="8" borderId="17" xfId="0" applyFont="1" applyFill="1" applyBorder="1" applyAlignment="1">
      <alignment horizontal="center" wrapText="1"/>
    </xf>
    <xf numFmtId="0" fontId="21" fillId="7" borderId="6" xfId="0" applyFont="1" applyFill="1" applyBorder="1" applyAlignment="1">
      <alignment horizontal="center" wrapText="1"/>
    </xf>
    <xf numFmtId="0" fontId="21" fillId="6" borderId="6" xfId="0" applyFont="1" applyFill="1" applyBorder="1" applyAlignment="1">
      <alignment horizontal="center" wrapText="1"/>
    </xf>
    <xf numFmtId="0" fontId="50" fillId="9" borderId="6" xfId="0" applyFont="1" applyFill="1" applyBorder="1" applyAlignment="1">
      <alignment vertical="center" wrapText="1"/>
    </xf>
    <xf numFmtId="0" fontId="50" fillId="9" borderId="3" xfId="0" applyFont="1" applyFill="1" applyBorder="1" applyAlignment="1">
      <alignment vertical="center" wrapText="1"/>
    </xf>
    <xf numFmtId="0" fontId="8" fillId="0" borderId="14" xfId="0" applyFont="1" applyBorder="1" applyAlignment="1">
      <alignment wrapText="1"/>
    </xf>
    <xf numFmtId="2" fontId="8" fillId="3" borderId="14" xfId="0" applyNumberFormat="1" applyFont="1" applyFill="1" applyBorder="1" applyAlignment="1">
      <alignment horizontal="center" vertical="center" wrapText="1"/>
    </xf>
    <xf numFmtId="2" fontId="8" fillId="15" borderId="14" xfId="0" applyNumberFormat="1" applyFont="1" applyFill="1" applyBorder="1" applyAlignment="1">
      <alignment horizontal="center" vertical="center" wrapText="1"/>
    </xf>
    <xf numFmtId="9" fontId="0" fillId="0" borderId="13" xfId="7" applyFont="1" applyBorder="1" applyAlignment="1">
      <alignment horizontal="left" vertical="center"/>
    </xf>
    <xf numFmtId="0" fontId="8" fillId="0" borderId="14" xfId="0" applyFont="1" applyBorder="1"/>
    <xf numFmtId="0" fontId="8" fillId="0" borderId="19" xfId="0" applyFont="1" applyBorder="1" applyAlignment="1">
      <alignment wrapText="1"/>
    </xf>
    <xf numFmtId="2" fontId="8" fillId="15" borderId="19" xfId="0" applyNumberFormat="1" applyFont="1" applyFill="1" applyBorder="1" applyAlignment="1">
      <alignment horizontal="center" vertical="center" wrapText="1"/>
    </xf>
    <xf numFmtId="2" fontId="8" fillId="3" borderId="19" xfId="0" applyNumberFormat="1" applyFont="1" applyFill="1" applyBorder="1" applyAlignment="1">
      <alignment horizontal="center" vertical="center" wrapText="1"/>
    </xf>
    <xf numFmtId="0" fontId="8" fillId="0" borderId="0" xfId="0" applyFont="1" applyAlignment="1">
      <alignment horizontal="center"/>
    </xf>
    <xf numFmtId="0" fontId="8" fillId="3" borderId="0" xfId="0" applyFont="1" applyFill="1" applyAlignment="1">
      <alignment horizontal="center"/>
    </xf>
    <xf numFmtId="0" fontId="49" fillId="22" borderId="0" xfId="0" applyFont="1" applyFill="1" applyAlignment="1" applyProtection="1">
      <alignment horizontal="center" vertical="center"/>
      <protection locked="0"/>
    </xf>
    <xf numFmtId="0" fontId="45" fillId="22" borderId="0" xfId="0" applyFont="1" applyFill="1" applyAlignment="1">
      <alignment horizontal="center" vertical="center"/>
    </xf>
    <xf numFmtId="0" fontId="41" fillId="11" borderId="0" xfId="0" applyFont="1" applyFill="1"/>
    <xf numFmtId="0" fontId="21" fillId="11" borderId="0" xfId="0" applyFont="1" applyFill="1"/>
    <xf numFmtId="0" fontId="45" fillId="11" borderId="0" xfId="0" applyFont="1" applyFill="1"/>
    <xf numFmtId="0" fontId="44" fillId="11" borderId="0" xfId="0" applyFont="1" applyFill="1" applyAlignment="1">
      <alignment horizontal="center"/>
    </xf>
    <xf numFmtId="0" fontId="44" fillId="11" borderId="0" xfId="0" applyFont="1" applyFill="1" applyAlignment="1" applyProtection="1">
      <alignment horizontal="center"/>
      <protection locked="0"/>
    </xf>
    <xf numFmtId="0" fontId="8" fillId="11" borderId="0" xfId="0" applyFont="1" applyFill="1" applyProtection="1">
      <protection locked="0"/>
    </xf>
    <xf numFmtId="0" fontId="8" fillId="11" borderId="0" xfId="0" applyFont="1" applyFill="1"/>
    <xf numFmtId="0" fontId="46" fillId="11" borderId="0" xfId="0" applyFont="1" applyFill="1" applyAlignment="1">
      <alignment horizontal="center" vertical="center" wrapText="1"/>
    </xf>
    <xf numFmtId="2" fontId="8" fillId="0" borderId="0" xfId="0" applyNumberFormat="1" applyFont="1" applyAlignment="1">
      <alignment horizontal="center"/>
    </xf>
    <xf numFmtId="2" fontId="8" fillId="0" borderId="0" xfId="0" applyNumberFormat="1" applyFont="1" applyAlignment="1">
      <alignment horizontal="center" vertical="center"/>
    </xf>
    <xf numFmtId="0" fontId="44" fillId="25" borderId="0" xfId="0" applyFont="1" applyFill="1" applyAlignment="1">
      <alignment horizontal="center" vertical="center" wrapText="1"/>
    </xf>
    <xf numFmtId="0" fontId="46" fillId="11" borderId="0" xfId="0" applyFont="1" applyFill="1" applyAlignment="1">
      <alignment vertical="top" wrapText="1"/>
    </xf>
    <xf numFmtId="0" fontId="8" fillId="30" borderId="0" xfId="0" applyFont="1" applyFill="1" applyAlignment="1">
      <alignment vertical="top" wrapText="1"/>
    </xf>
    <xf numFmtId="0" fontId="8" fillId="30" borderId="0" xfId="0" applyFont="1" applyFill="1" applyAlignment="1">
      <alignment vertical="center" wrapText="1"/>
    </xf>
    <xf numFmtId="9" fontId="8" fillId="22" borderId="0" xfId="7" applyFont="1" applyFill="1" applyAlignment="1" applyProtection="1">
      <alignment horizontal="left" wrapText="1"/>
      <protection locked="0"/>
    </xf>
    <xf numFmtId="0" fontId="8" fillId="22" borderId="0" xfId="0" applyFont="1" applyFill="1" applyAlignment="1" applyProtection="1">
      <alignment horizontal="left"/>
      <protection locked="0"/>
    </xf>
    <xf numFmtId="0" fontId="44" fillId="9" borderId="0" xfId="0" applyFont="1" applyFill="1" applyAlignment="1">
      <alignment vertical="center" wrapText="1"/>
    </xf>
    <xf numFmtId="0" fontId="8" fillId="9" borderId="0" xfId="0" applyFont="1" applyFill="1" applyAlignment="1">
      <alignment vertical="center"/>
    </xf>
    <xf numFmtId="0" fontId="8" fillId="9" borderId="0" xfId="0" applyFont="1" applyFill="1" applyAlignment="1">
      <alignment horizontal="center" vertical="center" wrapText="1"/>
    </xf>
    <xf numFmtId="0" fontId="45" fillId="9" borderId="0" xfId="0" applyFont="1" applyFill="1" applyAlignment="1">
      <alignment horizontal="center" vertical="center"/>
    </xf>
    <xf numFmtId="0" fontId="45" fillId="9" borderId="0" xfId="0" applyFont="1" applyFill="1" applyAlignment="1">
      <alignment horizontal="center" vertical="center" wrapText="1"/>
    </xf>
    <xf numFmtId="0" fontId="8" fillId="9" borderId="0" xfId="0" applyFont="1" applyFill="1" applyAlignment="1">
      <alignment horizontal="center" vertical="center"/>
    </xf>
    <xf numFmtId="0" fontId="8" fillId="9" borderId="0" xfId="0" applyFont="1" applyFill="1" applyAlignment="1" applyProtection="1">
      <alignment horizontal="left"/>
      <protection locked="0"/>
    </xf>
    <xf numFmtId="0" fontId="8" fillId="9" borderId="0" xfId="0" applyFont="1" applyFill="1" applyProtection="1">
      <protection locked="0"/>
    </xf>
    <xf numFmtId="0" fontId="44" fillId="9" borderId="0" xfId="0" applyFont="1" applyFill="1" applyAlignment="1">
      <alignment horizontal="center" vertical="center" wrapText="1"/>
    </xf>
    <xf numFmtId="0" fontId="8" fillId="9" borderId="0" xfId="0" applyFont="1" applyFill="1" applyAlignment="1">
      <alignment vertical="center" wrapText="1"/>
    </xf>
    <xf numFmtId="0" fontId="8" fillId="9" borderId="0" xfId="0" applyFont="1" applyFill="1" applyAlignment="1">
      <alignment vertical="top" wrapText="1"/>
    </xf>
    <xf numFmtId="0" fontId="8" fillId="22" borderId="0" xfId="0" applyFont="1" applyFill="1" applyAlignment="1" applyProtection="1">
      <alignment horizontal="left" vertical="center" wrapText="1"/>
      <protection locked="0"/>
    </xf>
    <xf numFmtId="0" fontId="8" fillId="16" borderId="0" xfId="0" applyFont="1" applyFill="1"/>
    <xf numFmtId="166" fontId="8" fillId="16" borderId="0" xfId="0" applyNumberFormat="1" applyFont="1" applyFill="1" applyAlignment="1">
      <alignment horizontal="center" vertical="center" wrapText="1"/>
    </xf>
    <xf numFmtId="166" fontId="8" fillId="22" borderId="0" xfId="0" applyNumberFormat="1" applyFont="1" applyFill="1" applyAlignment="1" applyProtection="1">
      <alignment horizontal="center" vertical="center" wrapText="1"/>
      <protection locked="0"/>
    </xf>
    <xf numFmtId="166" fontId="8" fillId="16" borderId="0" xfId="0" applyNumberFormat="1" applyFont="1" applyFill="1" applyAlignment="1" applyProtection="1">
      <alignment horizontal="center" vertical="center" wrapText="1"/>
      <protection locked="0"/>
    </xf>
    <xf numFmtId="9" fontId="8" fillId="16" borderId="0" xfId="7" applyFont="1" applyFill="1" applyAlignment="1">
      <alignment horizontal="center" vertical="center" wrapText="1"/>
    </xf>
    <xf numFmtId="0" fontId="8" fillId="11" borderId="0" xfId="0" applyFont="1" applyFill="1" applyAlignment="1">
      <alignment vertical="top" wrapText="1"/>
    </xf>
    <xf numFmtId="166" fontId="45" fillId="0" borderId="0" xfId="0" applyNumberFormat="1" applyFont="1" applyAlignment="1">
      <alignment horizontal="center" vertical="center"/>
    </xf>
    <xf numFmtId="166" fontId="8" fillId="17" borderId="0" xfId="0" applyNumberFormat="1" applyFont="1" applyFill="1" applyAlignment="1">
      <alignment horizontal="center" vertical="center"/>
    </xf>
    <xf numFmtId="0" fontId="8" fillId="0" borderId="0" xfId="0" applyFont="1" applyAlignment="1">
      <alignment vertical="center" wrapText="1"/>
    </xf>
    <xf numFmtId="0" fontId="44" fillId="16" borderId="0" xfId="0" applyFont="1" applyFill="1" applyAlignment="1">
      <alignment horizontal="center" vertical="center" wrapText="1"/>
    </xf>
    <xf numFmtId="0" fontId="44" fillId="28" borderId="0" xfId="0" applyFont="1" applyFill="1" applyAlignment="1" applyProtection="1">
      <alignment horizontal="center" vertical="center" wrapText="1"/>
      <protection locked="0"/>
    </xf>
    <xf numFmtId="0" fontId="44" fillId="16" borderId="0" xfId="0" applyFont="1" applyFill="1" applyAlignment="1" applyProtection="1">
      <alignment horizontal="center" vertical="center" wrapText="1"/>
      <protection locked="0"/>
    </xf>
    <xf numFmtId="0" fontId="44" fillId="28" borderId="0" xfId="0" applyFont="1" applyFill="1" applyAlignment="1" applyProtection="1">
      <alignment vertical="center" wrapText="1"/>
      <protection locked="0"/>
    </xf>
    <xf numFmtId="0" fontId="8" fillId="28" borderId="0" xfId="0" applyFont="1" applyFill="1" applyAlignment="1">
      <alignment vertical="top" wrapText="1"/>
    </xf>
    <xf numFmtId="0" fontId="44" fillId="27" borderId="0" xfId="0" applyFont="1" applyFill="1" applyAlignment="1">
      <alignment vertical="center" wrapText="1"/>
    </xf>
    <xf numFmtId="0" fontId="8" fillId="27" borderId="0" xfId="0" applyFont="1" applyFill="1"/>
    <xf numFmtId="0" fontId="8" fillId="27" borderId="0" xfId="0" applyFont="1" applyFill="1" applyAlignment="1">
      <alignment horizontal="center" vertical="center" wrapText="1"/>
    </xf>
    <xf numFmtId="0" fontId="8" fillId="31" borderId="0" xfId="0" applyFont="1" applyFill="1" applyAlignment="1">
      <alignment horizontal="center" vertical="center" wrapText="1"/>
    </xf>
    <xf numFmtId="0" fontId="45" fillId="31" borderId="0" xfId="0" applyFont="1" applyFill="1"/>
    <xf numFmtId="0" fontId="44" fillId="31" borderId="0" xfId="0" applyFont="1" applyFill="1" applyAlignment="1" applyProtection="1">
      <alignment vertical="center" wrapText="1"/>
      <protection locked="0"/>
    </xf>
    <xf numFmtId="0" fontId="8" fillId="31" borderId="0" xfId="0" applyFont="1" applyFill="1" applyProtection="1">
      <protection locked="0"/>
    </xf>
    <xf numFmtId="9" fontId="0" fillId="31" borderId="0" xfId="7" applyFont="1" applyFill="1" applyAlignment="1">
      <alignment horizontal="center" vertical="center"/>
    </xf>
    <xf numFmtId="0" fontId="8" fillId="27" borderId="0" xfId="0" applyFont="1" applyFill="1" applyProtection="1">
      <protection locked="0"/>
    </xf>
    <xf numFmtId="0" fontId="8" fillId="27" borderId="0" xfId="0" applyFont="1" applyFill="1" applyAlignment="1" applyProtection="1">
      <alignment wrapText="1"/>
      <protection locked="0"/>
    </xf>
    <xf numFmtId="9" fontId="0" fillId="29" borderId="0" xfId="7" applyFont="1" applyFill="1" applyAlignment="1">
      <alignment horizontal="center" vertical="center"/>
    </xf>
    <xf numFmtId="0" fontId="44" fillId="31" borderId="0" xfId="0" applyFont="1" applyFill="1" applyAlignment="1">
      <alignment vertical="center" wrapText="1"/>
    </xf>
    <xf numFmtId="0" fontId="8" fillId="31" borderId="0" xfId="0" applyFont="1" applyFill="1"/>
    <xf numFmtId="9" fontId="8" fillId="0" borderId="0" xfId="7" applyFont="1" applyAlignment="1">
      <alignment horizontal="center" vertical="center"/>
    </xf>
    <xf numFmtId="9" fontId="8" fillId="22" borderId="0" xfId="7" applyFont="1" applyFill="1" applyAlignment="1" applyProtection="1">
      <alignment horizontal="left" vertical="center" wrapText="1"/>
      <protection locked="0"/>
    </xf>
    <xf numFmtId="0" fontId="8" fillId="0" borderId="0" xfId="7" applyNumberFormat="1" applyFont="1" applyAlignment="1">
      <alignment horizontal="center" vertical="center"/>
    </xf>
    <xf numFmtId="0" fontId="8" fillId="16" borderId="0" xfId="0" applyFont="1" applyFill="1" applyAlignment="1">
      <alignment vertical="center"/>
    </xf>
    <xf numFmtId="0" fontId="45" fillId="16" borderId="0" xfId="0" applyFont="1" applyFill="1" applyAlignment="1">
      <alignment horizontal="center" vertical="center" wrapText="1"/>
    </xf>
    <xf numFmtId="0" fontId="45" fillId="0" borderId="0" xfId="0" applyFont="1" applyAlignment="1">
      <alignment vertical="center"/>
    </xf>
    <xf numFmtId="0" fontId="45" fillId="29" borderId="0" xfId="0" applyFont="1" applyFill="1" applyAlignment="1" applyProtection="1">
      <alignment horizontal="center" vertical="center" wrapText="1"/>
      <protection locked="0"/>
    </xf>
    <xf numFmtId="0" fontId="45" fillId="16" borderId="0" xfId="0" applyFont="1" applyFill="1" applyAlignment="1" applyProtection="1">
      <alignment horizontal="center" vertical="center" wrapText="1"/>
      <protection locked="0"/>
    </xf>
    <xf numFmtId="0" fontId="44" fillId="0" borderId="0" xfId="0" applyFont="1" applyAlignment="1">
      <alignment wrapText="1"/>
    </xf>
    <xf numFmtId="0" fontId="8" fillId="8" borderId="0" xfId="0" applyFont="1" applyFill="1" applyAlignment="1">
      <alignment horizontal="center" wrapText="1"/>
    </xf>
    <xf numFmtId="0" fontId="8" fillId="7" borderId="0" xfId="0" applyFont="1" applyFill="1" applyAlignment="1">
      <alignment horizontal="center" wrapText="1"/>
    </xf>
    <xf numFmtId="0" fontId="8" fillId="6" borderId="0" xfId="0" applyFont="1" applyFill="1" applyAlignment="1">
      <alignment horizontal="center" wrapText="1"/>
    </xf>
    <xf numFmtId="166" fontId="45" fillId="0" borderId="0" xfId="0" applyNumberFormat="1" applyFont="1" applyAlignment="1">
      <alignment horizontal="center"/>
    </xf>
    <xf numFmtId="0" fontId="45" fillId="0" borderId="0" xfId="0" applyFont="1" applyAlignment="1">
      <alignment horizontal="center" wrapText="1"/>
    </xf>
    <xf numFmtId="0" fontId="8" fillId="3" borderId="0" xfId="0" applyFont="1" applyFill="1" applyAlignment="1">
      <alignment wrapText="1"/>
    </xf>
    <xf numFmtId="0" fontId="44" fillId="16" borderId="0" xfId="0" applyFont="1" applyFill="1" applyAlignment="1">
      <alignment wrapText="1"/>
    </xf>
    <xf numFmtId="0" fontId="8" fillId="16" borderId="0" xfId="0" applyFont="1" applyFill="1" applyAlignment="1">
      <alignment horizontal="center" wrapText="1"/>
    </xf>
    <xf numFmtId="166" fontId="8" fillId="16" borderId="0" xfId="0" applyNumberFormat="1" applyFont="1" applyFill="1" applyAlignment="1">
      <alignment horizontal="center" vertical="center"/>
    </xf>
    <xf numFmtId="0" fontId="8" fillId="29" borderId="0" xfId="0" applyFont="1" applyFill="1" applyAlignment="1" applyProtection="1">
      <alignment horizontal="center" wrapText="1"/>
      <protection locked="0"/>
    </xf>
    <xf numFmtId="0" fontId="39" fillId="0" borderId="0" xfId="0" applyFont="1"/>
    <xf numFmtId="0" fontId="21" fillId="23" borderId="3" xfId="0" applyFont="1" applyFill="1" applyBorder="1" applyAlignment="1">
      <alignment vertical="center" wrapText="1"/>
    </xf>
    <xf numFmtId="0" fontId="21" fillId="8" borderId="10" xfId="0" applyFont="1" applyFill="1" applyBorder="1" applyAlignment="1">
      <alignment horizontal="center" vertical="center" wrapText="1"/>
    </xf>
    <xf numFmtId="0" fontId="21" fillId="7" borderId="3"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21" fillId="23" borderId="10" xfId="0" applyFont="1" applyFill="1" applyBorder="1" applyAlignment="1">
      <alignment horizontal="center" vertical="center" wrapText="1"/>
    </xf>
    <xf numFmtId="0" fontId="8" fillId="0" borderId="3" xfId="0" applyFont="1" applyBorder="1" applyAlignment="1">
      <alignment wrapText="1"/>
    </xf>
    <xf numFmtId="9" fontId="8" fillId="8" borderId="13" xfId="7" applyFont="1" applyFill="1" applyBorder="1" applyAlignment="1">
      <alignment horizontal="center" vertical="center" wrapText="1"/>
    </xf>
    <xf numFmtId="9" fontId="8" fillId="7" borderId="13" xfId="7" applyFont="1" applyFill="1" applyBorder="1" applyAlignment="1">
      <alignment horizontal="center" vertical="center" wrapText="1"/>
    </xf>
    <xf numFmtId="9" fontId="8" fillId="6" borderId="13" xfId="7" applyFont="1" applyFill="1" applyBorder="1" applyAlignment="1">
      <alignment horizontal="center" vertical="center" wrapText="1"/>
    </xf>
    <xf numFmtId="0" fontId="8" fillId="0" borderId="7" xfId="0" applyFont="1" applyBorder="1"/>
    <xf numFmtId="0" fontId="8" fillId="0" borderId="9" xfId="0" applyFont="1" applyBorder="1"/>
    <xf numFmtId="0" fontId="6" fillId="0" borderId="0" xfId="0" applyFont="1" applyAlignment="1" applyProtection="1">
      <alignment wrapText="1"/>
      <protection locked="0"/>
    </xf>
    <xf numFmtId="0" fontId="13" fillId="22" borderId="0" xfId="0" applyFont="1" applyFill="1" applyAlignment="1" applyProtection="1">
      <alignment wrapText="1"/>
      <protection locked="0"/>
    </xf>
    <xf numFmtId="0" fontId="3" fillId="0" borderId="0" xfId="0" applyFont="1" applyAlignment="1">
      <alignment wrapText="1"/>
    </xf>
    <xf numFmtId="0" fontId="21" fillId="3" borderId="0" xfId="0" applyFont="1" applyFill="1" applyAlignment="1">
      <alignment vertical="top" wrapText="1"/>
    </xf>
    <xf numFmtId="0" fontId="46" fillId="11" borderId="0" xfId="0" applyFont="1" applyFill="1"/>
    <xf numFmtId="0" fontId="21" fillId="11" borderId="0" xfId="0" applyFont="1" applyFill="1" applyAlignment="1">
      <alignment horizontal="center" vertical="top" wrapText="1"/>
    </xf>
    <xf numFmtId="0" fontId="8" fillId="22" borderId="0" xfId="0" applyFont="1" applyFill="1" applyProtection="1">
      <protection locked="0"/>
    </xf>
    <xf numFmtId="0" fontId="8" fillId="0" borderId="0" xfId="0" applyFont="1" applyAlignment="1">
      <alignment vertical="top"/>
    </xf>
    <xf numFmtId="0" fontId="21" fillId="7" borderId="3" xfId="0" applyFont="1" applyFill="1" applyBorder="1" applyAlignment="1">
      <alignment horizontal="center" wrapText="1"/>
    </xf>
    <xf numFmtId="0" fontId="21" fillId="6" borderId="3" xfId="0" applyFont="1" applyFill="1" applyBorder="1" applyAlignment="1">
      <alignment horizontal="center" wrapText="1"/>
    </xf>
    <xf numFmtId="0" fontId="8" fillId="0" borderId="10" xfId="0" applyFont="1" applyBorder="1" applyAlignment="1">
      <alignment wrapText="1"/>
    </xf>
    <xf numFmtId="2" fontId="8" fillId="8" borderId="10" xfId="0" applyNumberFormat="1" applyFont="1" applyFill="1" applyBorder="1" applyAlignment="1">
      <alignment horizontal="center" vertical="center" wrapText="1"/>
    </xf>
    <xf numFmtId="2" fontId="8" fillId="7" borderId="10" xfId="0" applyNumberFormat="1" applyFont="1" applyFill="1" applyBorder="1" applyAlignment="1">
      <alignment horizontal="center" vertical="center" wrapText="1"/>
    </xf>
    <xf numFmtId="2" fontId="8" fillId="6" borderId="10" xfId="0" applyNumberFormat="1" applyFont="1" applyFill="1" applyBorder="1" applyAlignment="1">
      <alignment horizontal="center" vertical="center" wrapText="1"/>
    </xf>
    <xf numFmtId="2" fontId="8" fillId="0" borderId="10" xfId="0" applyNumberFormat="1" applyFont="1" applyBorder="1" applyAlignment="1">
      <alignment horizontal="center" vertical="center" wrapText="1"/>
    </xf>
    <xf numFmtId="0" fontId="42" fillId="0" borderId="0" xfId="0" applyFont="1"/>
    <xf numFmtId="0" fontId="8" fillId="22" borderId="0" xfId="0" applyFont="1" applyFill="1" applyAlignment="1" applyProtection="1">
      <alignment horizontal="left" vertical="center"/>
      <protection locked="0"/>
    </xf>
    <xf numFmtId="0" fontId="20" fillId="9" borderId="6" xfId="0" applyFont="1" applyFill="1" applyBorder="1" applyAlignment="1">
      <alignment horizontal="center" wrapText="1"/>
    </xf>
    <xf numFmtId="0" fontId="20" fillId="9" borderId="3" xfId="0" applyFont="1" applyFill="1" applyBorder="1" applyAlignment="1">
      <alignment horizontal="center" wrapText="1"/>
    </xf>
    <xf numFmtId="2" fontId="8" fillId="7" borderId="1" xfId="0" applyNumberFormat="1" applyFont="1" applyFill="1" applyBorder="1" applyAlignment="1">
      <alignment horizontal="center" vertical="center" wrapText="1"/>
    </xf>
    <xf numFmtId="2" fontId="0" fillId="0" borderId="2" xfId="0" applyNumberFormat="1" applyBorder="1" applyAlignment="1">
      <alignment horizontal="center" vertical="center"/>
    </xf>
    <xf numFmtId="2" fontId="8" fillId="7" borderId="7" xfId="0" applyNumberFormat="1" applyFont="1" applyFill="1" applyBorder="1" applyAlignment="1">
      <alignment horizontal="center" vertical="center" wrapText="1"/>
    </xf>
    <xf numFmtId="2" fontId="0" fillId="0" borderId="8" xfId="0" applyNumberFormat="1" applyBorder="1" applyAlignment="1">
      <alignment horizontal="center" vertical="center"/>
    </xf>
    <xf numFmtId="0" fontId="13" fillId="22" borderId="0" xfId="0" applyFont="1" applyFill="1" applyProtection="1">
      <protection locked="0"/>
    </xf>
    <xf numFmtId="0" fontId="3" fillId="22" borderId="0" xfId="0" applyFont="1" applyFill="1"/>
    <xf numFmtId="0" fontId="46" fillId="11" borderId="0" xfId="0" applyFont="1" applyFill="1" applyAlignment="1">
      <alignment wrapText="1"/>
    </xf>
    <xf numFmtId="0" fontId="21" fillId="11" borderId="0" xfId="0" applyFont="1" applyFill="1" applyAlignment="1">
      <alignment horizontal="center" wrapText="1"/>
    </xf>
    <xf numFmtId="0" fontId="21" fillId="11" borderId="0" xfId="0" applyFont="1" applyFill="1" applyAlignment="1">
      <alignment horizontal="right"/>
    </xf>
    <xf numFmtId="0" fontId="52" fillId="33" borderId="31" xfId="3" applyFont="1" applyFill="1" applyBorder="1" applyAlignment="1">
      <alignment vertical="center"/>
    </xf>
    <xf numFmtId="0" fontId="52" fillId="33" borderId="16" xfId="3" applyFont="1" applyFill="1" applyBorder="1" applyAlignment="1">
      <alignment vertical="center"/>
    </xf>
    <xf numFmtId="0" fontId="52" fillId="33" borderId="16" xfId="3" applyFont="1" applyFill="1" applyBorder="1" applyAlignment="1">
      <alignment horizontal="center" vertical="center"/>
    </xf>
    <xf numFmtId="0" fontId="52" fillId="33" borderId="16" xfId="3" applyFont="1" applyFill="1" applyBorder="1" applyAlignment="1">
      <alignment horizontal="center" vertical="center" wrapText="1"/>
    </xf>
    <xf numFmtId="2" fontId="52" fillId="13" borderId="32" xfId="3" applyNumberFormat="1" applyFont="1" applyFill="1" applyBorder="1" applyAlignment="1">
      <alignment horizontal="center" vertical="center" wrapText="1"/>
    </xf>
    <xf numFmtId="0" fontId="52" fillId="33" borderId="31" xfId="3" applyFont="1" applyFill="1" applyBorder="1" applyAlignment="1">
      <alignment vertical="center" wrapText="1"/>
    </xf>
    <xf numFmtId="0" fontId="52" fillId="33" borderId="16" xfId="3" applyFont="1" applyFill="1" applyBorder="1" applyAlignment="1">
      <alignment vertical="center" wrapText="1"/>
    </xf>
    <xf numFmtId="0" fontId="2" fillId="0" borderId="13" xfId="3" applyBorder="1" applyAlignment="1">
      <alignment horizontal="left" vertical="top" wrapText="1"/>
    </xf>
    <xf numFmtId="0" fontId="2" fillId="0" borderId="13" xfId="3" applyBorder="1" applyAlignment="1">
      <alignment horizontal="center" vertical="center"/>
    </xf>
    <xf numFmtId="2" fontId="54" fillId="0" borderId="34" xfId="3" applyNumberFormat="1" applyFont="1" applyBorder="1" applyAlignment="1">
      <alignment horizontal="center" vertical="center"/>
    </xf>
    <xf numFmtId="0" fontId="0" fillId="0" borderId="13" xfId="3" applyFont="1" applyBorder="1" applyAlignment="1">
      <alignment horizontal="left" vertical="top" wrapText="1"/>
    </xf>
    <xf numFmtId="0" fontId="2" fillId="33" borderId="13" xfId="3" applyFill="1" applyBorder="1" applyAlignment="1">
      <alignment horizontal="left" vertical="top" wrapText="1"/>
    </xf>
    <xf numFmtId="0" fontId="2" fillId="33" borderId="13" xfId="3" applyFill="1" applyBorder="1" applyAlignment="1">
      <alignment horizontal="center" vertical="center"/>
    </xf>
    <xf numFmtId="0" fontId="0" fillId="33" borderId="13" xfId="3" applyFont="1" applyFill="1" applyBorder="1" applyAlignment="1">
      <alignment horizontal="left" vertical="top" wrapText="1"/>
    </xf>
    <xf numFmtId="0" fontId="3" fillId="33" borderId="13" xfId="3" applyFont="1" applyFill="1" applyBorder="1" applyAlignment="1">
      <alignment horizontal="left" vertical="top" wrapText="1"/>
    </xf>
    <xf numFmtId="2" fontId="54" fillId="0" borderId="34" xfId="3" applyNumberFormat="1" applyFont="1" applyBorder="1" applyAlignment="1">
      <alignment horizontal="center" vertical="center" wrapText="1"/>
    </xf>
    <xf numFmtId="2" fontId="54" fillId="3" borderId="34" xfId="3" applyNumberFormat="1" applyFont="1" applyFill="1" applyBorder="1" applyAlignment="1">
      <alignment horizontal="center" vertical="center"/>
    </xf>
    <xf numFmtId="0" fontId="3" fillId="34" borderId="13" xfId="3" applyFont="1" applyFill="1" applyBorder="1" applyAlignment="1">
      <alignment horizontal="left" vertical="top" wrapText="1"/>
    </xf>
    <xf numFmtId="167" fontId="54" fillId="0" borderId="34" xfId="3" applyNumberFormat="1" applyFont="1" applyBorder="1" applyAlignment="1">
      <alignment horizontal="center" vertical="center"/>
    </xf>
    <xf numFmtId="0" fontId="3" fillId="0" borderId="13" xfId="3" applyFont="1" applyBorder="1" applyAlignment="1">
      <alignment horizontal="left" vertical="top" wrapText="1"/>
    </xf>
    <xf numFmtId="4" fontId="54" fillId="0" borderId="34" xfId="3" applyNumberFormat="1" applyFont="1" applyBorder="1" applyAlignment="1">
      <alignment horizontal="center" vertical="center"/>
    </xf>
    <xf numFmtId="0" fontId="54" fillId="33" borderId="13" xfId="3" applyFont="1" applyFill="1" applyBorder="1" applyAlignment="1">
      <alignment horizontal="center" vertical="center"/>
    </xf>
    <xf numFmtId="2" fontId="54" fillId="7" borderId="34" xfId="3" applyNumberFormat="1" applyFont="1" applyFill="1" applyBorder="1" applyAlignment="1">
      <alignment horizontal="center" vertical="center"/>
    </xf>
    <xf numFmtId="2" fontId="54" fillId="7" borderId="34" xfId="3" applyNumberFormat="1" applyFont="1" applyFill="1" applyBorder="1" applyAlignment="1">
      <alignment horizontal="center" vertical="center" wrapText="1"/>
    </xf>
    <xf numFmtId="0" fontId="2" fillId="0" borderId="37" xfId="3" applyBorder="1" applyAlignment="1">
      <alignment horizontal="left" vertical="top" wrapText="1"/>
    </xf>
    <xf numFmtId="0" fontId="2" fillId="0" borderId="37" xfId="3" applyBorder="1" applyAlignment="1">
      <alignment horizontal="center" vertical="center"/>
    </xf>
    <xf numFmtId="2" fontId="54" fillId="0" borderId="39" xfId="3" applyNumberFormat="1" applyFont="1" applyBorder="1" applyAlignment="1">
      <alignment horizontal="center" vertical="center"/>
    </xf>
    <xf numFmtId="0" fontId="2" fillId="0" borderId="0" xfId="3"/>
    <xf numFmtId="0" fontId="2" fillId="0" borderId="0" xfId="3" applyAlignment="1">
      <alignment wrapText="1"/>
    </xf>
    <xf numFmtId="2" fontId="53" fillId="0" borderId="0" xfId="3" applyNumberFormat="1" applyFont="1" applyAlignment="1">
      <alignment horizontal="center" vertical="center"/>
    </xf>
    <xf numFmtId="0" fontId="2" fillId="0" borderId="0" xfId="3" applyAlignment="1">
      <alignment horizontal="center" vertical="center"/>
    </xf>
    <xf numFmtId="2" fontId="2" fillId="0" borderId="0" xfId="3" applyNumberFormat="1" applyAlignment="1">
      <alignment horizontal="center" vertical="center"/>
    </xf>
    <xf numFmtId="2" fontId="54" fillId="35" borderId="34" xfId="3" applyNumberFormat="1" applyFont="1" applyFill="1" applyBorder="1" applyAlignment="1">
      <alignment horizontal="center" vertical="center"/>
    </xf>
    <xf numFmtId="2" fontId="54" fillId="36" borderId="34" xfId="3" applyNumberFormat="1" applyFont="1" applyFill="1" applyBorder="1" applyAlignment="1">
      <alignment horizontal="center" vertical="center"/>
    </xf>
    <xf numFmtId="4" fontId="54" fillId="7" borderId="34" xfId="3" applyNumberFormat="1" applyFont="1" applyFill="1" applyBorder="1" applyAlignment="1">
      <alignment horizontal="center" vertical="center"/>
    </xf>
    <xf numFmtId="0" fontId="37" fillId="0" borderId="0" xfId="0" applyFont="1" applyAlignment="1">
      <alignment horizontal="right"/>
    </xf>
    <xf numFmtId="2" fontId="13" fillId="0" borderId="0" xfId="0" applyNumberFormat="1" applyFont="1" applyAlignment="1">
      <alignment vertical="center"/>
    </xf>
    <xf numFmtId="0" fontId="0" fillId="21" borderId="0" xfId="0" applyFill="1"/>
    <xf numFmtId="0" fontId="23" fillId="0" borderId="40" xfId="0" applyFont="1" applyBorder="1" applyAlignment="1">
      <alignment vertical="center"/>
    </xf>
    <xf numFmtId="0" fontId="23" fillId="0" borderId="24" xfId="0" applyFont="1" applyBorder="1" applyAlignment="1">
      <alignment vertical="center" wrapText="1"/>
    </xf>
    <xf numFmtId="0" fontId="0" fillId="0" borderId="24" xfId="0" applyBorder="1" applyAlignment="1">
      <alignment vertical="center"/>
    </xf>
    <xf numFmtId="0" fontId="0" fillId="0" borderId="24" xfId="0" applyBorder="1"/>
    <xf numFmtId="0" fontId="0" fillId="0" borderId="29" xfId="0" applyBorder="1"/>
    <xf numFmtId="0" fontId="0" fillId="0" borderId="40" xfId="0" applyBorder="1"/>
    <xf numFmtId="0" fontId="0" fillId="0" borderId="41" xfId="0" applyBorder="1"/>
    <xf numFmtId="0" fontId="0" fillId="0" borderId="42" xfId="0" applyBorder="1"/>
    <xf numFmtId="0" fontId="3" fillId="0" borderId="0" xfId="0" applyFont="1" applyAlignment="1">
      <alignment horizontal="center"/>
    </xf>
    <xf numFmtId="0" fontId="0" fillId="0" borderId="43" xfId="0" applyBorder="1"/>
    <xf numFmtId="0" fontId="0" fillId="0" borderId="21" xfId="0" applyBorder="1"/>
    <xf numFmtId="0" fontId="0" fillId="0" borderId="30" xfId="0" applyBorder="1"/>
    <xf numFmtId="0" fontId="0" fillId="0" borderId="42" xfId="0" applyBorder="1" applyAlignment="1">
      <alignment horizontal="left"/>
    </xf>
    <xf numFmtId="0" fontId="3" fillId="0" borderId="0" xfId="0" applyFont="1" applyAlignment="1">
      <alignment horizontal="left"/>
    </xf>
    <xf numFmtId="0" fontId="3" fillId="0" borderId="42" xfId="0" applyFont="1" applyBorder="1"/>
    <xf numFmtId="0" fontId="3" fillId="0" borderId="21" xfId="0" applyFont="1" applyBorder="1" applyAlignment="1">
      <alignment horizontal="left"/>
    </xf>
    <xf numFmtId="0" fontId="3" fillId="0" borderId="30" xfId="0" applyFont="1" applyBorder="1"/>
    <xf numFmtId="0" fontId="55" fillId="0" borderId="0" xfId="0" applyFont="1"/>
    <xf numFmtId="0" fontId="0" fillId="0" borderId="30" xfId="0" applyBorder="1" applyAlignment="1">
      <alignment horizontal="left"/>
    </xf>
    <xf numFmtId="0" fontId="2" fillId="28" borderId="13" xfId="3" applyFill="1" applyBorder="1"/>
    <xf numFmtId="0" fontId="3" fillId="0" borderId="40" xfId="0" applyFont="1" applyBorder="1"/>
    <xf numFmtId="0" fontId="3" fillId="0" borderId="24" xfId="0" applyFont="1" applyBorder="1"/>
    <xf numFmtId="0" fontId="3" fillId="0" borderId="21" xfId="0" applyFont="1" applyBorder="1"/>
    <xf numFmtId="0" fontId="8" fillId="0" borderId="24" xfId="0" applyFont="1" applyBorder="1" applyAlignment="1">
      <alignment vertical="center"/>
    </xf>
    <xf numFmtId="0" fontId="45" fillId="0" borderId="21" xfId="0" applyFont="1" applyBorder="1"/>
    <xf numFmtId="0" fontId="0" fillId="0" borderId="0" xfId="0" applyAlignment="1">
      <alignment horizontal="center"/>
    </xf>
    <xf numFmtId="0" fontId="56" fillId="38" borderId="13" xfId="0" applyFont="1" applyFill="1" applyBorder="1" applyAlignment="1">
      <alignment horizontal="center" vertical="center"/>
    </xf>
    <xf numFmtId="0" fontId="13" fillId="18" borderId="13" xfId="0" applyFont="1" applyFill="1" applyBorder="1" applyAlignment="1">
      <alignment horizontal="center" vertical="center" wrapText="1"/>
    </xf>
    <xf numFmtId="0" fontId="13" fillId="21" borderId="13" xfId="0" applyFont="1" applyFill="1" applyBorder="1" applyAlignment="1">
      <alignment horizontal="center" vertical="center" wrapText="1"/>
    </xf>
    <xf numFmtId="0" fontId="56" fillId="38" borderId="13" xfId="0" applyFont="1" applyFill="1" applyBorder="1" applyAlignment="1">
      <alignment horizontal="center" vertical="center" wrapText="1"/>
    </xf>
    <xf numFmtId="0" fontId="3" fillId="0" borderId="13" xfId="0" applyFont="1" applyBorder="1"/>
    <xf numFmtId="0" fontId="22" fillId="0" borderId="13" xfId="0" applyFont="1" applyBorder="1" applyAlignment="1">
      <alignment horizontal="center" vertical="center" wrapText="1"/>
    </xf>
    <xf numFmtId="0" fontId="22" fillId="37" borderId="13" xfId="0" applyFont="1" applyFill="1" applyBorder="1" applyAlignment="1">
      <alignment horizontal="center" vertical="center" wrapText="1"/>
    </xf>
    <xf numFmtId="0" fontId="0" fillId="15" borderId="13" xfId="0" applyFill="1" applyBorder="1"/>
    <xf numFmtId="0" fontId="0" fillId="16" borderId="13" xfId="0" applyFill="1" applyBorder="1" applyAlignment="1">
      <alignment horizontal="center"/>
    </xf>
    <xf numFmtId="0" fontId="3" fillId="0" borderId="13" xfId="0" applyFont="1" applyBorder="1" applyAlignment="1">
      <alignment vertical="center"/>
    </xf>
    <xf numFmtId="0" fontId="13" fillId="0" borderId="13" xfId="0" applyFont="1" applyBorder="1" applyAlignment="1">
      <alignment horizontal="center" vertical="center" wrapText="1"/>
    </xf>
    <xf numFmtId="0" fontId="0" fillId="0" borderId="13" xfId="0" applyBorder="1" applyAlignment="1">
      <alignment horizontal="center"/>
    </xf>
    <xf numFmtId="0" fontId="57" fillId="0" borderId="0" xfId="0" applyFont="1"/>
    <xf numFmtId="2" fontId="0" fillId="0" borderId="14" xfId="0" applyNumberFormat="1" applyBorder="1" applyAlignment="1">
      <alignment horizontal="center" vertical="center"/>
    </xf>
    <xf numFmtId="0" fontId="24" fillId="0" borderId="0" xfId="0" applyFont="1" applyAlignment="1">
      <alignment vertical="center"/>
    </xf>
    <xf numFmtId="0" fontId="58" fillId="39" borderId="13" xfId="0" applyFont="1" applyFill="1" applyBorder="1" applyAlignment="1">
      <alignment vertical="center"/>
    </xf>
    <xf numFmtId="0" fontId="24" fillId="0" borderId="13" xfId="0" applyFont="1" applyBorder="1" applyAlignment="1">
      <alignment vertical="center"/>
    </xf>
    <xf numFmtId="0" fontId="45" fillId="0" borderId="13" xfId="0" applyFont="1" applyBorder="1" applyAlignment="1">
      <alignment vertical="center"/>
    </xf>
    <xf numFmtId="2" fontId="58" fillId="39" borderId="13" xfId="0" applyNumberFormat="1" applyFont="1" applyFill="1" applyBorder="1" applyAlignment="1">
      <alignment horizontal="center" vertical="center"/>
    </xf>
    <xf numFmtId="0" fontId="24" fillId="0" borderId="13" xfId="0" applyFont="1" applyBorder="1" applyAlignment="1">
      <alignment vertical="center" wrapText="1"/>
    </xf>
    <xf numFmtId="0" fontId="0" fillId="4" borderId="0" xfId="0" applyFill="1" applyAlignment="1">
      <alignment vertical="center"/>
    </xf>
    <xf numFmtId="0" fontId="13" fillId="4" borderId="13" xfId="0" applyFont="1" applyFill="1" applyBorder="1" applyAlignment="1">
      <alignment vertical="center"/>
    </xf>
    <xf numFmtId="0" fontId="0" fillId="4" borderId="13" xfId="0" applyFill="1" applyBorder="1" applyAlignment="1">
      <alignment vertical="center"/>
    </xf>
    <xf numFmtId="0" fontId="45" fillId="4" borderId="13" xfId="0" applyFont="1" applyFill="1" applyBorder="1" applyAlignment="1">
      <alignment vertical="center"/>
    </xf>
    <xf numFmtId="2" fontId="13" fillId="40" borderId="17" xfId="0" applyNumberFormat="1" applyFont="1" applyFill="1" applyBorder="1" applyAlignment="1">
      <alignment horizontal="center" vertical="center"/>
    </xf>
    <xf numFmtId="0" fontId="0" fillId="4" borderId="13" xfId="0" applyFill="1" applyBorder="1" applyAlignment="1">
      <alignment vertical="center" wrapText="1"/>
    </xf>
    <xf numFmtId="0" fontId="0" fillId="41" borderId="0" xfId="0" applyFill="1" applyAlignment="1">
      <alignment vertical="center"/>
    </xf>
    <xf numFmtId="0" fontId="3" fillId="41" borderId="13" xfId="0" applyFont="1" applyFill="1" applyBorder="1" applyAlignment="1">
      <alignment vertical="center"/>
    </xf>
    <xf numFmtId="0" fontId="0" fillId="41" borderId="13" xfId="0" applyFill="1" applyBorder="1" applyAlignment="1">
      <alignment vertical="center"/>
    </xf>
    <xf numFmtId="0" fontId="45" fillId="41" borderId="13" xfId="0" applyFont="1" applyFill="1" applyBorder="1" applyAlignment="1">
      <alignment vertical="center"/>
    </xf>
    <xf numFmtId="2" fontId="13" fillId="21" borderId="13" xfId="0" applyNumberFormat="1" applyFont="1" applyFill="1" applyBorder="1" applyAlignment="1">
      <alignment horizontal="center" vertical="center"/>
    </xf>
    <xf numFmtId="0" fontId="0" fillId="41" borderId="13" xfId="0" applyFill="1" applyBorder="1" applyAlignment="1">
      <alignment vertical="center" wrapText="1"/>
    </xf>
    <xf numFmtId="0" fontId="3" fillId="42" borderId="13" xfId="0" applyFont="1" applyFill="1" applyBorder="1" applyAlignment="1">
      <alignment vertical="center"/>
    </xf>
    <xf numFmtId="0" fontId="59" fillId="42" borderId="13" xfId="0" applyFont="1" applyFill="1" applyBorder="1" applyAlignment="1">
      <alignment vertical="center"/>
    </xf>
    <xf numFmtId="0" fontId="45" fillId="0" borderId="13" xfId="0" applyFont="1" applyBorder="1" applyAlignment="1">
      <alignment vertical="center" wrapText="1"/>
    </xf>
    <xf numFmtId="2" fontId="0" fillId="0" borderId="13" xfId="0" applyNumberFormat="1" applyBorder="1" applyAlignment="1">
      <alignment horizontal="center" vertical="center" wrapText="1"/>
    </xf>
    <xf numFmtId="0" fontId="8" fillId="0" borderId="13" xfId="0" applyFont="1" applyBorder="1" applyAlignment="1">
      <alignment vertical="center" wrapText="1"/>
    </xf>
    <xf numFmtId="0" fontId="8" fillId="0" borderId="13" xfId="0" applyFont="1" applyBorder="1" applyAlignment="1">
      <alignment horizontal="left" vertical="center" wrapText="1"/>
    </xf>
    <xf numFmtId="2" fontId="0" fillId="0" borderId="12" xfId="0" applyNumberFormat="1" applyBorder="1" applyAlignment="1">
      <alignment horizontal="center" vertical="center" wrapText="1"/>
    </xf>
    <xf numFmtId="0" fontId="59" fillId="4" borderId="13" xfId="0" applyFont="1" applyFill="1" applyBorder="1" applyAlignment="1">
      <alignment vertical="center"/>
    </xf>
    <xf numFmtId="0" fontId="45" fillId="4" borderId="28" xfId="0" applyFont="1" applyFill="1" applyBorder="1" applyAlignment="1">
      <alignment vertical="center" wrapText="1"/>
    </xf>
    <xf numFmtId="0" fontId="8" fillId="4" borderId="27" xfId="0" applyFont="1" applyFill="1" applyBorder="1" applyAlignment="1">
      <alignment vertical="center" wrapText="1"/>
    </xf>
    <xf numFmtId="0" fontId="59" fillId="41" borderId="13" xfId="0" applyFont="1" applyFill="1" applyBorder="1" applyAlignment="1">
      <alignment vertical="center"/>
    </xf>
    <xf numFmtId="0" fontId="45" fillId="41" borderId="13" xfId="0" applyFont="1" applyFill="1" applyBorder="1" applyAlignment="1">
      <alignment vertical="center" wrapText="1"/>
    </xf>
    <xf numFmtId="2" fontId="13" fillId="21" borderId="16" xfId="0" applyNumberFormat="1" applyFont="1" applyFill="1" applyBorder="1" applyAlignment="1">
      <alignment horizontal="center" vertical="center"/>
    </xf>
    <xf numFmtId="0" fontId="8" fillId="41" borderId="13" xfId="0" applyFont="1" applyFill="1" applyBorder="1" applyAlignment="1">
      <alignment vertical="center" wrapText="1"/>
    </xf>
    <xf numFmtId="0" fontId="0" fillId="0" borderId="13" xfId="0" applyBorder="1" applyAlignment="1">
      <alignment vertical="center" wrapText="1"/>
    </xf>
    <xf numFmtId="9" fontId="8" fillId="0" borderId="0" xfId="7" applyFont="1" applyAlignment="1">
      <alignment horizontal="left" vertical="center"/>
    </xf>
    <xf numFmtId="0" fontId="59" fillId="42" borderId="13" xfId="0" applyFont="1" applyFill="1" applyBorder="1" applyAlignment="1">
      <alignment vertical="center" wrapText="1"/>
    </xf>
    <xf numFmtId="0" fontId="59" fillId="16" borderId="13" xfId="0" applyFont="1" applyFill="1" applyBorder="1" applyAlignment="1">
      <alignment vertical="center" wrapText="1"/>
    </xf>
    <xf numFmtId="0" fontId="45" fillId="16" borderId="13" xfId="0" applyFont="1" applyFill="1" applyBorder="1" applyAlignment="1">
      <alignment vertical="center" wrapText="1"/>
    </xf>
    <xf numFmtId="2" fontId="0" fillId="16" borderId="13" xfId="0" applyNumberFormat="1" applyFill="1" applyBorder="1" applyAlignment="1">
      <alignment horizontal="center" vertical="center" wrapText="1"/>
    </xf>
    <xf numFmtId="0" fontId="8" fillId="16" borderId="13" xfId="0" applyFont="1" applyFill="1" applyBorder="1" applyAlignment="1">
      <alignment vertical="center" wrapText="1"/>
    </xf>
    <xf numFmtId="0" fontId="3" fillId="0" borderId="13" xfId="0" applyFont="1" applyBorder="1" applyAlignment="1">
      <alignment vertical="center" wrapText="1"/>
    </xf>
    <xf numFmtId="0" fontId="19" fillId="43" borderId="13" xfId="0" applyFont="1" applyFill="1" applyBorder="1" applyAlignment="1">
      <alignment horizontal="left" vertical="top" wrapText="1"/>
    </xf>
    <xf numFmtId="0" fontId="19" fillId="43" borderId="13" xfId="0" applyFont="1" applyFill="1" applyBorder="1" applyAlignment="1">
      <alignment horizontal="center" vertical="top" wrapText="1"/>
    </xf>
    <xf numFmtId="0" fontId="19" fillId="0" borderId="30" xfId="0" applyFont="1" applyBorder="1" applyAlignment="1">
      <alignment horizontal="center" vertical="top" wrapText="1"/>
    </xf>
    <xf numFmtId="9" fontId="0" fillId="0" borderId="0" xfId="7" applyFont="1" applyFill="1" applyAlignment="1">
      <alignment horizontal="center" vertical="center"/>
    </xf>
    <xf numFmtId="0" fontId="65" fillId="0" borderId="0" xfId="0" applyFont="1" applyAlignment="1">
      <alignment vertical="center" wrapText="1"/>
    </xf>
    <xf numFmtId="49" fontId="66" fillId="0" borderId="13" xfId="0" applyNumberFormat="1" applyFont="1" applyBorder="1" applyAlignment="1">
      <alignment horizontal="left" vertical="top" wrapText="1"/>
    </xf>
    <xf numFmtId="0" fontId="67" fillId="0" borderId="0" xfId="0" applyFont="1" applyAlignment="1">
      <alignment vertical="center" wrapText="1"/>
    </xf>
    <xf numFmtId="49" fontId="66" fillId="0" borderId="13" xfId="6" applyNumberFormat="1" applyFont="1" applyBorder="1" applyAlignment="1">
      <alignment horizontal="left" vertical="top" wrapText="1"/>
    </xf>
    <xf numFmtId="0" fontId="65" fillId="0" borderId="0" xfId="0" applyFont="1" applyAlignment="1">
      <alignment horizontal="center" vertical="center" wrapText="1"/>
    </xf>
    <xf numFmtId="0" fontId="3" fillId="18" borderId="0" xfId="0" applyFont="1" applyFill="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wrapText="1"/>
    </xf>
    <xf numFmtId="0" fontId="68" fillId="0" borderId="0" xfId="0" applyFont="1" applyAlignment="1">
      <alignment horizontal="left" vertical="top" wrapText="1"/>
    </xf>
    <xf numFmtId="0" fontId="68" fillId="0" borderId="0" xfId="0" applyFont="1" applyAlignment="1">
      <alignment wrapText="1"/>
    </xf>
    <xf numFmtId="0" fontId="3" fillId="0" borderId="0" xfId="0" applyFont="1" applyAlignment="1">
      <alignment vertical="top" wrapText="1"/>
    </xf>
    <xf numFmtId="49" fontId="3" fillId="0" borderId="0" xfId="0" applyNumberFormat="1" applyFont="1" applyAlignment="1">
      <alignment horizontal="center" vertical="top" wrapText="1"/>
    </xf>
    <xf numFmtId="0" fontId="68" fillId="0" borderId="0" xfId="0" applyFont="1" applyAlignment="1">
      <alignment horizontal="center" vertical="center" wrapText="1"/>
    </xf>
    <xf numFmtId="0" fontId="68" fillId="18" borderId="0" xfId="0" applyFont="1" applyFill="1" applyAlignment="1">
      <alignment horizontal="left" vertical="top" wrapText="1"/>
    </xf>
    <xf numFmtId="0" fontId="7" fillId="18" borderId="0" xfId="0" applyFont="1" applyFill="1" applyAlignment="1">
      <alignment horizontal="center" vertical="center" wrapText="1"/>
    </xf>
    <xf numFmtId="0" fontId="6" fillId="18" borderId="0" xfId="0" applyFont="1" applyFill="1" applyAlignment="1">
      <alignment vertical="center" wrapText="1"/>
    </xf>
    <xf numFmtId="0" fontId="68" fillId="18" borderId="0" xfId="0" applyFont="1" applyFill="1" applyAlignment="1">
      <alignment wrapText="1"/>
    </xf>
    <xf numFmtId="0" fontId="68" fillId="0" borderId="0" xfId="0" applyFont="1" applyAlignment="1">
      <alignment horizontal="left" vertical="center" wrapText="1"/>
    </xf>
    <xf numFmtId="0" fontId="7" fillId="3" borderId="0" xfId="0" applyFont="1" applyFill="1" applyAlignment="1">
      <alignment vertical="top" wrapText="1"/>
    </xf>
    <xf numFmtId="0" fontId="68" fillId="0" borderId="0" xfId="0" applyFont="1" applyAlignment="1">
      <alignment vertical="top" wrapText="1"/>
    </xf>
    <xf numFmtId="0" fontId="41" fillId="11" borderId="0" xfId="0" applyFont="1" applyFill="1" applyAlignment="1">
      <alignment vertical="center" wrapText="1"/>
    </xf>
    <xf numFmtId="0" fontId="7" fillId="0" borderId="0" xfId="0" applyFont="1" applyAlignment="1">
      <alignment vertical="top" wrapText="1"/>
    </xf>
    <xf numFmtId="0" fontId="68" fillId="18" borderId="0" xfId="0" applyFont="1" applyFill="1" applyAlignment="1">
      <alignment horizontal="center" vertical="center" wrapText="1"/>
    </xf>
    <xf numFmtId="0" fontId="6" fillId="18" borderId="0" xfId="0" applyFont="1" applyFill="1" applyAlignment="1">
      <alignment horizontal="center" vertical="center" wrapText="1"/>
    </xf>
    <xf numFmtId="49" fontId="3" fillId="0" borderId="13" xfId="0" applyNumberFormat="1" applyFont="1" applyBorder="1" applyAlignment="1">
      <alignment horizontal="left" vertical="top" wrapText="1"/>
    </xf>
    <xf numFmtId="49" fontId="3" fillId="0" borderId="0" xfId="0" applyNumberFormat="1" applyFont="1" applyAlignment="1">
      <alignment horizontal="left" vertical="top" wrapText="1"/>
    </xf>
    <xf numFmtId="0" fontId="20" fillId="11" borderId="0" xfId="0" applyFont="1" applyFill="1" applyAlignment="1">
      <alignment vertical="top" wrapText="1"/>
    </xf>
    <xf numFmtId="0" fontId="3" fillId="3" borderId="0" xfId="0" applyFont="1" applyFill="1" applyAlignment="1">
      <alignment vertical="top" wrapText="1"/>
    </xf>
    <xf numFmtId="0" fontId="3" fillId="30" borderId="0" xfId="0" applyFont="1" applyFill="1" applyAlignment="1">
      <alignment vertical="top" wrapText="1"/>
    </xf>
    <xf numFmtId="0" fontId="3" fillId="30" borderId="0" xfId="0" applyFont="1" applyFill="1" applyAlignment="1">
      <alignment vertical="center" wrapText="1"/>
    </xf>
    <xf numFmtId="0" fontId="3" fillId="9" borderId="0" xfId="0" applyFont="1" applyFill="1" applyAlignment="1">
      <alignment vertical="center" wrapText="1"/>
    </xf>
    <xf numFmtId="0" fontId="3" fillId="3" borderId="0" xfId="0" applyFont="1" applyFill="1" applyAlignment="1">
      <alignment vertical="center" wrapText="1"/>
    </xf>
    <xf numFmtId="0" fontId="13" fillId="16" borderId="0" xfId="0" applyFont="1" applyFill="1" applyAlignment="1">
      <alignment horizontal="center" vertical="center" wrapText="1"/>
    </xf>
    <xf numFmtId="0" fontId="3" fillId="28" borderId="0" xfId="0" applyFont="1" applyFill="1" applyAlignment="1">
      <alignment vertical="top" wrapText="1"/>
    </xf>
    <xf numFmtId="0" fontId="3" fillId="3" borderId="0" xfId="0" applyFont="1" applyFill="1" applyAlignment="1">
      <alignment wrapText="1"/>
    </xf>
    <xf numFmtId="0" fontId="3" fillId="0" borderId="0" xfId="0" applyFont="1" applyAlignment="1">
      <alignment vertical="center" wrapText="1"/>
    </xf>
    <xf numFmtId="0" fontId="8" fillId="27" borderId="0" xfId="0" applyFont="1" applyFill="1" applyAlignment="1">
      <alignment horizontal="center" vertical="center"/>
    </xf>
    <xf numFmtId="0" fontId="8" fillId="31" borderId="0" xfId="0" applyFont="1" applyFill="1" applyAlignment="1">
      <alignment horizontal="center" vertical="center"/>
    </xf>
    <xf numFmtId="0" fontId="44" fillId="31" borderId="0" xfId="0" applyFont="1" applyFill="1" applyAlignment="1">
      <alignment horizontal="center" vertical="center" wrapText="1"/>
    </xf>
    <xf numFmtId="0" fontId="45" fillId="16" borderId="0" xfId="0" applyFont="1" applyFill="1" applyAlignment="1" applyProtection="1">
      <alignment horizontal="left" vertical="center" wrapText="1"/>
      <protection locked="0"/>
    </xf>
    <xf numFmtId="0" fontId="49" fillId="16" borderId="0" xfId="0" applyFont="1" applyFill="1" applyAlignment="1" applyProtection="1">
      <alignment horizontal="center" vertical="center" wrapText="1"/>
      <protection locked="0"/>
    </xf>
    <xf numFmtId="0" fontId="4" fillId="2" borderId="0" xfId="0" applyFont="1" applyFill="1" applyAlignment="1">
      <alignment horizontal="center" vertical="center"/>
    </xf>
    <xf numFmtId="0" fontId="8" fillId="2" borderId="0" xfId="0" applyFont="1" applyFill="1" applyAlignment="1">
      <alignment wrapText="1"/>
    </xf>
    <xf numFmtId="0" fontId="10" fillId="3" borderId="0" xfId="0" applyFont="1" applyFill="1" applyAlignment="1">
      <alignment horizontal="center" vertical="center" wrapText="1"/>
    </xf>
    <xf numFmtId="0" fontId="11" fillId="4" borderId="1" xfId="0" applyFont="1" applyFill="1" applyBorder="1" applyAlignment="1">
      <alignment horizontal="center" vertical="center" wrapText="1"/>
    </xf>
    <xf numFmtId="0" fontId="11" fillId="4" borderId="2" xfId="0" applyFont="1" applyFill="1" applyBorder="1" applyAlignment="1">
      <alignment horizontal="center" vertical="center" wrapText="1"/>
    </xf>
    <xf numFmtId="164" fontId="12" fillId="5" borderId="1" xfId="0" applyNumberFormat="1" applyFont="1" applyFill="1" applyBorder="1" applyAlignment="1">
      <alignment horizontal="center"/>
    </xf>
    <xf numFmtId="164" fontId="12" fillId="5" borderId="3" xfId="0" applyNumberFormat="1" applyFont="1" applyFill="1" applyBorder="1" applyAlignment="1">
      <alignment horizontal="center"/>
    </xf>
    <xf numFmtId="164" fontId="12" fillId="5" borderId="2" xfId="0" applyNumberFormat="1" applyFont="1" applyFill="1" applyBorder="1" applyAlignment="1">
      <alignment horizontal="center"/>
    </xf>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3" fillId="7" borderId="4" xfId="0" applyFont="1" applyFill="1" applyBorder="1" applyAlignment="1">
      <alignment horizontal="center" vertical="center"/>
    </xf>
    <xf numFmtId="0" fontId="13" fillId="7" borderId="6" xfId="0" applyFont="1" applyFill="1" applyBorder="1" applyAlignment="1">
      <alignment horizontal="center" vertical="center"/>
    </xf>
    <xf numFmtId="0" fontId="13" fillId="8" borderId="4" xfId="0" applyFont="1" applyFill="1" applyBorder="1" applyAlignment="1">
      <alignment horizontal="center" vertical="center"/>
    </xf>
    <xf numFmtId="0" fontId="13" fillId="8" borderId="5" xfId="0" applyFont="1" applyFill="1" applyBorder="1" applyAlignment="1">
      <alignment horizontal="center" vertical="center"/>
    </xf>
    <xf numFmtId="0" fontId="14" fillId="4" borderId="7" xfId="0" applyFont="1" applyFill="1" applyBorder="1" applyAlignment="1" applyProtection="1">
      <alignment horizontal="center" vertical="top"/>
      <protection locked="0"/>
    </xf>
    <xf numFmtId="0" fontId="14" fillId="4" borderId="8" xfId="0" applyFont="1" applyFill="1" applyBorder="1" applyAlignment="1" applyProtection="1">
      <alignment horizontal="center" vertical="top"/>
      <protection locked="0"/>
    </xf>
    <xf numFmtId="9" fontId="16" fillId="0" borderId="4" xfId="7" applyFont="1" applyBorder="1" applyAlignment="1">
      <alignment horizontal="center" vertical="center"/>
    </xf>
    <xf numFmtId="9" fontId="16" fillId="0" borderId="5" xfId="7" applyFont="1" applyBorder="1" applyAlignment="1">
      <alignment horizontal="center" vertical="center"/>
    </xf>
    <xf numFmtId="9" fontId="16" fillId="0" borderId="6" xfId="7" applyFont="1" applyBorder="1" applyAlignment="1">
      <alignment horizontal="center" vertical="center"/>
    </xf>
    <xf numFmtId="0" fontId="0" fillId="0" borderId="0" xfId="0"/>
    <xf numFmtId="0" fontId="17" fillId="3" borderId="0" xfId="0" applyFont="1" applyFill="1" applyAlignment="1">
      <alignment horizontal="left" vertical="center"/>
    </xf>
    <xf numFmtId="2" fontId="18" fillId="0" borderId="0" xfId="0" applyNumberFormat="1" applyFont="1" applyAlignment="1">
      <alignment horizontal="center" vertical="center"/>
    </xf>
    <xf numFmtId="0" fontId="18" fillId="0" borderId="0" xfId="0" applyFont="1" applyAlignment="1">
      <alignment horizontal="center" vertical="center"/>
    </xf>
    <xf numFmtId="0" fontId="17" fillId="3" borderId="0" xfId="0" applyFont="1" applyFill="1" applyAlignment="1">
      <alignment horizontal="left" vertical="center" wrapText="1"/>
    </xf>
    <xf numFmtId="0" fontId="19" fillId="3" borderId="4"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21" fillId="12" borderId="13" xfId="0" applyFont="1" applyFill="1" applyBorder="1" applyAlignment="1">
      <alignment horizontal="center" vertical="center" wrapText="1"/>
    </xf>
    <xf numFmtId="0" fontId="13" fillId="8" borderId="0" xfId="0" applyFont="1" applyFill="1" applyAlignment="1">
      <alignment horizontal="center" vertical="center" wrapText="1"/>
    </xf>
    <xf numFmtId="0" fontId="13" fillId="7" borderId="0" xfId="0" applyFont="1" applyFill="1" applyAlignment="1">
      <alignment horizontal="center" vertical="center" wrapText="1"/>
    </xf>
    <xf numFmtId="0" fontId="13" fillId="6" borderId="0" xfId="0" applyFont="1" applyFill="1" applyAlignment="1">
      <alignment horizontal="center" vertical="center" wrapText="1"/>
    </xf>
    <xf numFmtId="0" fontId="13" fillId="18" borderId="1" xfId="0" applyFont="1" applyFill="1" applyBorder="1" applyAlignment="1">
      <alignment horizontal="center" vertical="center" wrapText="1"/>
    </xf>
    <xf numFmtId="0" fontId="13" fillId="18" borderId="2" xfId="0" applyFont="1" applyFill="1" applyBorder="1" applyAlignment="1">
      <alignment horizontal="center" vertical="center" wrapText="1"/>
    </xf>
    <xf numFmtId="14" fontId="20" fillId="9" borderId="11" xfId="0" applyNumberFormat="1" applyFont="1" applyFill="1" applyBorder="1" applyAlignment="1">
      <alignment horizontal="center" vertical="center" wrapText="1"/>
    </xf>
    <xf numFmtId="14" fontId="20" fillId="9" borderId="0" xfId="0" applyNumberFormat="1" applyFont="1" applyFill="1" applyAlignment="1">
      <alignment horizontal="center" vertical="center" wrapText="1"/>
    </xf>
    <xf numFmtId="0" fontId="13" fillId="18" borderId="14" xfId="0" applyFont="1" applyFill="1" applyBorder="1" applyAlignment="1">
      <alignment horizontal="center" vertical="center" wrapText="1"/>
    </xf>
    <xf numFmtId="0" fontId="13" fillId="18" borderId="19" xfId="0" applyFont="1" applyFill="1" applyBorder="1" applyAlignment="1">
      <alignment horizontal="center" vertical="center" wrapText="1"/>
    </xf>
    <xf numFmtId="0" fontId="13" fillId="18" borderId="10"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26" fillId="0" borderId="0" xfId="0" applyFont="1" applyAlignment="1">
      <alignment horizontal="center" vertical="top"/>
    </xf>
    <xf numFmtId="0" fontId="27" fillId="0" borderId="1" xfId="0" applyFont="1" applyBorder="1" applyAlignment="1">
      <alignment horizontal="left"/>
    </xf>
    <xf numFmtId="0" fontId="28" fillId="0" borderId="3" xfId="0" applyFont="1" applyBorder="1" applyAlignment="1">
      <alignment horizontal="left"/>
    </xf>
    <xf numFmtId="0" fontId="28" fillId="0" borderId="2" xfId="0" applyFont="1" applyBorder="1" applyAlignment="1">
      <alignment horizontal="left"/>
    </xf>
    <xf numFmtId="0" fontId="27" fillId="0" borderId="1" xfId="0" applyFont="1" applyBorder="1" applyAlignment="1">
      <alignment horizontal="right"/>
    </xf>
    <xf numFmtId="0" fontId="28" fillId="0" borderId="3" xfId="0" applyFont="1" applyBorder="1" applyAlignment="1">
      <alignment horizontal="right"/>
    </xf>
    <xf numFmtId="0" fontId="28" fillId="0" borderId="2" xfId="0" applyFont="1" applyBorder="1" applyAlignment="1">
      <alignment horizontal="right"/>
    </xf>
    <xf numFmtId="0" fontId="29" fillId="0" borderId="11" xfId="0" applyFont="1" applyBorder="1" applyAlignment="1">
      <alignment horizontal="left" vertical="center" wrapText="1"/>
    </xf>
    <xf numFmtId="0" fontId="29" fillId="0" borderId="0" xfId="0" applyFont="1" applyAlignment="1">
      <alignment horizontal="left" vertical="center" wrapText="1"/>
    </xf>
    <xf numFmtId="0" fontId="29" fillId="0" borderId="18" xfId="0" applyFont="1" applyBorder="1" applyAlignment="1">
      <alignment horizontal="left" vertical="center" wrapText="1"/>
    </xf>
    <xf numFmtId="0" fontId="30" fillId="0" borderId="11" xfId="0" applyFont="1" applyBorder="1" applyAlignment="1">
      <alignment horizontal="left" wrapText="1" indent="1"/>
    </xf>
    <xf numFmtId="0" fontId="30" fillId="0" borderId="0" xfId="0" applyFont="1" applyAlignment="1">
      <alignment horizontal="left" wrapText="1" indent="1"/>
    </xf>
    <xf numFmtId="0" fontId="30" fillId="0" borderId="20" xfId="0" applyFont="1" applyBorder="1" applyAlignment="1">
      <alignment horizontal="left" wrapText="1" indent="1"/>
    </xf>
    <xf numFmtId="0" fontId="30" fillId="0" borderId="21" xfId="0" applyFont="1" applyBorder="1" applyAlignment="1">
      <alignment horizontal="left" wrapText="1" indent="1"/>
    </xf>
    <xf numFmtId="0" fontId="31" fillId="0" borderId="11" xfId="0" applyFont="1" applyBorder="1" applyAlignment="1">
      <alignment horizontal="right" vertical="center"/>
    </xf>
    <xf numFmtId="0" fontId="31" fillId="0" borderId="0" xfId="0" applyFont="1" applyAlignment="1">
      <alignment horizontal="right" vertical="center"/>
    </xf>
    <xf numFmtId="0" fontId="31" fillId="0" borderId="18" xfId="0" applyFont="1" applyBorder="1" applyAlignment="1">
      <alignment horizontal="right" vertical="center"/>
    </xf>
    <xf numFmtId="0" fontId="29" fillId="0" borderId="20" xfId="0" applyFont="1" applyBorder="1" applyAlignment="1">
      <alignment horizontal="center" vertical="center"/>
    </xf>
    <xf numFmtId="0" fontId="29" fillId="0" borderId="21" xfId="0" applyFont="1" applyBorder="1" applyAlignment="1">
      <alignment horizontal="center" vertical="center"/>
    </xf>
    <xf numFmtId="0" fontId="31" fillId="0" borderId="21" xfId="0" applyFont="1" applyBorder="1" applyAlignment="1">
      <alignment horizontal="center" vertical="center"/>
    </xf>
    <xf numFmtId="0" fontId="31" fillId="0" borderId="0" xfId="0" applyFont="1" applyAlignment="1">
      <alignment horizontal="center" vertical="center"/>
    </xf>
    <xf numFmtId="0" fontId="31" fillId="0" borderId="22" xfId="0" applyFont="1" applyBorder="1" applyAlignment="1">
      <alignment horizontal="center" vertical="center"/>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3" fillId="0" borderId="23" xfId="0" applyFont="1" applyBorder="1" applyAlignment="1">
      <alignment horizontal="center" vertical="top"/>
    </xf>
    <xf numFmtId="0" fontId="0" fillId="0" borderId="24" xfId="0" applyBorder="1" applyAlignment="1">
      <alignment horizontal="center" vertical="top"/>
    </xf>
    <xf numFmtId="0" fontId="3" fillId="0" borderId="0" xfId="0" applyFont="1" applyAlignment="1">
      <alignment horizontal="center" vertical="center"/>
    </xf>
    <xf numFmtId="0" fontId="3" fillId="0" borderId="0" xfId="0" applyFont="1" applyAlignment="1">
      <alignment vertical="center"/>
    </xf>
    <xf numFmtId="0" fontId="3" fillId="0" borderId="18" xfId="0" applyFont="1" applyBorder="1" applyAlignment="1">
      <alignment horizontal="center" vertical="center"/>
    </xf>
    <xf numFmtId="0" fontId="3" fillId="0" borderId="24" xfId="0" applyFont="1" applyBorder="1" applyAlignment="1">
      <alignment horizontal="center" vertical="top"/>
    </xf>
    <xf numFmtId="0" fontId="3" fillId="0" borderId="0" xfId="0" applyFont="1" applyAlignment="1">
      <alignment horizontal="center" vertical="top"/>
    </xf>
    <xf numFmtId="0" fontId="0" fillId="0" borderId="18" xfId="0" applyBorder="1" applyAlignment="1">
      <alignment horizontal="center" vertical="top"/>
    </xf>
    <xf numFmtId="0" fontId="35" fillId="0" borderId="20" xfId="0" applyFont="1" applyBorder="1" applyAlignment="1">
      <alignment horizontal="center" vertical="center"/>
    </xf>
    <xf numFmtId="0" fontId="35" fillId="0" borderId="21" xfId="0" applyFont="1" applyBorder="1" applyAlignment="1">
      <alignment horizontal="center" vertical="center"/>
    </xf>
    <xf numFmtId="0" fontId="33" fillId="0" borderId="21" xfId="0" applyFont="1" applyBorder="1" applyAlignment="1">
      <alignment horizontal="center" vertical="center"/>
    </xf>
    <xf numFmtId="0" fontId="33" fillId="0" borderId="22" xfId="0" applyFont="1" applyBorder="1" applyAlignment="1">
      <alignment horizontal="center" vertical="center"/>
    </xf>
    <xf numFmtId="0" fontId="3" fillId="0" borderId="25" xfId="0" applyFont="1" applyBorder="1" applyAlignment="1">
      <alignment horizontal="center" vertical="top"/>
    </xf>
    <xf numFmtId="0" fontId="0" fillId="0" borderId="26" xfId="0" applyBorder="1" applyAlignment="1">
      <alignment horizontal="center" vertical="top"/>
    </xf>
    <xf numFmtId="0" fontId="3" fillId="0" borderId="9" xfId="0" applyFont="1" applyBorder="1" applyAlignment="1">
      <alignment horizontal="center" vertical="top"/>
    </xf>
    <xf numFmtId="0" fontId="0" fillId="0" borderId="8" xfId="0" applyBorder="1" applyAlignment="1">
      <alignment horizontal="center" vertical="top"/>
    </xf>
    <xf numFmtId="0" fontId="23" fillId="16" borderId="13" xfId="0" applyFont="1" applyFill="1" applyBorder="1" applyAlignment="1" applyProtection="1">
      <alignment horizontal="center" vertical="center" wrapText="1"/>
      <protection locked="0"/>
    </xf>
    <xf numFmtId="0" fontId="23" fillId="16" borderId="13" xfId="0" applyFont="1" applyFill="1" applyBorder="1" applyAlignment="1" applyProtection="1">
      <alignment horizontal="center" vertical="center"/>
      <protection locked="0"/>
    </xf>
    <xf numFmtId="0" fontId="23" fillId="16" borderId="13" xfId="0" applyFont="1" applyFill="1" applyBorder="1" applyAlignment="1">
      <alignment horizontal="center" vertical="center" wrapText="1"/>
    </xf>
    <xf numFmtId="0" fontId="13" fillId="8" borderId="13" xfId="0" applyFont="1" applyFill="1" applyBorder="1" applyAlignment="1">
      <alignment horizontal="center" vertical="center" wrapText="1"/>
    </xf>
    <xf numFmtId="0" fontId="13" fillId="7" borderId="13"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48" fillId="0" borderId="0" xfId="0" applyFont="1" applyAlignment="1">
      <alignment horizontal="center" vertical="center" wrapText="1"/>
    </xf>
    <xf numFmtId="0" fontId="49" fillId="0" borderId="0" xfId="0" applyFont="1" applyAlignment="1">
      <alignment horizontal="left" vertical="top"/>
    </xf>
    <xf numFmtId="0" fontId="53" fillId="0" borderId="33" xfId="3" applyFont="1" applyBorder="1" applyAlignment="1">
      <alignment horizontal="center" vertical="center" wrapText="1"/>
    </xf>
    <xf numFmtId="0" fontId="53" fillId="0" borderId="35" xfId="3" applyFont="1" applyBorder="1" applyAlignment="1">
      <alignment horizontal="center" vertical="center" wrapText="1"/>
    </xf>
    <xf numFmtId="0" fontId="53" fillId="0" borderId="31" xfId="3" applyFont="1" applyBorder="1" applyAlignment="1">
      <alignment horizontal="center" vertical="center" wrapText="1"/>
    </xf>
    <xf numFmtId="0" fontId="51" fillId="17" borderId="4" xfId="0" applyFont="1" applyFill="1" applyBorder="1" applyAlignment="1">
      <alignment horizontal="center" vertical="center"/>
    </xf>
    <xf numFmtId="0" fontId="51" fillId="17" borderId="6" xfId="0" applyFont="1" applyFill="1" applyBorder="1" applyAlignment="1">
      <alignment horizontal="center" vertical="center"/>
    </xf>
    <xf numFmtId="0" fontId="0" fillId="17" borderId="5" xfId="0" applyFill="1" applyBorder="1"/>
    <xf numFmtId="0" fontId="53" fillId="16" borderId="33" xfId="3" applyFont="1" applyFill="1" applyBorder="1" applyAlignment="1">
      <alignment horizontal="center" vertical="center" wrapText="1"/>
    </xf>
    <xf numFmtId="0" fontId="53" fillId="16" borderId="35" xfId="3" applyFont="1" applyFill="1" applyBorder="1" applyAlignment="1">
      <alignment horizontal="center" vertical="center" wrapText="1"/>
    </xf>
    <xf numFmtId="0" fontId="53" fillId="16" borderId="31" xfId="3" applyFont="1" applyFill="1" applyBorder="1" applyAlignment="1">
      <alignment horizontal="center" vertical="center" wrapText="1"/>
    </xf>
    <xf numFmtId="0" fontId="13" fillId="16" borderId="35" xfId="0" applyFont="1" applyFill="1" applyBorder="1" applyAlignment="1">
      <alignment horizontal="center" vertical="center" wrapText="1"/>
    </xf>
    <xf numFmtId="0" fontId="13" fillId="16" borderId="36" xfId="0" applyFont="1" applyFill="1" applyBorder="1" applyAlignment="1">
      <alignment horizontal="center" vertical="center" wrapText="1"/>
    </xf>
    <xf numFmtId="0" fontId="51" fillId="32" borderId="4" xfId="0" applyFont="1" applyFill="1" applyBorder="1" applyAlignment="1">
      <alignment horizontal="center" vertical="center"/>
    </xf>
    <xf numFmtId="0" fontId="51" fillId="32" borderId="6" xfId="0" applyFont="1" applyFill="1" applyBorder="1" applyAlignment="1">
      <alignment horizontal="center" vertical="center"/>
    </xf>
    <xf numFmtId="0" fontId="0" fillId="32" borderId="6" xfId="0" applyFill="1" applyBorder="1"/>
    <xf numFmtId="0" fontId="0" fillId="32" borderId="5" xfId="0" applyFill="1" applyBorder="1"/>
    <xf numFmtId="0" fontId="2" fillId="0" borderId="12" xfId="3" applyBorder="1" applyAlignment="1">
      <alignment horizontal="center" vertical="center"/>
    </xf>
    <xf numFmtId="0" fontId="2" fillId="0" borderId="15" xfId="3" applyBorder="1" applyAlignment="1">
      <alignment horizontal="center" vertical="center"/>
    </xf>
    <xf numFmtId="0" fontId="2" fillId="0" borderId="16" xfId="3" applyBorder="1" applyAlignment="1">
      <alignment horizontal="center" vertical="center"/>
    </xf>
    <xf numFmtId="0" fontId="2" fillId="0" borderId="38" xfId="3" applyBorder="1" applyAlignment="1">
      <alignment horizontal="center" vertical="center"/>
    </xf>
    <xf numFmtId="0" fontId="2" fillId="33" borderId="12" xfId="3" applyFill="1" applyBorder="1" applyAlignment="1">
      <alignment horizontal="center" vertical="center"/>
    </xf>
    <xf numFmtId="0" fontId="2" fillId="33" borderId="15" xfId="3" applyFill="1" applyBorder="1" applyAlignment="1">
      <alignment horizontal="center" vertical="center"/>
    </xf>
    <xf numFmtId="0" fontId="2" fillId="33" borderId="16" xfId="3" applyFill="1" applyBorder="1" applyAlignment="1">
      <alignment horizontal="center" vertical="center"/>
    </xf>
    <xf numFmtId="0" fontId="23" fillId="37" borderId="41" xfId="0" applyFont="1" applyFill="1" applyBorder="1" applyAlignment="1">
      <alignment horizontal="center" vertical="center"/>
    </xf>
    <xf numFmtId="0" fontId="23" fillId="37" borderId="0" xfId="0" applyFont="1" applyFill="1" applyAlignment="1">
      <alignment horizontal="center" vertical="center"/>
    </xf>
    <xf numFmtId="0" fontId="23" fillId="37" borderId="40" xfId="0" applyFont="1" applyFill="1" applyBorder="1" applyAlignment="1">
      <alignment horizontal="center" vertical="center"/>
    </xf>
    <xf numFmtId="0" fontId="23" fillId="37" borderId="24" xfId="0" applyFont="1" applyFill="1" applyBorder="1" applyAlignment="1">
      <alignment horizontal="center" vertical="center"/>
    </xf>
    <xf numFmtId="0" fontId="18" fillId="37" borderId="24" xfId="0" applyFont="1" applyFill="1" applyBorder="1" applyAlignment="1">
      <alignment horizontal="center"/>
    </xf>
    <xf numFmtId="0" fontId="18" fillId="37" borderId="40" xfId="0" applyFont="1" applyFill="1" applyBorder="1" applyAlignment="1">
      <alignment horizontal="center"/>
    </xf>
    <xf numFmtId="0" fontId="18" fillId="37" borderId="29" xfId="0" applyFont="1" applyFill="1" applyBorder="1" applyAlignment="1">
      <alignment horizontal="center"/>
    </xf>
    <xf numFmtId="0" fontId="0" fillId="0" borderId="0" xfId="0" applyAlignment="1">
      <alignment horizontal="left"/>
    </xf>
    <xf numFmtId="0" fontId="0" fillId="0" borderId="42" xfId="0" applyBorder="1" applyAlignment="1">
      <alignment horizontal="left"/>
    </xf>
    <xf numFmtId="0" fontId="0" fillId="0" borderId="21" xfId="0" applyBorder="1" applyAlignment="1">
      <alignment horizontal="left"/>
    </xf>
  </cellXfs>
  <cellStyles count="10">
    <cellStyle name="Normal 2" xfId="1" xr:uid="{00000000-0005-0000-0000-000000000000}"/>
    <cellStyle name="Percent 2" xfId="2" xr:uid="{00000000-0005-0000-0000-000001000000}"/>
    <cellStyle name="Обычный" xfId="0" builtinId="0"/>
    <cellStyle name="Обычный 2" xfId="3" xr:uid="{00000000-0005-0000-0000-000003000000}"/>
    <cellStyle name="Обычный 2 2" xfId="4" xr:uid="{00000000-0005-0000-0000-000004000000}"/>
    <cellStyle name="Обычный 3" xfId="5" xr:uid="{00000000-0005-0000-0000-000005000000}"/>
    <cellStyle name="Обычный 4" xfId="6" xr:uid="{00000000-0005-0000-0000-000006000000}"/>
    <cellStyle name="Обычный 5" xfId="9" xr:uid="{00000000-0005-0000-0000-000007000000}"/>
    <cellStyle name="Процентный" xfId="7" builtinId="5"/>
    <cellStyle name="Процентный 2" xfId="8" xr:uid="{00000000-0005-0000-0000-000009000000}"/>
  </cellStyles>
  <dxfs count="78">
    <dxf>
      <font>
        <color indexed="2"/>
      </font>
      <fill>
        <patternFill patternType="solid">
          <fgColor indexed="2"/>
          <bgColor indexed="2"/>
        </patternFill>
      </fill>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indexed="2"/>
      </font>
      <fill>
        <patternFill patternType="solid">
          <fgColor indexed="2"/>
          <bgColor indexed="2"/>
        </patternFill>
      </fill>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indexed="2"/>
      </font>
      <fill>
        <patternFill patternType="solid">
          <fgColor indexed="2"/>
          <bgColor indexed="2"/>
        </patternFill>
      </fill>
    </dxf>
    <dxf>
      <font>
        <color indexed="2"/>
      </font>
      <fill>
        <patternFill patternType="solid">
          <fgColor indexed="2"/>
          <bgColor indexed="2"/>
        </patternFill>
      </fill>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indexed="2"/>
      </font>
      <fill>
        <patternFill patternType="solid">
          <fgColor indexed="2"/>
          <bgColor indexed="2"/>
        </patternFill>
      </fill>
    </dxf>
    <dxf>
      <font>
        <color theme="0"/>
      </font>
    </dxf>
    <dxf>
      <font>
        <color indexed="2"/>
      </font>
      <fill>
        <patternFill patternType="solid">
          <fgColor indexed="2"/>
          <bgColor indexed="2"/>
        </patternFill>
      </fill>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indexed="2"/>
      </font>
      <fill>
        <patternFill patternType="solid">
          <fgColor indexed="2"/>
          <bgColor indexed="2"/>
        </patternFill>
      </fill>
    </dxf>
    <dxf>
      <font>
        <color theme="0"/>
      </font>
    </dxf>
    <dxf>
      <font>
        <color theme="0"/>
      </font>
    </dxf>
    <dxf>
      <font>
        <color indexed="2"/>
      </font>
      <fill>
        <patternFill patternType="solid">
          <fgColor indexed="2"/>
          <bgColor indexed="2"/>
        </patternFill>
      </fill>
    </dxf>
    <dxf>
      <font>
        <color theme="0"/>
      </font>
    </dxf>
    <dxf>
      <font>
        <color theme="0"/>
      </font>
    </dxf>
    <dxf>
      <font>
        <color theme="0"/>
      </font>
    </dxf>
    <dxf>
      <font>
        <color indexed="2"/>
      </font>
      <fill>
        <patternFill patternType="solid">
          <fgColor indexed="2"/>
          <bgColor indexed="2"/>
        </patternFill>
      </fill>
    </dxf>
    <dxf>
      <font>
        <color theme="0"/>
      </font>
    </dxf>
    <dxf>
      <font>
        <color indexed="2"/>
      </font>
      <fill>
        <patternFill patternType="solid">
          <fgColor indexed="2"/>
          <bgColor indexed="2"/>
        </patternFill>
      </fill>
    </dxf>
    <dxf>
      <font>
        <color theme="0"/>
      </font>
    </dxf>
    <dxf>
      <font>
        <color theme="0"/>
      </font>
    </dxf>
    <dxf>
      <font>
        <color theme="0"/>
      </font>
    </dxf>
    <dxf>
      <font>
        <color indexed="2"/>
      </font>
      <fill>
        <patternFill patternType="solid">
          <fgColor indexed="2"/>
          <bgColor indexed="2"/>
        </patternFill>
      </fill>
    </dxf>
    <dxf>
      <font>
        <color rgb="FF9C0006"/>
      </font>
      <fill>
        <patternFill patternType="solid">
          <fgColor rgb="FFFFC7CE"/>
          <bgColor rgb="FFFFC7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indexed="2"/>
      </font>
      <fill>
        <patternFill patternType="solid">
          <fgColor indexed="2"/>
          <bgColor indexed="2"/>
        </patternFill>
      </fill>
    </dxf>
    <dxf>
      <font>
        <color theme="0"/>
      </font>
      <fill>
        <patternFill patternType="solid">
          <fgColor theme="0"/>
          <bgColor theme="0"/>
        </patternFill>
      </fill>
    </dxf>
    <dxf>
      <font>
        <color theme="0"/>
      </font>
      <fill>
        <patternFill patternType="solid">
          <fgColor theme="0"/>
          <bgColor theme="0"/>
        </patternFill>
      </fill>
    </dxf>
    <dxf>
      <font>
        <color indexed="2"/>
      </font>
      <fill>
        <patternFill patternType="solid">
          <fgColor indexed="2"/>
          <bgColor indexed="2"/>
        </patternFill>
      </fill>
      <border>
        <left style="thin">
          <color auto="1"/>
        </left>
        <right style="thin">
          <color auto="1"/>
        </right>
        <top style="thin">
          <color auto="1"/>
        </top>
        <bottom style="thin">
          <color auto="1"/>
        </bottom>
      </border>
    </dxf>
    <dxf>
      <font>
        <color theme="0"/>
      </font>
      <fill>
        <patternFill patternType="solid">
          <fgColor theme="0"/>
          <bgColor theme="0"/>
        </patternFill>
      </fill>
      <border>
        <left style="thin">
          <color auto="1"/>
        </left>
        <right style="thin">
          <color auto="1"/>
        </right>
        <top style="thin">
          <color auto="1"/>
        </top>
        <bottom style="thin">
          <color auto="1"/>
        </bottom>
      </border>
    </dxf>
    <dxf>
      <font>
        <color rgb="FF9C0006"/>
      </font>
      <fill>
        <patternFill patternType="solid">
          <fgColor rgb="FFFFC7CE"/>
          <bgColor rgb="FFFFC7CE"/>
        </patternFill>
      </fill>
    </dxf>
    <dxf>
      <font>
        <color theme="0" tint="-0.499984740745262"/>
      </font>
      <fill>
        <patternFill patternType="solid">
          <fgColor theme="0" tint="-0.24994659260841701"/>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99899999999999"/>
          <c:y val="9.6978999999999996E-2"/>
          <c:w val="0.55587399999999998"/>
          <c:h val="0.85251900000000003"/>
        </c:manualLayout>
      </c:layout>
      <c:radarChart>
        <c:radarStyle val="marker"/>
        <c:varyColors val="1"/>
        <c:ser>
          <c:idx val="4"/>
          <c:order val="0"/>
          <c:tx>
            <c:strRef>
              <c:f>Расчет!$E$1</c:f>
              <c:strCache>
                <c:ptCount val="1"/>
                <c:pt idx="0">
                  <c:v>КБ1</c:v>
                </c:pt>
              </c:strCache>
            </c:strRef>
          </c:tx>
          <c:spPr>
            <a:prstGeom prst="rect">
              <a:avLst/>
            </a:prstGeom>
            <a:ln w="28575" cap="rnd" cmpd="sng" algn="ctr">
              <a:solidFill>
                <a:schemeClr val="accent4">
                  <a:lumMod val="60000"/>
                  <a:lumOff val="40000"/>
                </a:schemeClr>
              </a:solidFill>
              <a:prstDash val="solid"/>
              <a:round/>
            </a:ln>
          </c:spPr>
          <c:marker>
            <c:symbol val="none"/>
          </c:marker>
          <c:cat>
            <c:strRef>
              <c:f>Расчет!$B$4:$B$44</c:f>
              <c:strCache>
                <c:ptCount val="41"/>
                <c:pt idx="0">
                  <c:v>Система управления ИБ</c:v>
                </c:pt>
                <c:pt idx="1">
                  <c:v>Управление рисками</c:v>
                </c:pt>
                <c:pt idx="2">
                  <c:v>Инвентаризация</c:v>
                </c:pt>
                <c:pt idx="3">
                  <c:v>Управление активами</c:v>
                </c:pt>
                <c:pt idx="4">
                  <c:v>Управление доступом </c:v>
                </c:pt>
                <c:pt idx="5">
                  <c:v>Идентификация и аутентификация</c:v>
                </c:pt>
                <c:pt idx="6">
                  <c:v>Защита данных и информации</c:v>
                </c:pt>
                <c:pt idx="7">
                  <c:v>Обеспечение доступности</c:v>
                </c:pt>
                <c:pt idx="8">
                  <c:v>Персонал</c:v>
                </c:pt>
                <c:pt idx="9">
                  <c:v>Осведомленность пользователей и обучение персонала</c:v>
                </c:pt>
                <c:pt idx="10">
                  <c:v>Процессы</c:v>
                </c:pt>
                <c:pt idx="11">
                  <c:v>Приобретение, разработка и обслуживание систем и ПО</c:v>
                </c:pt>
                <c:pt idx="12">
                  <c:v>Физический доступ</c:v>
                </c:pt>
                <c:pt idx="13">
                  <c:v>Персональные данные</c:v>
                </c:pt>
                <c:pt idx="14">
                  <c:v>СКЗИ (ГОСТ)</c:v>
                </c:pt>
                <c:pt idx="15">
                  <c:v>КИИ</c:v>
                </c:pt>
                <c:pt idx="16">
                  <c:v>250 указ</c:v>
                </c:pt>
                <c:pt idx="17">
                  <c:v>Управление рисками в цепочке поставок</c:v>
                </c:pt>
                <c:pt idx="18">
                  <c:v>Коммерческая тайна</c:v>
                </c:pt>
                <c:pt idx="19">
                  <c:v>Защита от ВПО</c:v>
                </c:pt>
                <c:pt idx="20">
                  <c:v>2FA</c:v>
                </c:pt>
                <c:pt idx="21">
                  <c:v>CPT</c:v>
                </c:pt>
                <c:pt idx="22">
                  <c:v>RA VPN</c:v>
                </c:pt>
                <c:pt idx="23">
                  <c:v>СКЗИ (ГОСТ) Site-to-Site</c:v>
                </c:pt>
                <c:pt idx="24">
                  <c:v>SIEM (внедрение системы как СЗИ)</c:v>
                </c:pt>
                <c:pt idx="25">
                  <c:v>МСЭ\NGFW</c:v>
                </c:pt>
                <c:pt idx="26">
                  <c:v>Прокси-сервер</c:v>
                </c:pt>
                <c:pt idx="27">
                  <c:v>Сканер уязвимостей</c:v>
                </c:pt>
                <c:pt idx="28">
                  <c:v>Anti-DDoS</c:v>
                </c:pt>
                <c:pt idx="29">
                  <c:v>AntiSPAM</c:v>
                </c:pt>
                <c:pt idx="30">
                  <c:v>WAF</c:v>
                </c:pt>
                <c:pt idx="31">
                  <c:v>PAM</c:v>
                </c:pt>
                <c:pt idx="32">
                  <c:v>DLP</c:v>
                </c:pt>
                <c:pt idx="33">
                  <c:v>Аномалии и хранение событий</c:v>
                </c:pt>
                <c:pt idx="34">
                  <c:v>Мониторинг - Процессы</c:v>
                </c:pt>
                <c:pt idx="35">
                  <c:v>Планирование реагирования</c:v>
                </c:pt>
                <c:pt idx="36">
                  <c:v>Коммуникации (реагирование на инциденты)</c:v>
                </c:pt>
                <c:pt idx="37">
                  <c:v>Плейбуки по реагированию</c:v>
                </c:pt>
                <c:pt idx="38">
                  <c:v>Анализ и расследование</c:v>
                </c:pt>
                <c:pt idx="39">
                  <c:v>Планирование восстановления</c:v>
                </c:pt>
                <c:pt idx="40">
                  <c:v>Восстановление - Коммуникации</c:v>
                </c:pt>
              </c:strCache>
            </c:strRef>
          </c:cat>
          <c:val>
            <c:numRef>
              <c:f>Расчет!$E$4:$E$44</c:f>
              <c:numCache>
                <c:formatCode>0.00</c:formatCode>
                <c:ptCount val="41"/>
                <c:pt idx="0">
                  <c:v>2.5</c:v>
                </c:pt>
                <c:pt idx="1">
                  <c:v>1</c:v>
                </c:pt>
                <c:pt idx="2">
                  <c:v>1.2142857142857142</c:v>
                </c:pt>
                <c:pt idx="3">
                  <c:v>0.52</c:v>
                </c:pt>
                <c:pt idx="4">
                  <c:v>2.14</c:v>
                </c:pt>
                <c:pt idx="5">
                  <c:v>3.3111111111111113</c:v>
                </c:pt>
                <c:pt idx="6">
                  <c:v>1.2000000000000002</c:v>
                </c:pt>
                <c:pt idx="7">
                  <c:v>0</c:v>
                </c:pt>
                <c:pt idx="8">
                  <c:v>5</c:v>
                </c:pt>
                <c:pt idx="9">
                  <c:v>1.5999999999999999</c:v>
                </c:pt>
                <c:pt idx="10">
                  <c:v>0.69523809523809521</c:v>
                </c:pt>
                <c:pt idx="11">
                  <c:v>1.0181818181818181</c:v>
                </c:pt>
                <c:pt idx="12">
                  <c:v>4.32</c:v>
                </c:pt>
                <c:pt idx="13">
                  <c:v>5</c:v>
                </c:pt>
                <c:pt idx="14">
                  <c:v>5</c:v>
                </c:pt>
                <c:pt idx="15">
                  <c:v>2.8800000000000003</c:v>
                </c:pt>
                <c:pt idx="16">
                  <c:v>5</c:v>
                </c:pt>
                <c:pt idx="17">
                  <c:v>2.7333333333333329</c:v>
                </c:pt>
                <c:pt idx="18">
                  <c:v>5</c:v>
                </c:pt>
                <c:pt idx="19">
                  <c:v>3.0437499999999997</c:v>
                </c:pt>
                <c:pt idx="20">
                  <c:v>5</c:v>
                </c:pt>
                <c:pt idx="21">
                  <c:v>3.6666666666666665</c:v>
                </c:pt>
                <c:pt idx="22">
                  <c:v>4.55</c:v>
                </c:pt>
                <c:pt idx="23">
                  <c:v>4.3999999999999995</c:v>
                </c:pt>
                <c:pt idx="24">
                  <c:v>0</c:v>
                </c:pt>
                <c:pt idx="25">
                  <c:v>0</c:v>
                </c:pt>
                <c:pt idx="26">
                  <c:v>0</c:v>
                </c:pt>
                <c:pt idx="27">
                  <c:v>0</c:v>
                </c:pt>
                <c:pt idx="28">
                  <c:v>0</c:v>
                </c:pt>
                <c:pt idx="29">
                  <c:v>0</c:v>
                </c:pt>
                <c:pt idx="30">
                  <c:v>0</c:v>
                </c:pt>
                <c:pt idx="31">
                  <c:v>0</c:v>
                </c:pt>
                <c:pt idx="32">
                  <c:v>0</c:v>
                </c:pt>
                <c:pt idx="33">
                  <c:v>0</c:v>
                </c:pt>
                <c:pt idx="34">
                  <c:v>0</c:v>
                </c:pt>
                <c:pt idx="35">
                  <c:v>0.5</c:v>
                </c:pt>
                <c:pt idx="36">
                  <c:v>0.64</c:v>
                </c:pt>
                <c:pt idx="37">
                  <c:v>1.8181818181818181</c:v>
                </c:pt>
                <c:pt idx="38">
                  <c:v>1.04</c:v>
                </c:pt>
                <c:pt idx="39">
                  <c:v>1.0666666666666667</c:v>
                </c:pt>
                <c:pt idx="40">
                  <c:v>0</c:v>
                </c:pt>
              </c:numCache>
            </c:numRef>
          </c:val>
          <c:extLst>
            <c:ext xmlns:c16="http://schemas.microsoft.com/office/drawing/2014/chart" uri="{C3380CC4-5D6E-409C-BE32-E72D297353CC}">
              <c16:uniqueId val="{00000000-1425-4C47-8A21-C41BF05DDEAD}"/>
            </c:ext>
          </c:extLst>
        </c:ser>
        <c:ser>
          <c:idx val="6"/>
          <c:order val="1"/>
          <c:tx>
            <c:strRef>
              <c:f>Расчет!$D$1</c:f>
              <c:strCache>
                <c:ptCount val="1"/>
                <c:pt idx="0">
                  <c:v>КБ2</c:v>
                </c:pt>
              </c:strCache>
            </c:strRef>
          </c:tx>
          <c:spPr>
            <a:prstGeom prst="rect">
              <a:avLst/>
            </a:prstGeom>
            <a:ln w="22225">
              <a:solidFill>
                <a:srgbClr val="E77119">
                  <a:alpha val="26998"/>
                </a:srgbClr>
              </a:solidFill>
            </a:ln>
            <a:effectLst>
              <a:glow rad="50800">
                <a:schemeClr val="accent3">
                  <a:satMod val="175000"/>
                  <a:alpha val="40000"/>
                </a:schemeClr>
              </a:glow>
            </a:effectLst>
          </c:spPr>
          <c:marker>
            <c:symbol val="none"/>
          </c:marker>
          <c:val>
            <c:numRef>
              <c:f>Расчет!$D$4:$D$44</c:f>
              <c:numCache>
                <c:formatCode>0.00</c:formatCode>
                <c:ptCount val="41"/>
                <c:pt idx="0">
                  <c:v>4.6400000000000006</c:v>
                </c:pt>
                <c:pt idx="1">
                  <c:v>2</c:v>
                </c:pt>
                <c:pt idx="2">
                  <c:v>3.1857142857142864</c:v>
                </c:pt>
                <c:pt idx="3">
                  <c:v>3.16</c:v>
                </c:pt>
                <c:pt idx="4">
                  <c:v>3.2600000000000002</c:v>
                </c:pt>
                <c:pt idx="5">
                  <c:v>4.6000000000000005</c:v>
                </c:pt>
                <c:pt idx="6">
                  <c:v>3.6999999999999997</c:v>
                </c:pt>
                <c:pt idx="7">
                  <c:v>2.9199999999999995</c:v>
                </c:pt>
                <c:pt idx="8">
                  <c:v>5</c:v>
                </c:pt>
                <c:pt idx="9">
                  <c:v>3.1999999999999997</c:v>
                </c:pt>
                <c:pt idx="10">
                  <c:v>2.7904761904761908</c:v>
                </c:pt>
                <c:pt idx="11">
                  <c:v>3.8545454545454545</c:v>
                </c:pt>
                <c:pt idx="12">
                  <c:v>4.6399999999999997</c:v>
                </c:pt>
                <c:pt idx="13">
                  <c:v>5</c:v>
                </c:pt>
                <c:pt idx="14">
                  <c:v>5</c:v>
                </c:pt>
                <c:pt idx="15">
                  <c:v>5</c:v>
                </c:pt>
                <c:pt idx="16">
                  <c:v>5</c:v>
                </c:pt>
                <c:pt idx="17">
                  <c:v>3.7999999999999994</c:v>
                </c:pt>
                <c:pt idx="18">
                  <c:v>5</c:v>
                </c:pt>
                <c:pt idx="19">
                  <c:v>4.1875</c:v>
                </c:pt>
                <c:pt idx="20">
                  <c:v>5</c:v>
                </c:pt>
                <c:pt idx="21">
                  <c:v>4.333333333333333</c:v>
                </c:pt>
                <c:pt idx="22">
                  <c:v>5</c:v>
                </c:pt>
                <c:pt idx="23">
                  <c:v>5</c:v>
                </c:pt>
                <c:pt idx="24">
                  <c:v>3.523076923076923</c:v>
                </c:pt>
                <c:pt idx="25">
                  <c:v>4.0999999999999996</c:v>
                </c:pt>
                <c:pt idx="26">
                  <c:v>3.0250000000000004</c:v>
                </c:pt>
                <c:pt idx="27">
                  <c:v>3.7333333333333329</c:v>
                </c:pt>
                <c:pt idx="28">
                  <c:v>3.7999999999999994</c:v>
                </c:pt>
                <c:pt idx="29">
                  <c:v>5</c:v>
                </c:pt>
                <c:pt idx="30">
                  <c:v>0</c:v>
                </c:pt>
                <c:pt idx="31">
                  <c:v>0</c:v>
                </c:pt>
                <c:pt idx="32">
                  <c:v>0</c:v>
                </c:pt>
                <c:pt idx="33">
                  <c:v>5</c:v>
                </c:pt>
                <c:pt idx="34">
                  <c:v>2.6</c:v>
                </c:pt>
                <c:pt idx="35">
                  <c:v>3.0999999999999996</c:v>
                </c:pt>
                <c:pt idx="36">
                  <c:v>3.2</c:v>
                </c:pt>
                <c:pt idx="37">
                  <c:v>3.6363636363636362</c:v>
                </c:pt>
                <c:pt idx="38">
                  <c:v>3.84</c:v>
                </c:pt>
                <c:pt idx="39">
                  <c:v>3.5999999999999996</c:v>
                </c:pt>
                <c:pt idx="40">
                  <c:v>1.6</c:v>
                </c:pt>
              </c:numCache>
            </c:numRef>
          </c:val>
          <c:extLst>
            <c:ext xmlns:c16="http://schemas.microsoft.com/office/drawing/2014/chart" uri="{C3380CC4-5D6E-409C-BE32-E72D297353CC}">
              <c16:uniqueId val="{00000001-1425-4C47-8A21-C41BF05DDEAD}"/>
            </c:ext>
          </c:extLst>
        </c:ser>
        <c:ser>
          <c:idx val="1"/>
          <c:order val="2"/>
          <c:tx>
            <c:strRef>
              <c:f>Расчет!$C$1</c:f>
              <c:strCache>
                <c:ptCount val="1"/>
                <c:pt idx="0">
                  <c:v>КБ3</c:v>
                </c:pt>
              </c:strCache>
            </c:strRef>
          </c:tx>
          <c:spPr>
            <a:prstGeom prst="rect">
              <a:avLst/>
            </a:prstGeom>
            <a:ln w="19050" cap="rnd" cmpd="sng" algn="ctr">
              <a:solidFill>
                <a:schemeClr val="accent2"/>
              </a:solidFill>
              <a:prstDash val="solid"/>
              <a:round/>
            </a:ln>
            <a:effectLst>
              <a:glow rad="76200">
                <a:schemeClr val="accent2">
                  <a:satMod val="175000"/>
                  <a:alpha val="34000"/>
                </a:schemeClr>
              </a:glow>
            </a:effectLst>
          </c:spPr>
          <c:marker>
            <c:symbol val="none"/>
          </c:marker>
          <c:cat>
            <c:strRef>
              <c:f>Расчет!$B$4:$B$44</c:f>
              <c:strCache>
                <c:ptCount val="41"/>
                <c:pt idx="0">
                  <c:v>Система управления ИБ</c:v>
                </c:pt>
                <c:pt idx="1">
                  <c:v>Управление рисками</c:v>
                </c:pt>
                <c:pt idx="2">
                  <c:v>Инвентаризация</c:v>
                </c:pt>
                <c:pt idx="3">
                  <c:v>Управление активами</c:v>
                </c:pt>
                <c:pt idx="4">
                  <c:v>Управление доступом </c:v>
                </c:pt>
                <c:pt idx="5">
                  <c:v>Идентификация и аутентификация</c:v>
                </c:pt>
                <c:pt idx="6">
                  <c:v>Защита данных и информации</c:v>
                </c:pt>
                <c:pt idx="7">
                  <c:v>Обеспечение доступности</c:v>
                </c:pt>
                <c:pt idx="8">
                  <c:v>Персонал</c:v>
                </c:pt>
                <c:pt idx="9">
                  <c:v>Осведомленность пользователей и обучение персонала</c:v>
                </c:pt>
                <c:pt idx="10">
                  <c:v>Процессы</c:v>
                </c:pt>
                <c:pt idx="11">
                  <c:v>Приобретение, разработка и обслуживание систем и ПО</c:v>
                </c:pt>
                <c:pt idx="12">
                  <c:v>Физический доступ</c:v>
                </c:pt>
                <c:pt idx="13">
                  <c:v>Персональные данные</c:v>
                </c:pt>
                <c:pt idx="14">
                  <c:v>СКЗИ (ГОСТ)</c:v>
                </c:pt>
                <c:pt idx="15">
                  <c:v>КИИ</c:v>
                </c:pt>
                <c:pt idx="16">
                  <c:v>250 указ</c:v>
                </c:pt>
                <c:pt idx="17">
                  <c:v>Управление рисками в цепочке поставок</c:v>
                </c:pt>
                <c:pt idx="18">
                  <c:v>Коммерческая тайна</c:v>
                </c:pt>
                <c:pt idx="19">
                  <c:v>Защита от ВПО</c:v>
                </c:pt>
                <c:pt idx="20">
                  <c:v>2FA</c:v>
                </c:pt>
                <c:pt idx="21">
                  <c:v>CPT</c:v>
                </c:pt>
                <c:pt idx="22">
                  <c:v>RA VPN</c:v>
                </c:pt>
                <c:pt idx="23">
                  <c:v>СКЗИ (ГОСТ) Site-to-Site</c:v>
                </c:pt>
                <c:pt idx="24">
                  <c:v>SIEM (внедрение системы как СЗИ)</c:v>
                </c:pt>
                <c:pt idx="25">
                  <c:v>МСЭ\NGFW</c:v>
                </c:pt>
                <c:pt idx="26">
                  <c:v>Прокси-сервер</c:v>
                </c:pt>
                <c:pt idx="27">
                  <c:v>Сканер уязвимостей</c:v>
                </c:pt>
                <c:pt idx="28">
                  <c:v>Anti-DDoS</c:v>
                </c:pt>
                <c:pt idx="29">
                  <c:v>AntiSPAM</c:v>
                </c:pt>
                <c:pt idx="30">
                  <c:v>WAF</c:v>
                </c:pt>
                <c:pt idx="31">
                  <c:v>PAM</c:v>
                </c:pt>
                <c:pt idx="32">
                  <c:v>DLP</c:v>
                </c:pt>
                <c:pt idx="33">
                  <c:v>Аномалии и хранение событий</c:v>
                </c:pt>
                <c:pt idx="34">
                  <c:v>Мониторинг - Процессы</c:v>
                </c:pt>
                <c:pt idx="35">
                  <c:v>Планирование реагирования</c:v>
                </c:pt>
                <c:pt idx="36">
                  <c:v>Коммуникации (реагирование на инциденты)</c:v>
                </c:pt>
                <c:pt idx="37">
                  <c:v>Плейбуки по реагированию</c:v>
                </c:pt>
                <c:pt idx="38">
                  <c:v>Анализ и расследование</c:v>
                </c:pt>
                <c:pt idx="39">
                  <c:v>Планирование восстановления</c:v>
                </c:pt>
                <c:pt idx="40">
                  <c:v>Восстановление - Коммуникации</c:v>
                </c:pt>
              </c:strCache>
            </c:strRef>
          </c:cat>
          <c:val>
            <c:numRef>
              <c:f>Расчет!$C$4:$C$44</c:f>
              <c:numCache>
                <c:formatCode>0.00</c:formatCode>
                <c:ptCount val="41"/>
                <c:pt idx="0">
                  <c:v>5</c:v>
                </c:pt>
                <c:pt idx="1">
                  <c:v>4.8</c:v>
                </c:pt>
                <c:pt idx="2">
                  <c:v>4.9285714285714288</c:v>
                </c:pt>
                <c:pt idx="3">
                  <c:v>4.8</c:v>
                </c:pt>
                <c:pt idx="4">
                  <c:v>4.4599999999999991</c:v>
                </c:pt>
                <c:pt idx="5">
                  <c:v>5</c:v>
                </c:pt>
                <c:pt idx="6">
                  <c:v>4.55</c:v>
                </c:pt>
                <c:pt idx="7">
                  <c:v>5</c:v>
                </c:pt>
                <c:pt idx="8">
                  <c:v>5</c:v>
                </c:pt>
                <c:pt idx="9">
                  <c:v>5</c:v>
                </c:pt>
                <c:pt idx="10">
                  <c:v>4.1428571428571432</c:v>
                </c:pt>
                <c:pt idx="11">
                  <c:v>5</c:v>
                </c:pt>
                <c:pt idx="12">
                  <c:v>5</c:v>
                </c:pt>
                <c:pt idx="13">
                  <c:v>5</c:v>
                </c:pt>
                <c:pt idx="14">
                  <c:v>5</c:v>
                </c:pt>
                <c:pt idx="15">
                  <c:v>5</c:v>
                </c:pt>
                <c:pt idx="16">
                  <c:v>5</c:v>
                </c:pt>
                <c:pt idx="17">
                  <c:v>5</c:v>
                </c:pt>
                <c:pt idx="18">
                  <c:v>5</c:v>
                </c:pt>
                <c:pt idx="19">
                  <c:v>4.59375</c:v>
                </c:pt>
                <c:pt idx="20">
                  <c:v>5</c:v>
                </c:pt>
                <c:pt idx="21">
                  <c:v>4.666666666666667</c:v>
                </c:pt>
                <c:pt idx="22">
                  <c:v>5</c:v>
                </c:pt>
                <c:pt idx="23">
                  <c:v>5</c:v>
                </c:pt>
                <c:pt idx="24">
                  <c:v>4.9038461538461542</c:v>
                </c:pt>
                <c:pt idx="25">
                  <c:v>5</c:v>
                </c:pt>
                <c:pt idx="26">
                  <c:v>5</c:v>
                </c:pt>
                <c:pt idx="27">
                  <c:v>4.666666666666667</c:v>
                </c:pt>
                <c:pt idx="28">
                  <c:v>5</c:v>
                </c:pt>
                <c:pt idx="29">
                  <c:v>5</c:v>
                </c:pt>
                <c:pt idx="30">
                  <c:v>5</c:v>
                </c:pt>
                <c:pt idx="31">
                  <c:v>5</c:v>
                </c:pt>
                <c:pt idx="32">
                  <c:v>4.8571428571428568</c:v>
                </c:pt>
                <c:pt idx="33">
                  <c:v>5</c:v>
                </c:pt>
                <c:pt idx="34">
                  <c:v>4</c:v>
                </c:pt>
                <c:pt idx="35">
                  <c:v>4.5</c:v>
                </c:pt>
                <c:pt idx="36">
                  <c:v>5</c:v>
                </c:pt>
                <c:pt idx="37">
                  <c:v>5</c:v>
                </c:pt>
                <c:pt idx="38">
                  <c:v>4.5999999999999996</c:v>
                </c:pt>
                <c:pt idx="39">
                  <c:v>5</c:v>
                </c:pt>
                <c:pt idx="40">
                  <c:v>5</c:v>
                </c:pt>
              </c:numCache>
            </c:numRef>
          </c:val>
          <c:extLst>
            <c:ext xmlns:c16="http://schemas.microsoft.com/office/drawing/2014/chart" uri="{C3380CC4-5D6E-409C-BE32-E72D297353CC}">
              <c16:uniqueId val="{00000002-1425-4C47-8A21-C41BF05DDEAD}"/>
            </c:ext>
          </c:extLst>
        </c:ser>
        <c:ser>
          <c:idx val="2"/>
          <c:order val="3"/>
          <c:tx>
            <c:strRef>
              <c:f>Расчет!$M$1</c:f>
              <c:strCache>
                <c:ptCount val="1"/>
                <c:pt idx="0">
                  <c:v>Текущий показатель</c:v>
                </c:pt>
              </c:strCache>
            </c:strRef>
          </c:tx>
          <c:spPr>
            <a:prstGeom prst="rect">
              <a:avLst/>
            </a:prstGeom>
            <a:ln w="57150">
              <a:solidFill>
                <a:srgbClr val="7030A0"/>
              </a:solidFill>
            </a:ln>
          </c:spPr>
          <c:marker>
            <c:symbol val="circle"/>
            <c:size val="2"/>
          </c:marker>
          <c:cat>
            <c:strRef>
              <c:f>Расчет!$B$4:$B$44</c:f>
              <c:strCache>
                <c:ptCount val="41"/>
                <c:pt idx="0">
                  <c:v>Система управления ИБ</c:v>
                </c:pt>
                <c:pt idx="1">
                  <c:v>Управление рисками</c:v>
                </c:pt>
                <c:pt idx="2">
                  <c:v>Инвентаризация</c:v>
                </c:pt>
                <c:pt idx="3">
                  <c:v>Управление активами</c:v>
                </c:pt>
                <c:pt idx="4">
                  <c:v>Управление доступом </c:v>
                </c:pt>
                <c:pt idx="5">
                  <c:v>Идентификация и аутентификация</c:v>
                </c:pt>
                <c:pt idx="6">
                  <c:v>Защита данных и информации</c:v>
                </c:pt>
                <c:pt idx="7">
                  <c:v>Обеспечение доступности</c:v>
                </c:pt>
                <c:pt idx="8">
                  <c:v>Персонал</c:v>
                </c:pt>
                <c:pt idx="9">
                  <c:v>Осведомленность пользователей и обучение персонала</c:v>
                </c:pt>
                <c:pt idx="10">
                  <c:v>Процессы</c:v>
                </c:pt>
                <c:pt idx="11">
                  <c:v>Приобретение, разработка и обслуживание систем и ПО</c:v>
                </c:pt>
                <c:pt idx="12">
                  <c:v>Физический доступ</c:v>
                </c:pt>
                <c:pt idx="13">
                  <c:v>Персональные данные</c:v>
                </c:pt>
                <c:pt idx="14">
                  <c:v>СКЗИ (ГОСТ)</c:v>
                </c:pt>
                <c:pt idx="15">
                  <c:v>КИИ</c:v>
                </c:pt>
                <c:pt idx="16">
                  <c:v>250 указ</c:v>
                </c:pt>
                <c:pt idx="17">
                  <c:v>Управление рисками в цепочке поставок</c:v>
                </c:pt>
                <c:pt idx="18">
                  <c:v>Коммерческая тайна</c:v>
                </c:pt>
                <c:pt idx="19">
                  <c:v>Защита от ВПО</c:v>
                </c:pt>
                <c:pt idx="20">
                  <c:v>2FA</c:v>
                </c:pt>
                <c:pt idx="21">
                  <c:v>CPT</c:v>
                </c:pt>
                <c:pt idx="22">
                  <c:v>RA VPN</c:v>
                </c:pt>
                <c:pt idx="23">
                  <c:v>СКЗИ (ГОСТ) Site-to-Site</c:v>
                </c:pt>
                <c:pt idx="24">
                  <c:v>SIEM (внедрение системы как СЗИ)</c:v>
                </c:pt>
                <c:pt idx="25">
                  <c:v>МСЭ\NGFW</c:v>
                </c:pt>
                <c:pt idx="26">
                  <c:v>Прокси-сервер</c:v>
                </c:pt>
                <c:pt idx="27">
                  <c:v>Сканер уязвимостей</c:v>
                </c:pt>
                <c:pt idx="28">
                  <c:v>Anti-DDoS</c:v>
                </c:pt>
                <c:pt idx="29">
                  <c:v>AntiSPAM</c:v>
                </c:pt>
                <c:pt idx="30">
                  <c:v>WAF</c:v>
                </c:pt>
                <c:pt idx="31">
                  <c:v>PAM</c:v>
                </c:pt>
                <c:pt idx="32">
                  <c:v>DLP</c:v>
                </c:pt>
                <c:pt idx="33">
                  <c:v>Аномалии и хранение событий</c:v>
                </c:pt>
                <c:pt idx="34">
                  <c:v>Мониторинг - Процессы</c:v>
                </c:pt>
                <c:pt idx="35">
                  <c:v>Планирование реагирования</c:v>
                </c:pt>
                <c:pt idx="36">
                  <c:v>Коммуникации (реагирование на инциденты)</c:v>
                </c:pt>
                <c:pt idx="37">
                  <c:v>Плейбуки по реагированию</c:v>
                </c:pt>
                <c:pt idx="38">
                  <c:v>Анализ и расследование</c:v>
                </c:pt>
                <c:pt idx="39">
                  <c:v>Планирование восстановления</c:v>
                </c:pt>
                <c:pt idx="40">
                  <c:v>Восстановление - Коммуникации</c:v>
                </c:pt>
              </c:strCache>
            </c:strRef>
          </c:cat>
          <c:val>
            <c:numRef>
              <c:f>Расчет!$M$4:$M$44</c:f>
              <c:numCache>
                <c:formatCode>0.00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3-1425-4C47-8A21-C41BF05DDEAD}"/>
            </c:ext>
          </c:extLst>
        </c:ser>
        <c:ser>
          <c:idx val="9"/>
          <c:order val="4"/>
          <c:tx>
            <c:strRef>
              <c:f>Расчет!$K$1</c:f>
              <c:strCache>
                <c:ptCount val="1"/>
                <c:pt idx="0">
                  <c:v>Расчетные данные на 31.12.2026</c:v>
                </c:pt>
              </c:strCache>
            </c:strRef>
          </c:tx>
          <c:spPr>
            <a:prstGeom prst="rect">
              <a:avLst/>
            </a:prstGeom>
            <a:ln w="50800">
              <a:solidFill>
                <a:srgbClr val="00B0F0"/>
              </a:solidFill>
            </a:ln>
          </c:spPr>
          <c:marker>
            <c:symbol val="none"/>
          </c:marker>
          <c:val>
            <c:numRef>
              <c:f>Расчет!$K$4:$K$44</c:f>
            </c:numRef>
          </c:val>
          <c:extLst>
            <c:ext xmlns:c16="http://schemas.microsoft.com/office/drawing/2014/chart" uri="{C3380CC4-5D6E-409C-BE32-E72D297353CC}">
              <c16:uniqueId val="{00000004-1425-4C47-8A21-C41BF05DDEAD}"/>
            </c:ext>
          </c:extLst>
        </c:ser>
        <c:dLbls>
          <c:showLegendKey val="0"/>
          <c:showVal val="0"/>
          <c:showCatName val="0"/>
          <c:showSerName val="0"/>
          <c:showPercent val="0"/>
          <c:showBubbleSize val="0"/>
        </c:dLbls>
        <c:axId val="549663040"/>
        <c:axId val="464076155"/>
      </c:radarChart>
      <c:catAx>
        <c:axId val="549663040"/>
        <c:scaling>
          <c:orientation val="minMax"/>
        </c:scaling>
        <c:delete val="0"/>
        <c:axPos val="b"/>
        <c:majorGridlines>
          <c:spPr>
            <a:prstGeom prst="rect">
              <a:avLst/>
            </a:prstGeom>
            <a:ln w="9525" cap="flat" cmpd="sng" algn="ctr">
              <a:solidFill>
                <a:schemeClr val="lt1">
                  <a:alpha val="20000"/>
                </a:schemeClr>
              </a:solidFill>
              <a:prstDash val="solid"/>
              <a:round/>
            </a:ln>
          </c:spPr>
        </c:majorGridlines>
        <c:numFmt formatCode="General" sourceLinked="1"/>
        <c:majorTickMark val="none"/>
        <c:minorTickMark val="none"/>
        <c:tickLblPos val="nextTo"/>
        <c:spPr>
          <a:prstGeom prst="rect">
            <a:avLst/>
          </a:prstGeom>
          <a:noFill/>
          <a:ln w="6350" cap="flat" cmpd="sng" algn="ctr">
            <a:noFill/>
            <a:prstDash val="solid"/>
            <a:round/>
          </a:ln>
        </c:spPr>
        <c:txPr>
          <a:bodyPr rot="0"/>
          <a:lstStyle/>
          <a:p>
            <a:pPr>
              <a:defRPr/>
            </a:pPr>
            <a:endParaRPr lang="ru-RU"/>
          </a:p>
        </c:txPr>
        <c:crossAx val="464076155"/>
        <c:crosses val="autoZero"/>
        <c:auto val="1"/>
        <c:lblAlgn val="ctr"/>
        <c:lblOffset val="100"/>
        <c:noMultiLvlLbl val="1"/>
      </c:catAx>
      <c:valAx>
        <c:axId val="464076155"/>
        <c:scaling>
          <c:orientation val="minMax"/>
        </c:scaling>
        <c:delete val="0"/>
        <c:axPos val="l"/>
        <c:majorGridlines>
          <c:spPr>
            <a:prstGeom prst="rect">
              <a:avLst/>
            </a:prstGeom>
            <a:ln w="44450" cap="flat" cmpd="sng" algn="ctr">
              <a:solidFill>
                <a:schemeClr val="bg1">
                  <a:lumMod val="50000"/>
                  <a:alpha val="20000"/>
                </a:schemeClr>
              </a:solidFill>
              <a:prstDash val="solid"/>
              <a:round/>
            </a:ln>
          </c:spPr>
        </c:majorGridlines>
        <c:numFmt formatCode="0.00" sourceLinked="1"/>
        <c:majorTickMark val="none"/>
        <c:minorTickMark val="none"/>
        <c:tickLblPos val="nextTo"/>
        <c:spPr>
          <a:prstGeom prst="rect">
            <a:avLst/>
          </a:prstGeom>
          <a:noFill/>
          <a:ln w="6350" cap="flat" cmpd="sng" algn="ctr">
            <a:noFill/>
            <a:prstDash val="solid"/>
            <a:round/>
          </a:ln>
        </c:spPr>
        <c:txPr>
          <a:bodyPr rot="-60000000" vert="horz"/>
          <a:lstStyle/>
          <a:p>
            <a:pPr>
              <a:defRPr b="0">
                <a:solidFill>
                  <a:schemeClr val="bg1">
                    <a:lumMod val="50000"/>
                  </a:schemeClr>
                </a:solidFill>
              </a:defRPr>
            </a:pPr>
            <a:endParaRPr lang="ru-RU"/>
          </a:p>
        </c:txPr>
        <c:crossAx val="549663040"/>
        <c:crosses val="autoZero"/>
        <c:crossBetween val="between"/>
      </c:valAx>
      <c:spPr>
        <a:prstGeom prst="rect">
          <a:avLst/>
        </a:prstGeom>
        <a:noFill/>
        <a:ln>
          <a:noFill/>
        </a:ln>
      </c:spPr>
    </c:plotArea>
    <c:legend>
      <c:legendPos val="r"/>
      <c:overlay val="0"/>
      <c:spPr>
        <a:prstGeom prst="rect">
          <a:avLst/>
        </a:prstGeom>
        <a:noFill/>
        <a:ln>
          <a:noFill/>
        </a:ln>
      </c:spPr>
      <c:txPr>
        <a:bodyPr rot="0" vert="horz"/>
        <a:lstStyle/>
        <a:p>
          <a:pPr rtl="0">
            <a:defRPr/>
          </a:pPr>
          <a:endParaRPr lang="ru-RU"/>
        </a:p>
      </c:txPr>
    </c:legend>
    <c:plotVisOnly val="1"/>
    <c:dispBlanksAs val="zero"/>
    <c:showDLblsOverMax val="1"/>
  </c:chart>
  <c:spPr>
    <a:xfrm>
      <a:off x="0" y="0"/>
      <a:ext cx="0" cy="0"/>
    </a:xfrm>
    <a:prstGeom prst="rect">
      <a:avLst/>
    </a:prstGeom>
    <a:solidFill>
      <a:schemeClr val="bg1"/>
    </a:solidFill>
    <a:ln w="9525" cap="flat" cmpd="sng" algn="ctr">
      <a:solidFill>
        <a:schemeClr val="dk1">
          <a:lumMod val="15000"/>
          <a:lumOff val="85000"/>
        </a:schemeClr>
      </a:solidFill>
      <a:prstDash val="solid"/>
      <a:round/>
    </a:ln>
  </c:spPr>
  <c:txPr>
    <a:bodyPr/>
    <a:lstStyle/>
    <a:p>
      <a:pPr>
        <a:defRPr>
          <a:solidFill>
            <a:schemeClr val="tx1"/>
          </a:solidFill>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63199999999999"/>
          <c:y val="7.6530000000000001E-2"/>
          <c:w val="0.42534899999999998"/>
          <c:h val="0.83577299999999999"/>
        </c:manualLayout>
      </c:layout>
      <c:radarChart>
        <c:radarStyle val="marker"/>
        <c:varyColors val="0"/>
        <c:ser>
          <c:idx val="2"/>
          <c:order val="0"/>
          <c:tx>
            <c:strRef>
              <c:f>Расчет!$E$53</c:f>
              <c:strCache>
                <c:ptCount val="1"/>
                <c:pt idx="0">
                  <c:v>КБ1</c:v>
                </c:pt>
              </c:strCache>
            </c:strRef>
          </c:tx>
          <c:spPr bwMode="auto">
            <a:prstGeom prst="rect">
              <a:avLst/>
            </a:prstGeom>
            <a:ln w="28575" cap="rnd">
              <a:solidFill>
                <a:schemeClr val="accent4">
                  <a:lumMod val="60000"/>
                  <a:lumOff val="40000"/>
                </a:schemeClr>
              </a:solidFill>
              <a:round/>
            </a:ln>
            <a:effectLst/>
          </c:spPr>
          <c:marker>
            <c:symbol val="none"/>
          </c:marker>
          <c:val>
            <c:numRef>
              <c:f>Расчет!$E$55:$E$60</c:f>
              <c:numCache>
                <c:formatCode>0.00</c:formatCode>
                <c:ptCount val="6"/>
                <c:pt idx="0">
                  <c:v>1.8860628260628265</c:v>
                </c:pt>
                <c:pt idx="1">
                  <c:v>4.2688888888888892</c:v>
                </c:pt>
                <c:pt idx="2">
                  <c:v>1.4757440476190473</c:v>
                </c:pt>
                <c:pt idx="3">
                  <c:v>0</c:v>
                </c:pt>
                <c:pt idx="4">
                  <c:v>0.99954545454545451</c:v>
                </c:pt>
                <c:pt idx="5">
                  <c:v>0.53333333333333333</c:v>
                </c:pt>
              </c:numCache>
            </c:numRef>
          </c:val>
          <c:extLst>
            <c:ext xmlns:c16="http://schemas.microsoft.com/office/drawing/2014/chart" uri="{C3380CC4-5D6E-409C-BE32-E72D297353CC}">
              <c16:uniqueId val="{00000000-6466-483A-AFA1-87790DB377C9}"/>
            </c:ext>
          </c:extLst>
        </c:ser>
        <c:ser>
          <c:idx val="1"/>
          <c:order val="1"/>
          <c:tx>
            <c:strRef>
              <c:f>Расчет!$D$53</c:f>
              <c:strCache>
                <c:ptCount val="1"/>
                <c:pt idx="0">
                  <c:v>КБ2</c:v>
                </c:pt>
              </c:strCache>
            </c:strRef>
          </c:tx>
          <c:spPr bwMode="auto">
            <a:prstGeom prst="rect">
              <a:avLst/>
            </a:prstGeom>
            <a:ln w="28575" cap="rnd">
              <a:solidFill>
                <a:srgbClr val="FF0000"/>
              </a:solidFill>
              <a:round/>
            </a:ln>
            <a:effectLst/>
          </c:spPr>
          <c:marker>
            <c:symbol val="none"/>
          </c:marker>
          <c:val>
            <c:numRef>
              <c:f>Расчет!$D$55:$D$60</c:f>
              <c:numCache>
                <c:formatCode>0.00</c:formatCode>
                <c:ptCount val="6"/>
                <c:pt idx="0">
                  <c:v>3.6115950715950715</c:v>
                </c:pt>
                <c:pt idx="1">
                  <c:v>4.8</c:v>
                </c:pt>
                <c:pt idx="2">
                  <c:v>3.3358745421245422</c:v>
                </c:pt>
                <c:pt idx="3">
                  <c:v>3.8</c:v>
                </c:pt>
                <c:pt idx="4">
                  <c:v>3.4440909090909089</c:v>
                </c:pt>
                <c:pt idx="5">
                  <c:v>2.5999999999999996</c:v>
                </c:pt>
              </c:numCache>
            </c:numRef>
          </c:val>
          <c:extLst>
            <c:ext xmlns:c16="http://schemas.microsoft.com/office/drawing/2014/chart" uri="{C3380CC4-5D6E-409C-BE32-E72D297353CC}">
              <c16:uniqueId val="{00000001-6466-483A-AFA1-87790DB377C9}"/>
            </c:ext>
          </c:extLst>
        </c:ser>
        <c:ser>
          <c:idx val="0"/>
          <c:order val="2"/>
          <c:tx>
            <c:strRef>
              <c:f>Расчет!$C$53</c:f>
              <c:strCache>
                <c:ptCount val="1"/>
                <c:pt idx="0">
                  <c:v>КБ3</c:v>
                </c:pt>
              </c:strCache>
            </c:strRef>
          </c:tx>
          <c:spPr bwMode="auto">
            <a:prstGeom prst="rect">
              <a:avLst/>
            </a:prstGeom>
            <a:ln w="28575" cap="rnd">
              <a:solidFill>
                <a:schemeClr val="accent2"/>
              </a:solidFill>
              <a:round/>
            </a:ln>
            <a:effectLst/>
          </c:spPr>
          <c:marker>
            <c:symbol val="circle"/>
            <c:size val="3"/>
            <c:spPr bwMode="auto">
              <a:prstGeom prst="rect">
                <a:avLst/>
              </a:prstGeom>
              <a:solidFill>
                <a:schemeClr val="accent1"/>
              </a:solidFill>
              <a:ln w="9525">
                <a:solidFill>
                  <a:schemeClr val="accent2"/>
                </a:solidFill>
              </a:ln>
              <a:effectLst/>
            </c:spPr>
          </c:marker>
          <c:cat>
            <c:strRef>
              <c:f>Расчет!$A$55:$B$60</c:f>
              <c:strCache>
                <c:ptCount val="6"/>
                <c:pt idx="0">
                  <c:v>Система управления ИБ</c:v>
                </c:pt>
                <c:pt idx="1">
                  <c:v>Нормативное соответствие</c:v>
                </c:pt>
                <c:pt idx="2">
                  <c:v>СЗИ</c:v>
                </c:pt>
                <c:pt idx="3">
                  <c:v>Мониторинг</c:v>
                </c:pt>
                <c:pt idx="4">
                  <c:v>Реагирование</c:v>
                </c:pt>
                <c:pt idx="5">
                  <c:v>Восстановление</c:v>
                </c:pt>
              </c:strCache>
            </c:strRef>
          </c:cat>
          <c:val>
            <c:numRef>
              <c:f>Расчет!$C$55:$C$60</c:f>
              <c:numCache>
                <c:formatCode>0.00</c:formatCode>
                <c:ptCount val="6"/>
                <c:pt idx="0">
                  <c:v>4.821648351648351</c:v>
                </c:pt>
                <c:pt idx="1">
                  <c:v>5</c:v>
                </c:pt>
                <c:pt idx="2">
                  <c:v>4.9062908817373101</c:v>
                </c:pt>
                <c:pt idx="3">
                  <c:v>4.5</c:v>
                </c:pt>
                <c:pt idx="4">
                  <c:v>4.7750000000000004</c:v>
                </c:pt>
                <c:pt idx="5">
                  <c:v>5</c:v>
                </c:pt>
              </c:numCache>
            </c:numRef>
          </c:val>
          <c:extLst>
            <c:ext xmlns:c16="http://schemas.microsoft.com/office/drawing/2014/chart" uri="{C3380CC4-5D6E-409C-BE32-E72D297353CC}">
              <c16:uniqueId val="{00000002-6466-483A-AFA1-87790DB377C9}"/>
            </c:ext>
          </c:extLst>
        </c:ser>
        <c:ser>
          <c:idx val="3"/>
          <c:order val="3"/>
          <c:tx>
            <c:strRef>
              <c:f>Расчет!$M$53</c:f>
              <c:strCache>
                <c:ptCount val="1"/>
                <c:pt idx="0">
                  <c:v>Текущий показатель</c:v>
                </c:pt>
              </c:strCache>
            </c:strRef>
          </c:tx>
          <c:spPr bwMode="auto">
            <a:prstGeom prst="rect">
              <a:avLst/>
            </a:prstGeom>
            <a:ln w="28575" cap="rnd">
              <a:solidFill>
                <a:srgbClr val="7030A0"/>
              </a:solidFill>
              <a:round/>
            </a:ln>
            <a:effectLst/>
          </c:spPr>
          <c:marker>
            <c:symbol val="none"/>
          </c:marker>
          <c:val>
            <c:numRef>
              <c:f>Расчет!$M$55:$M$60</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6466-483A-AFA1-87790DB377C9}"/>
            </c:ext>
          </c:extLst>
        </c:ser>
        <c:ser>
          <c:idx val="4"/>
          <c:order val="4"/>
          <c:tx>
            <c:strRef>
              <c:f>Расчет!$L$53</c:f>
              <c:strCache>
                <c:ptCount val="1"/>
                <c:pt idx="0">
                  <c:v>Расчетные данные на</c:v>
                </c:pt>
              </c:strCache>
            </c:strRef>
          </c:tx>
          <c:spPr bwMode="auto">
            <a:prstGeom prst="rect">
              <a:avLst/>
            </a:prstGeom>
            <a:ln w="28575" cap="rnd">
              <a:solidFill>
                <a:srgbClr val="7030A0"/>
              </a:solidFill>
              <a:prstDash val="dash"/>
              <a:round/>
            </a:ln>
            <a:effectLst/>
          </c:spPr>
          <c:marker>
            <c:symbol val="none"/>
          </c:marker>
          <c:val>
            <c:numRef>
              <c:f>Расчет!$L$55:$L$60</c:f>
              <c:numCache>
                <c:formatCode>0.00</c:formatCode>
                <c:ptCount val="6"/>
                <c:pt idx="0">
                  <c:v>4.821648351648351</c:v>
                </c:pt>
                <c:pt idx="1">
                  <c:v>5</c:v>
                </c:pt>
                <c:pt idx="2">
                  <c:v>4.9062908817373101</c:v>
                </c:pt>
                <c:pt idx="3">
                  <c:v>4.5</c:v>
                </c:pt>
                <c:pt idx="4">
                  <c:v>4.7750000000000004</c:v>
                </c:pt>
                <c:pt idx="5">
                  <c:v>5</c:v>
                </c:pt>
              </c:numCache>
            </c:numRef>
          </c:val>
          <c:extLst>
            <c:ext xmlns:c16="http://schemas.microsoft.com/office/drawing/2014/chart" uri="{C3380CC4-5D6E-409C-BE32-E72D297353CC}">
              <c16:uniqueId val="{00000004-6466-483A-AFA1-87790DB377C9}"/>
            </c:ext>
          </c:extLst>
        </c:ser>
        <c:dLbls>
          <c:showLegendKey val="0"/>
          <c:showVal val="0"/>
          <c:showCatName val="0"/>
          <c:showSerName val="0"/>
          <c:showPercent val="0"/>
          <c:showBubbleSize val="0"/>
        </c:dLbls>
        <c:axId val="2073622751"/>
        <c:axId val="2073626079"/>
      </c:radarChart>
      <c:catAx>
        <c:axId val="2073622751"/>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ru-RU"/>
          </a:p>
        </c:txPr>
        <c:crossAx val="2073626079"/>
        <c:crosses val="autoZero"/>
        <c:auto val="1"/>
        <c:lblAlgn val="ctr"/>
        <c:lblOffset val="100"/>
        <c:noMultiLvlLbl val="0"/>
      </c:catAx>
      <c:valAx>
        <c:axId val="2073626079"/>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a:prstGeom prst="rect">
            <a:avLst/>
          </a:prstGeom>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ru-RU"/>
          </a:p>
        </c:txPr>
        <c:crossAx val="2073622751"/>
        <c:crosses val="autoZero"/>
        <c:crossBetween val="between"/>
      </c:valAx>
      <c:spPr>
        <a:prstGeom prst="rect">
          <a:avLst/>
        </a:prstGeom>
        <a:noFill/>
        <a:ln>
          <a:noFill/>
        </a:ln>
        <a:effectLst/>
      </c:spPr>
    </c:plotArea>
    <c:legend>
      <c:legendPos val="t"/>
      <c:layout>
        <c:manualLayout>
          <c:xMode val="edge"/>
          <c:yMode val="edge"/>
          <c:x val="0.77931099999999998"/>
          <c:y val="0.228822"/>
          <c:w val="0.219526"/>
          <c:h val="0.56778099999999998"/>
        </c:manualLayout>
      </c:layout>
      <c:overlay val="0"/>
      <c:spPr>
        <a:prstGeom prst="rect">
          <a:avLst/>
        </a:prstGeom>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ru-RU"/>
        </a:p>
      </c:txPr>
    </c:legend>
    <c:plotVisOnly val="1"/>
    <c:dispBlanksAs val="gap"/>
    <c:showDLblsOverMax val="0"/>
  </c:chart>
  <c:spPr bwMode="auto">
    <a:xfrm>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346"/>
          <c:y val="5.5148999999999997E-2"/>
          <c:w val="0.56506500000000004"/>
          <c:h val="0.88379600000000003"/>
        </c:manualLayout>
      </c:layout>
      <c:radarChart>
        <c:radarStyle val="marker"/>
        <c:varyColors val="1"/>
        <c:ser>
          <c:idx val="0"/>
          <c:order val="0"/>
          <c:tx>
            <c:strRef>
              <c:f>'Управление ИБ'!$D$41</c:f>
              <c:strCache>
                <c:ptCount val="1"/>
                <c:pt idx="0">
                  <c:v>КБ3</c:v>
                </c:pt>
              </c:strCache>
            </c:strRef>
          </c:tx>
          <c:spPr>
            <a:prstGeom prst="rect">
              <a:avLst/>
            </a:prstGeom>
            <a:ln w="19050" cap="rnd" cmpd="sng" algn="ctr">
              <a:solidFill>
                <a:srgbClr val="AADB1E"/>
              </a:solidFill>
              <a:prstDash val="solid"/>
              <a:round/>
            </a:ln>
          </c:spPr>
          <c:marker>
            <c:symbol val="none"/>
          </c:marker>
          <c:cat>
            <c:strRef>
              <c:f>'Управление ИБ'!$C$42:$C$55</c:f>
              <c:strCache>
                <c:ptCount val="14"/>
                <c:pt idx="0">
                  <c:v>СУИБ</c:v>
                </c:pt>
                <c:pt idx="1">
                  <c:v>УР</c:v>
                </c:pt>
                <c:pt idx="2">
                  <c:v>ЦП</c:v>
                </c:pt>
                <c:pt idx="3">
                  <c:v>ИН</c:v>
                </c:pt>
                <c:pt idx="4">
                  <c:v>УА</c:v>
                </c:pt>
                <c:pt idx="5">
                  <c:v>УД</c:v>
                </c:pt>
                <c:pt idx="6">
                  <c:v>ИА</c:v>
                </c:pt>
                <c:pt idx="7">
                  <c:v>Д</c:v>
                </c:pt>
                <c:pt idx="8">
                  <c:v>ОД</c:v>
                </c:pt>
                <c:pt idx="9">
                  <c:v>Люди</c:v>
                </c:pt>
                <c:pt idx="10">
                  <c:v>AW</c:v>
                </c:pt>
                <c:pt idx="11">
                  <c:v>ПР</c:v>
                </c:pt>
                <c:pt idx="12">
                  <c:v>ПРС</c:v>
                </c:pt>
                <c:pt idx="13">
                  <c:v>ФД</c:v>
                </c:pt>
              </c:strCache>
            </c:strRef>
          </c:cat>
          <c:val>
            <c:numRef>
              <c:f>'Управление ИБ'!$D$42:$D$55</c:f>
              <c:numCache>
                <c:formatCode>0.00</c:formatCode>
                <c:ptCount val="14"/>
                <c:pt idx="0">
                  <c:v>5</c:v>
                </c:pt>
                <c:pt idx="1">
                  <c:v>4.8</c:v>
                </c:pt>
                <c:pt idx="2">
                  <c:v>5</c:v>
                </c:pt>
                <c:pt idx="3">
                  <c:v>4.9285714285714288</c:v>
                </c:pt>
                <c:pt idx="4">
                  <c:v>4.8</c:v>
                </c:pt>
                <c:pt idx="5">
                  <c:v>4.4599999999999991</c:v>
                </c:pt>
                <c:pt idx="6">
                  <c:v>5</c:v>
                </c:pt>
                <c:pt idx="7">
                  <c:v>4.55</c:v>
                </c:pt>
                <c:pt idx="8">
                  <c:v>5</c:v>
                </c:pt>
                <c:pt idx="9">
                  <c:v>5</c:v>
                </c:pt>
                <c:pt idx="10">
                  <c:v>5</c:v>
                </c:pt>
                <c:pt idx="11">
                  <c:v>4.1428571428571432</c:v>
                </c:pt>
                <c:pt idx="12">
                  <c:v>5</c:v>
                </c:pt>
                <c:pt idx="13">
                  <c:v>5</c:v>
                </c:pt>
              </c:numCache>
            </c:numRef>
          </c:val>
          <c:extLst>
            <c:ext xmlns:c16="http://schemas.microsoft.com/office/drawing/2014/chart" uri="{C3380CC4-5D6E-409C-BE32-E72D297353CC}">
              <c16:uniqueId val="{00000000-044D-48CA-BF07-ECC351DD83FC}"/>
            </c:ext>
          </c:extLst>
        </c:ser>
        <c:ser>
          <c:idx val="1"/>
          <c:order val="1"/>
          <c:tx>
            <c:strRef>
              <c:f>'Управление ИБ'!$E$41</c:f>
              <c:strCache>
                <c:ptCount val="1"/>
                <c:pt idx="0">
                  <c:v>КБ2</c:v>
                </c:pt>
              </c:strCache>
            </c:strRef>
          </c:tx>
          <c:spPr>
            <a:prstGeom prst="rect">
              <a:avLst/>
            </a:prstGeom>
            <a:ln w="19050" cap="rnd" cmpd="sng" algn="ctr">
              <a:solidFill>
                <a:schemeClr val="accent2"/>
              </a:solidFill>
              <a:prstDash val="solid"/>
              <a:round/>
            </a:ln>
          </c:spPr>
          <c:marker>
            <c:symbol val="none"/>
          </c:marker>
          <c:cat>
            <c:strRef>
              <c:f>'Управление ИБ'!$C$42:$C$55</c:f>
              <c:strCache>
                <c:ptCount val="14"/>
                <c:pt idx="0">
                  <c:v>СУИБ</c:v>
                </c:pt>
                <c:pt idx="1">
                  <c:v>УР</c:v>
                </c:pt>
                <c:pt idx="2">
                  <c:v>ЦП</c:v>
                </c:pt>
                <c:pt idx="3">
                  <c:v>ИН</c:v>
                </c:pt>
                <c:pt idx="4">
                  <c:v>УА</c:v>
                </c:pt>
                <c:pt idx="5">
                  <c:v>УД</c:v>
                </c:pt>
                <c:pt idx="6">
                  <c:v>ИА</c:v>
                </c:pt>
                <c:pt idx="7">
                  <c:v>Д</c:v>
                </c:pt>
                <c:pt idx="8">
                  <c:v>ОД</c:v>
                </c:pt>
                <c:pt idx="9">
                  <c:v>Люди</c:v>
                </c:pt>
                <c:pt idx="10">
                  <c:v>AW</c:v>
                </c:pt>
                <c:pt idx="11">
                  <c:v>ПР</c:v>
                </c:pt>
                <c:pt idx="12">
                  <c:v>ПРС</c:v>
                </c:pt>
                <c:pt idx="13">
                  <c:v>ФД</c:v>
                </c:pt>
              </c:strCache>
            </c:strRef>
          </c:cat>
          <c:val>
            <c:numRef>
              <c:f>'Управление ИБ'!$E$42:$E$54</c:f>
              <c:numCache>
                <c:formatCode>0.00</c:formatCode>
                <c:ptCount val="13"/>
                <c:pt idx="0">
                  <c:v>4.6400000000000006</c:v>
                </c:pt>
                <c:pt idx="1">
                  <c:v>2</c:v>
                </c:pt>
                <c:pt idx="2">
                  <c:v>3.7999999999999994</c:v>
                </c:pt>
                <c:pt idx="3">
                  <c:v>3.1857142857142864</c:v>
                </c:pt>
                <c:pt idx="4">
                  <c:v>3.16</c:v>
                </c:pt>
                <c:pt idx="5">
                  <c:v>3.2600000000000002</c:v>
                </c:pt>
                <c:pt idx="6">
                  <c:v>4.6000000000000005</c:v>
                </c:pt>
                <c:pt idx="7">
                  <c:v>3.6999999999999997</c:v>
                </c:pt>
                <c:pt idx="8">
                  <c:v>2.9199999999999995</c:v>
                </c:pt>
                <c:pt idx="9">
                  <c:v>5</c:v>
                </c:pt>
                <c:pt idx="10">
                  <c:v>3.1999999999999997</c:v>
                </c:pt>
                <c:pt idx="11">
                  <c:v>2.7904761904761908</c:v>
                </c:pt>
                <c:pt idx="12">
                  <c:v>3.8545454545454545</c:v>
                </c:pt>
              </c:numCache>
            </c:numRef>
          </c:val>
          <c:extLst>
            <c:ext xmlns:c16="http://schemas.microsoft.com/office/drawing/2014/chart" uri="{C3380CC4-5D6E-409C-BE32-E72D297353CC}">
              <c16:uniqueId val="{00000001-044D-48CA-BF07-ECC351DD83FC}"/>
            </c:ext>
          </c:extLst>
        </c:ser>
        <c:ser>
          <c:idx val="2"/>
          <c:order val="2"/>
          <c:tx>
            <c:strRef>
              <c:f>'Управление ИБ'!$F$41</c:f>
              <c:strCache>
                <c:ptCount val="1"/>
                <c:pt idx="0">
                  <c:v>КБ1</c:v>
                </c:pt>
              </c:strCache>
            </c:strRef>
          </c:tx>
          <c:spPr>
            <a:prstGeom prst="rect">
              <a:avLst/>
            </a:prstGeom>
            <a:ln w="19050" cap="rnd" cmpd="sng" algn="ctr">
              <a:solidFill>
                <a:schemeClr val="accent3"/>
              </a:solidFill>
              <a:prstDash val="solid"/>
              <a:round/>
            </a:ln>
          </c:spPr>
          <c:marker>
            <c:symbol val="none"/>
          </c:marker>
          <c:cat>
            <c:strRef>
              <c:f>'Управление ИБ'!$C$42:$C$55</c:f>
              <c:strCache>
                <c:ptCount val="14"/>
                <c:pt idx="0">
                  <c:v>СУИБ</c:v>
                </c:pt>
                <c:pt idx="1">
                  <c:v>УР</c:v>
                </c:pt>
                <c:pt idx="2">
                  <c:v>ЦП</c:v>
                </c:pt>
                <c:pt idx="3">
                  <c:v>ИН</c:v>
                </c:pt>
                <c:pt idx="4">
                  <c:v>УА</c:v>
                </c:pt>
                <c:pt idx="5">
                  <c:v>УД</c:v>
                </c:pt>
                <c:pt idx="6">
                  <c:v>ИА</c:v>
                </c:pt>
                <c:pt idx="7">
                  <c:v>Д</c:v>
                </c:pt>
                <c:pt idx="8">
                  <c:v>ОД</c:v>
                </c:pt>
                <c:pt idx="9">
                  <c:v>Люди</c:v>
                </c:pt>
                <c:pt idx="10">
                  <c:v>AW</c:v>
                </c:pt>
                <c:pt idx="11">
                  <c:v>ПР</c:v>
                </c:pt>
                <c:pt idx="12">
                  <c:v>ПРС</c:v>
                </c:pt>
                <c:pt idx="13">
                  <c:v>ФД</c:v>
                </c:pt>
              </c:strCache>
            </c:strRef>
          </c:cat>
          <c:val>
            <c:numRef>
              <c:f>'Управление ИБ'!$F$42:$F$55</c:f>
              <c:numCache>
                <c:formatCode>0.00</c:formatCode>
                <c:ptCount val="14"/>
                <c:pt idx="0">
                  <c:v>2.5</c:v>
                </c:pt>
                <c:pt idx="1">
                  <c:v>1</c:v>
                </c:pt>
                <c:pt idx="2">
                  <c:v>2.7333333333333329</c:v>
                </c:pt>
                <c:pt idx="3">
                  <c:v>1.2142857142857142</c:v>
                </c:pt>
                <c:pt idx="4">
                  <c:v>0.52</c:v>
                </c:pt>
                <c:pt idx="5">
                  <c:v>2.14</c:v>
                </c:pt>
                <c:pt idx="6">
                  <c:v>3.3111111111111113</c:v>
                </c:pt>
                <c:pt idx="7">
                  <c:v>1.2000000000000002</c:v>
                </c:pt>
                <c:pt idx="8">
                  <c:v>0</c:v>
                </c:pt>
                <c:pt idx="9">
                  <c:v>5</c:v>
                </c:pt>
                <c:pt idx="10">
                  <c:v>1.5999999999999999</c:v>
                </c:pt>
                <c:pt idx="11">
                  <c:v>0.69523809523809521</c:v>
                </c:pt>
                <c:pt idx="12">
                  <c:v>1.0181818181818181</c:v>
                </c:pt>
                <c:pt idx="13">
                  <c:v>4.32</c:v>
                </c:pt>
              </c:numCache>
            </c:numRef>
          </c:val>
          <c:extLst>
            <c:ext xmlns:c16="http://schemas.microsoft.com/office/drawing/2014/chart" uri="{C3380CC4-5D6E-409C-BE32-E72D297353CC}">
              <c16:uniqueId val="{00000002-044D-48CA-BF07-ECC351DD83FC}"/>
            </c:ext>
          </c:extLst>
        </c:ser>
        <c:ser>
          <c:idx val="3"/>
          <c:order val="3"/>
          <c:tx>
            <c:strRef>
              <c:f>'Управление ИБ'!$K$41</c:f>
              <c:strCache>
                <c:ptCount val="1"/>
                <c:pt idx="0">
                  <c:v>Расчетный показатель 2025</c:v>
                </c:pt>
              </c:strCache>
            </c:strRef>
          </c:tx>
          <c:spPr>
            <a:prstGeom prst="rect">
              <a:avLst/>
            </a:prstGeom>
            <a:ln w="19050" cap="rnd" cmpd="sng" algn="ctr">
              <a:solidFill>
                <a:schemeClr val="accent4"/>
              </a:solidFill>
              <a:prstDash val="solid"/>
              <a:round/>
            </a:ln>
          </c:spPr>
          <c:marker>
            <c:symbol val="none"/>
          </c:marker>
          <c:cat>
            <c:strRef>
              <c:f>'Управление ИБ'!$C$42:$C$55</c:f>
              <c:strCache>
                <c:ptCount val="14"/>
                <c:pt idx="0">
                  <c:v>СУИБ</c:v>
                </c:pt>
                <c:pt idx="1">
                  <c:v>УР</c:v>
                </c:pt>
                <c:pt idx="2">
                  <c:v>ЦП</c:v>
                </c:pt>
                <c:pt idx="3">
                  <c:v>ИН</c:v>
                </c:pt>
                <c:pt idx="4">
                  <c:v>УА</c:v>
                </c:pt>
                <c:pt idx="5">
                  <c:v>УД</c:v>
                </c:pt>
                <c:pt idx="6">
                  <c:v>ИА</c:v>
                </c:pt>
                <c:pt idx="7">
                  <c:v>Д</c:v>
                </c:pt>
                <c:pt idx="8">
                  <c:v>ОД</c:v>
                </c:pt>
                <c:pt idx="9">
                  <c:v>Люди</c:v>
                </c:pt>
                <c:pt idx="10">
                  <c:v>AW</c:v>
                </c:pt>
                <c:pt idx="11">
                  <c:v>ПР</c:v>
                </c:pt>
                <c:pt idx="12">
                  <c:v>ПРС</c:v>
                </c:pt>
                <c:pt idx="13">
                  <c:v>ФД</c:v>
                </c:pt>
              </c:strCache>
            </c:strRef>
          </c:cat>
          <c:val>
            <c:numRef>
              <c:f>'Управление ИБ'!$K$42:$K$55</c:f>
              <c:numCache>
                <c:formatCode>0.00</c:formatCode>
                <c:ptCount val="14"/>
                <c:pt idx="0">
                  <c:v>5</c:v>
                </c:pt>
                <c:pt idx="1">
                  <c:v>4.8</c:v>
                </c:pt>
                <c:pt idx="2">
                  <c:v>5</c:v>
                </c:pt>
                <c:pt idx="3">
                  <c:v>4.9285714285714288</c:v>
                </c:pt>
                <c:pt idx="4">
                  <c:v>4.8</c:v>
                </c:pt>
                <c:pt idx="5">
                  <c:v>4.4599999999999991</c:v>
                </c:pt>
                <c:pt idx="6">
                  <c:v>5</c:v>
                </c:pt>
                <c:pt idx="7">
                  <c:v>4.55</c:v>
                </c:pt>
                <c:pt idx="8">
                  <c:v>5</c:v>
                </c:pt>
                <c:pt idx="9">
                  <c:v>5</c:v>
                </c:pt>
                <c:pt idx="10">
                  <c:v>5</c:v>
                </c:pt>
                <c:pt idx="11">
                  <c:v>4.1428571428571432</c:v>
                </c:pt>
                <c:pt idx="12">
                  <c:v>5</c:v>
                </c:pt>
                <c:pt idx="13">
                  <c:v>5</c:v>
                </c:pt>
              </c:numCache>
            </c:numRef>
          </c:val>
          <c:extLst>
            <c:ext xmlns:c16="http://schemas.microsoft.com/office/drawing/2014/chart" uri="{C3380CC4-5D6E-409C-BE32-E72D297353CC}">
              <c16:uniqueId val="{00000003-044D-48CA-BF07-ECC351DD83FC}"/>
            </c:ext>
          </c:extLst>
        </c:ser>
        <c:ser>
          <c:idx val="4"/>
          <c:order val="4"/>
          <c:tx>
            <c:strRef>
              <c:f>'Управление ИБ'!$L$41</c:f>
              <c:strCache>
                <c:ptCount val="1"/>
                <c:pt idx="0">
                  <c:v>Текущий показатель</c:v>
                </c:pt>
              </c:strCache>
            </c:strRef>
          </c:tx>
          <c:marker>
            <c:symbol val="none"/>
          </c:marker>
          <c:cat>
            <c:strRef>
              <c:f>'Управление ИБ'!$C$42:$C$55</c:f>
              <c:strCache>
                <c:ptCount val="14"/>
                <c:pt idx="0">
                  <c:v>СУИБ</c:v>
                </c:pt>
                <c:pt idx="1">
                  <c:v>УР</c:v>
                </c:pt>
                <c:pt idx="2">
                  <c:v>ЦП</c:v>
                </c:pt>
                <c:pt idx="3">
                  <c:v>ИН</c:v>
                </c:pt>
                <c:pt idx="4">
                  <c:v>УА</c:v>
                </c:pt>
                <c:pt idx="5">
                  <c:v>УД</c:v>
                </c:pt>
                <c:pt idx="6">
                  <c:v>ИА</c:v>
                </c:pt>
                <c:pt idx="7">
                  <c:v>Д</c:v>
                </c:pt>
                <c:pt idx="8">
                  <c:v>ОД</c:v>
                </c:pt>
                <c:pt idx="9">
                  <c:v>Люди</c:v>
                </c:pt>
                <c:pt idx="10">
                  <c:v>AW</c:v>
                </c:pt>
                <c:pt idx="11">
                  <c:v>ПР</c:v>
                </c:pt>
                <c:pt idx="12">
                  <c:v>ПРС</c:v>
                </c:pt>
                <c:pt idx="13">
                  <c:v>ФД</c:v>
                </c:pt>
              </c:strCache>
            </c:strRef>
          </c:cat>
          <c:val>
            <c:numRef>
              <c:f>'Управление ИБ'!$L$42:$L$55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4-044D-48CA-BF07-ECC351DD83FC}"/>
            </c:ext>
          </c:extLst>
        </c:ser>
        <c:dLbls>
          <c:showLegendKey val="0"/>
          <c:showVal val="0"/>
          <c:showCatName val="0"/>
          <c:showSerName val="0"/>
          <c:showPercent val="0"/>
          <c:showBubbleSize val="0"/>
        </c:dLbls>
        <c:axId val="1026912850"/>
        <c:axId val="1724609096"/>
      </c:radarChart>
      <c:catAx>
        <c:axId val="1026912850"/>
        <c:scaling>
          <c:orientation val="minMax"/>
        </c:scaling>
        <c:delete val="0"/>
        <c:axPos val="b"/>
        <c:majorGridlines/>
        <c:numFmt formatCode="General" sourceLinked="1"/>
        <c:majorTickMark val="cross"/>
        <c:minorTickMark val="cross"/>
        <c:tickLblPos val="nextTo"/>
        <c:spPr>
          <a:prstGeom prst="rect">
            <a:avLst/>
          </a:prstGeom>
          <a:noFill/>
          <a:ln w="6350" cap="flat" cmpd="sng" algn="ctr">
            <a:solidFill>
              <a:schemeClr val="tx1"/>
            </a:solidFill>
            <a:prstDash val="solid"/>
            <a:round/>
          </a:ln>
        </c:spPr>
        <c:txPr>
          <a:bodyPr rot="120000" spcFirstLastPara="1" vertOverflow="ellipsis" wrap="square" anchor="ctr" anchorCtr="1"/>
          <a:lstStyle/>
          <a:p>
            <a:pPr lvl="0">
              <a:defRPr sz="900" b="0" i="0" u="none" strike="noStrike">
                <a:solidFill>
                  <a:srgbClr val="595959"/>
                </a:solidFill>
                <a:latin typeface="+mn-lt"/>
                <a:ea typeface="+mn-ea"/>
                <a:cs typeface="+mn-cs"/>
              </a:defRPr>
            </a:pPr>
            <a:endParaRPr lang="ru-RU"/>
          </a:p>
        </c:txPr>
        <c:crossAx val="1724609096"/>
        <c:crosses val="autoZero"/>
        <c:auto val="1"/>
        <c:lblAlgn val="ctr"/>
        <c:lblOffset val="100"/>
        <c:noMultiLvlLbl val="1"/>
      </c:catAx>
      <c:valAx>
        <c:axId val="1724609096"/>
        <c:scaling>
          <c:orientation val="minMax"/>
        </c:scaling>
        <c:delete val="0"/>
        <c:axPos val="l"/>
        <c:majorGridlines>
          <c:spPr>
            <a:prstGeom prst="rect">
              <a:avLst/>
            </a:prstGeom>
            <a:ln w="6350" cap="flat" cmpd="sng" algn="ctr">
              <a:solidFill>
                <a:srgbClr val="D9D9D9"/>
              </a:solidFill>
              <a:prstDash val="solid"/>
              <a:round/>
            </a:ln>
          </c:spPr>
        </c:majorGridlines>
        <c:numFmt formatCode="0.00" sourceLinked="1"/>
        <c:majorTickMark val="cross"/>
        <c:minorTickMark val="cross"/>
        <c:tickLblPos val="nextTo"/>
        <c:spPr>
          <a:prstGeom prst="rect">
            <a:avLst/>
          </a:prstGeom>
          <a:noFill/>
          <a:ln w="47625" cap="flat" cmpd="sng" algn="ctr">
            <a:noFill/>
            <a:prstDash val="solid"/>
            <a:round/>
          </a:ln>
        </c:spPr>
        <c:txPr>
          <a:bodyPr rot="-60000000" spcFirstLastPara="1" vertOverflow="ellipsis" vert="horz" wrap="square" anchor="ctr" anchorCtr="1"/>
          <a:lstStyle/>
          <a:p>
            <a:pPr lvl="0">
              <a:defRPr sz="900" b="0" i="0" u="none" strike="noStrike">
                <a:solidFill>
                  <a:srgbClr val="595959"/>
                </a:solidFill>
                <a:latin typeface="+mn-lt"/>
                <a:ea typeface="+mn-ea"/>
                <a:cs typeface="+mn-cs"/>
              </a:defRPr>
            </a:pPr>
            <a:endParaRPr lang="ru-RU"/>
          </a:p>
        </c:txPr>
        <c:crossAx val="1026912850"/>
        <c:crosses val="autoZero"/>
        <c:crossBetween val="between"/>
      </c:valAx>
      <c:spPr>
        <a:prstGeom prst="rect">
          <a:avLst/>
        </a:prstGeom>
        <a:solidFill>
          <a:srgbClr val="FFFFFF"/>
        </a:solidFill>
        <a:ln>
          <a:noFill/>
        </a:ln>
      </c:spPr>
    </c:plotArea>
    <c:legend>
      <c:legendPos val="r"/>
      <c:overlay val="0"/>
    </c:legend>
    <c:plotVisOnly val="1"/>
    <c:dispBlanksAs val="zero"/>
    <c:showDLblsOverMax val="1"/>
  </c:chart>
  <c:spPr>
    <a:xfrm>
      <a:off x="0" y="0"/>
      <a:ext cx="0" cy="0"/>
    </a:xfrm>
    <a:prstGeom prst="rect">
      <a:avLst/>
    </a:prstGeom>
    <a:solidFill>
      <a:srgbClr val="FFFFFF"/>
    </a:solidFill>
    <a:ln w="6350" cap="flat" cmpd="sng" algn="ctr">
      <a:solidFill>
        <a:schemeClr val="tx1">
          <a:tint val="75000"/>
        </a:schemeClr>
      </a:solidFill>
      <a:prstDash val="solid"/>
      <a:round/>
    </a:ln>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483600000000002"/>
          <c:y val="9.7191E-2"/>
          <c:w val="0.56506500000000004"/>
          <c:h val="0.88379600000000003"/>
        </c:manualLayout>
      </c:layout>
      <c:radarChart>
        <c:radarStyle val="marker"/>
        <c:varyColors val="1"/>
        <c:ser>
          <c:idx val="1"/>
          <c:order val="0"/>
          <c:tx>
            <c:strRef>
              <c:f>'Нормативное соответствие'!$D$41</c:f>
              <c:strCache>
                <c:ptCount val="1"/>
                <c:pt idx="0">
                  <c:v>КБ3</c:v>
                </c:pt>
              </c:strCache>
            </c:strRef>
          </c:tx>
          <c:spPr>
            <a:prstGeom prst="rect">
              <a:avLst/>
            </a:prstGeom>
            <a:ln w="19050" cap="rnd" cmpd="sng" algn="ctr">
              <a:solidFill>
                <a:schemeClr val="accent2"/>
              </a:solidFill>
              <a:prstDash val="solid"/>
              <a:round/>
            </a:ln>
          </c:spPr>
          <c:marker>
            <c:symbol val="none"/>
          </c:marker>
          <c:cat>
            <c:strRef>
              <c:f>'Нормативное соответствие'!$C$42:$C$46</c:f>
              <c:strCache>
                <c:ptCount val="5"/>
                <c:pt idx="0">
                  <c:v>ПР</c:v>
                </c:pt>
                <c:pt idx="1">
                  <c:v>КИИ</c:v>
                </c:pt>
                <c:pt idx="2">
                  <c:v>КТ</c:v>
                </c:pt>
                <c:pt idx="3">
                  <c:v>СКЗИ</c:v>
                </c:pt>
                <c:pt idx="4">
                  <c:v>250</c:v>
                </c:pt>
              </c:strCache>
            </c:strRef>
          </c:cat>
          <c:val>
            <c:numRef>
              <c:f>'Нормативное соответствие'!$D$42:$D$46</c:f>
              <c:numCache>
                <c:formatCode>0.00</c:formatCode>
                <c:ptCount val="5"/>
                <c:pt idx="0">
                  <c:v>5</c:v>
                </c:pt>
                <c:pt idx="1">
                  <c:v>5</c:v>
                </c:pt>
                <c:pt idx="2">
                  <c:v>5</c:v>
                </c:pt>
                <c:pt idx="3">
                  <c:v>5</c:v>
                </c:pt>
                <c:pt idx="4">
                  <c:v>5</c:v>
                </c:pt>
              </c:numCache>
            </c:numRef>
          </c:val>
          <c:extLst>
            <c:ext xmlns:c16="http://schemas.microsoft.com/office/drawing/2014/chart" uri="{C3380CC4-5D6E-409C-BE32-E72D297353CC}">
              <c16:uniqueId val="{00000000-3580-49E6-A1D1-FB3528EAA008}"/>
            </c:ext>
          </c:extLst>
        </c:ser>
        <c:ser>
          <c:idx val="2"/>
          <c:order val="1"/>
          <c:tx>
            <c:strRef>
              <c:f>'Нормативное соответствие'!$E$41</c:f>
              <c:strCache>
                <c:ptCount val="1"/>
                <c:pt idx="0">
                  <c:v>КБ2</c:v>
                </c:pt>
              </c:strCache>
            </c:strRef>
          </c:tx>
          <c:spPr>
            <a:prstGeom prst="rect">
              <a:avLst/>
            </a:prstGeom>
            <a:ln w="19050" cap="rnd" cmpd="sng" algn="ctr">
              <a:solidFill>
                <a:schemeClr val="accent3"/>
              </a:solidFill>
              <a:prstDash val="solid"/>
              <a:round/>
            </a:ln>
          </c:spPr>
          <c:marker>
            <c:symbol val="none"/>
          </c:marker>
          <c:cat>
            <c:strRef>
              <c:f>'Нормативное соответствие'!$C$42:$C$46</c:f>
              <c:strCache>
                <c:ptCount val="5"/>
                <c:pt idx="0">
                  <c:v>ПР</c:v>
                </c:pt>
                <c:pt idx="1">
                  <c:v>КИИ</c:v>
                </c:pt>
                <c:pt idx="2">
                  <c:v>КТ</c:v>
                </c:pt>
                <c:pt idx="3">
                  <c:v>СКЗИ</c:v>
                </c:pt>
                <c:pt idx="4">
                  <c:v>250</c:v>
                </c:pt>
              </c:strCache>
            </c:strRef>
          </c:cat>
          <c:val>
            <c:numRef>
              <c:f>'Нормативное соответствие'!$E$42:$E$46</c:f>
              <c:numCache>
                <c:formatCode>0.00</c:formatCode>
                <c:ptCount val="5"/>
                <c:pt idx="0">
                  <c:v>5</c:v>
                </c:pt>
                <c:pt idx="1">
                  <c:v>5</c:v>
                </c:pt>
                <c:pt idx="2">
                  <c:v>5</c:v>
                </c:pt>
                <c:pt idx="3">
                  <c:v>5</c:v>
                </c:pt>
                <c:pt idx="4">
                  <c:v>5</c:v>
                </c:pt>
              </c:numCache>
            </c:numRef>
          </c:val>
          <c:extLst>
            <c:ext xmlns:c16="http://schemas.microsoft.com/office/drawing/2014/chart" uri="{C3380CC4-5D6E-409C-BE32-E72D297353CC}">
              <c16:uniqueId val="{00000001-3580-49E6-A1D1-FB3528EAA008}"/>
            </c:ext>
          </c:extLst>
        </c:ser>
        <c:ser>
          <c:idx val="3"/>
          <c:order val="2"/>
          <c:tx>
            <c:strRef>
              <c:f>'Нормативное соответствие'!$F$41</c:f>
              <c:strCache>
                <c:ptCount val="1"/>
                <c:pt idx="0">
                  <c:v>КБ1</c:v>
                </c:pt>
              </c:strCache>
            </c:strRef>
          </c:tx>
          <c:spPr>
            <a:prstGeom prst="rect">
              <a:avLst/>
            </a:prstGeom>
            <a:ln w="19050" cap="rnd" cmpd="sng" algn="ctr">
              <a:solidFill>
                <a:schemeClr val="accent4"/>
              </a:solidFill>
              <a:prstDash val="solid"/>
              <a:round/>
            </a:ln>
          </c:spPr>
          <c:marker>
            <c:symbol val="none"/>
          </c:marker>
          <c:cat>
            <c:strRef>
              <c:f>'Нормативное соответствие'!$C$42:$C$46</c:f>
              <c:strCache>
                <c:ptCount val="5"/>
                <c:pt idx="0">
                  <c:v>ПР</c:v>
                </c:pt>
                <c:pt idx="1">
                  <c:v>КИИ</c:v>
                </c:pt>
                <c:pt idx="2">
                  <c:v>КТ</c:v>
                </c:pt>
                <c:pt idx="3">
                  <c:v>СКЗИ</c:v>
                </c:pt>
                <c:pt idx="4">
                  <c:v>250</c:v>
                </c:pt>
              </c:strCache>
            </c:strRef>
          </c:cat>
          <c:val>
            <c:numRef>
              <c:f>'Нормативное соответствие'!$F$42:$F$46</c:f>
              <c:numCache>
                <c:formatCode>0.00</c:formatCode>
                <c:ptCount val="5"/>
                <c:pt idx="0">
                  <c:v>5</c:v>
                </c:pt>
                <c:pt idx="1">
                  <c:v>2.8800000000000003</c:v>
                </c:pt>
                <c:pt idx="2">
                  <c:v>5</c:v>
                </c:pt>
                <c:pt idx="3">
                  <c:v>5</c:v>
                </c:pt>
                <c:pt idx="4">
                  <c:v>5</c:v>
                </c:pt>
              </c:numCache>
            </c:numRef>
          </c:val>
          <c:extLst>
            <c:ext xmlns:c16="http://schemas.microsoft.com/office/drawing/2014/chart" uri="{C3380CC4-5D6E-409C-BE32-E72D297353CC}">
              <c16:uniqueId val="{00000002-3580-49E6-A1D1-FB3528EAA008}"/>
            </c:ext>
          </c:extLst>
        </c:ser>
        <c:ser>
          <c:idx val="4"/>
          <c:order val="3"/>
          <c:tx>
            <c:strRef>
              <c:f>'Нормативное соответствие'!$G$41</c:f>
              <c:strCache>
                <c:ptCount val="1"/>
                <c:pt idx="0">
                  <c:v>Исторические данные</c:v>
                </c:pt>
              </c:strCache>
            </c:strRef>
          </c:tx>
          <c:marker>
            <c:symbol val="none"/>
          </c:marker>
          <c:cat>
            <c:strRef>
              <c:f>'Нормативное соответствие'!$C$42:$C$46</c:f>
              <c:strCache>
                <c:ptCount val="5"/>
                <c:pt idx="0">
                  <c:v>ПР</c:v>
                </c:pt>
                <c:pt idx="1">
                  <c:v>КИИ</c:v>
                </c:pt>
                <c:pt idx="2">
                  <c:v>КТ</c:v>
                </c:pt>
                <c:pt idx="3">
                  <c:v>СКЗИ</c:v>
                </c:pt>
                <c:pt idx="4">
                  <c:v>250</c:v>
                </c:pt>
              </c:strCache>
            </c:strRef>
          </c:cat>
          <c:val>
            <c:numRef>
              <c:f>'Нормативное соответствие'!$G$42:$G$46</c:f>
            </c:numRef>
          </c:val>
          <c:extLst>
            <c:ext xmlns:c16="http://schemas.microsoft.com/office/drawing/2014/chart" uri="{C3380CC4-5D6E-409C-BE32-E72D297353CC}">
              <c16:uniqueId val="{00000003-3580-49E6-A1D1-FB3528EAA008}"/>
            </c:ext>
          </c:extLst>
        </c:ser>
        <c:ser>
          <c:idx val="5"/>
          <c:order val="4"/>
          <c:tx>
            <c:strRef>
              <c:f>'Нормативное соответствие'!$H$41</c:f>
              <c:strCache>
                <c:ptCount val="1"/>
                <c:pt idx="0">
                  <c:v>Исторические данные</c:v>
                </c:pt>
              </c:strCache>
            </c:strRef>
          </c:tx>
          <c:marker>
            <c:symbol val="none"/>
          </c:marker>
          <c:cat>
            <c:strRef>
              <c:f>'Нормативное соответствие'!$C$42:$C$46</c:f>
              <c:strCache>
                <c:ptCount val="5"/>
                <c:pt idx="0">
                  <c:v>ПР</c:v>
                </c:pt>
                <c:pt idx="1">
                  <c:v>КИИ</c:v>
                </c:pt>
                <c:pt idx="2">
                  <c:v>КТ</c:v>
                </c:pt>
                <c:pt idx="3">
                  <c:v>СКЗИ</c:v>
                </c:pt>
                <c:pt idx="4">
                  <c:v>250</c:v>
                </c:pt>
              </c:strCache>
            </c:strRef>
          </c:cat>
          <c:val>
            <c:numRef>
              <c:f>'Нормативное соответствие'!$H$42:$H$46</c:f>
            </c:numRef>
          </c:val>
          <c:extLst>
            <c:ext xmlns:c16="http://schemas.microsoft.com/office/drawing/2014/chart" uri="{C3380CC4-5D6E-409C-BE32-E72D297353CC}">
              <c16:uniqueId val="{00000004-3580-49E6-A1D1-FB3528EAA008}"/>
            </c:ext>
          </c:extLst>
        </c:ser>
        <c:ser>
          <c:idx val="6"/>
          <c:order val="5"/>
          <c:tx>
            <c:strRef>
              <c:f>'Нормативное соответствие'!$I$41</c:f>
              <c:strCache>
                <c:ptCount val="1"/>
                <c:pt idx="0">
                  <c:v>Исторические данные</c:v>
                </c:pt>
              </c:strCache>
            </c:strRef>
          </c:tx>
          <c:marker>
            <c:symbol val="none"/>
          </c:marker>
          <c:cat>
            <c:strRef>
              <c:f>'Нормативное соответствие'!$C$42:$C$46</c:f>
              <c:strCache>
                <c:ptCount val="5"/>
                <c:pt idx="0">
                  <c:v>ПР</c:v>
                </c:pt>
                <c:pt idx="1">
                  <c:v>КИИ</c:v>
                </c:pt>
                <c:pt idx="2">
                  <c:v>КТ</c:v>
                </c:pt>
                <c:pt idx="3">
                  <c:v>СКЗИ</c:v>
                </c:pt>
                <c:pt idx="4">
                  <c:v>250</c:v>
                </c:pt>
              </c:strCache>
            </c:strRef>
          </c:cat>
          <c:val>
            <c:numRef>
              <c:f>'Нормативное соответствие'!$I$42:$I$46</c:f>
            </c:numRef>
          </c:val>
          <c:extLst>
            <c:ext xmlns:c16="http://schemas.microsoft.com/office/drawing/2014/chart" uri="{C3380CC4-5D6E-409C-BE32-E72D297353CC}">
              <c16:uniqueId val="{00000005-3580-49E6-A1D1-FB3528EAA008}"/>
            </c:ext>
          </c:extLst>
        </c:ser>
        <c:ser>
          <c:idx val="7"/>
          <c:order val="6"/>
          <c:tx>
            <c:strRef>
              <c:f>'Нормативное соответствие'!$J$41</c:f>
              <c:strCache>
                <c:ptCount val="1"/>
                <c:pt idx="0">
                  <c:v>2026</c:v>
                </c:pt>
              </c:strCache>
            </c:strRef>
          </c:tx>
          <c:marker>
            <c:symbol val="none"/>
          </c:marker>
          <c:cat>
            <c:strRef>
              <c:f>'Нормативное соответствие'!$C$42:$C$46</c:f>
              <c:strCache>
                <c:ptCount val="5"/>
                <c:pt idx="0">
                  <c:v>ПР</c:v>
                </c:pt>
                <c:pt idx="1">
                  <c:v>КИИ</c:v>
                </c:pt>
                <c:pt idx="2">
                  <c:v>КТ</c:v>
                </c:pt>
                <c:pt idx="3">
                  <c:v>СКЗИ</c:v>
                </c:pt>
                <c:pt idx="4">
                  <c:v>250</c:v>
                </c:pt>
              </c:strCache>
            </c:strRef>
          </c:cat>
          <c:val>
            <c:numRef>
              <c:f>'Нормативное соответствие'!$J$42:$J$46</c:f>
            </c:numRef>
          </c:val>
          <c:extLst>
            <c:ext xmlns:c16="http://schemas.microsoft.com/office/drawing/2014/chart" uri="{C3380CC4-5D6E-409C-BE32-E72D297353CC}">
              <c16:uniqueId val="{00000006-3580-49E6-A1D1-FB3528EAA008}"/>
            </c:ext>
          </c:extLst>
        </c:ser>
        <c:ser>
          <c:idx val="8"/>
          <c:order val="7"/>
          <c:tx>
            <c:strRef>
              <c:f>'Нормативное соответствие'!$K$41</c:f>
              <c:strCache>
                <c:ptCount val="1"/>
                <c:pt idx="0">
                  <c:v>Расчетный показатель 2025</c:v>
                </c:pt>
              </c:strCache>
            </c:strRef>
          </c:tx>
          <c:marker>
            <c:symbol val="none"/>
          </c:marker>
          <c:cat>
            <c:strRef>
              <c:f>'Нормативное соответствие'!$C$42:$C$46</c:f>
              <c:strCache>
                <c:ptCount val="5"/>
                <c:pt idx="0">
                  <c:v>ПР</c:v>
                </c:pt>
                <c:pt idx="1">
                  <c:v>КИИ</c:v>
                </c:pt>
                <c:pt idx="2">
                  <c:v>КТ</c:v>
                </c:pt>
                <c:pt idx="3">
                  <c:v>СКЗИ</c:v>
                </c:pt>
                <c:pt idx="4">
                  <c:v>250</c:v>
                </c:pt>
              </c:strCache>
            </c:strRef>
          </c:cat>
          <c:val>
            <c:numRef>
              <c:f>'Нормативное соответствие'!$K$42:$K$46</c:f>
              <c:numCache>
                <c:formatCode>0.00</c:formatCode>
                <c:ptCount val="5"/>
                <c:pt idx="0">
                  <c:v>5</c:v>
                </c:pt>
                <c:pt idx="1">
                  <c:v>5</c:v>
                </c:pt>
                <c:pt idx="2">
                  <c:v>5</c:v>
                </c:pt>
                <c:pt idx="3">
                  <c:v>5</c:v>
                </c:pt>
                <c:pt idx="4">
                  <c:v>5</c:v>
                </c:pt>
              </c:numCache>
            </c:numRef>
          </c:val>
          <c:extLst>
            <c:ext xmlns:c16="http://schemas.microsoft.com/office/drawing/2014/chart" uri="{C3380CC4-5D6E-409C-BE32-E72D297353CC}">
              <c16:uniqueId val="{00000007-3580-49E6-A1D1-FB3528EAA008}"/>
            </c:ext>
          </c:extLst>
        </c:ser>
        <c:ser>
          <c:idx val="9"/>
          <c:order val="8"/>
          <c:tx>
            <c:strRef>
              <c:f>'Нормативное соответствие'!$L$41</c:f>
              <c:strCache>
                <c:ptCount val="1"/>
                <c:pt idx="0">
                  <c:v>Текущий показатель</c:v>
                </c:pt>
              </c:strCache>
            </c:strRef>
          </c:tx>
          <c:marker>
            <c:symbol val="none"/>
          </c:marker>
          <c:cat>
            <c:strRef>
              <c:f>'Нормативное соответствие'!$C$42:$C$46</c:f>
              <c:strCache>
                <c:ptCount val="5"/>
                <c:pt idx="0">
                  <c:v>ПР</c:v>
                </c:pt>
                <c:pt idx="1">
                  <c:v>КИИ</c:v>
                </c:pt>
                <c:pt idx="2">
                  <c:v>КТ</c:v>
                </c:pt>
                <c:pt idx="3">
                  <c:v>СКЗИ</c:v>
                </c:pt>
                <c:pt idx="4">
                  <c:v>250</c:v>
                </c:pt>
              </c:strCache>
            </c:strRef>
          </c:cat>
          <c:val>
            <c:numRef>
              <c:f>'Нормативное соответствие'!$L$42:$L$46</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8-3580-49E6-A1D1-FB3528EAA008}"/>
            </c:ext>
          </c:extLst>
        </c:ser>
        <c:dLbls>
          <c:showLegendKey val="0"/>
          <c:showVal val="0"/>
          <c:showCatName val="0"/>
          <c:showSerName val="0"/>
          <c:showPercent val="0"/>
          <c:showBubbleSize val="0"/>
        </c:dLbls>
        <c:axId val="1026912850"/>
        <c:axId val="1724609096"/>
      </c:radarChart>
      <c:catAx>
        <c:axId val="1026912850"/>
        <c:scaling>
          <c:orientation val="minMax"/>
        </c:scaling>
        <c:delete val="0"/>
        <c:axPos val="b"/>
        <c:majorGridlines/>
        <c:numFmt formatCode="General" sourceLinked="1"/>
        <c:majorTickMark val="cross"/>
        <c:minorTickMark val="cross"/>
        <c:tickLblPos val="nextTo"/>
        <c:spPr>
          <a:prstGeom prst="rect">
            <a:avLst/>
          </a:prstGeom>
          <a:noFill/>
          <a:ln w="6350" cap="flat" cmpd="sng" algn="ctr">
            <a:solidFill>
              <a:schemeClr val="tx1"/>
            </a:solidFill>
            <a:prstDash val="solid"/>
            <a:round/>
          </a:ln>
        </c:spPr>
        <c:txPr>
          <a:bodyPr rot="120000" spcFirstLastPara="1" vertOverflow="ellipsis" wrap="square" anchor="ctr" anchorCtr="1"/>
          <a:lstStyle/>
          <a:p>
            <a:pPr lvl="0">
              <a:defRPr sz="900" b="0" i="0" u="none" strike="noStrike">
                <a:solidFill>
                  <a:srgbClr val="595959"/>
                </a:solidFill>
                <a:latin typeface="+mn-lt"/>
                <a:ea typeface="+mn-ea"/>
                <a:cs typeface="+mn-cs"/>
              </a:defRPr>
            </a:pPr>
            <a:endParaRPr lang="ru-RU"/>
          </a:p>
        </c:txPr>
        <c:crossAx val="1724609096"/>
        <c:crosses val="autoZero"/>
        <c:auto val="1"/>
        <c:lblAlgn val="ctr"/>
        <c:lblOffset val="100"/>
        <c:noMultiLvlLbl val="1"/>
      </c:catAx>
      <c:valAx>
        <c:axId val="1724609096"/>
        <c:scaling>
          <c:orientation val="minMax"/>
        </c:scaling>
        <c:delete val="0"/>
        <c:axPos val="l"/>
        <c:majorGridlines>
          <c:spPr>
            <a:prstGeom prst="rect">
              <a:avLst/>
            </a:prstGeom>
            <a:ln w="6350" cap="flat" cmpd="sng" algn="ctr">
              <a:solidFill>
                <a:srgbClr val="D9D9D9"/>
              </a:solidFill>
              <a:prstDash val="solid"/>
              <a:round/>
            </a:ln>
          </c:spPr>
        </c:majorGridlines>
        <c:numFmt formatCode="0.00" sourceLinked="1"/>
        <c:majorTickMark val="cross"/>
        <c:minorTickMark val="cross"/>
        <c:tickLblPos val="nextTo"/>
        <c:spPr>
          <a:prstGeom prst="rect">
            <a:avLst/>
          </a:prstGeom>
          <a:solidFill>
            <a:srgbClr val="AADB1E"/>
          </a:solidFill>
          <a:ln w="47625" cap="flat" cmpd="sng" algn="ctr">
            <a:noFill/>
            <a:prstDash val="solid"/>
            <a:round/>
          </a:ln>
        </c:spPr>
        <c:txPr>
          <a:bodyPr rot="-60000000" spcFirstLastPara="1" vertOverflow="ellipsis" vert="horz" wrap="square" anchor="ctr" anchorCtr="1"/>
          <a:lstStyle/>
          <a:p>
            <a:pPr lvl="0">
              <a:defRPr sz="900" b="0" i="0" u="none" strike="noStrike">
                <a:solidFill>
                  <a:srgbClr val="595959"/>
                </a:solidFill>
                <a:latin typeface="+mn-lt"/>
                <a:ea typeface="+mn-ea"/>
                <a:cs typeface="+mn-cs"/>
              </a:defRPr>
            </a:pPr>
            <a:endParaRPr lang="ru-RU"/>
          </a:p>
        </c:txPr>
        <c:crossAx val="1026912850"/>
        <c:crosses val="autoZero"/>
        <c:crossBetween val="between"/>
      </c:valAx>
      <c:spPr>
        <a:prstGeom prst="rect">
          <a:avLst/>
        </a:prstGeom>
        <a:solidFill>
          <a:srgbClr val="FFFFFF"/>
        </a:solidFill>
        <a:ln>
          <a:noFill/>
        </a:ln>
      </c:spPr>
    </c:plotArea>
    <c:legend>
      <c:legendPos val="r"/>
      <c:overlay val="0"/>
      <c:txPr>
        <a:bodyPr/>
        <a:lstStyle/>
        <a:p>
          <a:pPr rtl="0">
            <a:defRPr/>
          </a:pPr>
          <a:endParaRPr lang="ru-RU"/>
        </a:p>
      </c:txPr>
    </c:legend>
    <c:plotVisOnly val="1"/>
    <c:dispBlanksAs val="zero"/>
    <c:showDLblsOverMax val="1"/>
  </c:chart>
  <c:spPr>
    <a:xfrm>
      <a:off x="0" y="0"/>
      <a:ext cx="0" cy="0"/>
    </a:xfrm>
    <a:prstGeom prst="rect">
      <a:avLst/>
    </a:prstGeom>
    <a:solidFill>
      <a:srgbClr val="FFFFFF"/>
    </a:solidFill>
    <a:ln w="6350" cap="flat" cmpd="sng" algn="ctr">
      <a:solidFill>
        <a:schemeClr val="tx1">
          <a:tint val="75000"/>
        </a:schemeClr>
      </a:solidFill>
      <a:prstDash val="solid"/>
      <a:round/>
    </a:ln>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346"/>
          <c:y val="5.5148999999999997E-2"/>
          <c:w val="0.56506500000000004"/>
          <c:h val="0.88379600000000003"/>
        </c:manualLayout>
      </c:layout>
      <c:radarChart>
        <c:radarStyle val="marker"/>
        <c:varyColors val="1"/>
        <c:ser>
          <c:idx val="0"/>
          <c:order val="0"/>
          <c:tx>
            <c:strRef>
              <c:f>'250'!$D$41</c:f>
              <c:strCache>
                <c:ptCount val="1"/>
                <c:pt idx="0">
                  <c:v>КБ3</c:v>
                </c:pt>
              </c:strCache>
            </c:strRef>
          </c:tx>
          <c:spPr>
            <a:prstGeom prst="rect">
              <a:avLst/>
            </a:prstGeom>
            <a:ln w="19050" cap="rnd" cmpd="sng" algn="ctr">
              <a:solidFill>
                <a:srgbClr val="AADB1E"/>
              </a:solidFill>
              <a:prstDash val="solid"/>
              <a:round/>
            </a:ln>
          </c:spPr>
          <c:marker>
            <c:symbol val="none"/>
          </c:marker>
          <c:cat>
            <c:strRef>
              <c:f>'250'!$C$50:$C$80</c:f>
              <c:strCache>
                <c:ptCount val="31"/>
                <c:pt idx="0">
                  <c:v>ОУ</c:v>
                </c:pt>
                <c:pt idx="2">
                  <c:v>СУИБ.УР.10</c:v>
                </c:pt>
                <c:pt idx="3">
                  <c:v>НС.250.ОУ.2</c:v>
                </c:pt>
                <c:pt idx="4">
                  <c:v>НС.250.ОУ.3</c:v>
                </c:pt>
                <c:pt idx="5">
                  <c:v>НС.250.ОУ.4</c:v>
                </c:pt>
                <c:pt idx="6">
                  <c:v>НС.250.ОУ.5</c:v>
                </c:pt>
                <c:pt idx="7">
                  <c:v>НС.250.ОУ.6</c:v>
                </c:pt>
                <c:pt idx="8">
                  <c:v>НС.250.ОУ.7</c:v>
                </c:pt>
                <c:pt idx="9">
                  <c:v>НС.250.ОУ.8</c:v>
                </c:pt>
                <c:pt idx="10">
                  <c:v>ПДР</c:v>
                </c:pt>
                <c:pt idx="11">
                  <c:v>СУИБ.УР.11</c:v>
                </c:pt>
                <c:pt idx="12">
                  <c:v>НС.250.ПДР.2</c:v>
                </c:pt>
                <c:pt idx="13">
                  <c:v>НС.250.ПДР.3</c:v>
                </c:pt>
                <c:pt idx="14">
                  <c:v>ПДРД</c:v>
                </c:pt>
                <c:pt idx="15">
                  <c:v>НС.250.ПДРД.1</c:v>
                </c:pt>
                <c:pt idx="16">
                  <c:v>НС.250.ПДРД.2</c:v>
                </c:pt>
                <c:pt idx="17">
                  <c:v>НС.250.ПДРД.3</c:v>
                </c:pt>
                <c:pt idx="18">
                  <c:v>НС.250.ПДРД.4</c:v>
                </c:pt>
                <c:pt idx="19">
                  <c:v>СЗИ</c:v>
                </c:pt>
                <c:pt idx="20">
                  <c:v>НС.250.СЗИ.1</c:v>
                </c:pt>
                <c:pt idx="21">
                  <c:v>НС.250.СЗИ.2</c:v>
                </c:pt>
                <c:pt idx="22">
                  <c:v>НС.250.СЗИ.3</c:v>
                </c:pt>
                <c:pt idx="23">
                  <c:v>НС.250.СЗИ.4</c:v>
                </c:pt>
                <c:pt idx="24">
                  <c:v>НС.250.СЗИ.5</c:v>
                </c:pt>
                <c:pt idx="25">
                  <c:v>СОПКА</c:v>
                </c:pt>
                <c:pt idx="26">
                  <c:v>НС.250.СОПКА.1</c:v>
                </c:pt>
                <c:pt idx="27">
                  <c:v>НС.250.СОПКА.2</c:v>
                </c:pt>
                <c:pt idx="28">
                  <c:v>НС.250.СОПКА.3</c:v>
                </c:pt>
                <c:pt idx="29">
                  <c:v>НС.250.СОПКА.4</c:v>
                </c:pt>
                <c:pt idx="30">
                  <c:v>НС.250.СОПКА.5</c:v>
                </c:pt>
              </c:strCache>
            </c:strRef>
          </c:cat>
          <c:val>
            <c:numRef>
              <c:f>'250'!$D$50:$D$80</c:f>
              <c:numCache>
                <c:formatCode>General</c:formatCode>
                <c:ptCount val="31"/>
                <c:pt idx="2">
                  <c:v>5</c:v>
                </c:pt>
                <c:pt idx="3">
                  <c:v>5</c:v>
                </c:pt>
                <c:pt idx="4">
                  <c:v>5</c:v>
                </c:pt>
                <c:pt idx="5">
                  <c:v>5</c:v>
                </c:pt>
                <c:pt idx="6">
                  <c:v>5</c:v>
                </c:pt>
                <c:pt idx="7">
                  <c:v>5</c:v>
                </c:pt>
                <c:pt idx="8">
                  <c:v>5</c:v>
                </c:pt>
                <c:pt idx="9">
                  <c:v>5</c:v>
                </c:pt>
                <c:pt idx="11">
                  <c:v>5</c:v>
                </c:pt>
                <c:pt idx="12">
                  <c:v>5</c:v>
                </c:pt>
                <c:pt idx="13">
                  <c:v>5</c:v>
                </c:pt>
                <c:pt idx="15">
                  <c:v>5</c:v>
                </c:pt>
                <c:pt idx="16">
                  <c:v>5</c:v>
                </c:pt>
                <c:pt idx="17">
                  <c:v>5</c:v>
                </c:pt>
                <c:pt idx="18">
                  <c:v>5</c:v>
                </c:pt>
                <c:pt idx="20">
                  <c:v>5</c:v>
                </c:pt>
                <c:pt idx="21">
                  <c:v>5</c:v>
                </c:pt>
                <c:pt idx="22">
                  <c:v>5</c:v>
                </c:pt>
                <c:pt idx="23">
                  <c:v>5</c:v>
                </c:pt>
                <c:pt idx="24">
                  <c:v>5</c:v>
                </c:pt>
                <c:pt idx="26">
                  <c:v>5</c:v>
                </c:pt>
                <c:pt idx="27">
                  <c:v>5</c:v>
                </c:pt>
                <c:pt idx="28">
                  <c:v>5</c:v>
                </c:pt>
                <c:pt idx="29">
                  <c:v>5</c:v>
                </c:pt>
                <c:pt idx="30">
                  <c:v>5</c:v>
                </c:pt>
              </c:numCache>
            </c:numRef>
          </c:val>
          <c:extLst>
            <c:ext xmlns:c16="http://schemas.microsoft.com/office/drawing/2014/chart" uri="{C3380CC4-5D6E-409C-BE32-E72D297353CC}">
              <c16:uniqueId val="{00000000-B7C4-4880-8460-E56166C3D58F}"/>
            </c:ext>
          </c:extLst>
        </c:ser>
        <c:ser>
          <c:idx val="1"/>
          <c:order val="1"/>
          <c:tx>
            <c:strRef>
              <c:f>'Нормативное соответствие'!$H$41</c:f>
              <c:strCache>
                <c:ptCount val="1"/>
                <c:pt idx="0">
                  <c:v>Исторические данные</c:v>
                </c:pt>
              </c:strCache>
            </c:strRef>
          </c:tx>
          <c:spPr>
            <a:prstGeom prst="rect">
              <a:avLst/>
            </a:prstGeom>
            <a:ln w="19050" cap="rnd" cmpd="sng" algn="ctr">
              <a:solidFill>
                <a:schemeClr val="accent2"/>
              </a:solidFill>
              <a:prstDash val="solid"/>
              <a:round/>
            </a:ln>
          </c:spPr>
          <c:marker>
            <c:symbol val="none"/>
          </c:marker>
          <c:cat>
            <c:strRef>
              <c:f>'250'!$C$50:$C$80</c:f>
              <c:strCache>
                <c:ptCount val="31"/>
                <c:pt idx="0">
                  <c:v>ОУ</c:v>
                </c:pt>
                <c:pt idx="2">
                  <c:v>СУИБ.УР.10</c:v>
                </c:pt>
                <c:pt idx="3">
                  <c:v>НС.250.ОУ.2</c:v>
                </c:pt>
                <c:pt idx="4">
                  <c:v>НС.250.ОУ.3</c:v>
                </c:pt>
                <c:pt idx="5">
                  <c:v>НС.250.ОУ.4</c:v>
                </c:pt>
                <c:pt idx="6">
                  <c:v>НС.250.ОУ.5</c:v>
                </c:pt>
                <c:pt idx="7">
                  <c:v>НС.250.ОУ.6</c:v>
                </c:pt>
                <c:pt idx="8">
                  <c:v>НС.250.ОУ.7</c:v>
                </c:pt>
                <c:pt idx="9">
                  <c:v>НС.250.ОУ.8</c:v>
                </c:pt>
                <c:pt idx="10">
                  <c:v>ПДР</c:v>
                </c:pt>
                <c:pt idx="11">
                  <c:v>СУИБ.УР.11</c:v>
                </c:pt>
                <c:pt idx="12">
                  <c:v>НС.250.ПДР.2</c:v>
                </c:pt>
                <c:pt idx="13">
                  <c:v>НС.250.ПДР.3</c:v>
                </c:pt>
                <c:pt idx="14">
                  <c:v>ПДРД</c:v>
                </c:pt>
                <c:pt idx="15">
                  <c:v>НС.250.ПДРД.1</c:v>
                </c:pt>
                <c:pt idx="16">
                  <c:v>НС.250.ПДРД.2</c:v>
                </c:pt>
                <c:pt idx="17">
                  <c:v>НС.250.ПДРД.3</c:v>
                </c:pt>
                <c:pt idx="18">
                  <c:v>НС.250.ПДРД.4</c:v>
                </c:pt>
                <c:pt idx="19">
                  <c:v>СЗИ</c:v>
                </c:pt>
                <c:pt idx="20">
                  <c:v>НС.250.СЗИ.1</c:v>
                </c:pt>
                <c:pt idx="21">
                  <c:v>НС.250.СЗИ.2</c:v>
                </c:pt>
                <c:pt idx="22">
                  <c:v>НС.250.СЗИ.3</c:v>
                </c:pt>
                <c:pt idx="23">
                  <c:v>НС.250.СЗИ.4</c:v>
                </c:pt>
                <c:pt idx="24">
                  <c:v>НС.250.СЗИ.5</c:v>
                </c:pt>
                <c:pt idx="25">
                  <c:v>СОПКА</c:v>
                </c:pt>
                <c:pt idx="26">
                  <c:v>НС.250.СОПКА.1</c:v>
                </c:pt>
                <c:pt idx="27">
                  <c:v>НС.250.СОПКА.2</c:v>
                </c:pt>
                <c:pt idx="28">
                  <c:v>НС.250.СОПКА.3</c:v>
                </c:pt>
                <c:pt idx="29">
                  <c:v>НС.250.СОПКА.4</c:v>
                </c:pt>
                <c:pt idx="30">
                  <c:v>НС.250.СОПКА.5</c:v>
                </c:pt>
              </c:strCache>
            </c:strRef>
          </c:cat>
          <c:val>
            <c:numRef>
              <c:f>'250'!$L$52:$L$80</c:f>
              <c:numCache>
                <c:formatCode>General</c:formatCode>
                <c:ptCount val="29"/>
                <c:pt idx="0">
                  <c:v>0</c:v>
                </c:pt>
                <c:pt idx="1">
                  <c:v>0</c:v>
                </c:pt>
                <c:pt idx="2">
                  <c:v>0</c:v>
                </c:pt>
                <c:pt idx="3">
                  <c:v>0</c:v>
                </c:pt>
                <c:pt idx="4">
                  <c:v>0</c:v>
                </c:pt>
                <c:pt idx="5">
                  <c:v>0</c:v>
                </c:pt>
                <c:pt idx="6">
                  <c:v>0</c:v>
                </c:pt>
                <c:pt idx="7">
                  <c:v>0</c:v>
                </c:pt>
                <c:pt idx="9">
                  <c:v>0</c:v>
                </c:pt>
                <c:pt idx="10">
                  <c:v>0</c:v>
                </c:pt>
                <c:pt idx="11">
                  <c:v>0</c:v>
                </c:pt>
                <c:pt idx="13">
                  <c:v>0</c:v>
                </c:pt>
                <c:pt idx="14">
                  <c:v>0</c:v>
                </c:pt>
                <c:pt idx="15">
                  <c:v>0</c:v>
                </c:pt>
                <c:pt idx="16">
                  <c:v>0</c:v>
                </c:pt>
                <c:pt idx="18">
                  <c:v>0</c:v>
                </c:pt>
                <c:pt idx="19">
                  <c:v>0</c:v>
                </c:pt>
                <c:pt idx="20">
                  <c:v>0</c:v>
                </c:pt>
                <c:pt idx="21">
                  <c:v>0</c:v>
                </c:pt>
                <c:pt idx="22">
                  <c:v>0</c:v>
                </c:pt>
                <c:pt idx="24">
                  <c:v>0</c:v>
                </c:pt>
                <c:pt idx="25">
                  <c:v>0</c:v>
                </c:pt>
                <c:pt idx="26">
                  <c:v>0</c:v>
                </c:pt>
                <c:pt idx="27">
                  <c:v>0</c:v>
                </c:pt>
                <c:pt idx="28">
                  <c:v>0</c:v>
                </c:pt>
              </c:numCache>
            </c:numRef>
          </c:val>
          <c:extLst>
            <c:ext xmlns:c16="http://schemas.microsoft.com/office/drawing/2014/chart" uri="{C3380CC4-5D6E-409C-BE32-E72D297353CC}">
              <c16:uniqueId val="{00000001-B7C4-4880-8460-E56166C3D58F}"/>
            </c:ext>
          </c:extLst>
        </c:ser>
        <c:ser>
          <c:idx val="2"/>
          <c:order val="2"/>
          <c:tx>
            <c:strRef>
              <c:f>'250'!$E$41</c:f>
              <c:strCache>
                <c:ptCount val="1"/>
                <c:pt idx="0">
                  <c:v>КБ2</c:v>
                </c:pt>
              </c:strCache>
            </c:strRef>
          </c:tx>
          <c:spPr>
            <a:prstGeom prst="rect">
              <a:avLst/>
            </a:prstGeom>
            <a:ln w="19050" cap="rnd" cmpd="sng" algn="ctr">
              <a:solidFill>
                <a:schemeClr val="accent3"/>
              </a:solidFill>
              <a:prstDash val="solid"/>
              <a:round/>
            </a:ln>
          </c:spPr>
          <c:marker>
            <c:symbol val="none"/>
          </c:marker>
          <c:val>
            <c:numRef>
              <c:f>'250'!$E$50:$E$80</c:f>
              <c:numCache>
                <c:formatCode>General</c:formatCode>
                <c:ptCount val="31"/>
                <c:pt idx="2">
                  <c:v>5</c:v>
                </c:pt>
                <c:pt idx="3">
                  <c:v>5</c:v>
                </c:pt>
                <c:pt idx="4">
                  <c:v>5</c:v>
                </c:pt>
                <c:pt idx="5">
                  <c:v>5</c:v>
                </c:pt>
                <c:pt idx="6">
                  <c:v>5</c:v>
                </c:pt>
                <c:pt idx="7">
                  <c:v>5</c:v>
                </c:pt>
                <c:pt idx="8">
                  <c:v>5</c:v>
                </c:pt>
                <c:pt idx="9">
                  <c:v>5</c:v>
                </c:pt>
                <c:pt idx="11">
                  <c:v>5</c:v>
                </c:pt>
                <c:pt idx="12">
                  <c:v>5</c:v>
                </c:pt>
                <c:pt idx="13">
                  <c:v>5</c:v>
                </c:pt>
                <c:pt idx="15">
                  <c:v>5</c:v>
                </c:pt>
                <c:pt idx="16">
                  <c:v>5</c:v>
                </c:pt>
                <c:pt idx="17">
                  <c:v>5</c:v>
                </c:pt>
                <c:pt idx="18">
                  <c:v>5</c:v>
                </c:pt>
                <c:pt idx="20">
                  <c:v>5</c:v>
                </c:pt>
                <c:pt idx="21">
                  <c:v>5</c:v>
                </c:pt>
                <c:pt idx="22">
                  <c:v>5</c:v>
                </c:pt>
                <c:pt idx="23">
                  <c:v>5</c:v>
                </c:pt>
                <c:pt idx="24">
                  <c:v>5</c:v>
                </c:pt>
                <c:pt idx="26">
                  <c:v>5</c:v>
                </c:pt>
                <c:pt idx="27">
                  <c:v>5</c:v>
                </c:pt>
                <c:pt idx="28">
                  <c:v>5</c:v>
                </c:pt>
                <c:pt idx="29">
                  <c:v>5</c:v>
                </c:pt>
                <c:pt idx="30">
                  <c:v>5</c:v>
                </c:pt>
              </c:numCache>
            </c:numRef>
          </c:val>
          <c:extLst>
            <c:ext xmlns:c16="http://schemas.microsoft.com/office/drawing/2014/chart" uri="{C3380CC4-5D6E-409C-BE32-E72D297353CC}">
              <c16:uniqueId val="{00000002-B7C4-4880-8460-E56166C3D58F}"/>
            </c:ext>
          </c:extLst>
        </c:ser>
        <c:ser>
          <c:idx val="3"/>
          <c:order val="3"/>
          <c:tx>
            <c:strRef>
              <c:f>'250'!$F$41</c:f>
              <c:strCache>
                <c:ptCount val="1"/>
                <c:pt idx="0">
                  <c:v>КБ1</c:v>
                </c:pt>
              </c:strCache>
            </c:strRef>
          </c:tx>
          <c:spPr>
            <a:prstGeom prst="rect">
              <a:avLst/>
            </a:prstGeom>
            <a:ln w="19050" cap="rnd" cmpd="sng" algn="ctr">
              <a:solidFill>
                <a:schemeClr val="accent4"/>
              </a:solidFill>
              <a:prstDash val="solid"/>
              <a:round/>
            </a:ln>
          </c:spPr>
          <c:marker>
            <c:symbol val="none"/>
          </c:marker>
          <c:val>
            <c:numRef>
              <c:f>'250'!$F$50:$F$80</c:f>
              <c:numCache>
                <c:formatCode>General</c:formatCode>
                <c:ptCount val="31"/>
                <c:pt idx="2">
                  <c:v>5</c:v>
                </c:pt>
                <c:pt idx="3">
                  <c:v>5</c:v>
                </c:pt>
                <c:pt idx="4">
                  <c:v>5</c:v>
                </c:pt>
                <c:pt idx="5">
                  <c:v>5</c:v>
                </c:pt>
                <c:pt idx="6">
                  <c:v>5</c:v>
                </c:pt>
                <c:pt idx="7">
                  <c:v>5</c:v>
                </c:pt>
                <c:pt idx="8">
                  <c:v>5</c:v>
                </c:pt>
                <c:pt idx="9">
                  <c:v>5</c:v>
                </c:pt>
                <c:pt idx="11">
                  <c:v>5</c:v>
                </c:pt>
                <c:pt idx="12">
                  <c:v>5</c:v>
                </c:pt>
                <c:pt idx="13">
                  <c:v>5</c:v>
                </c:pt>
                <c:pt idx="15">
                  <c:v>5</c:v>
                </c:pt>
                <c:pt idx="16">
                  <c:v>5</c:v>
                </c:pt>
                <c:pt idx="17">
                  <c:v>5</c:v>
                </c:pt>
                <c:pt idx="18">
                  <c:v>5</c:v>
                </c:pt>
                <c:pt idx="20">
                  <c:v>5</c:v>
                </c:pt>
                <c:pt idx="21">
                  <c:v>5</c:v>
                </c:pt>
                <c:pt idx="22">
                  <c:v>5</c:v>
                </c:pt>
                <c:pt idx="23">
                  <c:v>5</c:v>
                </c:pt>
                <c:pt idx="24">
                  <c:v>5</c:v>
                </c:pt>
                <c:pt idx="26">
                  <c:v>5</c:v>
                </c:pt>
                <c:pt idx="27">
                  <c:v>5</c:v>
                </c:pt>
                <c:pt idx="28">
                  <c:v>5</c:v>
                </c:pt>
                <c:pt idx="29">
                  <c:v>5</c:v>
                </c:pt>
                <c:pt idx="30">
                  <c:v>5</c:v>
                </c:pt>
              </c:numCache>
            </c:numRef>
          </c:val>
          <c:extLst>
            <c:ext xmlns:c16="http://schemas.microsoft.com/office/drawing/2014/chart" uri="{C3380CC4-5D6E-409C-BE32-E72D297353CC}">
              <c16:uniqueId val="{00000003-B7C4-4880-8460-E56166C3D58F}"/>
            </c:ext>
          </c:extLst>
        </c:ser>
        <c:dLbls>
          <c:showLegendKey val="0"/>
          <c:showVal val="0"/>
          <c:showCatName val="0"/>
          <c:showSerName val="0"/>
          <c:showPercent val="0"/>
          <c:showBubbleSize val="0"/>
        </c:dLbls>
        <c:axId val="1026912850"/>
        <c:axId val="1724609096"/>
      </c:radarChart>
      <c:catAx>
        <c:axId val="1026912850"/>
        <c:scaling>
          <c:orientation val="minMax"/>
        </c:scaling>
        <c:delete val="0"/>
        <c:axPos val="b"/>
        <c:majorGridlines/>
        <c:numFmt formatCode="General" sourceLinked="1"/>
        <c:majorTickMark val="cross"/>
        <c:minorTickMark val="cross"/>
        <c:tickLblPos val="nextTo"/>
        <c:spPr>
          <a:prstGeom prst="rect">
            <a:avLst/>
          </a:prstGeom>
          <a:noFill/>
          <a:ln w="6350" cap="flat" cmpd="sng" algn="ctr">
            <a:solidFill>
              <a:schemeClr val="tx1"/>
            </a:solidFill>
            <a:prstDash val="solid"/>
            <a:round/>
          </a:ln>
        </c:spPr>
        <c:txPr>
          <a:bodyPr rot="120000" spcFirstLastPara="1" vertOverflow="ellipsis" wrap="square" anchor="ctr" anchorCtr="1"/>
          <a:lstStyle/>
          <a:p>
            <a:pPr lvl="0">
              <a:defRPr sz="900" b="0" i="0" u="none" strike="noStrike">
                <a:solidFill>
                  <a:srgbClr val="595959"/>
                </a:solidFill>
                <a:latin typeface="+mn-lt"/>
                <a:ea typeface="+mn-ea"/>
                <a:cs typeface="+mn-cs"/>
              </a:defRPr>
            </a:pPr>
            <a:endParaRPr lang="ru-RU"/>
          </a:p>
        </c:txPr>
        <c:crossAx val="1724609096"/>
        <c:crosses val="autoZero"/>
        <c:auto val="1"/>
        <c:lblAlgn val="ctr"/>
        <c:lblOffset val="100"/>
        <c:noMultiLvlLbl val="1"/>
      </c:catAx>
      <c:valAx>
        <c:axId val="1724609096"/>
        <c:scaling>
          <c:orientation val="minMax"/>
        </c:scaling>
        <c:delete val="0"/>
        <c:axPos val="l"/>
        <c:majorGridlines>
          <c:spPr>
            <a:prstGeom prst="rect">
              <a:avLst/>
            </a:prstGeom>
            <a:ln w="6350" cap="flat" cmpd="sng" algn="ctr">
              <a:solidFill>
                <a:srgbClr val="D9D9D9"/>
              </a:solidFill>
              <a:prstDash val="solid"/>
              <a:round/>
            </a:ln>
          </c:spPr>
        </c:majorGridlines>
        <c:numFmt formatCode="General" sourceLinked="1"/>
        <c:majorTickMark val="cross"/>
        <c:minorTickMark val="cross"/>
        <c:tickLblPos val="nextTo"/>
        <c:spPr>
          <a:prstGeom prst="rect">
            <a:avLst/>
          </a:prstGeom>
          <a:noFill/>
          <a:ln w="47625" cap="flat" cmpd="sng" algn="ctr">
            <a:noFill/>
            <a:prstDash val="solid"/>
            <a:round/>
          </a:ln>
        </c:spPr>
        <c:txPr>
          <a:bodyPr rot="-60000000" spcFirstLastPara="1" vertOverflow="ellipsis" vert="horz" wrap="square" anchor="ctr" anchorCtr="1"/>
          <a:lstStyle/>
          <a:p>
            <a:pPr lvl="0">
              <a:defRPr sz="900" b="0" i="0" u="none" strike="noStrike">
                <a:solidFill>
                  <a:srgbClr val="595959"/>
                </a:solidFill>
                <a:latin typeface="+mn-lt"/>
                <a:ea typeface="+mn-ea"/>
                <a:cs typeface="+mn-cs"/>
              </a:defRPr>
            </a:pPr>
            <a:endParaRPr lang="ru-RU"/>
          </a:p>
        </c:txPr>
        <c:crossAx val="1026912850"/>
        <c:crosses val="autoZero"/>
        <c:crossBetween val="between"/>
      </c:valAx>
      <c:spPr>
        <a:prstGeom prst="rect">
          <a:avLst/>
        </a:prstGeom>
        <a:solidFill>
          <a:srgbClr val="FFFFFF"/>
        </a:solidFill>
        <a:ln>
          <a:noFill/>
        </a:ln>
      </c:spPr>
    </c:plotArea>
    <c:plotVisOnly val="1"/>
    <c:dispBlanksAs val="zero"/>
    <c:showDLblsOverMax val="1"/>
  </c:chart>
  <c:spPr>
    <a:xfrm>
      <a:off x="0" y="0"/>
      <a:ext cx="0" cy="0"/>
    </a:xfrm>
    <a:prstGeom prst="rect">
      <a:avLst/>
    </a:prstGeom>
    <a:solidFill>
      <a:srgbClr val="FFFFFF"/>
    </a:solidFill>
    <a:ln w="6350" cap="flat" cmpd="sng" algn="ctr">
      <a:solidFill>
        <a:schemeClr val="tx1">
          <a:tint val="75000"/>
        </a:schemeClr>
      </a:solidFill>
      <a:prstDash val="solid"/>
      <a:round/>
    </a:ln>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1"/>
        <c:ser>
          <c:idx val="1"/>
          <c:order val="0"/>
          <c:tx>
            <c:strRef>
              <c:f>СЗИ!$D$28</c:f>
              <c:strCache>
                <c:ptCount val="1"/>
                <c:pt idx="0">
                  <c:v>КБ3</c:v>
                </c:pt>
              </c:strCache>
            </c:strRef>
          </c:tx>
          <c:spPr>
            <a:prstGeom prst="rect">
              <a:avLst/>
            </a:prstGeom>
            <a:ln w="19050" cap="rnd" cmpd="sng" algn="ctr">
              <a:solidFill>
                <a:schemeClr val="accent2"/>
              </a:solidFill>
              <a:prstDash val="solid"/>
              <a:round/>
            </a:ln>
          </c:spPr>
          <c:marker>
            <c:symbol val="none"/>
          </c:marker>
          <c:cat>
            <c:strRef>
              <c:f>СЗИ!$C$29:$C$42</c:f>
              <c:strCache>
                <c:ptCount val="14"/>
                <c:pt idx="0">
                  <c:v>ВПО</c:v>
                </c:pt>
                <c:pt idx="1">
                  <c:v>2FA</c:v>
                </c:pt>
                <c:pt idx="2">
                  <c:v>CPT</c:v>
                </c:pt>
                <c:pt idx="3">
                  <c:v>RA VPN</c:v>
                </c:pt>
                <c:pt idx="4">
                  <c:v>СКЗИ</c:v>
                </c:pt>
                <c:pt idx="5">
                  <c:v>SIEM</c:v>
                </c:pt>
                <c:pt idx="6">
                  <c:v>NGFW</c:v>
                </c:pt>
                <c:pt idx="7">
                  <c:v>Proxy</c:v>
                </c:pt>
                <c:pt idx="8">
                  <c:v>АВЗ</c:v>
                </c:pt>
                <c:pt idx="9">
                  <c:v>DDoS</c:v>
                </c:pt>
                <c:pt idx="10">
                  <c:v>SPAM</c:v>
                </c:pt>
                <c:pt idx="11">
                  <c:v>WAF</c:v>
                </c:pt>
                <c:pt idx="12">
                  <c:v>PAM</c:v>
                </c:pt>
                <c:pt idx="13">
                  <c:v>DLP</c:v>
                </c:pt>
              </c:strCache>
            </c:strRef>
          </c:cat>
          <c:val>
            <c:numRef>
              <c:f>СЗИ!$D$29:$D$42</c:f>
              <c:numCache>
                <c:formatCode>0.00</c:formatCode>
                <c:ptCount val="14"/>
                <c:pt idx="0">
                  <c:v>4.59375</c:v>
                </c:pt>
                <c:pt idx="1">
                  <c:v>5</c:v>
                </c:pt>
                <c:pt idx="2">
                  <c:v>4.666666666666667</c:v>
                </c:pt>
                <c:pt idx="3">
                  <c:v>5</c:v>
                </c:pt>
                <c:pt idx="4">
                  <c:v>5</c:v>
                </c:pt>
                <c:pt idx="5">
                  <c:v>4.9038461538461542</c:v>
                </c:pt>
                <c:pt idx="6">
                  <c:v>5</c:v>
                </c:pt>
                <c:pt idx="7">
                  <c:v>5</c:v>
                </c:pt>
                <c:pt idx="8">
                  <c:v>4.666666666666667</c:v>
                </c:pt>
                <c:pt idx="9">
                  <c:v>5</c:v>
                </c:pt>
                <c:pt idx="10">
                  <c:v>5</c:v>
                </c:pt>
                <c:pt idx="11">
                  <c:v>5</c:v>
                </c:pt>
                <c:pt idx="12">
                  <c:v>5</c:v>
                </c:pt>
                <c:pt idx="13">
                  <c:v>4.8571428571428568</c:v>
                </c:pt>
              </c:numCache>
            </c:numRef>
          </c:val>
          <c:extLst>
            <c:ext xmlns:c16="http://schemas.microsoft.com/office/drawing/2014/chart" uri="{C3380CC4-5D6E-409C-BE32-E72D297353CC}">
              <c16:uniqueId val="{00000000-FB22-4D18-A81A-575DB3EF4CB0}"/>
            </c:ext>
          </c:extLst>
        </c:ser>
        <c:ser>
          <c:idx val="0"/>
          <c:order val="1"/>
          <c:tx>
            <c:strRef>
              <c:f>СЗИ!$E$28</c:f>
              <c:strCache>
                <c:ptCount val="1"/>
                <c:pt idx="0">
                  <c:v>КБ2</c:v>
                </c:pt>
              </c:strCache>
            </c:strRef>
          </c:tx>
          <c:spPr>
            <a:prstGeom prst="rect">
              <a:avLst/>
            </a:prstGeom>
            <a:ln w="19050" cap="rnd" cmpd="sng" algn="ctr">
              <a:solidFill>
                <a:schemeClr val="accent1"/>
              </a:solidFill>
              <a:prstDash val="solid"/>
              <a:round/>
            </a:ln>
          </c:spPr>
          <c:marker>
            <c:symbol val="none"/>
          </c:marker>
          <c:cat>
            <c:strRef>
              <c:f>СЗИ!$C$29:$C$42</c:f>
              <c:strCache>
                <c:ptCount val="14"/>
                <c:pt idx="0">
                  <c:v>ВПО</c:v>
                </c:pt>
                <c:pt idx="1">
                  <c:v>2FA</c:v>
                </c:pt>
                <c:pt idx="2">
                  <c:v>CPT</c:v>
                </c:pt>
                <c:pt idx="3">
                  <c:v>RA VPN</c:v>
                </c:pt>
                <c:pt idx="4">
                  <c:v>СКЗИ</c:v>
                </c:pt>
                <c:pt idx="5">
                  <c:v>SIEM</c:v>
                </c:pt>
                <c:pt idx="6">
                  <c:v>NGFW</c:v>
                </c:pt>
                <c:pt idx="7">
                  <c:v>Proxy</c:v>
                </c:pt>
                <c:pt idx="8">
                  <c:v>АВЗ</c:v>
                </c:pt>
                <c:pt idx="9">
                  <c:v>DDoS</c:v>
                </c:pt>
                <c:pt idx="10">
                  <c:v>SPAM</c:v>
                </c:pt>
                <c:pt idx="11">
                  <c:v>WAF</c:v>
                </c:pt>
                <c:pt idx="12">
                  <c:v>PAM</c:v>
                </c:pt>
                <c:pt idx="13">
                  <c:v>DLP</c:v>
                </c:pt>
              </c:strCache>
            </c:strRef>
          </c:cat>
          <c:val>
            <c:numRef>
              <c:f>СЗИ!$E$29:$E$42</c:f>
              <c:numCache>
                <c:formatCode>0.00</c:formatCode>
                <c:ptCount val="14"/>
                <c:pt idx="0">
                  <c:v>4.1875</c:v>
                </c:pt>
                <c:pt idx="1">
                  <c:v>5</c:v>
                </c:pt>
                <c:pt idx="2">
                  <c:v>4.333333333333333</c:v>
                </c:pt>
                <c:pt idx="3">
                  <c:v>5</c:v>
                </c:pt>
                <c:pt idx="4">
                  <c:v>5</c:v>
                </c:pt>
                <c:pt idx="5">
                  <c:v>3.523076923076923</c:v>
                </c:pt>
                <c:pt idx="6">
                  <c:v>4.0999999999999996</c:v>
                </c:pt>
                <c:pt idx="7">
                  <c:v>3.0250000000000004</c:v>
                </c:pt>
                <c:pt idx="8">
                  <c:v>3.7333333333333329</c:v>
                </c:pt>
                <c:pt idx="9">
                  <c:v>3.7999999999999994</c:v>
                </c:pt>
                <c:pt idx="10">
                  <c:v>5</c:v>
                </c:pt>
                <c:pt idx="11">
                  <c:v>0</c:v>
                </c:pt>
                <c:pt idx="12">
                  <c:v>0</c:v>
                </c:pt>
                <c:pt idx="13">
                  <c:v>0</c:v>
                </c:pt>
              </c:numCache>
            </c:numRef>
          </c:val>
          <c:extLst>
            <c:ext xmlns:c16="http://schemas.microsoft.com/office/drawing/2014/chart" uri="{C3380CC4-5D6E-409C-BE32-E72D297353CC}">
              <c16:uniqueId val="{00000001-FB22-4D18-A81A-575DB3EF4CB0}"/>
            </c:ext>
          </c:extLst>
        </c:ser>
        <c:ser>
          <c:idx val="2"/>
          <c:order val="2"/>
          <c:tx>
            <c:strRef>
              <c:f>СЗИ!$F$28</c:f>
              <c:strCache>
                <c:ptCount val="1"/>
                <c:pt idx="0">
                  <c:v>КБ1</c:v>
                </c:pt>
              </c:strCache>
            </c:strRef>
          </c:tx>
          <c:spPr>
            <a:prstGeom prst="rect">
              <a:avLst/>
            </a:prstGeom>
            <a:ln w="19050" cap="rnd" cmpd="sng" algn="ctr">
              <a:solidFill>
                <a:schemeClr val="accent3"/>
              </a:solidFill>
              <a:prstDash val="solid"/>
              <a:round/>
            </a:ln>
          </c:spPr>
          <c:marker>
            <c:symbol val="none"/>
          </c:marker>
          <c:cat>
            <c:strRef>
              <c:f>СЗИ!$C$29:$C$42</c:f>
              <c:strCache>
                <c:ptCount val="14"/>
                <c:pt idx="0">
                  <c:v>ВПО</c:v>
                </c:pt>
                <c:pt idx="1">
                  <c:v>2FA</c:v>
                </c:pt>
                <c:pt idx="2">
                  <c:v>CPT</c:v>
                </c:pt>
                <c:pt idx="3">
                  <c:v>RA VPN</c:v>
                </c:pt>
                <c:pt idx="4">
                  <c:v>СКЗИ</c:v>
                </c:pt>
                <c:pt idx="5">
                  <c:v>SIEM</c:v>
                </c:pt>
                <c:pt idx="6">
                  <c:v>NGFW</c:v>
                </c:pt>
                <c:pt idx="7">
                  <c:v>Proxy</c:v>
                </c:pt>
                <c:pt idx="8">
                  <c:v>АВЗ</c:v>
                </c:pt>
                <c:pt idx="9">
                  <c:v>DDoS</c:v>
                </c:pt>
                <c:pt idx="10">
                  <c:v>SPAM</c:v>
                </c:pt>
                <c:pt idx="11">
                  <c:v>WAF</c:v>
                </c:pt>
                <c:pt idx="12">
                  <c:v>PAM</c:v>
                </c:pt>
                <c:pt idx="13">
                  <c:v>DLP</c:v>
                </c:pt>
              </c:strCache>
            </c:strRef>
          </c:cat>
          <c:val>
            <c:numRef>
              <c:f>СЗИ!$F$29:$F$42</c:f>
              <c:numCache>
                <c:formatCode>0.00</c:formatCode>
                <c:ptCount val="14"/>
                <c:pt idx="0">
                  <c:v>3.0437499999999997</c:v>
                </c:pt>
                <c:pt idx="1">
                  <c:v>5</c:v>
                </c:pt>
                <c:pt idx="2">
                  <c:v>3.6666666666666665</c:v>
                </c:pt>
                <c:pt idx="3">
                  <c:v>4.55</c:v>
                </c:pt>
                <c:pt idx="4">
                  <c:v>4.3999999999999995</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2-FB22-4D18-A81A-575DB3EF4CB0}"/>
            </c:ext>
          </c:extLst>
        </c:ser>
        <c:ser>
          <c:idx val="3"/>
          <c:order val="3"/>
          <c:tx>
            <c:strRef>
              <c:f>СЗИ!$H$28</c:f>
              <c:strCache>
                <c:ptCount val="1"/>
                <c:pt idx="0">
                  <c:v>Исторические данные</c:v>
                </c:pt>
              </c:strCache>
            </c:strRef>
          </c:tx>
          <c:spPr>
            <a:prstGeom prst="rect">
              <a:avLst/>
            </a:prstGeom>
            <a:ln w="19050" cap="rnd" cmpd="sng" algn="ctr">
              <a:solidFill>
                <a:schemeClr val="accent4"/>
              </a:solidFill>
              <a:prstDash val="solid"/>
              <a:round/>
            </a:ln>
          </c:spPr>
          <c:marker>
            <c:symbol val="none"/>
          </c:marker>
          <c:cat>
            <c:strRef>
              <c:f>СЗИ!$C$29:$C$42</c:f>
              <c:strCache>
                <c:ptCount val="14"/>
                <c:pt idx="0">
                  <c:v>ВПО</c:v>
                </c:pt>
                <c:pt idx="1">
                  <c:v>2FA</c:v>
                </c:pt>
                <c:pt idx="2">
                  <c:v>CPT</c:v>
                </c:pt>
                <c:pt idx="3">
                  <c:v>RA VPN</c:v>
                </c:pt>
                <c:pt idx="4">
                  <c:v>СКЗИ</c:v>
                </c:pt>
                <c:pt idx="5">
                  <c:v>SIEM</c:v>
                </c:pt>
                <c:pt idx="6">
                  <c:v>NGFW</c:v>
                </c:pt>
                <c:pt idx="7">
                  <c:v>Proxy</c:v>
                </c:pt>
                <c:pt idx="8">
                  <c:v>АВЗ</c:v>
                </c:pt>
                <c:pt idx="9">
                  <c:v>DDoS</c:v>
                </c:pt>
                <c:pt idx="10">
                  <c:v>SPAM</c:v>
                </c:pt>
                <c:pt idx="11">
                  <c:v>WAF</c:v>
                </c:pt>
                <c:pt idx="12">
                  <c:v>PAM</c:v>
                </c:pt>
                <c:pt idx="13">
                  <c:v>DLP</c:v>
                </c:pt>
              </c:strCache>
            </c:strRef>
          </c:cat>
          <c:val>
            <c:numRef>
              <c:f>СЗИ!$H$29:$H$42</c:f>
            </c:numRef>
          </c:val>
          <c:extLst>
            <c:ext xmlns:c16="http://schemas.microsoft.com/office/drawing/2014/chart" uri="{C3380CC4-5D6E-409C-BE32-E72D297353CC}">
              <c16:uniqueId val="{00000003-FB22-4D18-A81A-575DB3EF4CB0}"/>
            </c:ext>
          </c:extLst>
        </c:ser>
        <c:ser>
          <c:idx val="4"/>
          <c:order val="4"/>
          <c:tx>
            <c:strRef>
              <c:f>СЗИ!$K$28</c:f>
              <c:strCache>
                <c:ptCount val="1"/>
                <c:pt idx="0">
                  <c:v>Расчетный показатель 2025</c:v>
                </c:pt>
              </c:strCache>
            </c:strRef>
          </c:tx>
          <c:marker>
            <c:symbol val="none"/>
          </c:marker>
          <c:cat>
            <c:strRef>
              <c:f>СЗИ!$C$29:$C$42</c:f>
              <c:strCache>
                <c:ptCount val="14"/>
                <c:pt idx="0">
                  <c:v>ВПО</c:v>
                </c:pt>
                <c:pt idx="1">
                  <c:v>2FA</c:v>
                </c:pt>
                <c:pt idx="2">
                  <c:v>CPT</c:v>
                </c:pt>
                <c:pt idx="3">
                  <c:v>RA VPN</c:v>
                </c:pt>
                <c:pt idx="4">
                  <c:v>СКЗИ</c:v>
                </c:pt>
                <c:pt idx="5">
                  <c:v>SIEM</c:v>
                </c:pt>
                <c:pt idx="6">
                  <c:v>NGFW</c:v>
                </c:pt>
                <c:pt idx="7">
                  <c:v>Proxy</c:v>
                </c:pt>
                <c:pt idx="8">
                  <c:v>АВЗ</c:v>
                </c:pt>
                <c:pt idx="9">
                  <c:v>DDoS</c:v>
                </c:pt>
                <c:pt idx="10">
                  <c:v>SPAM</c:v>
                </c:pt>
                <c:pt idx="11">
                  <c:v>WAF</c:v>
                </c:pt>
                <c:pt idx="12">
                  <c:v>PAM</c:v>
                </c:pt>
                <c:pt idx="13">
                  <c:v>DLP</c:v>
                </c:pt>
              </c:strCache>
            </c:strRef>
          </c:cat>
          <c:val>
            <c:numRef>
              <c:f>СЗИ!$K$29:$K$42</c:f>
              <c:numCache>
                <c:formatCode>0.00</c:formatCode>
                <c:ptCount val="14"/>
                <c:pt idx="0">
                  <c:v>4.59375</c:v>
                </c:pt>
                <c:pt idx="1">
                  <c:v>5</c:v>
                </c:pt>
                <c:pt idx="2">
                  <c:v>4.666666666666667</c:v>
                </c:pt>
                <c:pt idx="3">
                  <c:v>5</c:v>
                </c:pt>
                <c:pt idx="4">
                  <c:v>5</c:v>
                </c:pt>
                <c:pt idx="5">
                  <c:v>4.9038461538461542</c:v>
                </c:pt>
                <c:pt idx="6">
                  <c:v>5</c:v>
                </c:pt>
                <c:pt idx="7">
                  <c:v>5</c:v>
                </c:pt>
                <c:pt idx="8">
                  <c:v>4.666666666666667</c:v>
                </c:pt>
                <c:pt idx="9">
                  <c:v>5</c:v>
                </c:pt>
                <c:pt idx="10">
                  <c:v>5</c:v>
                </c:pt>
                <c:pt idx="11">
                  <c:v>5</c:v>
                </c:pt>
                <c:pt idx="12">
                  <c:v>5</c:v>
                </c:pt>
                <c:pt idx="13">
                  <c:v>4.8571428571428568</c:v>
                </c:pt>
              </c:numCache>
            </c:numRef>
          </c:val>
          <c:extLst>
            <c:ext xmlns:c16="http://schemas.microsoft.com/office/drawing/2014/chart" uri="{C3380CC4-5D6E-409C-BE32-E72D297353CC}">
              <c16:uniqueId val="{00000004-FB22-4D18-A81A-575DB3EF4CB0}"/>
            </c:ext>
          </c:extLst>
        </c:ser>
        <c:dLbls>
          <c:showLegendKey val="0"/>
          <c:showVal val="0"/>
          <c:showCatName val="0"/>
          <c:showSerName val="0"/>
          <c:showPercent val="0"/>
          <c:showBubbleSize val="0"/>
        </c:dLbls>
        <c:axId val="156051652"/>
        <c:axId val="355509191"/>
      </c:radarChart>
      <c:catAx>
        <c:axId val="156051652"/>
        <c:scaling>
          <c:orientation val="minMax"/>
        </c:scaling>
        <c:delete val="0"/>
        <c:axPos val="b"/>
        <c:majorGridlines/>
        <c:numFmt formatCode="General" sourceLinked="1"/>
        <c:majorTickMark val="cross"/>
        <c:minorTickMark val="cross"/>
        <c:tickLblPos val="nextTo"/>
        <c:spPr>
          <a:prstGeom prst="rect">
            <a:avLst/>
          </a:prstGeom>
          <a:noFill/>
          <a:ln w="6350" cap="flat" cmpd="sng" algn="ctr">
            <a:solidFill>
              <a:schemeClr val="tx1"/>
            </a:solidFill>
            <a:prstDash val="solid"/>
            <a:round/>
          </a:ln>
        </c:spPr>
        <c:txPr>
          <a:bodyPr rot="0" spcFirstLastPara="1" vertOverflow="ellipsis" wrap="square" anchor="ctr" anchorCtr="1"/>
          <a:lstStyle/>
          <a:p>
            <a:pPr lvl="0">
              <a:defRPr sz="900" b="0" i="0" u="none" strike="noStrike">
                <a:solidFill>
                  <a:srgbClr val="595959"/>
                </a:solidFill>
                <a:latin typeface="+mn-lt"/>
                <a:ea typeface="+mn-ea"/>
                <a:cs typeface="+mn-cs"/>
              </a:defRPr>
            </a:pPr>
            <a:endParaRPr lang="ru-RU"/>
          </a:p>
        </c:txPr>
        <c:crossAx val="355509191"/>
        <c:crosses val="autoZero"/>
        <c:auto val="1"/>
        <c:lblAlgn val="ctr"/>
        <c:lblOffset val="100"/>
        <c:noMultiLvlLbl val="1"/>
      </c:catAx>
      <c:valAx>
        <c:axId val="355509191"/>
        <c:scaling>
          <c:orientation val="minMax"/>
        </c:scaling>
        <c:delete val="1"/>
        <c:axPos val="l"/>
        <c:majorGridlines>
          <c:spPr>
            <a:prstGeom prst="rect">
              <a:avLst/>
            </a:prstGeom>
            <a:ln w="6350" cap="flat" cmpd="sng" algn="ctr">
              <a:solidFill>
                <a:srgbClr val="D9D9D9"/>
              </a:solidFill>
              <a:prstDash val="solid"/>
              <a:round/>
            </a:ln>
          </c:spPr>
        </c:majorGridlines>
        <c:numFmt formatCode="0.00" sourceLinked="1"/>
        <c:majorTickMark val="cross"/>
        <c:minorTickMark val="cross"/>
        <c:tickLblPos val="nextTo"/>
        <c:crossAx val="156051652"/>
        <c:crosses val="autoZero"/>
        <c:crossBetween val="between"/>
      </c:valAx>
      <c:spPr>
        <a:prstGeom prst="rect">
          <a:avLst/>
        </a:prstGeom>
        <a:solidFill>
          <a:srgbClr val="FFFFFF"/>
        </a:solidFill>
        <a:ln>
          <a:noFill/>
        </a:ln>
      </c:spPr>
    </c:plotArea>
    <c:legend>
      <c:legendPos val="r"/>
      <c:overlay val="0"/>
      <c:txPr>
        <a:bodyPr/>
        <a:lstStyle/>
        <a:p>
          <a:pPr rtl="0">
            <a:defRPr/>
          </a:pPr>
          <a:endParaRPr lang="ru-RU"/>
        </a:p>
      </c:txPr>
    </c:legend>
    <c:plotVisOnly val="1"/>
    <c:dispBlanksAs val="zero"/>
    <c:showDLblsOverMax val="1"/>
  </c:chart>
  <c:spPr>
    <a:xfrm>
      <a:off x="0" y="0"/>
      <a:ext cx="0" cy="0"/>
    </a:xfrm>
    <a:prstGeom prst="rect">
      <a:avLst/>
    </a:prstGeom>
    <a:solidFill>
      <a:srgbClr val="FFFFFF"/>
    </a:solidFill>
    <a:ln w="6350" cap="flat" cmpd="sng" algn="ctr">
      <a:solidFill>
        <a:schemeClr val="tx1">
          <a:tint val="75000"/>
        </a:schemeClr>
      </a:solidFill>
      <a:prstDash val="solid"/>
      <a:round/>
    </a:ln>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1"/>
        <c:ser>
          <c:idx val="1"/>
          <c:order val="0"/>
          <c:tx>
            <c:strRef>
              <c:f>Мониторинг!$D$37</c:f>
              <c:strCache>
                <c:ptCount val="1"/>
                <c:pt idx="0">
                  <c:v>КБ3</c:v>
                </c:pt>
              </c:strCache>
            </c:strRef>
          </c:tx>
          <c:spPr>
            <a:prstGeom prst="rect">
              <a:avLst/>
            </a:prstGeom>
            <a:ln w="19050" cap="rnd" cmpd="sng" algn="ctr">
              <a:solidFill>
                <a:schemeClr val="accent2"/>
              </a:solidFill>
              <a:prstDash val="solid"/>
              <a:round/>
            </a:ln>
          </c:spPr>
          <c:marker>
            <c:symbol val="none"/>
          </c:marker>
          <c:cat>
            <c:strRef>
              <c:f>Мониторинг!$C$38:$C$66</c:f>
              <c:strCache>
                <c:ptCount val="29"/>
                <c:pt idx="0">
                  <c:v>А</c:v>
                </c:pt>
                <c:pt idx="1">
                  <c:v>SIEM</c:v>
                </c:pt>
                <c:pt idx="2">
                  <c:v>ПР</c:v>
                </c:pt>
                <c:pt idx="7">
                  <c:v>SIEM</c:v>
                </c:pt>
                <c:pt idx="8">
                  <c:v>МНТ.SIEM.1</c:v>
                </c:pt>
                <c:pt idx="9">
                  <c:v>МНТ.SIEM.2</c:v>
                </c:pt>
                <c:pt idx="10">
                  <c:v>МНТ.SIEM.3</c:v>
                </c:pt>
                <c:pt idx="11">
                  <c:v>МНТ.SIEM.4</c:v>
                </c:pt>
                <c:pt idx="12">
                  <c:v>МНТ.SIEM.5</c:v>
                </c:pt>
                <c:pt idx="13">
                  <c:v>МНТ.SIEM.6</c:v>
                </c:pt>
                <c:pt idx="14">
                  <c:v>МНТ.SIEM.7</c:v>
                </c:pt>
                <c:pt idx="15">
                  <c:v>МНТ.SIEM.8</c:v>
                </c:pt>
                <c:pt idx="16">
                  <c:v>МНТ.SIEM.9</c:v>
                </c:pt>
                <c:pt idx="17">
                  <c:v>МНТ.SIEM.10</c:v>
                </c:pt>
                <c:pt idx="18">
                  <c:v>МНТ.SIEM.11</c:v>
                </c:pt>
                <c:pt idx="19">
                  <c:v>МНТ.SIEM.12</c:v>
                </c:pt>
                <c:pt idx="20">
                  <c:v>МНТ.SIEM.13</c:v>
                </c:pt>
                <c:pt idx="21">
                  <c:v>А</c:v>
                </c:pt>
                <c:pt idx="22">
                  <c:v>МНТ.A.3</c:v>
                </c:pt>
                <c:pt idx="23">
                  <c:v>ПР</c:v>
                </c:pt>
                <c:pt idx="24">
                  <c:v>МНТ.ПР.1</c:v>
                </c:pt>
                <c:pt idx="25">
                  <c:v>МНТ.ПР.2</c:v>
                </c:pt>
                <c:pt idx="26">
                  <c:v>МНТ.ПР.3</c:v>
                </c:pt>
                <c:pt idx="27">
                  <c:v>МНТ.ПР.4</c:v>
                </c:pt>
                <c:pt idx="28">
                  <c:v>МНТ.ПР.5</c:v>
                </c:pt>
              </c:strCache>
            </c:strRef>
          </c:cat>
          <c:val>
            <c:numRef>
              <c:f>Мониторинг!$D$38:$D$66</c:f>
              <c:numCache>
                <c:formatCode>0.00</c:formatCode>
                <c:ptCount val="29"/>
                <c:pt idx="0">
                  <c:v>5</c:v>
                </c:pt>
                <c:pt idx="1">
                  <c:v>4.9038461538461542</c:v>
                </c:pt>
                <c:pt idx="2">
                  <c:v>4</c:v>
                </c:pt>
                <c:pt idx="8" formatCode="General">
                  <c:v>5</c:v>
                </c:pt>
                <c:pt idx="9" formatCode="General">
                  <c:v>4.75</c:v>
                </c:pt>
                <c:pt idx="10" formatCode="General">
                  <c:v>5</c:v>
                </c:pt>
                <c:pt idx="11" formatCode="General">
                  <c:v>5</c:v>
                </c:pt>
                <c:pt idx="12" formatCode="General">
                  <c:v>5</c:v>
                </c:pt>
                <c:pt idx="13" formatCode="General">
                  <c:v>5</c:v>
                </c:pt>
                <c:pt idx="14" formatCode="General">
                  <c:v>5</c:v>
                </c:pt>
                <c:pt idx="15" formatCode="General">
                  <c:v>5</c:v>
                </c:pt>
                <c:pt idx="16" formatCode="General">
                  <c:v>5</c:v>
                </c:pt>
                <c:pt idx="17" formatCode="General">
                  <c:v>5</c:v>
                </c:pt>
                <c:pt idx="18" formatCode="General">
                  <c:v>5</c:v>
                </c:pt>
                <c:pt idx="19" formatCode="General">
                  <c:v>4</c:v>
                </c:pt>
                <c:pt idx="20" formatCode="General">
                  <c:v>5</c:v>
                </c:pt>
                <c:pt idx="22" formatCode="General">
                  <c:v>5</c:v>
                </c:pt>
                <c:pt idx="24" formatCode="General">
                  <c:v>4</c:v>
                </c:pt>
                <c:pt idx="25" formatCode="General">
                  <c:v>4</c:v>
                </c:pt>
                <c:pt idx="26" formatCode="General">
                  <c:v>4</c:v>
                </c:pt>
                <c:pt idx="27" formatCode="General">
                  <c:v>4</c:v>
                </c:pt>
                <c:pt idx="28" formatCode="General">
                  <c:v>4</c:v>
                </c:pt>
              </c:numCache>
            </c:numRef>
          </c:val>
          <c:extLst>
            <c:ext xmlns:c16="http://schemas.microsoft.com/office/drawing/2014/chart" uri="{C3380CC4-5D6E-409C-BE32-E72D297353CC}">
              <c16:uniqueId val="{00000000-6838-4578-B50A-960CE3F1955E}"/>
            </c:ext>
          </c:extLst>
        </c:ser>
        <c:ser>
          <c:idx val="2"/>
          <c:order val="1"/>
          <c:tx>
            <c:strRef>
              <c:f>Мониторинг!$E$37</c:f>
              <c:strCache>
                <c:ptCount val="1"/>
                <c:pt idx="0">
                  <c:v>КБ2</c:v>
                </c:pt>
              </c:strCache>
            </c:strRef>
          </c:tx>
          <c:spPr>
            <a:prstGeom prst="rect">
              <a:avLst/>
            </a:prstGeom>
            <a:ln w="19050" cap="rnd" cmpd="sng" algn="ctr">
              <a:solidFill>
                <a:schemeClr val="accent3"/>
              </a:solidFill>
              <a:prstDash val="solid"/>
              <a:round/>
            </a:ln>
          </c:spPr>
          <c:marker>
            <c:symbol val="none"/>
          </c:marker>
          <c:cat>
            <c:strRef>
              <c:f>Мониторинг!$C$38:$C$66</c:f>
              <c:strCache>
                <c:ptCount val="29"/>
                <c:pt idx="0">
                  <c:v>А</c:v>
                </c:pt>
                <c:pt idx="1">
                  <c:v>SIEM</c:v>
                </c:pt>
                <c:pt idx="2">
                  <c:v>ПР</c:v>
                </c:pt>
                <c:pt idx="7">
                  <c:v>SIEM</c:v>
                </c:pt>
                <c:pt idx="8">
                  <c:v>МНТ.SIEM.1</c:v>
                </c:pt>
                <c:pt idx="9">
                  <c:v>МНТ.SIEM.2</c:v>
                </c:pt>
                <c:pt idx="10">
                  <c:v>МНТ.SIEM.3</c:v>
                </c:pt>
                <c:pt idx="11">
                  <c:v>МНТ.SIEM.4</c:v>
                </c:pt>
                <c:pt idx="12">
                  <c:v>МНТ.SIEM.5</c:v>
                </c:pt>
                <c:pt idx="13">
                  <c:v>МНТ.SIEM.6</c:v>
                </c:pt>
                <c:pt idx="14">
                  <c:v>МНТ.SIEM.7</c:v>
                </c:pt>
                <c:pt idx="15">
                  <c:v>МНТ.SIEM.8</c:v>
                </c:pt>
                <c:pt idx="16">
                  <c:v>МНТ.SIEM.9</c:v>
                </c:pt>
                <c:pt idx="17">
                  <c:v>МНТ.SIEM.10</c:v>
                </c:pt>
                <c:pt idx="18">
                  <c:v>МНТ.SIEM.11</c:v>
                </c:pt>
                <c:pt idx="19">
                  <c:v>МНТ.SIEM.12</c:v>
                </c:pt>
                <c:pt idx="20">
                  <c:v>МНТ.SIEM.13</c:v>
                </c:pt>
                <c:pt idx="21">
                  <c:v>А</c:v>
                </c:pt>
                <c:pt idx="22">
                  <c:v>МНТ.A.3</c:v>
                </c:pt>
                <c:pt idx="23">
                  <c:v>ПР</c:v>
                </c:pt>
                <c:pt idx="24">
                  <c:v>МНТ.ПР.1</c:v>
                </c:pt>
                <c:pt idx="25">
                  <c:v>МНТ.ПР.2</c:v>
                </c:pt>
                <c:pt idx="26">
                  <c:v>МНТ.ПР.3</c:v>
                </c:pt>
                <c:pt idx="27">
                  <c:v>МНТ.ПР.4</c:v>
                </c:pt>
                <c:pt idx="28">
                  <c:v>МНТ.ПР.5</c:v>
                </c:pt>
              </c:strCache>
            </c:strRef>
          </c:cat>
          <c:val>
            <c:numRef>
              <c:f>Мониторинг!$E$38:$E$66</c:f>
              <c:numCache>
                <c:formatCode>0.00</c:formatCode>
                <c:ptCount val="29"/>
                <c:pt idx="0">
                  <c:v>5</c:v>
                </c:pt>
                <c:pt idx="1">
                  <c:v>3.523076923076923</c:v>
                </c:pt>
                <c:pt idx="2">
                  <c:v>2.6</c:v>
                </c:pt>
                <c:pt idx="8" formatCode="General">
                  <c:v>4.5</c:v>
                </c:pt>
                <c:pt idx="9" formatCode="General">
                  <c:v>4.5</c:v>
                </c:pt>
                <c:pt idx="10" formatCode="General">
                  <c:v>3.2</c:v>
                </c:pt>
                <c:pt idx="11" formatCode="General">
                  <c:v>3.2</c:v>
                </c:pt>
                <c:pt idx="12" formatCode="General">
                  <c:v>3.2</c:v>
                </c:pt>
                <c:pt idx="13" formatCode="General">
                  <c:v>3.2</c:v>
                </c:pt>
                <c:pt idx="14" formatCode="General">
                  <c:v>3.2</c:v>
                </c:pt>
                <c:pt idx="15" formatCode="General">
                  <c:v>3.2</c:v>
                </c:pt>
                <c:pt idx="16" formatCode="General">
                  <c:v>3.2</c:v>
                </c:pt>
                <c:pt idx="17" formatCode="General">
                  <c:v>3.2</c:v>
                </c:pt>
                <c:pt idx="18" formatCode="General">
                  <c:v>3.2</c:v>
                </c:pt>
                <c:pt idx="19" formatCode="General">
                  <c:v>3</c:v>
                </c:pt>
                <c:pt idx="20" formatCode="General">
                  <c:v>5</c:v>
                </c:pt>
                <c:pt idx="22" formatCode="General">
                  <c:v>5</c:v>
                </c:pt>
                <c:pt idx="24" formatCode="General">
                  <c:v>1</c:v>
                </c:pt>
                <c:pt idx="25" formatCode="General">
                  <c:v>4</c:v>
                </c:pt>
                <c:pt idx="26" formatCode="General">
                  <c:v>3</c:v>
                </c:pt>
                <c:pt idx="27" formatCode="General">
                  <c:v>2</c:v>
                </c:pt>
                <c:pt idx="28" formatCode="General">
                  <c:v>3</c:v>
                </c:pt>
              </c:numCache>
            </c:numRef>
          </c:val>
          <c:extLst>
            <c:ext xmlns:c16="http://schemas.microsoft.com/office/drawing/2014/chart" uri="{C3380CC4-5D6E-409C-BE32-E72D297353CC}">
              <c16:uniqueId val="{00000001-6838-4578-B50A-960CE3F1955E}"/>
            </c:ext>
          </c:extLst>
        </c:ser>
        <c:ser>
          <c:idx val="3"/>
          <c:order val="2"/>
          <c:tx>
            <c:strRef>
              <c:f>Мониторинг!$F$37</c:f>
              <c:strCache>
                <c:ptCount val="1"/>
                <c:pt idx="0">
                  <c:v>КБ1</c:v>
                </c:pt>
              </c:strCache>
            </c:strRef>
          </c:tx>
          <c:spPr>
            <a:prstGeom prst="rect">
              <a:avLst/>
            </a:prstGeom>
            <a:ln w="19050" cap="rnd" cmpd="sng" algn="ctr">
              <a:solidFill>
                <a:schemeClr val="accent4"/>
              </a:solidFill>
              <a:prstDash val="solid"/>
              <a:round/>
            </a:ln>
          </c:spPr>
          <c:marker>
            <c:symbol val="none"/>
          </c:marker>
          <c:cat>
            <c:strRef>
              <c:f>Мониторинг!$C$38:$C$66</c:f>
              <c:strCache>
                <c:ptCount val="29"/>
                <c:pt idx="0">
                  <c:v>А</c:v>
                </c:pt>
                <c:pt idx="1">
                  <c:v>SIEM</c:v>
                </c:pt>
                <c:pt idx="2">
                  <c:v>ПР</c:v>
                </c:pt>
                <c:pt idx="7">
                  <c:v>SIEM</c:v>
                </c:pt>
                <c:pt idx="8">
                  <c:v>МНТ.SIEM.1</c:v>
                </c:pt>
                <c:pt idx="9">
                  <c:v>МНТ.SIEM.2</c:v>
                </c:pt>
                <c:pt idx="10">
                  <c:v>МНТ.SIEM.3</c:v>
                </c:pt>
                <c:pt idx="11">
                  <c:v>МНТ.SIEM.4</c:v>
                </c:pt>
                <c:pt idx="12">
                  <c:v>МНТ.SIEM.5</c:v>
                </c:pt>
                <c:pt idx="13">
                  <c:v>МНТ.SIEM.6</c:v>
                </c:pt>
                <c:pt idx="14">
                  <c:v>МНТ.SIEM.7</c:v>
                </c:pt>
                <c:pt idx="15">
                  <c:v>МНТ.SIEM.8</c:v>
                </c:pt>
                <c:pt idx="16">
                  <c:v>МНТ.SIEM.9</c:v>
                </c:pt>
                <c:pt idx="17">
                  <c:v>МНТ.SIEM.10</c:v>
                </c:pt>
                <c:pt idx="18">
                  <c:v>МНТ.SIEM.11</c:v>
                </c:pt>
                <c:pt idx="19">
                  <c:v>МНТ.SIEM.12</c:v>
                </c:pt>
                <c:pt idx="20">
                  <c:v>МНТ.SIEM.13</c:v>
                </c:pt>
                <c:pt idx="21">
                  <c:v>А</c:v>
                </c:pt>
                <c:pt idx="22">
                  <c:v>МНТ.A.3</c:v>
                </c:pt>
                <c:pt idx="23">
                  <c:v>ПР</c:v>
                </c:pt>
                <c:pt idx="24">
                  <c:v>МНТ.ПР.1</c:v>
                </c:pt>
                <c:pt idx="25">
                  <c:v>МНТ.ПР.2</c:v>
                </c:pt>
                <c:pt idx="26">
                  <c:v>МНТ.ПР.3</c:v>
                </c:pt>
                <c:pt idx="27">
                  <c:v>МНТ.ПР.4</c:v>
                </c:pt>
                <c:pt idx="28">
                  <c:v>МНТ.ПР.5</c:v>
                </c:pt>
              </c:strCache>
            </c:strRef>
          </c:cat>
          <c:val>
            <c:numRef>
              <c:f>Мониторинг!$F$38:$F$66</c:f>
              <c:numCache>
                <c:formatCode>0.00</c:formatCode>
                <c:ptCount val="29"/>
                <c:pt idx="0">
                  <c:v>0</c:v>
                </c:pt>
                <c:pt idx="1">
                  <c:v>0</c:v>
                </c:pt>
                <c:pt idx="2">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2" formatCode="General">
                  <c:v>0</c:v>
                </c:pt>
                <c:pt idx="24" formatCode="General">
                  <c:v>0</c:v>
                </c:pt>
                <c:pt idx="25" formatCode="General">
                  <c:v>0</c:v>
                </c:pt>
                <c:pt idx="26" formatCode="General">
                  <c:v>0</c:v>
                </c:pt>
                <c:pt idx="27" formatCode="General">
                  <c:v>0</c:v>
                </c:pt>
                <c:pt idx="28" formatCode="General">
                  <c:v>0</c:v>
                </c:pt>
              </c:numCache>
            </c:numRef>
          </c:val>
          <c:extLst>
            <c:ext xmlns:c16="http://schemas.microsoft.com/office/drawing/2014/chart" uri="{C3380CC4-5D6E-409C-BE32-E72D297353CC}">
              <c16:uniqueId val="{00000002-6838-4578-B50A-960CE3F1955E}"/>
            </c:ext>
          </c:extLst>
        </c:ser>
        <c:ser>
          <c:idx val="0"/>
          <c:order val="3"/>
          <c:tx>
            <c:strRef>
              <c:f>Мониторинг!$K$37</c:f>
              <c:strCache>
                <c:ptCount val="1"/>
                <c:pt idx="0">
                  <c:v>Расчетный показатель 2025</c:v>
                </c:pt>
              </c:strCache>
            </c:strRef>
          </c:tx>
          <c:spPr>
            <a:prstGeom prst="rect">
              <a:avLst/>
            </a:prstGeom>
            <a:ln w="19050" cap="rnd" cmpd="sng" algn="ctr">
              <a:solidFill>
                <a:schemeClr val="accent1"/>
              </a:solidFill>
              <a:prstDash val="solid"/>
              <a:round/>
            </a:ln>
          </c:spPr>
          <c:marker>
            <c:symbol val="none"/>
          </c:marker>
          <c:cat>
            <c:strRef>
              <c:f>Мониторинг!$C$38:$C$66</c:f>
              <c:strCache>
                <c:ptCount val="29"/>
                <c:pt idx="0">
                  <c:v>А</c:v>
                </c:pt>
                <c:pt idx="1">
                  <c:v>SIEM</c:v>
                </c:pt>
                <c:pt idx="2">
                  <c:v>ПР</c:v>
                </c:pt>
                <c:pt idx="7">
                  <c:v>SIEM</c:v>
                </c:pt>
                <c:pt idx="8">
                  <c:v>МНТ.SIEM.1</c:v>
                </c:pt>
                <c:pt idx="9">
                  <c:v>МНТ.SIEM.2</c:v>
                </c:pt>
                <c:pt idx="10">
                  <c:v>МНТ.SIEM.3</c:v>
                </c:pt>
                <c:pt idx="11">
                  <c:v>МНТ.SIEM.4</c:v>
                </c:pt>
                <c:pt idx="12">
                  <c:v>МНТ.SIEM.5</c:v>
                </c:pt>
                <c:pt idx="13">
                  <c:v>МНТ.SIEM.6</c:v>
                </c:pt>
                <c:pt idx="14">
                  <c:v>МНТ.SIEM.7</c:v>
                </c:pt>
                <c:pt idx="15">
                  <c:v>МНТ.SIEM.8</c:v>
                </c:pt>
                <c:pt idx="16">
                  <c:v>МНТ.SIEM.9</c:v>
                </c:pt>
                <c:pt idx="17">
                  <c:v>МНТ.SIEM.10</c:v>
                </c:pt>
                <c:pt idx="18">
                  <c:v>МНТ.SIEM.11</c:v>
                </c:pt>
                <c:pt idx="19">
                  <c:v>МНТ.SIEM.12</c:v>
                </c:pt>
                <c:pt idx="20">
                  <c:v>МНТ.SIEM.13</c:v>
                </c:pt>
                <c:pt idx="21">
                  <c:v>А</c:v>
                </c:pt>
                <c:pt idx="22">
                  <c:v>МНТ.A.3</c:v>
                </c:pt>
                <c:pt idx="23">
                  <c:v>ПР</c:v>
                </c:pt>
                <c:pt idx="24">
                  <c:v>МНТ.ПР.1</c:v>
                </c:pt>
                <c:pt idx="25">
                  <c:v>МНТ.ПР.2</c:v>
                </c:pt>
                <c:pt idx="26">
                  <c:v>МНТ.ПР.3</c:v>
                </c:pt>
                <c:pt idx="27">
                  <c:v>МНТ.ПР.4</c:v>
                </c:pt>
                <c:pt idx="28">
                  <c:v>МНТ.ПР.5</c:v>
                </c:pt>
              </c:strCache>
            </c:strRef>
          </c:cat>
          <c:val>
            <c:numRef>
              <c:f>Мониторинг!$K$38:$K$66</c:f>
              <c:numCache>
                <c:formatCode>0.00</c:formatCode>
                <c:ptCount val="29"/>
                <c:pt idx="0">
                  <c:v>5</c:v>
                </c:pt>
                <c:pt idx="1">
                  <c:v>4.9038461538461542</c:v>
                </c:pt>
                <c:pt idx="2">
                  <c:v>4</c:v>
                </c:pt>
                <c:pt idx="8" formatCode="General">
                  <c:v>5</c:v>
                </c:pt>
                <c:pt idx="9" formatCode="General">
                  <c:v>4.75</c:v>
                </c:pt>
                <c:pt idx="10" formatCode="General">
                  <c:v>5</c:v>
                </c:pt>
                <c:pt idx="11" formatCode="General">
                  <c:v>5</c:v>
                </c:pt>
                <c:pt idx="12" formatCode="General">
                  <c:v>5</c:v>
                </c:pt>
                <c:pt idx="13" formatCode="General">
                  <c:v>5</c:v>
                </c:pt>
                <c:pt idx="14" formatCode="General">
                  <c:v>5</c:v>
                </c:pt>
                <c:pt idx="15" formatCode="General">
                  <c:v>5</c:v>
                </c:pt>
                <c:pt idx="16" formatCode="General">
                  <c:v>5</c:v>
                </c:pt>
                <c:pt idx="17" formatCode="General">
                  <c:v>5</c:v>
                </c:pt>
                <c:pt idx="18" formatCode="General">
                  <c:v>5</c:v>
                </c:pt>
                <c:pt idx="19" formatCode="General">
                  <c:v>4</c:v>
                </c:pt>
                <c:pt idx="20" formatCode="General">
                  <c:v>5</c:v>
                </c:pt>
                <c:pt idx="22" formatCode="General">
                  <c:v>5</c:v>
                </c:pt>
                <c:pt idx="24" formatCode="General">
                  <c:v>4</c:v>
                </c:pt>
                <c:pt idx="25" formatCode="General">
                  <c:v>4</c:v>
                </c:pt>
                <c:pt idx="26" formatCode="General">
                  <c:v>4</c:v>
                </c:pt>
                <c:pt idx="27" formatCode="General">
                  <c:v>4</c:v>
                </c:pt>
                <c:pt idx="28" formatCode="General">
                  <c:v>4</c:v>
                </c:pt>
              </c:numCache>
            </c:numRef>
          </c:val>
          <c:extLst>
            <c:ext xmlns:c16="http://schemas.microsoft.com/office/drawing/2014/chart" uri="{C3380CC4-5D6E-409C-BE32-E72D297353CC}">
              <c16:uniqueId val="{00000003-6838-4578-B50A-960CE3F1955E}"/>
            </c:ext>
          </c:extLst>
        </c:ser>
        <c:ser>
          <c:idx val="4"/>
          <c:order val="4"/>
          <c:tx>
            <c:strRef>
              <c:f>Мониторинг!$L$37</c:f>
              <c:strCache>
                <c:ptCount val="1"/>
                <c:pt idx="0">
                  <c:v>Текущий показатель</c:v>
                </c:pt>
              </c:strCache>
            </c:strRef>
          </c:tx>
          <c:marker>
            <c:symbol val="none"/>
          </c:marker>
          <c:cat>
            <c:strRef>
              <c:f>Мониторинг!$C$38:$C$66</c:f>
              <c:strCache>
                <c:ptCount val="29"/>
                <c:pt idx="0">
                  <c:v>А</c:v>
                </c:pt>
                <c:pt idx="1">
                  <c:v>SIEM</c:v>
                </c:pt>
                <c:pt idx="2">
                  <c:v>ПР</c:v>
                </c:pt>
                <c:pt idx="7">
                  <c:v>SIEM</c:v>
                </c:pt>
                <c:pt idx="8">
                  <c:v>МНТ.SIEM.1</c:v>
                </c:pt>
                <c:pt idx="9">
                  <c:v>МНТ.SIEM.2</c:v>
                </c:pt>
                <c:pt idx="10">
                  <c:v>МНТ.SIEM.3</c:v>
                </c:pt>
                <c:pt idx="11">
                  <c:v>МНТ.SIEM.4</c:v>
                </c:pt>
                <c:pt idx="12">
                  <c:v>МНТ.SIEM.5</c:v>
                </c:pt>
                <c:pt idx="13">
                  <c:v>МНТ.SIEM.6</c:v>
                </c:pt>
                <c:pt idx="14">
                  <c:v>МНТ.SIEM.7</c:v>
                </c:pt>
                <c:pt idx="15">
                  <c:v>МНТ.SIEM.8</c:v>
                </c:pt>
                <c:pt idx="16">
                  <c:v>МНТ.SIEM.9</c:v>
                </c:pt>
                <c:pt idx="17">
                  <c:v>МНТ.SIEM.10</c:v>
                </c:pt>
                <c:pt idx="18">
                  <c:v>МНТ.SIEM.11</c:v>
                </c:pt>
                <c:pt idx="19">
                  <c:v>МНТ.SIEM.12</c:v>
                </c:pt>
                <c:pt idx="20">
                  <c:v>МНТ.SIEM.13</c:v>
                </c:pt>
                <c:pt idx="21">
                  <c:v>А</c:v>
                </c:pt>
                <c:pt idx="22">
                  <c:v>МНТ.A.3</c:v>
                </c:pt>
                <c:pt idx="23">
                  <c:v>ПР</c:v>
                </c:pt>
                <c:pt idx="24">
                  <c:v>МНТ.ПР.1</c:v>
                </c:pt>
                <c:pt idx="25">
                  <c:v>МНТ.ПР.2</c:v>
                </c:pt>
                <c:pt idx="26">
                  <c:v>МНТ.ПР.3</c:v>
                </c:pt>
                <c:pt idx="27">
                  <c:v>МНТ.ПР.4</c:v>
                </c:pt>
                <c:pt idx="28">
                  <c:v>МНТ.ПР.5</c:v>
                </c:pt>
              </c:strCache>
            </c:strRef>
          </c:cat>
          <c:val>
            <c:numRef>
              <c:f>Мониторинг!$L$38:$L$66</c:f>
              <c:numCache>
                <c:formatCode>0.00</c:formatCode>
                <c:ptCount val="29"/>
                <c:pt idx="0">
                  <c:v>0</c:v>
                </c:pt>
                <c:pt idx="1">
                  <c:v>0</c:v>
                </c:pt>
                <c:pt idx="2">
                  <c:v>0</c:v>
                </c:pt>
                <c:pt idx="8">
                  <c:v>0</c:v>
                </c:pt>
                <c:pt idx="9">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2" formatCode="General">
                  <c:v>0</c:v>
                </c:pt>
                <c:pt idx="24" formatCode="General">
                  <c:v>0</c:v>
                </c:pt>
                <c:pt idx="25" formatCode="General">
                  <c:v>0</c:v>
                </c:pt>
                <c:pt idx="26" formatCode="General">
                  <c:v>0</c:v>
                </c:pt>
                <c:pt idx="27" formatCode="General">
                  <c:v>0</c:v>
                </c:pt>
                <c:pt idx="28" formatCode="General">
                  <c:v>0</c:v>
                </c:pt>
              </c:numCache>
            </c:numRef>
          </c:val>
          <c:extLst>
            <c:ext xmlns:c16="http://schemas.microsoft.com/office/drawing/2014/chart" uri="{C3380CC4-5D6E-409C-BE32-E72D297353CC}">
              <c16:uniqueId val="{00000004-6838-4578-B50A-960CE3F1955E}"/>
            </c:ext>
          </c:extLst>
        </c:ser>
        <c:dLbls>
          <c:showLegendKey val="0"/>
          <c:showVal val="0"/>
          <c:showCatName val="0"/>
          <c:showSerName val="0"/>
          <c:showPercent val="0"/>
          <c:showBubbleSize val="0"/>
        </c:dLbls>
        <c:axId val="1335331895"/>
        <c:axId val="328889833"/>
      </c:radarChart>
      <c:catAx>
        <c:axId val="1335331895"/>
        <c:scaling>
          <c:orientation val="minMax"/>
        </c:scaling>
        <c:delete val="0"/>
        <c:axPos val="b"/>
        <c:majorGridlines/>
        <c:numFmt formatCode="General" sourceLinked="1"/>
        <c:majorTickMark val="cross"/>
        <c:minorTickMark val="cross"/>
        <c:tickLblPos val="nextTo"/>
        <c:spPr>
          <a:prstGeom prst="rect">
            <a:avLst/>
          </a:prstGeom>
          <a:noFill/>
          <a:ln w="6350" cap="flat" cmpd="sng" algn="ctr">
            <a:solidFill>
              <a:schemeClr val="tx1"/>
            </a:solidFill>
            <a:prstDash val="solid"/>
            <a:round/>
          </a:ln>
        </c:spPr>
        <c:txPr>
          <a:bodyPr rot="0" spcFirstLastPara="1" vertOverflow="ellipsis" wrap="square" anchor="ctr" anchorCtr="1"/>
          <a:lstStyle/>
          <a:p>
            <a:pPr lvl="0">
              <a:defRPr sz="900" b="0" i="0" u="none" strike="noStrike">
                <a:solidFill>
                  <a:srgbClr val="595959"/>
                </a:solidFill>
                <a:latin typeface="+mn-lt"/>
                <a:ea typeface="+mn-ea"/>
                <a:cs typeface="+mn-cs"/>
              </a:defRPr>
            </a:pPr>
            <a:endParaRPr lang="ru-RU"/>
          </a:p>
        </c:txPr>
        <c:crossAx val="328889833"/>
        <c:crosses val="autoZero"/>
        <c:auto val="1"/>
        <c:lblAlgn val="ctr"/>
        <c:lblOffset val="100"/>
        <c:noMultiLvlLbl val="1"/>
      </c:catAx>
      <c:valAx>
        <c:axId val="328889833"/>
        <c:scaling>
          <c:orientation val="minMax"/>
        </c:scaling>
        <c:delete val="0"/>
        <c:axPos val="l"/>
        <c:majorGridlines>
          <c:spPr>
            <a:prstGeom prst="rect">
              <a:avLst/>
            </a:prstGeom>
            <a:ln w="6350" cap="flat" cmpd="sng" algn="ctr">
              <a:solidFill>
                <a:srgbClr val="D9D9D9"/>
              </a:solidFill>
              <a:prstDash val="solid"/>
              <a:round/>
            </a:ln>
          </c:spPr>
        </c:majorGridlines>
        <c:numFmt formatCode="0.00" sourceLinked="1"/>
        <c:majorTickMark val="cross"/>
        <c:minorTickMark val="cross"/>
        <c:tickLblPos val="nextTo"/>
        <c:spPr>
          <a:prstGeom prst="rect">
            <a:avLst/>
          </a:prstGeom>
          <a:noFill/>
          <a:ln w="47625" cap="flat" cmpd="sng" algn="ctr">
            <a:noFill/>
            <a:prstDash val="solid"/>
            <a:round/>
          </a:ln>
        </c:spPr>
        <c:txPr>
          <a:bodyPr rot="-60000000" spcFirstLastPara="1" vertOverflow="ellipsis" vert="horz" wrap="square" anchor="ctr" anchorCtr="1"/>
          <a:lstStyle/>
          <a:p>
            <a:pPr lvl="0">
              <a:defRPr sz="900" b="0" i="0" u="none" strike="noStrike">
                <a:solidFill>
                  <a:srgbClr val="595959"/>
                </a:solidFill>
                <a:latin typeface="+mn-lt"/>
                <a:ea typeface="+mn-ea"/>
                <a:cs typeface="+mn-cs"/>
              </a:defRPr>
            </a:pPr>
            <a:endParaRPr lang="ru-RU"/>
          </a:p>
        </c:txPr>
        <c:crossAx val="1335331895"/>
        <c:crosses val="autoZero"/>
        <c:crossBetween val="between"/>
      </c:valAx>
      <c:spPr>
        <a:prstGeom prst="rect">
          <a:avLst/>
        </a:prstGeom>
        <a:solidFill>
          <a:srgbClr val="FFFFFF"/>
        </a:solidFill>
        <a:ln>
          <a:noFill/>
        </a:ln>
      </c:spPr>
    </c:plotArea>
    <c:legend>
      <c:legendPos val="r"/>
      <c:overlay val="0"/>
    </c:legend>
    <c:plotVisOnly val="1"/>
    <c:dispBlanksAs val="zero"/>
    <c:showDLblsOverMax val="1"/>
  </c:chart>
  <c:spPr>
    <a:xfrm>
      <a:off x="0" y="0"/>
      <a:ext cx="0" cy="0"/>
    </a:xfrm>
    <a:prstGeom prst="rect">
      <a:avLst/>
    </a:prstGeom>
    <a:solidFill>
      <a:srgbClr val="FFFFFF"/>
    </a:solidFill>
    <a:ln w="6350" cap="flat" cmpd="sng" algn="ctr">
      <a:solidFill>
        <a:schemeClr val="tx1">
          <a:tint val="75000"/>
        </a:schemeClr>
      </a:solidFill>
      <a:prstDash val="solid"/>
      <a:round/>
    </a:ln>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6683"/>
          <c:y val="6.2493E-2"/>
          <c:w val="0.346634"/>
          <c:h val="0.90159100000000003"/>
        </c:manualLayout>
      </c:layout>
      <c:radarChart>
        <c:radarStyle val="marker"/>
        <c:varyColors val="1"/>
        <c:ser>
          <c:idx val="1"/>
          <c:order val="0"/>
          <c:tx>
            <c:strRef>
              <c:f>Реагирование!$D$29</c:f>
              <c:strCache>
                <c:ptCount val="1"/>
                <c:pt idx="0">
                  <c:v>КБ3</c:v>
                </c:pt>
              </c:strCache>
            </c:strRef>
          </c:tx>
          <c:spPr>
            <a:prstGeom prst="rect">
              <a:avLst/>
            </a:prstGeom>
            <a:ln w="19050" cap="rnd" cmpd="sng" algn="ctr">
              <a:solidFill>
                <a:schemeClr val="accent2"/>
              </a:solidFill>
              <a:prstDash val="solid"/>
              <a:round/>
            </a:ln>
          </c:spPr>
          <c:marker>
            <c:symbol val="none"/>
          </c:marker>
          <c:cat>
            <c:strRef>
              <c:f>Реагирование!$C$39:$C$55</c:f>
              <c:strCache>
                <c:ptCount val="17"/>
                <c:pt idx="0">
                  <c:v>РЕАГ.ПЛР.1</c:v>
                </c:pt>
                <c:pt idx="1">
                  <c:v>РЕАГ.ПЛР.2</c:v>
                </c:pt>
                <c:pt idx="2">
                  <c:v>РЕАГ.ПЛР.3</c:v>
                </c:pt>
                <c:pt idx="3">
                  <c:v>РЕАГ.ПЛР.4</c:v>
                </c:pt>
                <c:pt idx="4">
                  <c:v>КМНК</c:v>
                </c:pt>
                <c:pt idx="5">
                  <c:v>РЕАГ.КМНК.1</c:v>
                </c:pt>
                <c:pt idx="6">
                  <c:v>РЕАГ.КМНК.2</c:v>
                </c:pt>
                <c:pt idx="7">
                  <c:v>РЕАГ.КМНК.3</c:v>
                </c:pt>
                <c:pt idx="8">
                  <c:v>РЕАГ.КМНК.4</c:v>
                </c:pt>
                <c:pt idx="9">
                  <c:v>РЕАГ.КМНК.5</c:v>
                </c:pt>
                <c:pt idx="10">
                  <c:v>АНЛЗ</c:v>
                </c:pt>
                <c:pt idx="11">
                  <c:v>РЕАГ.АНЛЗ.1</c:v>
                </c:pt>
                <c:pt idx="12">
                  <c:v>РЕАГ.АНЛЗ.2</c:v>
                </c:pt>
                <c:pt idx="13">
                  <c:v>РЕАГ.АНЛЗ.3</c:v>
                </c:pt>
                <c:pt idx="14">
                  <c:v>РЕАГ.АНЛЗ.4</c:v>
                </c:pt>
                <c:pt idx="15">
                  <c:v>РЕАГ.АНЛЗ.5</c:v>
                </c:pt>
                <c:pt idx="16">
                  <c:v>PB</c:v>
                </c:pt>
              </c:strCache>
            </c:strRef>
          </c:cat>
          <c:val>
            <c:numRef>
              <c:f>Реагирование!$D$39:$D$55</c:f>
              <c:numCache>
                <c:formatCode>General</c:formatCode>
                <c:ptCount val="17"/>
                <c:pt idx="0">
                  <c:v>4</c:v>
                </c:pt>
                <c:pt idx="1">
                  <c:v>4</c:v>
                </c:pt>
                <c:pt idx="2">
                  <c:v>5</c:v>
                </c:pt>
                <c:pt idx="3">
                  <c:v>5</c:v>
                </c:pt>
                <c:pt idx="5">
                  <c:v>5</c:v>
                </c:pt>
                <c:pt idx="6">
                  <c:v>5</c:v>
                </c:pt>
                <c:pt idx="7">
                  <c:v>5</c:v>
                </c:pt>
                <c:pt idx="8">
                  <c:v>5</c:v>
                </c:pt>
                <c:pt idx="9">
                  <c:v>5</c:v>
                </c:pt>
                <c:pt idx="11">
                  <c:v>5</c:v>
                </c:pt>
                <c:pt idx="12">
                  <c:v>4</c:v>
                </c:pt>
                <c:pt idx="13">
                  <c:v>5</c:v>
                </c:pt>
                <c:pt idx="14">
                  <c:v>4</c:v>
                </c:pt>
                <c:pt idx="15">
                  <c:v>5</c:v>
                </c:pt>
              </c:numCache>
            </c:numRef>
          </c:val>
          <c:extLst>
            <c:ext xmlns:c16="http://schemas.microsoft.com/office/drawing/2014/chart" uri="{C3380CC4-5D6E-409C-BE32-E72D297353CC}">
              <c16:uniqueId val="{00000000-7F1E-4FC4-BEA1-B77E348CE8FC}"/>
            </c:ext>
          </c:extLst>
        </c:ser>
        <c:ser>
          <c:idx val="0"/>
          <c:order val="1"/>
          <c:tx>
            <c:strRef>
              <c:f>Реагирование!$L$29</c:f>
              <c:strCache>
                <c:ptCount val="1"/>
                <c:pt idx="0">
                  <c:v>Текущий показатель</c:v>
                </c:pt>
              </c:strCache>
            </c:strRef>
          </c:tx>
          <c:spPr>
            <a:prstGeom prst="rect">
              <a:avLst/>
            </a:prstGeom>
            <a:ln w="19050" cap="rnd" cmpd="sng" algn="ctr">
              <a:solidFill>
                <a:schemeClr val="accent1"/>
              </a:solidFill>
              <a:prstDash val="solid"/>
              <a:round/>
            </a:ln>
          </c:spPr>
          <c:marker>
            <c:symbol val="none"/>
          </c:marker>
          <c:cat>
            <c:strRef>
              <c:f>Реагирование!$C$39:$C$55</c:f>
              <c:strCache>
                <c:ptCount val="17"/>
                <c:pt idx="0">
                  <c:v>РЕАГ.ПЛР.1</c:v>
                </c:pt>
                <c:pt idx="1">
                  <c:v>РЕАГ.ПЛР.2</c:v>
                </c:pt>
                <c:pt idx="2">
                  <c:v>РЕАГ.ПЛР.3</c:v>
                </c:pt>
                <c:pt idx="3">
                  <c:v>РЕАГ.ПЛР.4</c:v>
                </c:pt>
                <c:pt idx="4">
                  <c:v>КМНК</c:v>
                </c:pt>
                <c:pt idx="5">
                  <c:v>РЕАГ.КМНК.1</c:v>
                </c:pt>
                <c:pt idx="6">
                  <c:v>РЕАГ.КМНК.2</c:v>
                </c:pt>
                <c:pt idx="7">
                  <c:v>РЕАГ.КМНК.3</c:v>
                </c:pt>
                <c:pt idx="8">
                  <c:v>РЕАГ.КМНК.4</c:v>
                </c:pt>
                <c:pt idx="9">
                  <c:v>РЕАГ.КМНК.5</c:v>
                </c:pt>
                <c:pt idx="10">
                  <c:v>АНЛЗ</c:v>
                </c:pt>
                <c:pt idx="11">
                  <c:v>РЕАГ.АНЛЗ.1</c:v>
                </c:pt>
                <c:pt idx="12">
                  <c:v>РЕАГ.АНЛЗ.2</c:v>
                </c:pt>
                <c:pt idx="13">
                  <c:v>РЕАГ.АНЛЗ.3</c:v>
                </c:pt>
                <c:pt idx="14">
                  <c:v>РЕАГ.АНЛЗ.4</c:v>
                </c:pt>
                <c:pt idx="15">
                  <c:v>РЕАГ.АНЛЗ.5</c:v>
                </c:pt>
                <c:pt idx="16">
                  <c:v>PB</c:v>
                </c:pt>
              </c:strCache>
            </c:strRef>
          </c:cat>
          <c:val>
            <c:numRef>
              <c:f>Реагирование!$L$39:$L$67</c:f>
              <c:numCache>
                <c:formatCode>General</c:formatCode>
                <c:ptCount val="29"/>
                <c:pt idx="0">
                  <c:v>0</c:v>
                </c:pt>
                <c:pt idx="1">
                  <c:v>0</c:v>
                </c:pt>
                <c:pt idx="2">
                  <c:v>0</c:v>
                </c:pt>
                <c:pt idx="3">
                  <c:v>0</c:v>
                </c:pt>
                <c:pt idx="5">
                  <c:v>0</c:v>
                </c:pt>
                <c:pt idx="6">
                  <c:v>0</c:v>
                </c:pt>
                <c:pt idx="7">
                  <c:v>0</c:v>
                </c:pt>
                <c:pt idx="8">
                  <c:v>0</c:v>
                </c:pt>
                <c:pt idx="9">
                  <c:v>0</c:v>
                </c:pt>
                <c:pt idx="11">
                  <c:v>0</c:v>
                </c:pt>
                <c:pt idx="12">
                  <c:v>0</c:v>
                </c:pt>
                <c:pt idx="13">
                  <c:v>0</c:v>
                </c:pt>
                <c:pt idx="14">
                  <c:v>0</c:v>
                </c:pt>
                <c:pt idx="15">
                  <c:v>0</c:v>
                </c:pt>
                <c:pt idx="17">
                  <c:v>0</c:v>
                </c:pt>
                <c:pt idx="18">
                  <c:v>0</c:v>
                </c:pt>
                <c:pt idx="19">
                  <c:v>0</c:v>
                </c:pt>
                <c:pt idx="20">
                  <c:v>0</c:v>
                </c:pt>
                <c:pt idx="21">
                  <c:v>0</c:v>
                </c:pt>
                <c:pt idx="22">
                  <c:v>0</c:v>
                </c:pt>
                <c:pt idx="23">
                  <c:v>0</c:v>
                </c:pt>
                <c:pt idx="24">
                  <c:v>0</c:v>
                </c:pt>
                <c:pt idx="25">
                  <c:v>0</c:v>
                </c:pt>
                <c:pt idx="26">
                  <c:v>0</c:v>
                </c:pt>
                <c:pt idx="27">
                  <c:v>0</c:v>
                </c:pt>
              </c:numCache>
            </c:numRef>
          </c:val>
          <c:extLst>
            <c:ext xmlns:c16="http://schemas.microsoft.com/office/drawing/2014/chart" uri="{C3380CC4-5D6E-409C-BE32-E72D297353CC}">
              <c16:uniqueId val="{00000001-7F1E-4FC4-BEA1-B77E348CE8FC}"/>
            </c:ext>
          </c:extLst>
        </c:ser>
        <c:ser>
          <c:idx val="2"/>
          <c:order val="2"/>
          <c:tx>
            <c:strRef>
              <c:f>Реагирование!$E$29</c:f>
              <c:strCache>
                <c:ptCount val="1"/>
                <c:pt idx="0">
                  <c:v>КБ2</c:v>
                </c:pt>
              </c:strCache>
            </c:strRef>
          </c:tx>
          <c:spPr>
            <a:prstGeom prst="rect">
              <a:avLst/>
            </a:prstGeom>
            <a:ln w="19050" cap="rnd" cmpd="sng" algn="ctr">
              <a:solidFill>
                <a:schemeClr val="accent3"/>
              </a:solidFill>
              <a:prstDash val="solid"/>
              <a:round/>
            </a:ln>
          </c:spPr>
          <c:marker>
            <c:symbol val="none"/>
          </c:marker>
          <c:val>
            <c:numRef>
              <c:f>Реагирование!$E$39:$E$55</c:f>
              <c:numCache>
                <c:formatCode>General</c:formatCode>
                <c:ptCount val="17"/>
                <c:pt idx="0">
                  <c:v>3</c:v>
                </c:pt>
                <c:pt idx="1">
                  <c:v>3</c:v>
                </c:pt>
                <c:pt idx="2">
                  <c:v>3.2</c:v>
                </c:pt>
                <c:pt idx="3">
                  <c:v>3.2</c:v>
                </c:pt>
                <c:pt idx="5">
                  <c:v>3.2</c:v>
                </c:pt>
                <c:pt idx="6">
                  <c:v>3.2</c:v>
                </c:pt>
                <c:pt idx="7">
                  <c:v>3.2</c:v>
                </c:pt>
                <c:pt idx="8">
                  <c:v>3.2</c:v>
                </c:pt>
                <c:pt idx="9">
                  <c:v>3.2</c:v>
                </c:pt>
                <c:pt idx="11">
                  <c:v>5</c:v>
                </c:pt>
                <c:pt idx="12">
                  <c:v>3</c:v>
                </c:pt>
                <c:pt idx="13">
                  <c:v>5</c:v>
                </c:pt>
                <c:pt idx="14">
                  <c:v>3</c:v>
                </c:pt>
                <c:pt idx="15">
                  <c:v>3.2</c:v>
                </c:pt>
              </c:numCache>
            </c:numRef>
          </c:val>
          <c:extLst>
            <c:ext xmlns:c16="http://schemas.microsoft.com/office/drawing/2014/chart" uri="{C3380CC4-5D6E-409C-BE32-E72D297353CC}">
              <c16:uniqueId val="{00000002-7F1E-4FC4-BEA1-B77E348CE8FC}"/>
            </c:ext>
          </c:extLst>
        </c:ser>
        <c:ser>
          <c:idx val="3"/>
          <c:order val="3"/>
          <c:tx>
            <c:strRef>
              <c:f>Реагирование!$F$29</c:f>
              <c:strCache>
                <c:ptCount val="1"/>
                <c:pt idx="0">
                  <c:v>КБ1</c:v>
                </c:pt>
              </c:strCache>
            </c:strRef>
          </c:tx>
          <c:spPr>
            <a:prstGeom prst="rect">
              <a:avLst/>
            </a:prstGeom>
            <a:ln w="19050" cap="rnd" cmpd="sng" algn="ctr">
              <a:solidFill>
                <a:schemeClr val="accent4"/>
              </a:solidFill>
              <a:prstDash val="solid"/>
              <a:round/>
            </a:ln>
          </c:spPr>
          <c:marker>
            <c:symbol val="none"/>
          </c:marker>
          <c:val>
            <c:numRef>
              <c:f>Реагирование!$F$39:$F$55</c:f>
              <c:numCache>
                <c:formatCode>General</c:formatCode>
                <c:ptCount val="17"/>
                <c:pt idx="0">
                  <c:v>1</c:v>
                </c:pt>
                <c:pt idx="1">
                  <c:v>1</c:v>
                </c:pt>
                <c:pt idx="2">
                  <c:v>0</c:v>
                </c:pt>
                <c:pt idx="3">
                  <c:v>0</c:v>
                </c:pt>
                <c:pt idx="5">
                  <c:v>0</c:v>
                </c:pt>
                <c:pt idx="6">
                  <c:v>0</c:v>
                </c:pt>
                <c:pt idx="7">
                  <c:v>0</c:v>
                </c:pt>
                <c:pt idx="8">
                  <c:v>1.6</c:v>
                </c:pt>
                <c:pt idx="9">
                  <c:v>1.6</c:v>
                </c:pt>
                <c:pt idx="11">
                  <c:v>0</c:v>
                </c:pt>
                <c:pt idx="12">
                  <c:v>1</c:v>
                </c:pt>
                <c:pt idx="13">
                  <c:v>3.2</c:v>
                </c:pt>
                <c:pt idx="14">
                  <c:v>1</c:v>
                </c:pt>
                <c:pt idx="15">
                  <c:v>0</c:v>
                </c:pt>
              </c:numCache>
            </c:numRef>
          </c:val>
          <c:extLst>
            <c:ext xmlns:c16="http://schemas.microsoft.com/office/drawing/2014/chart" uri="{C3380CC4-5D6E-409C-BE32-E72D297353CC}">
              <c16:uniqueId val="{00000003-7F1E-4FC4-BEA1-B77E348CE8FC}"/>
            </c:ext>
          </c:extLst>
        </c:ser>
        <c:dLbls>
          <c:showLegendKey val="0"/>
          <c:showVal val="0"/>
          <c:showCatName val="0"/>
          <c:showSerName val="0"/>
          <c:showPercent val="0"/>
          <c:showBubbleSize val="0"/>
        </c:dLbls>
        <c:axId val="1484479146"/>
        <c:axId val="762222233"/>
      </c:radarChart>
      <c:catAx>
        <c:axId val="1484479146"/>
        <c:scaling>
          <c:orientation val="minMax"/>
        </c:scaling>
        <c:delete val="0"/>
        <c:axPos val="b"/>
        <c:majorGridlines/>
        <c:numFmt formatCode="General" sourceLinked="1"/>
        <c:majorTickMark val="cross"/>
        <c:minorTickMark val="cross"/>
        <c:tickLblPos val="nextTo"/>
        <c:spPr>
          <a:prstGeom prst="rect">
            <a:avLst/>
          </a:prstGeom>
          <a:noFill/>
          <a:ln w="6350" cap="flat" cmpd="sng" algn="ctr">
            <a:solidFill>
              <a:schemeClr val="tx1"/>
            </a:solidFill>
            <a:prstDash val="solid"/>
            <a:round/>
          </a:ln>
        </c:spPr>
        <c:txPr>
          <a:bodyPr rot="0" spcFirstLastPara="1" vertOverflow="ellipsis" wrap="square" anchor="ctr" anchorCtr="1"/>
          <a:lstStyle/>
          <a:p>
            <a:pPr lvl="0">
              <a:defRPr sz="900" b="0" i="0" u="none" strike="noStrike">
                <a:solidFill>
                  <a:srgbClr val="595959"/>
                </a:solidFill>
                <a:latin typeface="+mn-lt"/>
                <a:ea typeface="+mn-ea"/>
                <a:cs typeface="+mn-cs"/>
              </a:defRPr>
            </a:pPr>
            <a:endParaRPr lang="ru-RU"/>
          </a:p>
        </c:txPr>
        <c:crossAx val="762222233"/>
        <c:crosses val="autoZero"/>
        <c:auto val="1"/>
        <c:lblAlgn val="ctr"/>
        <c:lblOffset val="100"/>
        <c:noMultiLvlLbl val="1"/>
      </c:catAx>
      <c:valAx>
        <c:axId val="762222233"/>
        <c:scaling>
          <c:orientation val="minMax"/>
        </c:scaling>
        <c:delete val="0"/>
        <c:axPos val="l"/>
        <c:majorGridlines>
          <c:spPr>
            <a:prstGeom prst="rect">
              <a:avLst/>
            </a:prstGeom>
            <a:ln w="6350" cap="flat" cmpd="sng" algn="ctr">
              <a:solidFill>
                <a:srgbClr val="D9D9D9"/>
              </a:solidFill>
              <a:prstDash val="solid"/>
              <a:round/>
            </a:ln>
          </c:spPr>
        </c:majorGridlines>
        <c:numFmt formatCode="General" sourceLinked="1"/>
        <c:majorTickMark val="cross"/>
        <c:minorTickMark val="cross"/>
        <c:tickLblPos val="nextTo"/>
        <c:spPr>
          <a:prstGeom prst="rect">
            <a:avLst/>
          </a:prstGeom>
          <a:noFill/>
          <a:ln w="47625" cap="flat" cmpd="sng" algn="ctr">
            <a:noFill/>
            <a:prstDash val="solid"/>
            <a:round/>
          </a:ln>
        </c:spPr>
        <c:txPr>
          <a:bodyPr rot="-60000000" spcFirstLastPara="1" vertOverflow="ellipsis" vert="horz" wrap="square" anchor="ctr" anchorCtr="1"/>
          <a:lstStyle/>
          <a:p>
            <a:pPr lvl="0">
              <a:defRPr sz="900" b="0" i="0" u="none" strike="noStrike">
                <a:solidFill>
                  <a:srgbClr val="595959"/>
                </a:solidFill>
                <a:latin typeface="+mn-lt"/>
                <a:ea typeface="+mn-ea"/>
                <a:cs typeface="+mn-cs"/>
              </a:defRPr>
            </a:pPr>
            <a:endParaRPr lang="ru-RU"/>
          </a:p>
        </c:txPr>
        <c:crossAx val="1484479146"/>
        <c:crosses val="autoZero"/>
        <c:crossBetween val="between"/>
      </c:valAx>
      <c:spPr>
        <a:prstGeom prst="rect">
          <a:avLst/>
        </a:prstGeom>
        <a:solidFill>
          <a:srgbClr val="FFFFFF"/>
        </a:solidFill>
        <a:ln>
          <a:noFill/>
        </a:ln>
      </c:spPr>
    </c:plotArea>
    <c:plotVisOnly val="1"/>
    <c:dispBlanksAs val="zero"/>
    <c:showDLblsOverMax val="1"/>
  </c:chart>
  <c:spPr>
    <a:xfrm>
      <a:off x="0" y="0"/>
      <a:ext cx="0" cy="0"/>
    </a:xfrm>
    <a:prstGeom prst="rect">
      <a:avLst/>
    </a:prstGeom>
    <a:solidFill>
      <a:srgbClr val="FFFFFF"/>
    </a:solidFill>
    <a:ln w="6350" cap="flat" cmpd="sng" algn="ctr">
      <a:solidFill>
        <a:schemeClr val="tx1">
          <a:tint val="75000"/>
        </a:schemeClr>
      </a:solidFill>
      <a:prstDash val="solid"/>
      <a:round/>
    </a:ln>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1166"/>
          <c:y val="6.1476999999999997E-2"/>
          <c:w val="0.239259"/>
          <c:h val="0.88886299999999996"/>
        </c:manualLayout>
      </c:layout>
      <c:radarChart>
        <c:radarStyle val="marker"/>
        <c:varyColors val="1"/>
        <c:ser>
          <c:idx val="3"/>
          <c:order val="0"/>
          <c:tx>
            <c:strRef>
              <c:f>Восстановление!$D$26</c:f>
              <c:strCache>
                <c:ptCount val="1"/>
                <c:pt idx="0">
                  <c:v>КБ3</c:v>
                </c:pt>
              </c:strCache>
            </c:strRef>
          </c:tx>
          <c:spPr>
            <a:prstGeom prst="rect">
              <a:avLst/>
            </a:prstGeom>
            <a:ln w="19050" cap="rnd" cmpd="sng" algn="ctr">
              <a:solidFill>
                <a:srgbClr val="92D050"/>
              </a:solidFill>
              <a:prstDash val="solid"/>
              <a:round/>
            </a:ln>
          </c:spPr>
          <c:marker>
            <c:symbol val="none"/>
          </c:marker>
          <c:cat>
            <c:strRef>
              <c:f>Восстановление!$C$27:$C$43</c:f>
              <c:strCache>
                <c:ptCount val="17"/>
                <c:pt idx="0">
                  <c:v>ПЛН</c:v>
                </c:pt>
                <c:pt idx="1">
                  <c:v>КМНК</c:v>
                </c:pt>
                <c:pt idx="4">
                  <c:v>ПЛН</c:v>
                </c:pt>
                <c:pt idx="5">
                  <c:v>ВССТ.ПЛН.1</c:v>
                </c:pt>
                <c:pt idx="6">
                  <c:v>ВССТ.ПЛН.2</c:v>
                </c:pt>
                <c:pt idx="7">
                  <c:v>ВССТ.ПЛН.3</c:v>
                </c:pt>
                <c:pt idx="8">
                  <c:v>ВССТ.ПЛН.4</c:v>
                </c:pt>
                <c:pt idx="9">
                  <c:v>ВССТ.ПЛН.5</c:v>
                </c:pt>
                <c:pt idx="10">
                  <c:v>ВССТ.ПЛН.6</c:v>
                </c:pt>
                <c:pt idx="11">
                  <c:v>ВССТ.ПЛН.7</c:v>
                </c:pt>
                <c:pt idx="12">
                  <c:v>ВССТ.ПЛН.8</c:v>
                </c:pt>
                <c:pt idx="13">
                  <c:v>ВССТ.ПЛН.9</c:v>
                </c:pt>
                <c:pt idx="14">
                  <c:v>КМНК</c:v>
                </c:pt>
                <c:pt idx="15">
                  <c:v>ВССТ.КМНК.1</c:v>
                </c:pt>
                <c:pt idx="16">
                  <c:v>ВССТ.КМНК.2</c:v>
                </c:pt>
              </c:strCache>
            </c:strRef>
          </c:cat>
          <c:val>
            <c:numRef>
              <c:f>Восстановление!$D$27:$D$43</c:f>
              <c:numCache>
                <c:formatCode>0.00</c:formatCode>
                <c:ptCount val="17"/>
                <c:pt idx="0">
                  <c:v>5</c:v>
                </c:pt>
                <c:pt idx="1">
                  <c:v>5</c:v>
                </c:pt>
                <c:pt idx="5" formatCode="General">
                  <c:v>5</c:v>
                </c:pt>
                <c:pt idx="6" formatCode="General">
                  <c:v>5</c:v>
                </c:pt>
                <c:pt idx="7" formatCode="General">
                  <c:v>5</c:v>
                </c:pt>
                <c:pt idx="8" formatCode="General">
                  <c:v>5</c:v>
                </c:pt>
                <c:pt idx="9" formatCode="General">
                  <c:v>5</c:v>
                </c:pt>
                <c:pt idx="10" formatCode="General">
                  <c:v>5</c:v>
                </c:pt>
                <c:pt idx="11" formatCode="General">
                  <c:v>5</c:v>
                </c:pt>
                <c:pt idx="12" formatCode="General">
                  <c:v>5</c:v>
                </c:pt>
                <c:pt idx="13" formatCode="General">
                  <c:v>5</c:v>
                </c:pt>
                <c:pt idx="15" formatCode="General">
                  <c:v>5</c:v>
                </c:pt>
                <c:pt idx="16" formatCode="General">
                  <c:v>5</c:v>
                </c:pt>
              </c:numCache>
            </c:numRef>
          </c:val>
          <c:extLst>
            <c:ext xmlns:c16="http://schemas.microsoft.com/office/drawing/2014/chart" uri="{C3380CC4-5D6E-409C-BE32-E72D297353CC}">
              <c16:uniqueId val="{00000000-5E94-480F-B5E2-EF77F4CCD674}"/>
            </c:ext>
          </c:extLst>
        </c:ser>
        <c:ser>
          <c:idx val="2"/>
          <c:order val="1"/>
          <c:tx>
            <c:strRef>
              <c:f>Восстановление!$E$26</c:f>
              <c:strCache>
                <c:ptCount val="1"/>
                <c:pt idx="0">
                  <c:v>КБ2</c:v>
                </c:pt>
              </c:strCache>
            </c:strRef>
          </c:tx>
          <c:spPr>
            <a:prstGeom prst="rect">
              <a:avLst/>
            </a:prstGeom>
            <a:ln w="19050" cap="rnd" cmpd="sng" algn="ctr">
              <a:solidFill>
                <a:schemeClr val="accent3"/>
              </a:solidFill>
              <a:prstDash val="solid"/>
              <a:round/>
            </a:ln>
          </c:spPr>
          <c:marker>
            <c:symbol val="none"/>
          </c:marker>
          <c:cat>
            <c:strRef>
              <c:f>Восстановление!$C$27:$C$43</c:f>
              <c:strCache>
                <c:ptCount val="17"/>
                <c:pt idx="0">
                  <c:v>ПЛН</c:v>
                </c:pt>
                <c:pt idx="1">
                  <c:v>КМНК</c:v>
                </c:pt>
                <c:pt idx="4">
                  <c:v>ПЛН</c:v>
                </c:pt>
                <c:pt idx="5">
                  <c:v>ВССТ.ПЛН.1</c:v>
                </c:pt>
                <c:pt idx="6">
                  <c:v>ВССТ.ПЛН.2</c:v>
                </c:pt>
                <c:pt idx="7">
                  <c:v>ВССТ.ПЛН.3</c:v>
                </c:pt>
                <c:pt idx="8">
                  <c:v>ВССТ.ПЛН.4</c:v>
                </c:pt>
                <c:pt idx="9">
                  <c:v>ВССТ.ПЛН.5</c:v>
                </c:pt>
                <c:pt idx="10">
                  <c:v>ВССТ.ПЛН.6</c:v>
                </c:pt>
                <c:pt idx="11">
                  <c:v>ВССТ.ПЛН.7</c:v>
                </c:pt>
                <c:pt idx="12">
                  <c:v>ВССТ.ПЛН.8</c:v>
                </c:pt>
                <c:pt idx="13">
                  <c:v>ВССТ.ПЛН.9</c:v>
                </c:pt>
                <c:pt idx="14">
                  <c:v>КМНК</c:v>
                </c:pt>
                <c:pt idx="15">
                  <c:v>ВССТ.КМНК.1</c:v>
                </c:pt>
                <c:pt idx="16">
                  <c:v>ВССТ.КМНК.2</c:v>
                </c:pt>
              </c:strCache>
            </c:strRef>
          </c:cat>
          <c:val>
            <c:numRef>
              <c:f>Восстановление!$E$27:$E$43</c:f>
              <c:numCache>
                <c:formatCode>0.00</c:formatCode>
                <c:ptCount val="17"/>
                <c:pt idx="0">
                  <c:v>3.5999999999999996</c:v>
                </c:pt>
                <c:pt idx="1">
                  <c:v>1.6</c:v>
                </c:pt>
                <c:pt idx="5" formatCode="General">
                  <c:v>5</c:v>
                </c:pt>
                <c:pt idx="6" formatCode="General">
                  <c:v>5</c:v>
                </c:pt>
                <c:pt idx="7" formatCode="General">
                  <c:v>3.2</c:v>
                </c:pt>
                <c:pt idx="8" formatCode="General">
                  <c:v>3.2</c:v>
                </c:pt>
                <c:pt idx="9" formatCode="General">
                  <c:v>3.2</c:v>
                </c:pt>
                <c:pt idx="10" formatCode="General">
                  <c:v>3.2</c:v>
                </c:pt>
                <c:pt idx="11" formatCode="General">
                  <c:v>3.2</c:v>
                </c:pt>
                <c:pt idx="12" formatCode="General">
                  <c:v>3.2</c:v>
                </c:pt>
                <c:pt idx="13" formatCode="General">
                  <c:v>3.2</c:v>
                </c:pt>
                <c:pt idx="15" formatCode="General">
                  <c:v>3.2</c:v>
                </c:pt>
                <c:pt idx="16" formatCode="General">
                  <c:v>0</c:v>
                </c:pt>
              </c:numCache>
            </c:numRef>
          </c:val>
          <c:extLst>
            <c:ext xmlns:c16="http://schemas.microsoft.com/office/drawing/2014/chart" uri="{C3380CC4-5D6E-409C-BE32-E72D297353CC}">
              <c16:uniqueId val="{00000001-5E94-480F-B5E2-EF77F4CCD674}"/>
            </c:ext>
          </c:extLst>
        </c:ser>
        <c:ser>
          <c:idx val="0"/>
          <c:order val="2"/>
          <c:tx>
            <c:strRef>
              <c:f>Восстановление!$F$26</c:f>
              <c:strCache>
                <c:ptCount val="1"/>
                <c:pt idx="0">
                  <c:v>КБ1</c:v>
                </c:pt>
              </c:strCache>
            </c:strRef>
          </c:tx>
          <c:spPr>
            <a:prstGeom prst="rect">
              <a:avLst/>
            </a:prstGeom>
            <a:ln w="19050" cap="rnd" cmpd="sng" algn="ctr">
              <a:solidFill>
                <a:schemeClr val="accent4">
                  <a:lumMod val="60000"/>
                  <a:lumOff val="40000"/>
                </a:schemeClr>
              </a:solidFill>
              <a:prstDash val="solid"/>
              <a:round/>
            </a:ln>
          </c:spPr>
          <c:marker>
            <c:symbol val="none"/>
          </c:marker>
          <c:cat>
            <c:strRef>
              <c:f>Восстановление!$C$27:$C$43</c:f>
              <c:strCache>
                <c:ptCount val="17"/>
                <c:pt idx="0">
                  <c:v>ПЛН</c:v>
                </c:pt>
                <c:pt idx="1">
                  <c:v>КМНК</c:v>
                </c:pt>
                <c:pt idx="4">
                  <c:v>ПЛН</c:v>
                </c:pt>
                <c:pt idx="5">
                  <c:v>ВССТ.ПЛН.1</c:v>
                </c:pt>
                <c:pt idx="6">
                  <c:v>ВССТ.ПЛН.2</c:v>
                </c:pt>
                <c:pt idx="7">
                  <c:v>ВССТ.ПЛН.3</c:v>
                </c:pt>
                <c:pt idx="8">
                  <c:v>ВССТ.ПЛН.4</c:v>
                </c:pt>
                <c:pt idx="9">
                  <c:v>ВССТ.ПЛН.5</c:v>
                </c:pt>
                <c:pt idx="10">
                  <c:v>ВССТ.ПЛН.6</c:v>
                </c:pt>
                <c:pt idx="11">
                  <c:v>ВССТ.ПЛН.7</c:v>
                </c:pt>
                <c:pt idx="12">
                  <c:v>ВССТ.ПЛН.8</c:v>
                </c:pt>
                <c:pt idx="13">
                  <c:v>ВССТ.ПЛН.9</c:v>
                </c:pt>
                <c:pt idx="14">
                  <c:v>КМНК</c:v>
                </c:pt>
                <c:pt idx="15">
                  <c:v>ВССТ.КМНК.1</c:v>
                </c:pt>
                <c:pt idx="16">
                  <c:v>ВССТ.КМНК.2</c:v>
                </c:pt>
              </c:strCache>
            </c:strRef>
          </c:cat>
          <c:val>
            <c:numRef>
              <c:f>Восстановление!$F$27:$F$43</c:f>
              <c:numCache>
                <c:formatCode>0.00</c:formatCode>
                <c:ptCount val="17"/>
                <c:pt idx="0">
                  <c:v>1.0666666666666667</c:v>
                </c:pt>
                <c:pt idx="1">
                  <c:v>0</c:v>
                </c:pt>
                <c:pt idx="5" formatCode="General">
                  <c:v>0</c:v>
                </c:pt>
                <c:pt idx="6" formatCode="General">
                  <c:v>0</c:v>
                </c:pt>
                <c:pt idx="7" formatCode="General">
                  <c:v>0</c:v>
                </c:pt>
                <c:pt idx="8" formatCode="General">
                  <c:v>0</c:v>
                </c:pt>
                <c:pt idx="9" formatCode="General">
                  <c:v>3.2</c:v>
                </c:pt>
                <c:pt idx="10" formatCode="General">
                  <c:v>1.6</c:v>
                </c:pt>
                <c:pt idx="11" formatCode="General">
                  <c:v>1.6</c:v>
                </c:pt>
                <c:pt idx="12" formatCode="General">
                  <c:v>1.6</c:v>
                </c:pt>
                <c:pt idx="13" formatCode="General">
                  <c:v>1.6</c:v>
                </c:pt>
                <c:pt idx="15" formatCode="General">
                  <c:v>0</c:v>
                </c:pt>
                <c:pt idx="16" formatCode="General">
                  <c:v>0</c:v>
                </c:pt>
              </c:numCache>
            </c:numRef>
          </c:val>
          <c:extLst>
            <c:ext xmlns:c16="http://schemas.microsoft.com/office/drawing/2014/chart" uri="{C3380CC4-5D6E-409C-BE32-E72D297353CC}">
              <c16:uniqueId val="{00000002-5E94-480F-B5E2-EF77F4CCD674}"/>
            </c:ext>
          </c:extLst>
        </c:ser>
        <c:ser>
          <c:idx val="1"/>
          <c:order val="3"/>
          <c:tx>
            <c:strRef>
              <c:f>Восстановление!$K$26</c:f>
              <c:strCache>
                <c:ptCount val="1"/>
                <c:pt idx="0">
                  <c:v>Расчетный показатель </c:v>
                </c:pt>
              </c:strCache>
            </c:strRef>
          </c:tx>
          <c:spPr>
            <a:prstGeom prst="rect">
              <a:avLst/>
            </a:prstGeom>
            <a:ln>
              <a:solidFill>
                <a:srgbClr val="7030A0"/>
              </a:solidFill>
            </a:ln>
          </c:spPr>
          <c:marker>
            <c:symbol val="none"/>
          </c:marker>
          <c:cat>
            <c:strRef>
              <c:f>Восстановление!$C$27:$C$43</c:f>
              <c:strCache>
                <c:ptCount val="17"/>
                <c:pt idx="0">
                  <c:v>ПЛН</c:v>
                </c:pt>
                <c:pt idx="1">
                  <c:v>КМНК</c:v>
                </c:pt>
                <c:pt idx="4">
                  <c:v>ПЛН</c:v>
                </c:pt>
                <c:pt idx="5">
                  <c:v>ВССТ.ПЛН.1</c:v>
                </c:pt>
                <c:pt idx="6">
                  <c:v>ВССТ.ПЛН.2</c:v>
                </c:pt>
                <c:pt idx="7">
                  <c:v>ВССТ.ПЛН.3</c:v>
                </c:pt>
                <c:pt idx="8">
                  <c:v>ВССТ.ПЛН.4</c:v>
                </c:pt>
                <c:pt idx="9">
                  <c:v>ВССТ.ПЛН.5</c:v>
                </c:pt>
                <c:pt idx="10">
                  <c:v>ВССТ.ПЛН.6</c:v>
                </c:pt>
                <c:pt idx="11">
                  <c:v>ВССТ.ПЛН.7</c:v>
                </c:pt>
                <c:pt idx="12">
                  <c:v>ВССТ.ПЛН.8</c:v>
                </c:pt>
                <c:pt idx="13">
                  <c:v>ВССТ.ПЛН.9</c:v>
                </c:pt>
                <c:pt idx="14">
                  <c:v>КМНК</c:v>
                </c:pt>
                <c:pt idx="15">
                  <c:v>ВССТ.КМНК.1</c:v>
                </c:pt>
                <c:pt idx="16">
                  <c:v>ВССТ.КМНК.2</c:v>
                </c:pt>
              </c:strCache>
            </c:strRef>
          </c:cat>
          <c:val>
            <c:numRef>
              <c:f>Восстановление!$K$27:$K$43</c:f>
              <c:numCache>
                <c:formatCode>0.00</c:formatCode>
                <c:ptCount val="17"/>
                <c:pt idx="0">
                  <c:v>5</c:v>
                </c:pt>
                <c:pt idx="1">
                  <c:v>5</c:v>
                </c:pt>
                <c:pt idx="5" formatCode="General">
                  <c:v>5</c:v>
                </c:pt>
                <c:pt idx="6" formatCode="General">
                  <c:v>5</c:v>
                </c:pt>
                <c:pt idx="7" formatCode="General">
                  <c:v>5</c:v>
                </c:pt>
                <c:pt idx="8" formatCode="General">
                  <c:v>5</c:v>
                </c:pt>
                <c:pt idx="9" formatCode="General">
                  <c:v>5</c:v>
                </c:pt>
                <c:pt idx="10" formatCode="General">
                  <c:v>5</c:v>
                </c:pt>
                <c:pt idx="11" formatCode="General">
                  <c:v>5</c:v>
                </c:pt>
                <c:pt idx="12" formatCode="General">
                  <c:v>5</c:v>
                </c:pt>
                <c:pt idx="13" formatCode="General">
                  <c:v>5</c:v>
                </c:pt>
                <c:pt idx="15" formatCode="General">
                  <c:v>5</c:v>
                </c:pt>
                <c:pt idx="16" formatCode="General">
                  <c:v>5</c:v>
                </c:pt>
              </c:numCache>
            </c:numRef>
          </c:val>
          <c:extLst>
            <c:ext xmlns:c16="http://schemas.microsoft.com/office/drawing/2014/chart" uri="{C3380CC4-5D6E-409C-BE32-E72D297353CC}">
              <c16:uniqueId val="{00000003-5E94-480F-B5E2-EF77F4CCD674}"/>
            </c:ext>
          </c:extLst>
        </c:ser>
        <c:ser>
          <c:idx val="4"/>
          <c:order val="4"/>
          <c:tx>
            <c:strRef>
              <c:f>Восстановление!$L$26</c:f>
              <c:strCache>
                <c:ptCount val="1"/>
                <c:pt idx="0">
                  <c:v>Текущий показатель</c:v>
                </c:pt>
              </c:strCache>
            </c:strRef>
          </c:tx>
          <c:marker>
            <c:symbol val="none"/>
          </c:marker>
          <c:cat>
            <c:strRef>
              <c:f>Восстановление!$C$27:$C$43</c:f>
              <c:strCache>
                <c:ptCount val="17"/>
                <c:pt idx="0">
                  <c:v>ПЛН</c:v>
                </c:pt>
                <c:pt idx="1">
                  <c:v>КМНК</c:v>
                </c:pt>
                <c:pt idx="4">
                  <c:v>ПЛН</c:v>
                </c:pt>
                <c:pt idx="5">
                  <c:v>ВССТ.ПЛН.1</c:v>
                </c:pt>
                <c:pt idx="6">
                  <c:v>ВССТ.ПЛН.2</c:v>
                </c:pt>
                <c:pt idx="7">
                  <c:v>ВССТ.ПЛН.3</c:v>
                </c:pt>
                <c:pt idx="8">
                  <c:v>ВССТ.ПЛН.4</c:v>
                </c:pt>
                <c:pt idx="9">
                  <c:v>ВССТ.ПЛН.5</c:v>
                </c:pt>
                <c:pt idx="10">
                  <c:v>ВССТ.ПЛН.6</c:v>
                </c:pt>
                <c:pt idx="11">
                  <c:v>ВССТ.ПЛН.7</c:v>
                </c:pt>
                <c:pt idx="12">
                  <c:v>ВССТ.ПЛН.8</c:v>
                </c:pt>
                <c:pt idx="13">
                  <c:v>ВССТ.ПЛН.9</c:v>
                </c:pt>
                <c:pt idx="14">
                  <c:v>КМНК</c:v>
                </c:pt>
                <c:pt idx="15">
                  <c:v>ВССТ.КМНК.1</c:v>
                </c:pt>
                <c:pt idx="16">
                  <c:v>ВССТ.КМНК.2</c:v>
                </c:pt>
              </c:strCache>
            </c:strRef>
          </c:cat>
          <c:val>
            <c:numRef>
              <c:f>Восстановление!$L$27:$L$43</c:f>
              <c:numCache>
                <c:formatCode>0.00</c:formatCode>
                <c:ptCount val="17"/>
                <c:pt idx="0">
                  <c:v>0</c:v>
                </c:pt>
                <c:pt idx="1">
                  <c:v>0</c:v>
                </c:pt>
                <c:pt idx="5" formatCode="General">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5" formatCode="General">
                  <c:v>0</c:v>
                </c:pt>
                <c:pt idx="16" formatCode="General">
                  <c:v>0</c:v>
                </c:pt>
              </c:numCache>
            </c:numRef>
          </c:val>
          <c:extLst>
            <c:ext xmlns:c16="http://schemas.microsoft.com/office/drawing/2014/chart" uri="{C3380CC4-5D6E-409C-BE32-E72D297353CC}">
              <c16:uniqueId val="{00000004-5E94-480F-B5E2-EF77F4CCD674}"/>
            </c:ext>
          </c:extLst>
        </c:ser>
        <c:dLbls>
          <c:showLegendKey val="0"/>
          <c:showVal val="0"/>
          <c:showCatName val="0"/>
          <c:showSerName val="0"/>
          <c:showPercent val="0"/>
          <c:showBubbleSize val="0"/>
        </c:dLbls>
        <c:axId val="326545734"/>
        <c:axId val="89379302"/>
      </c:radarChart>
      <c:catAx>
        <c:axId val="326545734"/>
        <c:scaling>
          <c:orientation val="minMax"/>
        </c:scaling>
        <c:delete val="0"/>
        <c:axPos val="b"/>
        <c:majorGridlines/>
        <c:numFmt formatCode="General" sourceLinked="1"/>
        <c:majorTickMark val="cross"/>
        <c:minorTickMark val="cross"/>
        <c:tickLblPos val="nextTo"/>
        <c:spPr>
          <a:prstGeom prst="rect">
            <a:avLst/>
          </a:prstGeom>
          <a:noFill/>
          <a:ln w="6350" cap="flat" cmpd="sng" algn="ctr">
            <a:solidFill>
              <a:schemeClr val="tx1"/>
            </a:solidFill>
            <a:prstDash val="solid"/>
            <a:round/>
          </a:ln>
        </c:spPr>
        <c:txPr>
          <a:bodyPr rot="0" spcFirstLastPara="1" vertOverflow="ellipsis" wrap="square" anchor="ctr" anchorCtr="1"/>
          <a:lstStyle/>
          <a:p>
            <a:pPr lvl="0">
              <a:defRPr sz="900" b="0" i="0" u="none" strike="noStrike">
                <a:solidFill>
                  <a:srgbClr val="595959"/>
                </a:solidFill>
                <a:latin typeface="+mn-lt"/>
                <a:ea typeface="+mn-ea"/>
                <a:cs typeface="+mn-cs"/>
              </a:defRPr>
            </a:pPr>
            <a:endParaRPr lang="ru-RU"/>
          </a:p>
        </c:txPr>
        <c:crossAx val="89379302"/>
        <c:crosses val="autoZero"/>
        <c:auto val="1"/>
        <c:lblAlgn val="ctr"/>
        <c:lblOffset val="100"/>
        <c:noMultiLvlLbl val="1"/>
      </c:catAx>
      <c:valAx>
        <c:axId val="89379302"/>
        <c:scaling>
          <c:orientation val="minMax"/>
        </c:scaling>
        <c:delete val="0"/>
        <c:axPos val="l"/>
        <c:majorGridlines>
          <c:spPr>
            <a:prstGeom prst="rect">
              <a:avLst/>
            </a:prstGeom>
            <a:ln w="6350" cap="flat" cmpd="sng" algn="ctr">
              <a:solidFill>
                <a:srgbClr val="D9D9D9"/>
              </a:solidFill>
              <a:prstDash val="solid"/>
              <a:round/>
            </a:ln>
          </c:spPr>
        </c:majorGridlines>
        <c:numFmt formatCode="0.00" sourceLinked="1"/>
        <c:majorTickMark val="cross"/>
        <c:minorTickMark val="cross"/>
        <c:tickLblPos val="nextTo"/>
        <c:spPr>
          <a:prstGeom prst="rect">
            <a:avLst/>
          </a:prstGeom>
          <a:noFill/>
          <a:ln w="47625" cap="flat" cmpd="sng" algn="ctr">
            <a:noFill/>
            <a:prstDash val="solid"/>
            <a:round/>
          </a:ln>
        </c:spPr>
        <c:txPr>
          <a:bodyPr rot="-60000000" spcFirstLastPara="1" vertOverflow="ellipsis" vert="horz" wrap="square" anchor="ctr" anchorCtr="1"/>
          <a:lstStyle/>
          <a:p>
            <a:pPr lvl="0">
              <a:defRPr sz="900" b="0" i="0" u="none" strike="noStrike">
                <a:solidFill>
                  <a:srgbClr val="595959"/>
                </a:solidFill>
                <a:latin typeface="+mn-lt"/>
                <a:ea typeface="+mn-ea"/>
                <a:cs typeface="+mn-cs"/>
              </a:defRPr>
            </a:pPr>
            <a:endParaRPr lang="ru-RU"/>
          </a:p>
        </c:txPr>
        <c:crossAx val="326545734"/>
        <c:crosses val="autoZero"/>
        <c:crossBetween val="between"/>
      </c:valAx>
      <c:spPr>
        <a:prstGeom prst="rect">
          <a:avLst/>
        </a:prstGeom>
        <a:solidFill>
          <a:srgbClr val="FFFFFF"/>
        </a:solidFill>
        <a:ln>
          <a:noFill/>
        </a:ln>
      </c:spPr>
    </c:plotArea>
    <c:legend>
      <c:legendPos val="r"/>
      <c:overlay val="0"/>
    </c:legend>
    <c:plotVisOnly val="1"/>
    <c:dispBlanksAs val="zero"/>
    <c:showDLblsOverMax val="1"/>
  </c:chart>
  <c:spPr>
    <a:xfrm>
      <a:off x="0" y="0"/>
      <a:ext cx="0" cy="0"/>
    </a:xfrm>
    <a:prstGeom prst="rect">
      <a:avLst/>
    </a:prstGeom>
    <a:solidFill>
      <a:srgbClr val="FFFFFF"/>
    </a:solidFill>
    <a:ln w="6350" cap="flat" cmpd="sng" algn="ctr">
      <a:solidFill>
        <a:schemeClr val="tx1">
          <a:tint val="75000"/>
        </a:schemeClr>
      </a:solidFill>
      <a:prstDash val="solid"/>
      <a:round/>
    </a:ln>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MarkerLayout/>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460887</xdr:colOff>
      <xdr:row>0</xdr:row>
      <xdr:rowOff>12291</xdr:rowOff>
    </xdr:from>
    <xdr:to>
      <xdr:col>2</xdr:col>
      <xdr:colOff>713511</xdr:colOff>
      <xdr:row>7</xdr:row>
      <xdr:rowOff>104258</xdr:rowOff>
    </xdr:to>
    <xdr:pic>
      <xdr:nvPicPr>
        <xdr:cNvPr id="4" name="Рисунок 4">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stretch/>
      </xdr:blipFill>
      <xdr:spPr bwMode="auto">
        <a:xfrm>
          <a:off x="460887" y="12291"/>
          <a:ext cx="1610705" cy="14684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328600</xdr:colOff>
      <xdr:row>4</xdr:row>
      <xdr:rowOff>65330</xdr:rowOff>
    </xdr:from>
    <xdr:to>
      <xdr:col>19</xdr:col>
      <xdr:colOff>457200</xdr:colOff>
      <xdr:row>43</xdr:row>
      <xdr:rowOff>43874</xdr:rowOff>
    </xdr:to>
    <xdr:graphicFrame macro="">
      <xdr:nvGraphicFramePr>
        <xdr:cNvPr id="4" name="Chart 1">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175260</xdr:colOff>
      <xdr:row>0</xdr:row>
      <xdr:rowOff>0</xdr:rowOff>
    </xdr:from>
    <xdr:to>
      <xdr:col>2</xdr:col>
      <xdr:colOff>157842</xdr:colOff>
      <xdr:row>2</xdr:row>
      <xdr:rowOff>429336</xdr:rowOff>
    </xdr:to>
    <xdr:pic>
      <xdr:nvPicPr>
        <xdr:cNvPr id="5" name="Рисунок 2">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2"/>
        <a:stretch/>
      </xdr:blipFill>
      <xdr:spPr bwMode="auto">
        <a:xfrm>
          <a:off x="175260" y="0"/>
          <a:ext cx="1599111" cy="1457913"/>
        </a:xfrm>
        <a:prstGeom prst="rect">
          <a:avLst/>
        </a:prstGeom>
      </xdr:spPr>
    </xdr:pic>
    <xdr:clientData/>
  </xdr:twoCellAnchor>
  <xdr:twoCellAnchor>
    <xdr:from>
      <xdr:col>19</xdr:col>
      <xdr:colOff>704274</xdr:colOff>
      <xdr:row>11</xdr:row>
      <xdr:rowOff>0</xdr:rowOff>
    </xdr:from>
    <xdr:to>
      <xdr:col>26</xdr:col>
      <xdr:colOff>127002</xdr:colOff>
      <xdr:row>32</xdr:row>
      <xdr:rowOff>196272</xdr:rowOff>
    </xdr:to>
    <xdr:graphicFrame macro="">
      <xdr:nvGraphicFramePr>
        <xdr:cNvPr id="6" name="Диаграмма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128994</xdr:colOff>
      <xdr:row>5</xdr:row>
      <xdr:rowOff>72572</xdr:rowOff>
    </xdr:from>
    <xdr:to>
      <xdr:col>11</xdr:col>
      <xdr:colOff>1217387</xdr:colOff>
      <xdr:row>38</xdr:row>
      <xdr:rowOff>57727</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148045</xdr:colOff>
      <xdr:row>1</xdr:row>
      <xdr:rowOff>21772</xdr:rowOff>
    </xdr:from>
    <xdr:to>
      <xdr:col>9</xdr:col>
      <xdr:colOff>508000</xdr:colOff>
      <xdr:row>36</xdr:row>
      <xdr:rowOff>32658</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647699</xdr:colOff>
      <xdr:row>1</xdr:row>
      <xdr:rowOff>21772</xdr:rowOff>
    </xdr:from>
    <xdr:to>
      <xdr:col>12</xdr:col>
      <xdr:colOff>38099</xdr:colOff>
      <xdr:row>36</xdr:row>
      <xdr:rowOff>32658</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76200</xdr:colOff>
      <xdr:row>2</xdr:row>
      <xdr:rowOff>9525</xdr:rowOff>
    </xdr:from>
    <xdr:to>
      <xdr:col>7</xdr:col>
      <xdr:colOff>787399</xdr:colOff>
      <xdr:row>24</xdr:row>
      <xdr:rowOff>85725</xdr:rowOff>
    </xdr:to>
    <xdr:graphicFrame macro="">
      <xdr:nvGraphicFramePr>
        <xdr:cNvPr id="4" name="Chart 2">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57150</xdr:colOff>
      <xdr:row>2</xdr:row>
      <xdr:rowOff>47625</xdr:rowOff>
    </xdr:from>
    <xdr:to>
      <xdr:col>12</xdr:col>
      <xdr:colOff>15875</xdr:colOff>
      <xdr:row>33</xdr:row>
      <xdr:rowOff>174623</xdr:rowOff>
    </xdr:to>
    <xdr:graphicFrame macro="">
      <xdr:nvGraphicFramePr>
        <xdr:cNvPr id="4" name="Chart 4">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179615</xdr:colOff>
      <xdr:row>2</xdr:row>
      <xdr:rowOff>0</xdr:rowOff>
    </xdr:from>
    <xdr:to>
      <xdr:col>7</xdr:col>
      <xdr:colOff>772885</xdr:colOff>
      <xdr:row>26</xdr:row>
      <xdr:rowOff>76200</xdr:rowOff>
    </xdr:to>
    <xdr:graphicFrame macro="">
      <xdr:nvGraphicFramePr>
        <xdr:cNvPr id="4" name="Chart 6">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1</xdr:row>
      <xdr:rowOff>38100</xdr:rowOff>
    </xdr:from>
    <xdr:to>
      <xdr:col>6</xdr:col>
      <xdr:colOff>1131455</xdr:colOff>
      <xdr:row>19</xdr:row>
      <xdr:rowOff>150090</xdr:rowOff>
    </xdr:to>
    <xdr:graphicFrame macro="">
      <xdr:nvGraphicFramePr>
        <xdr:cNvPr id="4" name="Chart 5">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Expel">
  <a:themeElements>
    <a:clrScheme name="Expel_042817">
      <a:dk1>
        <a:srgbClr val="000000"/>
      </a:dk1>
      <a:lt1>
        <a:srgbClr val="FFFFFF"/>
      </a:lt1>
      <a:dk2>
        <a:srgbClr val="00AD50"/>
      </a:dk2>
      <a:lt2>
        <a:srgbClr val="E5E1E6"/>
      </a:lt2>
      <a:accent1>
        <a:srgbClr val="5576D1"/>
      </a:accent1>
      <a:accent2>
        <a:srgbClr val="AADB1E"/>
      </a:accent2>
      <a:accent3>
        <a:srgbClr val="E87722"/>
      </a:accent3>
      <a:accent4>
        <a:srgbClr val="981D97"/>
      </a:accent4>
      <a:accent5>
        <a:srgbClr val="545859"/>
      </a:accent5>
      <a:accent6>
        <a:srgbClr val="9EA2A2"/>
      </a:accent6>
      <a:hlink>
        <a:srgbClr val="00AD50"/>
      </a:hlink>
      <a:folHlink>
        <a:srgbClr val="00AD50"/>
      </a:folHlink>
    </a:clrScheme>
    <a:fontScheme name="Arial">
      <a:majorFont>
        <a:latin typeface="Arial"/>
        <a:ea typeface="Arial"/>
        <a:cs typeface="Arial"/>
      </a:majorFont>
      <a:minorFont>
        <a:latin typeface="Arial"/>
        <a:ea typeface="Arial"/>
        <a:cs typeface="Arial"/>
      </a:minorFont>
    </a:fontScheme>
    <a:fmtScheme name="Office Them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70C0"/>
  </sheetPr>
  <dimension ref="B2:M47"/>
  <sheetViews>
    <sheetView topLeftCell="A13" workbookViewId="0"/>
  </sheetViews>
  <sheetFormatPr defaultColWidth="10.59765625" defaultRowHeight="15.6"/>
  <cols>
    <col min="1" max="1" width="7" style="1" bestFit="1" customWidth="1"/>
    <col min="2" max="11" width="10.59765625" style="1" bestFit="1"/>
    <col min="12" max="12" width="8.5" style="1" bestFit="1" customWidth="1"/>
    <col min="13" max="13" width="10.59765625" style="1" bestFit="1"/>
    <col min="14" max="16384" width="10.59765625" style="1"/>
  </cols>
  <sheetData>
    <row r="2" spans="2:13" ht="15.6" customHeight="1">
      <c r="D2" s="673" t="s">
        <v>0</v>
      </c>
      <c r="E2" s="673"/>
      <c r="F2" s="673"/>
      <c r="G2" s="673"/>
      <c r="H2" s="673"/>
      <c r="I2" s="673"/>
      <c r="J2" s="673"/>
      <c r="K2" s="673"/>
      <c r="L2" s="673"/>
      <c r="M2" s="673"/>
    </row>
    <row r="3" spans="2:13" ht="15.6" customHeight="1">
      <c r="D3" s="673"/>
      <c r="E3" s="673"/>
      <c r="F3" s="673"/>
      <c r="G3" s="673"/>
      <c r="H3" s="673"/>
      <c r="I3" s="673"/>
      <c r="J3" s="673"/>
      <c r="K3" s="673"/>
      <c r="L3" s="673"/>
      <c r="M3" s="673"/>
    </row>
    <row r="4" spans="2:13" ht="15.6" customHeight="1">
      <c r="D4" s="673"/>
      <c r="E4" s="673"/>
      <c r="F4" s="673"/>
      <c r="G4" s="673"/>
      <c r="H4" s="673"/>
      <c r="I4" s="673"/>
      <c r="J4" s="673"/>
      <c r="K4" s="673"/>
      <c r="L4" s="673"/>
      <c r="M4" s="673"/>
    </row>
    <row r="5" spans="2:13" ht="15.6" customHeight="1">
      <c r="D5" s="673"/>
      <c r="E5" s="673"/>
      <c r="F5" s="673"/>
      <c r="G5" s="673"/>
      <c r="H5" s="673"/>
      <c r="I5" s="673"/>
      <c r="J5" s="673"/>
      <c r="K5" s="673"/>
      <c r="L5" s="673"/>
      <c r="M5" s="673"/>
    </row>
    <row r="6" spans="2:13" ht="15.6" customHeight="1">
      <c r="D6" s="673"/>
      <c r="E6" s="673"/>
      <c r="F6" s="673"/>
      <c r="G6" s="673"/>
      <c r="H6" s="673"/>
      <c r="I6" s="673"/>
      <c r="J6" s="673"/>
      <c r="K6" s="673"/>
      <c r="L6" s="673"/>
      <c r="M6" s="673"/>
    </row>
    <row r="7" spans="2:13" ht="15.6" customHeight="1">
      <c r="D7" s="673"/>
      <c r="E7" s="673"/>
      <c r="F7" s="673"/>
      <c r="G7" s="673"/>
      <c r="H7" s="673"/>
      <c r="I7" s="673"/>
      <c r="J7" s="673"/>
      <c r="K7" s="673"/>
      <c r="L7" s="673"/>
      <c r="M7" s="673"/>
    </row>
    <row r="10" spans="2:13">
      <c r="B10" s="1" t="s">
        <v>1</v>
      </c>
    </row>
    <row r="13" spans="2:13">
      <c r="B13" s="1" t="s">
        <v>2</v>
      </c>
    </row>
    <row r="14" spans="2:13">
      <c r="B14" s="1" t="s">
        <v>3</v>
      </c>
    </row>
    <row r="15" spans="2:13">
      <c r="B15" s="1" t="s">
        <v>4</v>
      </c>
    </row>
    <row r="18" spans="2:2">
      <c r="B18" s="1" t="s">
        <v>5</v>
      </c>
    </row>
    <row r="19" spans="2:2">
      <c r="B19" s="2" t="s">
        <v>6</v>
      </c>
    </row>
    <row r="31" spans="2:2">
      <c r="B31" s="3"/>
    </row>
    <row r="37" spans="2:12">
      <c r="H37" s="2"/>
    </row>
    <row r="46" spans="2:12">
      <c r="B46" s="4"/>
      <c r="C46" s="5"/>
      <c r="D46" s="5"/>
      <c r="E46" s="5"/>
      <c r="F46" s="5"/>
      <c r="G46" s="5"/>
      <c r="H46" s="5"/>
      <c r="I46" s="5"/>
      <c r="J46" s="5"/>
      <c r="K46" s="5"/>
      <c r="L46" s="5"/>
    </row>
    <row r="47" spans="2:12" ht="43.35" customHeight="1">
      <c r="B47" s="674"/>
      <c r="C47" s="674"/>
      <c r="D47" s="674"/>
      <c r="E47" s="674"/>
      <c r="F47" s="674"/>
      <c r="G47" s="674"/>
      <c r="H47" s="674"/>
      <c r="I47" s="674"/>
      <c r="J47" s="674"/>
      <c r="K47" s="674"/>
      <c r="L47" s="674"/>
    </row>
  </sheetData>
  <mergeCells count="2">
    <mergeCell ref="D2:M7"/>
    <mergeCell ref="B47:L47"/>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tabColor indexed="2"/>
  </sheetPr>
  <dimension ref="A2:Z1001"/>
  <sheetViews>
    <sheetView zoomScale="55" zoomScaleNormal="55" workbookViewId="0">
      <selection activeCell="L3" sqref="L3:M3"/>
    </sheetView>
  </sheetViews>
  <sheetFormatPr defaultColWidth="11.09765625" defaultRowHeight="15" customHeight="1"/>
  <cols>
    <col min="1" max="11" width="10.5" style="6" bestFit="1" customWidth="1"/>
    <col min="12" max="12" width="10.5" style="6" customWidth="1"/>
    <col min="13" max="15" width="10.5" style="6" bestFit="1" customWidth="1"/>
    <col min="16" max="16" width="12.09765625" style="6" bestFit="1" customWidth="1"/>
    <col min="17" max="17" width="11.8984375" style="6" customWidth="1"/>
    <col min="18" max="19" width="10.5" style="6" bestFit="1" customWidth="1"/>
    <col min="20" max="20" width="9.69921875" style="6" customWidth="1"/>
    <col min="21" max="21" width="10.5" style="6" bestFit="1" customWidth="1"/>
    <col min="22" max="22" width="18.3984375" style="6" customWidth="1"/>
    <col min="23" max="23" width="10.5" style="6" customWidth="1"/>
    <col min="24" max="24" width="15.59765625" style="6" customWidth="1"/>
    <col min="25" max="25" width="10.5" style="6" customWidth="1"/>
    <col min="26" max="26" width="12.69921875" style="6" customWidth="1"/>
    <col min="27" max="16384" width="11.09765625" style="6"/>
  </cols>
  <sheetData>
    <row r="2" spans="1:26" ht="65.849999999999994" customHeight="1">
      <c r="A2" s="7"/>
      <c r="B2" s="7"/>
      <c r="C2" s="7"/>
      <c r="D2" s="675" t="s">
        <v>7</v>
      </c>
      <c r="E2" s="675"/>
      <c r="F2" s="675"/>
      <c r="G2" s="675"/>
      <c r="H2" s="675"/>
      <c r="I2" s="675"/>
      <c r="J2" s="675"/>
      <c r="K2" s="675"/>
      <c r="L2" s="676" t="s">
        <v>8</v>
      </c>
      <c r="M2" s="677"/>
      <c r="O2" s="678">
        <f>IF(ЦУКБ="кб 2", W3, IF(ЦУКБ="КБ 1", U3, Y3))</f>
        <v>0</v>
      </c>
      <c r="P2" s="679"/>
      <c r="Q2" s="679"/>
      <c r="R2" s="679"/>
      <c r="S2" s="680"/>
      <c r="U2" s="681" t="s">
        <v>9</v>
      </c>
      <c r="V2" s="682"/>
      <c r="W2" s="683" t="s">
        <v>10</v>
      </c>
      <c r="X2" s="684"/>
      <c r="Y2" s="685" t="s">
        <v>11</v>
      </c>
      <c r="Z2" s="686"/>
    </row>
    <row r="3" spans="1:26" ht="37.950000000000003" customHeight="1">
      <c r="L3" s="687" t="s">
        <v>12</v>
      </c>
      <c r="M3" s="688"/>
      <c r="O3" s="8"/>
      <c r="P3" s="9" t="s">
        <v>13</v>
      </c>
      <c r="Q3" s="10">
        <f ca="1">Расчет!M2</f>
        <v>46038</v>
      </c>
      <c r="R3" s="10"/>
      <c r="S3" s="11">
        <f>Расчет!M3</f>
        <v>0</v>
      </c>
      <c r="U3" s="689">
        <f>Расчет!T3</f>
        <v>0</v>
      </c>
      <c r="V3" s="690"/>
      <c r="W3" s="689">
        <f>Расчет!S3</f>
        <v>0</v>
      </c>
      <c r="X3" s="691"/>
      <c r="Y3" s="689">
        <f>Расчет!R3</f>
        <v>0</v>
      </c>
      <c r="Z3" s="690"/>
    </row>
    <row r="4" spans="1:26" ht="15.75" customHeight="1"/>
    <row r="5" spans="1:26" ht="15.75" customHeight="1"/>
    <row r="6" spans="1:26" ht="15.75" customHeight="1">
      <c r="V6" s="692"/>
      <c r="W6" s="693"/>
      <c r="X6" s="693"/>
      <c r="Y6" s="693"/>
      <c r="Z6" s="693"/>
    </row>
    <row r="7" spans="1:26" ht="15.75" customHeight="1">
      <c r="V7" s="692"/>
      <c r="W7" s="693"/>
      <c r="X7" s="693"/>
      <c r="Y7" s="693"/>
      <c r="Z7" s="693"/>
    </row>
    <row r="8" spans="1:26" ht="15.75" customHeight="1">
      <c r="U8" s="694"/>
      <c r="V8" s="696"/>
      <c r="W8" s="696"/>
      <c r="X8" s="696"/>
      <c r="Y8" s="696"/>
      <c r="Z8" s="696"/>
    </row>
    <row r="9" spans="1:26" ht="15.75" customHeight="1">
      <c r="U9" s="695"/>
      <c r="V9" s="696"/>
      <c r="W9" s="696"/>
      <c r="X9" s="696"/>
      <c r="Y9" s="696"/>
      <c r="Z9" s="696"/>
    </row>
    <row r="10" spans="1:26" ht="15.75" customHeight="1">
      <c r="V10" s="696"/>
      <c r="W10" s="696"/>
      <c r="X10" s="696"/>
      <c r="Y10" s="696"/>
      <c r="Z10" s="696"/>
    </row>
    <row r="11" spans="1:26" ht="27" customHeight="1">
      <c r="V11" s="696"/>
      <c r="W11" s="696"/>
      <c r="X11" s="696"/>
      <c r="Y11" s="696"/>
      <c r="Z11" s="696"/>
    </row>
    <row r="12" spans="1:26" ht="20.100000000000001" customHeight="1">
      <c r="V12" s="13"/>
      <c r="W12" s="13"/>
      <c r="X12" s="13"/>
      <c r="Y12" s="13"/>
      <c r="Z12" s="13"/>
    </row>
    <row r="13" spans="1:26" ht="15.75" customHeight="1">
      <c r="W13" s="13"/>
      <c r="X13" s="13"/>
      <c r="Y13" s="13"/>
      <c r="Z13" s="13"/>
    </row>
    <row r="14" spans="1:26" ht="15.75" customHeight="1">
      <c r="W14" s="13"/>
      <c r="X14" s="13"/>
      <c r="Y14" s="13"/>
      <c r="Z14" s="13"/>
    </row>
    <row r="15" spans="1:26" ht="15.75" customHeight="1">
      <c r="W15" s="13"/>
      <c r="X15" s="13"/>
      <c r="Y15" s="13"/>
      <c r="Z15" s="13"/>
    </row>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40.35" customHeight="1"/>
    <row r="27" ht="15.75" customHeight="1"/>
    <row r="28" ht="15.75" customHeight="1"/>
    <row r="29" ht="15.75" customHeight="1"/>
    <row r="30" ht="15.75" customHeight="1"/>
    <row r="31" ht="15.75" customHeight="1"/>
    <row r="32" ht="15.75" customHeight="1"/>
    <row r="33" spans="21:24" ht="28.35" customHeight="1"/>
    <row r="34" spans="21:24" ht="42.75" customHeight="1">
      <c r="U34" s="14" t="s">
        <v>14</v>
      </c>
      <c r="V34" s="697" t="s">
        <v>15</v>
      </c>
      <c r="W34" s="698"/>
      <c r="X34" s="699"/>
    </row>
    <row r="35" spans="21:24" ht="55.5" customHeight="1">
      <c r="U35" s="14" t="s">
        <v>14</v>
      </c>
      <c r="V35" s="697" t="s">
        <v>16</v>
      </c>
      <c r="W35" s="698"/>
      <c r="X35" s="699"/>
    </row>
    <row r="36" spans="21:24" ht="34.5" customHeight="1">
      <c r="U36" s="14" t="s">
        <v>14</v>
      </c>
      <c r="V36" s="697" t="s">
        <v>17</v>
      </c>
      <c r="W36" s="698"/>
      <c r="X36" s="699"/>
    </row>
    <row r="37" spans="21:24" ht="34.5" customHeight="1">
      <c r="U37" s="14" t="s">
        <v>14</v>
      </c>
      <c r="V37" s="697" t="s">
        <v>18</v>
      </c>
      <c r="W37" s="698"/>
      <c r="X37" s="699"/>
    </row>
    <row r="38" spans="21:24" ht="36" customHeight="1">
      <c r="U38" s="14" t="s">
        <v>14</v>
      </c>
      <c r="V38" s="697" t="s">
        <v>19</v>
      </c>
      <c r="W38" s="698"/>
      <c r="X38" s="699"/>
    </row>
    <row r="39" spans="21:24" ht="36.6" customHeight="1">
      <c r="U39" s="14" t="s">
        <v>14</v>
      </c>
      <c r="V39" s="697" t="s">
        <v>20</v>
      </c>
      <c r="W39" s="698"/>
      <c r="X39" s="699"/>
    </row>
    <row r="40" spans="21:24" ht="33.6" customHeight="1">
      <c r="U40" s="14" t="s">
        <v>14</v>
      </c>
      <c r="V40" s="697" t="s">
        <v>21</v>
      </c>
      <c r="W40" s="698"/>
      <c r="X40" s="699"/>
    </row>
    <row r="41" spans="21:24" ht="54.9" customHeight="1">
      <c r="U41" s="14" t="s">
        <v>14</v>
      </c>
      <c r="V41" s="697" t="s">
        <v>22</v>
      </c>
      <c r="W41" s="698"/>
      <c r="X41" s="699"/>
    </row>
    <row r="42" spans="21:24" ht="45.6" customHeight="1">
      <c r="U42" s="14" t="s">
        <v>14</v>
      </c>
      <c r="V42" s="697" t="s">
        <v>23</v>
      </c>
      <c r="W42" s="698"/>
      <c r="X42" s="699"/>
    </row>
    <row r="43" spans="21:24" ht="44.4" customHeight="1">
      <c r="U43" s="14" t="s">
        <v>14</v>
      </c>
      <c r="V43" s="697" t="s">
        <v>24</v>
      </c>
      <c r="W43" s="698"/>
      <c r="X43" s="699"/>
    </row>
    <row r="44" spans="21:24" ht="41.4" customHeight="1">
      <c r="U44" s="14" t="s">
        <v>25</v>
      </c>
      <c r="V44" s="697" t="s">
        <v>26</v>
      </c>
      <c r="W44" s="698"/>
      <c r="X44" s="699"/>
    </row>
    <row r="45" spans="21:24" ht="15.75" customHeight="1"/>
    <row r="46" spans="21:24" ht="15.75" customHeight="1"/>
    <row r="47" spans="21:24" ht="15.75" customHeight="1"/>
    <row r="48" spans="21: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sheetProtection algorithmName="SHA-512" hashValue="AIgJysbxabgbzaGsH235upxvzpfAHIA/4k44XeerE7jMasA8SE1TLtyHELBDDIEKx30P93n+8nLrOL/CgPKkNA==" saltValue="fOzHqInTi0eYM39yK4rmtQ==" spinCount="100000" sheet="1" objects="1" scenarios="1"/>
  <mergeCells count="25">
    <mergeCell ref="V40:X40"/>
    <mergeCell ref="V41:X41"/>
    <mergeCell ref="V42:X42"/>
    <mergeCell ref="V43:X43"/>
    <mergeCell ref="V44:X44"/>
    <mergeCell ref="V35:X35"/>
    <mergeCell ref="V36:X36"/>
    <mergeCell ref="V37:X37"/>
    <mergeCell ref="V38:X38"/>
    <mergeCell ref="V39:X39"/>
    <mergeCell ref="V6:V7"/>
    <mergeCell ref="W6:Z7"/>
    <mergeCell ref="U8:U9"/>
    <mergeCell ref="V8:Z11"/>
    <mergeCell ref="V34:X34"/>
    <mergeCell ref="Y2:Z2"/>
    <mergeCell ref="L3:M3"/>
    <mergeCell ref="U3:V3"/>
    <mergeCell ref="W3:X3"/>
    <mergeCell ref="Y3:Z3"/>
    <mergeCell ref="D2:K2"/>
    <mergeCell ref="L2:M2"/>
    <mergeCell ref="O2:S2"/>
    <mergeCell ref="U2:V2"/>
    <mergeCell ref="W2:X2"/>
  </mergeCells>
  <conditionalFormatting sqref="U34:U44">
    <cfRule type="cellIs" dxfId="77" priority="1" operator="equal">
      <formula>"нет"</formula>
    </cfRule>
    <cfRule type="cellIs" dxfId="76" priority="2" operator="equal">
      <formula>"да"</formula>
    </cfRule>
  </conditionalFormatting>
  <conditionalFormatting sqref="U3:V3">
    <cfRule type="dataBar" priority="11">
      <dataBar>
        <cfvo type="num" val="0"/>
        <cfvo type="num" val="1"/>
        <color theme="7" tint="0.79998168889431442"/>
      </dataBar>
      <extLst>
        <ext xmlns:x14="http://schemas.microsoft.com/office/spreadsheetml/2009/9/main" uri="{B025F937-C7B1-47D3-B67F-A62EFF666E3E}">
          <x14:id>{002F008A-00CD-427F-A6AA-0007004900AB}</x14:id>
        </ext>
      </extLst>
    </cfRule>
  </conditionalFormatting>
  <conditionalFormatting sqref="W3:X3">
    <cfRule type="dataBar" priority="10">
      <dataBar>
        <cfvo type="num" val="0"/>
        <cfvo type="num" val="1"/>
        <color rgb="FFFFC000"/>
      </dataBar>
      <extLst>
        <ext xmlns:x14="http://schemas.microsoft.com/office/spreadsheetml/2009/9/main" uri="{B025F937-C7B1-47D3-B67F-A62EFF666E3E}">
          <x14:id>{000D009D-009E-4F6A-A168-00DA00790071}</x14:id>
        </ext>
      </extLst>
    </cfRule>
  </conditionalFormatting>
  <conditionalFormatting sqref="Y3:Z3">
    <cfRule type="dataBar" priority="9">
      <dataBar>
        <cfvo type="num" val="0"/>
        <cfvo type="num" val="1"/>
        <color rgb="FF92D050"/>
      </dataBar>
      <extLst>
        <ext xmlns:x14="http://schemas.microsoft.com/office/spreadsheetml/2009/9/main" uri="{B025F937-C7B1-47D3-B67F-A62EFF666E3E}">
          <x14:id>{00FE00BA-00D7-46CC-984A-000C00430077}</x14:id>
        </ext>
      </extLst>
    </cfRule>
  </conditionalFormatting>
  <pageMargins left="0.7" right="0.7"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002F008A-00CD-427F-A6AA-0007004900AB}">
            <x14:dataBar minLength="0" maxLength="100" gradient="0">
              <x14:cfvo type="num">
                <xm:f>0</xm:f>
              </x14:cfvo>
              <x14:cfvo type="num">
                <xm:f>1</xm:f>
              </x14:cfvo>
              <x14:negativeFillColor indexed="2"/>
              <x14:axisColor indexed="64"/>
            </x14:dataBar>
          </x14:cfRule>
          <xm:sqref>U3:V3</xm:sqref>
        </x14:conditionalFormatting>
        <x14:conditionalFormatting xmlns:xm="http://schemas.microsoft.com/office/excel/2006/main">
          <x14:cfRule type="dataBar" id="{000D009D-009E-4F6A-A168-00DA00790071}">
            <x14:dataBar minLength="0" maxLength="100" gradient="0">
              <x14:cfvo type="num">
                <xm:f>0</xm:f>
              </x14:cfvo>
              <x14:cfvo type="num">
                <xm:f>1</xm:f>
              </x14:cfvo>
              <x14:negativeFillColor indexed="2"/>
              <x14:axisColor indexed="64"/>
            </x14:dataBar>
          </x14:cfRule>
          <xm:sqref>W3:X3</xm:sqref>
        </x14:conditionalFormatting>
        <x14:conditionalFormatting xmlns:xm="http://schemas.microsoft.com/office/excel/2006/main">
          <x14:cfRule type="dataBar" id="{00FE00BA-00D7-46CC-984A-000C00430077}">
            <x14:dataBar minLength="0" maxLength="100" gradient="0">
              <x14:cfvo type="num">
                <xm:f>0</xm:f>
              </x14:cfvo>
              <x14:cfvo type="num">
                <xm:f>1</xm:f>
              </x14:cfvo>
              <x14:negativeFillColor indexed="2"/>
              <x14:axisColor indexed="64"/>
            </x14:dataBar>
          </x14:cfRule>
          <xm:sqref>Y3:Z3</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'Условные сокращения'!$N$11:$N$12</xm:f>
          </x14:formula1>
          <xm:sqref>U34:U44</xm:sqref>
        </x14:dataValidation>
        <x14:dataValidation type="list" allowBlank="1" showInputMessage="1" showErrorMessage="1" xr:uid="{00000000-0002-0000-0100-000001000000}">
          <x14:formula1>
            <xm:f>'Условные сокращения'!$M$35:$M$37</xm:f>
          </x14:formula1>
          <xm:sqref>L3:M3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tabColor theme="0"/>
    <outlinePr summaryBelow="0" summaryRight="0"/>
  </sheetPr>
  <dimension ref="A1:U979"/>
  <sheetViews>
    <sheetView workbookViewId="0"/>
  </sheetViews>
  <sheetFormatPr defaultColWidth="11.09765625" defaultRowHeight="15" customHeight="1"/>
  <cols>
    <col min="1" max="1" width="19.59765625" customWidth="1"/>
    <col min="2" max="2" width="53.8984375" customWidth="1"/>
    <col min="3" max="5" width="16" customWidth="1"/>
    <col min="6" max="6" width="10.59765625" hidden="1" customWidth="1"/>
    <col min="7" max="7" width="14.09765625" hidden="1" customWidth="1"/>
    <col min="8" max="8" width="10.59765625" hidden="1" customWidth="1"/>
    <col min="9" max="9" width="14.8984375" hidden="1" customWidth="1"/>
    <col min="10" max="11" width="19.5" hidden="1" customWidth="1"/>
    <col min="12" max="13" width="19.5" customWidth="1"/>
    <col min="14" max="14" width="10.59765625" hidden="1" customWidth="1"/>
    <col min="15" max="15" width="15.09765625" hidden="1" customWidth="1"/>
    <col min="16" max="16" width="16.59765625" hidden="1" customWidth="1"/>
    <col min="17" max="17" width="4.59765625" customWidth="1"/>
    <col min="18" max="18" width="16.59765625" customWidth="1"/>
    <col min="19" max="19" width="17.59765625" customWidth="1"/>
    <col min="20" max="20" width="16.8984375" customWidth="1"/>
    <col min="21" max="23" width="10.5" bestFit="1" customWidth="1"/>
  </cols>
  <sheetData>
    <row r="1" spans="1:20" s="15" customFormat="1" ht="57.6" customHeight="1">
      <c r="C1" s="16" t="s">
        <v>11</v>
      </c>
      <c r="D1" s="17" t="s">
        <v>10</v>
      </c>
      <c r="E1" s="18" t="s">
        <v>9</v>
      </c>
      <c r="F1" s="706" t="s">
        <v>27</v>
      </c>
      <c r="G1" s="707"/>
      <c r="H1" s="19" t="s">
        <v>28</v>
      </c>
      <c r="I1" s="19" t="s">
        <v>29</v>
      </c>
      <c r="J1" s="20" t="s">
        <v>30</v>
      </c>
      <c r="K1" s="21" t="s">
        <v>31</v>
      </c>
      <c r="L1" s="22" t="s">
        <v>32</v>
      </c>
      <c r="M1" s="23" t="s">
        <v>33</v>
      </c>
      <c r="N1" s="711" t="s">
        <v>34</v>
      </c>
      <c r="O1" s="24"/>
      <c r="P1" s="700" t="s">
        <v>35</v>
      </c>
      <c r="R1" s="701" t="s">
        <v>36</v>
      </c>
      <c r="S1" s="702" t="s">
        <v>37</v>
      </c>
      <c r="T1" s="703" t="s">
        <v>38</v>
      </c>
    </row>
    <row r="2" spans="1:20" s="15" customFormat="1" ht="15.6">
      <c r="B2" t="s">
        <v>39</v>
      </c>
      <c r="C2" s="25"/>
      <c r="D2" s="26"/>
      <c r="E2" s="27"/>
      <c r="F2" s="28">
        <v>45017</v>
      </c>
      <c r="G2" s="28">
        <v>45291</v>
      </c>
      <c r="H2" s="28">
        <v>45444</v>
      </c>
      <c r="I2" s="28"/>
      <c r="J2" s="29"/>
      <c r="K2" s="30"/>
      <c r="L2" s="31"/>
      <c r="M2" s="32">
        <f ca="1">TODAY()</f>
        <v>46038</v>
      </c>
      <c r="N2" s="712"/>
      <c r="O2" s="24"/>
      <c r="P2" s="700"/>
      <c r="R2" s="701"/>
      <c r="S2" s="702"/>
      <c r="T2" s="703"/>
    </row>
    <row r="3" spans="1:20" s="33" customFormat="1" ht="47.85" customHeight="1">
      <c r="B3" s="34" t="s">
        <v>40</v>
      </c>
      <c r="C3" s="35">
        <f>AVERAGE(C4:C44)</f>
        <v>4.8651097784329487</v>
      </c>
      <c r="D3" s="36">
        <f>AVERAGE(D4:D44)</f>
        <v>3.6348620282156858</v>
      </c>
      <c r="E3" s="37">
        <f>AVERAGE(E4:E44)</f>
        <v>1.8501808591137865</v>
      </c>
      <c r="F3" s="38" t="e">
        <f>0.3*( SUM(F23+F24+F25+F26+F27*IF(СКЗИ="да",1,0))   /  (1+1+1+1+1*IF(СКЗИ="да",1,0))  )
+0.2*(SUM(F17+F18*IF(СКЗИ="да",1,0)+(F19+F20)*IF(КИИ="да",1,0)+F22*IF(КТ="да",1,0))  /  (1+1*IF(СКЗИ="да",1,0)+(2)*IF(КИИ="да",1,0)+1*IF(КТ="да",1,0)) )
+0.3*(SUM(F4,F21,F28,#REF!,F37,F38)/6)
+0.2*(SUM(F39:F44,F29:F36,F6:F14,F16,F5, F15*IF(БР="да",1,0)) / (25+1*IF(БР="да",1,0)))</f>
        <v>#REF!</v>
      </c>
      <c r="G3" s="38" t="e">
        <f>0.3*( SUM(G23+G24+G25+G26+G27*IF(СКЗИ="да",1,0))   /  (1+1+1+1+1*IF(СКЗИ="да",1,0))  )
+0.2*(SUM(G17+G18*IF(СКЗИ="да",1,0)+(G19+G20)*IF(КИИ="да",1,0)+G22*IF(КТ="да",1,0))  /  (1+1*IF(СКЗИ="да",1,0)+(2)*IF(КИИ="да",1,0)+1*IF(КТ="да",1,0)) )
+0.3*(SUM(G4,G21,G28,#REF!,G37,G38)/6)
+0.2*(SUM(G39:G44,G29:G36,G6:G14,G16,G5, G15*IF(БР="да",1,0)) / (25+1*IF(БР="да",1,0)))</f>
        <v>#REF!</v>
      </c>
      <c r="H3" s="38" t="e">
        <f>0.3*( SUM(H23+H24+H25+H26+H27*IF(СКЗИ="да",1,0))   /  (1+1+1+1+1*IF(СКЗИ="да",1,0))  )
+0.2*(SUM(H17+H18*IF(СКЗИ="да",1,0)+(H19+H20)*IF(КИИ="да",1,0)+H22*IF(КТ="да",1,0))  /  (1+1*IF(СКЗИ="да",1,0)+(2)*IF(КИИ="да",1,0)+1*IF(КТ="да",1,0)) )
+0.3*(SUM(H4,H21,H28,#REF!,H37,H38)/6)
+0.2*(SUM(H39:H44,H29:H36,H6:H14,H16,H5, H15*IF(БР="да",1,0)) / (25+1*IF(БР="да",1,0)))</f>
        <v>#REF!</v>
      </c>
      <c r="I3" s="38" t="e">
        <f>0.3*( SUM(I23+I24+I25+I26+I27*IF(СКЗИ="да",1,0))   /  (1+1+1+1+1*IF(СКЗИ="да",1,0))  )
+0.2*(SUM(I17+I18*IF(СКЗИ="да",1,0)+(I19+I20)*IF(КИИ="да",1,0)+I22*IF(КТ="да",1,0))  /  (1+1*IF(СКЗИ="да",1,0)+(2)*IF(КИИ="да",1,0)+1*IF(КТ="да",1,0)) )
+0.3*(SUM(I4,I21,I28,#REF!,I37,I38)/6)
+0.2*(SUM(I39:I44,I29:I36,I6:I14,I16,I5, I15*IF(БР="да",1,0)) / (25+1*IF(БР="да",1,0)))</f>
        <v>#REF!</v>
      </c>
      <c r="J3" s="39" t="e">
        <f>0.3*( SUM(J23+J24+J25+J26+J27*IF(СКЗИ="да",1,0))   /  (1+1+1+1+1*IF(СКЗИ="да",1,0))  )
+0.2*(SUM(J17+J18*IF(СКЗИ="да",1,0)+(J19+J20)*IF(КИИ="да",1,0)+J22*IF(КТ="да",1,0))  /  (1+1*IF(СКЗИ="да",1,0)+(2)*IF(КИИ="да",1,0)+1*IF(КТ="да",1,0)) )
+0.3*(SUM(J4,J21,J28,#REF!,J37,J38)/6)
+0.2*(SUM(J39:J44,J29:J36,J6:J14,J16,J5, J15*IF(БР="да",1,0)) / (25+1*IF(БР="да",1,0)))</f>
        <v>#REF!</v>
      </c>
      <c r="K3" s="40" t="e">
        <f>0.3*( SUM(K23+K24+K25+K26+K27*IF(СКЗИ="да",1,0))   /  (1+1+1+1+1*IF(СКЗИ="да",1,0))  )
+0.2*(SUM(K17+K18*IF(СКЗИ="да",1,0)+(K19+K20)*IF(КИИ="да",1,0)+K22*IF(КТ="да",1,0))  /  (1+1*IF(СКЗИ="да",1,0)+(2)*IF(КИИ="да",1,0)+1*IF(КТ="да",1,0)) )
+0.3*(SUM(K4,K21,K28,#REF!,K37,K38)/6)
+0.2*(SUM(K39:K44,K29:K36,K6:K14,K16,K5, K15*IF(БР="да",1,0)) / (25+1*IF(БР="да",1,0)))</f>
        <v>#DIV/0!</v>
      </c>
      <c r="L3" s="41">
        <f>AVERAGE(L4:L44)</f>
        <v>4.8651097784329487</v>
      </c>
      <c r="M3" s="42">
        <f>AVERAGE(M4:M44)</f>
        <v>0</v>
      </c>
      <c r="O3" s="43" t="s">
        <v>41</v>
      </c>
      <c r="P3" s="44"/>
      <c r="R3" s="45">
        <f>0.65*( SUM(R23+R24+R25+R26+R27*IF(СКЗИ="да",1,0)+R28+R29+R30+R31+R32+R33+R34+R35+R36)
/  (1+1+1+1+1*IF(СКЗИ="да",1,0)+5+4)  )
+0.2*(SUM(R17+R18*IF(СКЗИ="да",1,0)+(R19+R20)*IF(КИИ="да",1,0)+R21+R22*IF(КТ="да",1,0))  /  (1+IF(СКЗИ="да",1,0)+(2)*IF(КИИ="да",1,0)+1+IF(КТ="да",1,0)) )
+0.15*(SUM(R4:R13,R15,R16,R37:R44) / (10+1+1+8))</f>
        <v>0</v>
      </c>
      <c r="S3" s="45">
        <f>0.65*( SUM(S23+S24+S25+S26+S27*IF(СКЗИ="да",1,0)+S28+S29+S30+S31+S32+S33)/(1+1+1+1+1*IF(СКЗИ="да",1,0)+6))
+0.2*(SUM(S17+S18*IF(СКЗИ="да",1,0)+(S19+S20)*IF(КИИ="да",1,0)+S21+S22*IF(КТ="да",1,0))/(1+IF(СКЗИ="да",1,0)+(2)*IF(КИИ="да",1,0)+1+IF(КТ="да",1,0)) )
+0.15*(SUM(S4:S13,S15,S16,S37:S44) / (10+1+1+8))</f>
        <v>0</v>
      </c>
      <c r="T3" s="45">
        <f>0.65*( SUM(T23+T24+T25+T26+T27*IF(СКЗИ="да",1,0))   /  (1+1+1+1+1*IF(СКЗИ="да",1,0))  )
+0.2*(SUM(T17+T18*IF(СКЗИ="да",1,0)+(T19+T20)*IF(КИИ="да",1,0)+T21+T22*IF(КТ="да",1,0))  /  (1+IF(СКЗИ="да",1,0)+(2)*IF(КИИ="да",1,0)+1+IF(КТ="да",1,0)) )
+0.15*(SUM(T4:T10,T12:T13,T15,T16,T39:T43) / (9+1+1+5))</f>
        <v>0</v>
      </c>
    </row>
    <row r="4" spans="1:20" ht="15.6" customHeight="1">
      <c r="A4" s="710" t="s">
        <v>42</v>
      </c>
      <c r="B4" s="46" t="str">
        <f>'Управление ИБ'!B42</f>
        <v>Система управления ИБ</v>
      </c>
      <c r="C4" s="47">
        <f>'Управление ИБ'!D42</f>
        <v>5</v>
      </c>
      <c r="D4" s="48">
        <f>'Управление ИБ'!E42</f>
        <v>4.6400000000000006</v>
      </c>
      <c r="E4" s="49">
        <f>'Управление ИБ'!F42</f>
        <v>2.5</v>
      </c>
      <c r="F4" s="50">
        <v>0</v>
      </c>
      <c r="G4" s="50">
        <v>0</v>
      </c>
      <c r="H4" s="50">
        <v>0</v>
      </c>
      <c r="I4" s="51">
        <v>0</v>
      </c>
      <c r="J4" s="52">
        <v>0</v>
      </c>
      <c r="K4" s="53" t="e">
        <f>'Управление ИБ'!J42</f>
        <v>#DIV/0!</v>
      </c>
      <c r="L4" s="54">
        <f>'Управление ИБ'!K42</f>
        <v>5</v>
      </c>
      <c r="M4" s="55">
        <f>'Управление ИБ'!L42</f>
        <v>0</v>
      </c>
      <c r="N4" s="56">
        <f t="shared" ref="N4:N44" si="0">L4-M4</f>
        <v>5</v>
      </c>
      <c r="O4" s="57">
        <f t="shared" ref="O4:O44" si="1">I4-M4</f>
        <v>0</v>
      </c>
      <c r="P4" s="58">
        <f t="shared" ref="P4:P22" si="2">1-IF(L4=0,0,IF(($M4-L4)&gt;=0,1,1-(L4-$M4)/L4))</f>
        <v>1</v>
      </c>
      <c r="R4" s="59">
        <f>'Управление ИБ'!P42</f>
        <v>0</v>
      </c>
      <c r="S4" s="59">
        <f>'Управление ИБ'!Q42</f>
        <v>0</v>
      </c>
      <c r="T4" s="59">
        <f>'Управление ИБ'!R42</f>
        <v>0</v>
      </c>
    </row>
    <row r="5" spans="1:20" ht="15.75" customHeight="1">
      <c r="A5" s="708"/>
      <c r="B5" s="46" t="str">
        <f>'Управление ИБ'!B43</f>
        <v>Управление рисками</v>
      </c>
      <c r="C5" s="60">
        <f>'Управление ИБ'!D43</f>
        <v>4.8</v>
      </c>
      <c r="D5" s="48">
        <f>'Управление ИБ'!E43</f>
        <v>2</v>
      </c>
      <c r="E5" s="49">
        <f>'Управление ИБ'!F43</f>
        <v>1</v>
      </c>
      <c r="F5" s="61">
        <v>0</v>
      </c>
      <c r="G5" s="61">
        <v>0</v>
      </c>
      <c r="H5" s="61">
        <v>0</v>
      </c>
      <c r="I5" s="51">
        <v>0</v>
      </c>
      <c r="J5" s="52">
        <v>0</v>
      </c>
      <c r="K5" s="53" t="e">
        <f>'Управление ИБ'!J43</f>
        <v>#DIV/0!</v>
      </c>
      <c r="L5" s="62">
        <f>'Управление ИБ'!K43</f>
        <v>4.8</v>
      </c>
      <c r="M5" s="55">
        <f>'Управление ИБ'!L43</f>
        <v>0</v>
      </c>
      <c r="N5" s="56">
        <f t="shared" si="0"/>
        <v>4.8</v>
      </c>
      <c r="O5" s="57">
        <f t="shared" si="1"/>
        <v>0</v>
      </c>
      <c r="P5" s="58">
        <f t="shared" si="2"/>
        <v>1</v>
      </c>
      <c r="R5" s="59">
        <f>'Управление ИБ'!P43</f>
        <v>0</v>
      </c>
      <c r="S5" s="59">
        <f>'Управление ИБ'!Q43</f>
        <v>0</v>
      </c>
      <c r="T5" s="59">
        <f>'Управление ИБ'!R43</f>
        <v>0</v>
      </c>
    </row>
    <row r="6" spans="1:20" ht="15.75" customHeight="1">
      <c r="A6" s="708"/>
      <c r="B6" s="46" t="str">
        <f>'Управление ИБ'!B45</f>
        <v>Инвентаризация</v>
      </c>
      <c r="C6" s="60">
        <f>'Управление ИБ'!D45</f>
        <v>4.9285714285714288</v>
      </c>
      <c r="D6" s="48">
        <f>'Управление ИБ'!E45</f>
        <v>3.1857142857142864</v>
      </c>
      <c r="E6" s="49">
        <f>'Управление ИБ'!F45</f>
        <v>1.2142857142857142</v>
      </c>
      <c r="F6" s="61">
        <v>0</v>
      </c>
      <c r="G6" s="61">
        <v>0</v>
      </c>
      <c r="H6" s="61">
        <v>0</v>
      </c>
      <c r="I6" s="51">
        <v>0</v>
      </c>
      <c r="J6" s="52">
        <v>0</v>
      </c>
      <c r="K6" s="53" t="e">
        <f>'Управление ИБ'!J45</f>
        <v>#DIV/0!</v>
      </c>
      <c r="L6" s="62">
        <f>'Управление ИБ'!K45</f>
        <v>4.9285714285714288</v>
      </c>
      <c r="M6" s="55">
        <f>'Управление ИБ'!L45</f>
        <v>0</v>
      </c>
      <c r="N6" s="56">
        <f t="shared" si="0"/>
        <v>4.9285714285714288</v>
      </c>
      <c r="O6" s="57">
        <f t="shared" si="1"/>
        <v>0</v>
      </c>
      <c r="P6" s="58">
        <f t="shared" si="2"/>
        <v>1</v>
      </c>
      <c r="R6" s="59">
        <f>'Управление ИБ'!P45</f>
        <v>0</v>
      </c>
      <c r="S6" s="59">
        <f>'Управление ИБ'!Q45</f>
        <v>0</v>
      </c>
      <c r="T6" s="59">
        <f>'Управление ИБ'!R45</f>
        <v>0</v>
      </c>
    </row>
    <row r="7" spans="1:20" ht="15" customHeight="1">
      <c r="A7" s="708"/>
      <c r="B7" s="46" t="str">
        <f>'Управление ИБ'!B46</f>
        <v>Управление активами</v>
      </c>
      <c r="C7" s="60">
        <f>'Управление ИБ'!D46</f>
        <v>4.8</v>
      </c>
      <c r="D7" s="48">
        <f>'Управление ИБ'!E46</f>
        <v>3.16</v>
      </c>
      <c r="E7" s="49">
        <f>'Управление ИБ'!F46</f>
        <v>0.52</v>
      </c>
      <c r="F7" s="61">
        <v>0</v>
      </c>
      <c r="G7" s="61">
        <v>0</v>
      </c>
      <c r="H7" s="61">
        <v>0</v>
      </c>
      <c r="I7" s="51">
        <v>0</v>
      </c>
      <c r="J7" s="52">
        <v>0</v>
      </c>
      <c r="K7" s="53" t="e">
        <f>'Управление ИБ'!J46</f>
        <v>#DIV/0!</v>
      </c>
      <c r="L7" s="62">
        <f>'Управление ИБ'!K46</f>
        <v>4.8</v>
      </c>
      <c r="M7" s="55">
        <f>'Управление ИБ'!L46</f>
        <v>0</v>
      </c>
      <c r="N7" s="56">
        <f t="shared" si="0"/>
        <v>4.8</v>
      </c>
      <c r="O7" s="57">
        <f t="shared" si="1"/>
        <v>0</v>
      </c>
      <c r="P7" s="58">
        <f t="shared" si="2"/>
        <v>1</v>
      </c>
      <c r="R7" s="59">
        <f>'Управление ИБ'!P46</f>
        <v>0</v>
      </c>
      <c r="S7" s="59">
        <f>'Управление ИБ'!Q46</f>
        <v>0</v>
      </c>
      <c r="T7" s="59">
        <f>'Управление ИБ'!R46</f>
        <v>0</v>
      </c>
    </row>
    <row r="8" spans="1:20" ht="15.75" customHeight="1">
      <c r="A8" s="708"/>
      <c r="B8" s="46" t="str">
        <f>'Управление ИБ'!B47</f>
        <v xml:space="preserve">Управление доступом </v>
      </c>
      <c r="C8" s="60">
        <f>'Управление ИБ'!D47</f>
        <v>4.4599999999999991</v>
      </c>
      <c r="D8" s="48">
        <f>'Управление ИБ'!E47</f>
        <v>3.2600000000000002</v>
      </c>
      <c r="E8" s="49">
        <f>'Управление ИБ'!F47</f>
        <v>2.14</v>
      </c>
      <c r="F8" s="61">
        <v>0</v>
      </c>
      <c r="G8" s="61">
        <v>0</v>
      </c>
      <c r="H8" s="61">
        <v>0</v>
      </c>
      <c r="I8" s="51">
        <v>0</v>
      </c>
      <c r="J8" s="52">
        <v>0</v>
      </c>
      <c r="K8" s="53" t="e">
        <f>'Управление ИБ'!J47</f>
        <v>#DIV/0!</v>
      </c>
      <c r="L8" s="62">
        <f>'Управление ИБ'!K47</f>
        <v>4.4599999999999991</v>
      </c>
      <c r="M8" s="55">
        <f>'Управление ИБ'!L47</f>
        <v>0</v>
      </c>
      <c r="N8" s="56">
        <f t="shared" si="0"/>
        <v>4.4599999999999991</v>
      </c>
      <c r="O8" s="57">
        <f t="shared" si="1"/>
        <v>0</v>
      </c>
      <c r="P8" s="58">
        <f t="shared" si="2"/>
        <v>1</v>
      </c>
      <c r="R8" s="59">
        <f>'Управление ИБ'!P47</f>
        <v>0</v>
      </c>
      <c r="S8" s="59">
        <f>'Управление ИБ'!Q47</f>
        <v>0</v>
      </c>
      <c r="T8" s="59">
        <f>'Управление ИБ'!R47</f>
        <v>0</v>
      </c>
    </row>
    <row r="9" spans="1:20" ht="15.75" customHeight="1">
      <c r="A9" s="708"/>
      <c r="B9" s="46" t="str">
        <f>'Управление ИБ'!B48</f>
        <v>Идентификация и аутентификация</v>
      </c>
      <c r="C9" s="60">
        <f>'Управление ИБ'!D48</f>
        <v>5</v>
      </c>
      <c r="D9" s="48">
        <f>'Управление ИБ'!E48</f>
        <v>4.6000000000000005</v>
      </c>
      <c r="E9" s="49">
        <f>'Управление ИБ'!F48</f>
        <v>3.3111111111111113</v>
      </c>
      <c r="F9" s="61">
        <v>0</v>
      </c>
      <c r="G9" s="61">
        <v>0</v>
      </c>
      <c r="H9" s="61">
        <v>0</v>
      </c>
      <c r="I9" s="51">
        <v>0</v>
      </c>
      <c r="J9" s="52">
        <v>0</v>
      </c>
      <c r="K9" s="53" t="e">
        <f>'Управление ИБ'!J48</f>
        <v>#DIV/0!</v>
      </c>
      <c r="L9" s="62">
        <f>'Управление ИБ'!K48</f>
        <v>5</v>
      </c>
      <c r="M9" s="55">
        <f>'Управление ИБ'!L48</f>
        <v>0</v>
      </c>
      <c r="N9" s="56">
        <f t="shared" si="0"/>
        <v>5</v>
      </c>
      <c r="O9" s="57">
        <f t="shared" si="1"/>
        <v>0</v>
      </c>
      <c r="P9" s="58">
        <f t="shared" si="2"/>
        <v>1</v>
      </c>
      <c r="R9" s="59">
        <f>'Управление ИБ'!P48</f>
        <v>0</v>
      </c>
      <c r="S9" s="59">
        <f>'Управление ИБ'!Q48</f>
        <v>0</v>
      </c>
      <c r="T9" s="59">
        <f>'Управление ИБ'!R48</f>
        <v>0</v>
      </c>
    </row>
    <row r="10" spans="1:20" s="63" customFormat="1" ht="15.75" customHeight="1">
      <c r="A10" s="708"/>
      <c r="B10" s="64" t="str">
        <f>'Управление ИБ'!B49</f>
        <v>Защита данных и информации</v>
      </c>
      <c r="C10" s="60">
        <f>'Управление ИБ'!D49</f>
        <v>4.55</v>
      </c>
      <c r="D10" s="48">
        <f>'Управление ИБ'!E49</f>
        <v>3.6999999999999997</v>
      </c>
      <c r="E10" s="49">
        <f>'Управление ИБ'!F49</f>
        <v>1.2000000000000002</v>
      </c>
      <c r="F10" s="61">
        <v>0</v>
      </c>
      <c r="G10" s="61">
        <v>0</v>
      </c>
      <c r="H10" s="61">
        <v>0</v>
      </c>
      <c r="I10" s="51">
        <v>0</v>
      </c>
      <c r="J10" s="52">
        <v>0</v>
      </c>
      <c r="K10" s="53" t="e">
        <f>'Управление ИБ'!J49</f>
        <v>#DIV/0!</v>
      </c>
      <c r="L10" s="62">
        <f>'Управление ИБ'!K49</f>
        <v>4.55</v>
      </c>
      <c r="M10" s="55">
        <f>'Управление ИБ'!L49</f>
        <v>0</v>
      </c>
      <c r="N10" s="56">
        <f t="shared" si="0"/>
        <v>4.55</v>
      </c>
      <c r="O10" s="57">
        <f t="shared" si="1"/>
        <v>0</v>
      </c>
      <c r="P10" s="58">
        <f t="shared" si="2"/>
        <v>1</v>
      </c>
      <c r="R10" s="59">
        <f>'Управление ИБ'!P49</f>
        <v>0</v>
      </c>
      <c r="S10" s="59">
        <f>'Управление ИБ'!Q49</f>
        <v>0</v>
      </c>
      <c r="T10" s="59">
        <f>'Управление ИБ'!R49</f>
        <v>0</v>
      </c>
    </row>
    <row r="11" spans="1:20" ht="15.75" customHeight="1">
      <c r="A11" s="708"/>
      <c r="B11" s="46" t="str">
        <f>'Управление ИБ'!B50</f>
        <v>Обеспечение доступности</v>
      </c>
      <c r="C11" s="60">
        <f>'Управление ИБ'!D50</f>
        <v>5</v>
      </c>
      <c r="D11" s="48">
        <f>'Управление ИБ'!E50</f>
        <v>2.9199999999999995</v>
      </c>
      <c r="E11" s="49">
        <f>'Управление ИБ'!F50</f>
        <v>0</v>
      </c>
      <c r="F11" s="61">
        <v>0</v>
      </c>
      <c r="G11" s="61">
        <v>0</v>
      </c>
      <c r="H11" s="61">
        <v>0</v>
      </c>
      <c r="I11" s="51">
        <v>0</v>
      </c>
      <c r="J11" s="52">
        <v>0</v>
      </c>
      <c r="K11" s="53" t="e">
        <f>'Управление ИБ'!J50</f>
        <v>#DIV/0!</v>
      </c>
      <c r="L11" s="62">
        <f>'Управление ИБ'!K50</f>
        <v>5</v>
      </c>
      <c r="M11" s="55">
        <f>'Управление ИБ'!L50</f>
        <v>0</v>
      </c>
      <c r="N11" s="56">
        <f t="shared" si="0"/>
        <v>5</v>
      </c>
      <c r="O11" s="57">
        <f t="shared" si="1"/>
        <v>0</v>
      </c>
      <c r="P11" s="58">
        <f t="shared" si="2"/>
        <v>1</v>
      </c>
      <c r="R11" s="59">
        <f>'Управление ИБ'!P50</f>
        <v>0</v>
      </c>
      <c r="S11" s="59">
        <f>'Управление ИБ'!Q50</f>
        <v>0</v>
      </c>
      <c r="T11" s="65"/>
    </row>
    <row r="12" spans="1:20" ht="15.75" customHeight="1">
      <c r="A12" s="708"/>
      <c r="B12" s="46" t="str">
        <f>'Управление ИБ'!B51</f>
        <v>Персонал</v>
      </c>
      <c r="C12" s="60">
        <f>'Управление ИБ'!D51</f>
        <v>5</v>
      </c>
      <c r="D12" s="48">
        <f>'Управление ИБ'!E51</f>
        <v>5</v>
      </c>
      <c r="E12" s="49">
        <f>'Управление ИБ'!F51</f>
        <v>5</v>
      </c>
      <c r="F12" s="61">
        <v>0</v>
      </c>
      <c r="G12" s="61">
        <v>0</v>
      </c>
      <c r="H12" s="61">
        <v>0</v>
      </c>
      <c r="I12" s="51">
        <v>0</v>
      </c>
      <c r="J12" s="52">
        <v>0</v>
      </c>
      <c r="K12" s="53" t="e">
        <f>'Управление ИБ'!J51</f>
        <v>#DIV/0!</v>
      </c>
      <c r="L12" s="62">
        <f>'Управление ИБ'!K51</f>
        <v>5</v>
      </c>
      <c r="M12" s="55">
        <f>'Управление ИБ'!L51</f>
        <v>0</v>
      </c>
      <c r="N12" s="56">
        <f t="shared" si="0"/>
        <v>5</v>
      </c>
      <c r="O12" s="57">
        <f t="shared" si="1"/>
        <v>0</v>
      </c>
      <c r="P12" s="58">
        <f t="shared" si="2"/>
        <v>1</v>
      </c>
      <c r="R12" s="59">
        <f>'Управление ИБ'!P51</f>
        <v>0</v>
      </c>
      <c r="S12" s="59">
        <f>'Управление ИБ'!Q51</f>
        <v>0</v>
      </c>
      <c r="T12" s="59">
        <f>'Управление ИБ'!R51</f>
        <v>0</v>
      </c>
    </row>
    <row r="13" spans="1:20" ht="15.75" customHeight="1">
      <c r="A13" s="708"/>
      <c r="B13" s="46" t="str">
        <f>'Управление ИБ'!B52</f>
        <v>Осведомленность пользователей и обучение персонала</v>
      </c>
      <c r="C13" s="60">
        <f>'Управление ИБ'!D52</f>
        <v>5</v>
      </c>
      <c r="D13" s="48">
        <f>'Управление ИБ'!E52</f>
        <v>3.1999999999999997</v>
      </c>
      <c r="E13" s="49">
        <f>'Управление ИБ'!F52</f>
        <v>1.5999999999999999</v>
      </c>
      <c r="F13" s="61">
        <v>0</v>
      </c>
      <c r="G13" s="61">
        <v>0</v>
      </c>
      <c r="H13" s="61">
        <v>0</v>
      </c>
      <c r="I13" s="51">
        <v>0</v>
      </c>
      <c r="J13" s="52">
        <v>0</v>
      </c>
      <c r="K13" s="53" t="e">
        <f>'Управление ИБ'!J52</f>
        <v>#DIV/0!</v>
      </c>
      <c r="L13" s="62">
        <f>'Управление ИБ'!K52</f>
        <v>5</v>
      </c>
      <c r="M13" s="55">
        <f>'Управление ИБ'!L52</f>
        <v>0</v>
      </c>
      <c r="N13" s="56">
        <f t="shared" si="0"/>
        <v>5</v>
      </c>
      <c r="O13" s="57">
        <f t="shared" si="1"/>
        <v>0</v>
      </c>
      <c r="P13" s="58">
        <f t="shared" si="2"/>
        <v>1</v>
      </c>
      <c r="R13" s="59">
        <f>'Управление ИБ'!P52</f>
        <v>0</v>
      </c>
      <c r="S13" s="59">
        <f>'Управление ИБ'!Q52</f>
        <v>0</v>
      </c>
      <c r="T13" s="59">
        <f>'Управление ИБ'!R52</f>
        <v>0</v>
      </c>
    </row>
    <row r="14" spans="1:20" ht="15.75" customHeight="1">
      <c r="A14" s="708"/>
      <c r="B14" s="66" t="str">
        <f>'Управление ИБ'!B53</f>
        <v>Процессы</v>
      </c>
      <c r="C14" s="67">
        <f>'Управление ИБ'!D53</f>
        <v>4.1428571428571432</v>
      </c>
      <c r="D14" s="67">
        <f>'Управление ИБ'!E53</f>
        <v>2.7904761904761908</v>
      </c>
      <c r="E14" s="67">
        <f>'Управление ИБ'!F53</f>
        <v>0.69523809523809521</v>
      </c>
      <c r="F14" s="68">
        <v>0</v>
      </c>
      <c r="G14" s="68">
        <v>0</v>
      </c>
      <c r="H14" s="68">
        <v>0</v>
      </c>
      <c r="I14" s="69">
        <v>0</v>
      </c>
      <c r="J14" s="70">
        <v>0</v>
      </c>
      <c r="K14" s="67">
        <f>'Управление ИБ'!J53</f>
        <v>0</v>
      </c>
      <c r="L14" s="67">
        <f>'Управление ИБ'!K53</f>
        <v>4.1428571428571432</v>
      </c>
      <c r="M14" s="55">
        <f>'Управление ИБ'!L53</f>
        <v>0</v>
      </c>
      <c r="N14" s="71">
        <f t="shared" si="0"/>
        <v>4.1428571428571432</v>
      </c>
      <c r="O14" s="71">
        <f t="shared" si="1"/>
        <v>0</v>
      </c>
      <c r="P14" s="72">
        <f t="shared" si="2"/>
        <v>1</v>
      </c>
      <c r="Q14" s="73"/>
      <c r="R14" s="65"/>
      <c r="S14" s="65"/>
      <c r="T14" s="65"/>
    </row>
    <row r="15" spans="1:20" ht="15.75" customHeight="1">
      <c r="A15" s="708"/>
      <c r="B15" s="46" t="str">
        <f>'Управление ИБ'!B54</f>
        <v>Приобретение, разработка и обслуживание систем и ПО</v>
      </c>
      <c r="C15" s="60">
        <f>'Управление ИБ'!D54</f>
        <v>5</v>
      </c>
      <c r="D15" s="48">
        <f>'Управление ИБ'!E54</f>
        <v>3.8545454545454545</v>
      </c>
      <c r="E15" s="49">
        <f>'Управление ИБ'!F54</f>
        <v>1.0181818181818181</v>
      </c>
      <c r="F15" s="61">
        <v>0</v>
      </c>
      <c r="G15" s="61">
        <v>0</v>
      </c>
      <c r="H15" s="61">
        <v>0</v>
      </c>
      <c r="I15" s="51">
        <v>0</v>
      </c>
      <c r="J15" s="74">
        <v>0</v>
      </c>
      <c r="K15" s="53" t="e">
        <f>'Управление ИБ'!J54</f>
        <v>#DIV/0!</v>
      </c>
      <c r="L15" s="62">
        <f>'Управление ИБ'!K54</f>
        <v>5</v>
      </c>
      <c r="M15" s="55">
        <f>'Управление ИБ'!L54</f>
        <v>0</v>
      </c>
      <c r="N15" s="56">
        <f t="shared" si="0"/>
        <v>5</v>
      </c>
      <c r="O15" s="57">
        <f t="shared" si="1"/>
        <v>0</v>
      </c>
      <c r="P15" s="58">
        <f t="shared" si="2"/>
        <v>1</v>
      </c>
      <c r="R15" s="59">
        <f>'Управление ИБ'!P54</f>
        <v>0</v>
      </c>
      <c r="S15" s="59">
        <f>'Управление ИБ'!Q54</f>
        <v>0</v>
      </c>
      <c r="T15" s="59">
        <f>'Управление ИБ'!R54</f>
        <v>0</v>
      </c>
    </row>
    <row r="16" spans="1:20" ht="15.75" customHeight="1">
      <c r="A16" s="708"/>
      <c r="B16" s="46" t="str">
        <f>'Управление ИБ'!B55</f>
        <v>Физический доступ</v>
      </c>
      <c r="C16" s="60">
        <f>'Управление ИБ'!D55</f>
        <v>5</v>
      </c>
      <c r="D16" s="48">
        <f>'Управление ИБ'!E55</f>
        <v>4.6399999999999997</v>
      </c>
      <c r="E16" s="49">
        <f>'Управление ИБ'!F55</f>
        <v>4.32</v>
      </c>
      <c r="F16" s="61">
        <v>0</v>
      </c>
      <c r="G16" s="61">
        <v>0</v>
      </c>
      <c r="H16" s="61">
        <v>0</v>
      </c>
      <c r="I16" s="51">
        <v>0</v>
      </c>
      <c r="J16" s="75">
        <v>0</v>
      </c>
      <c r="K16" s="76" t="e">
        <f>'Управление ИБ'!J55</f>
        <v>#DIV/0!</v>
      </c>
      <c r="L16" s="77">
        <f>'Управление ИБ'!K55</f>
        <v>5</v>
      </c>
      <c r="M16" s="55">
        <f>'Управление ИБ'!L55</f>
        <v>0</v>
      </c>
      <c r="N16" s="56">
        <f t="shared" si="0"/>
        <v>5</v>
      </c>
      <c r="O16" s="57">
        <f t="shared" si="1"/>
        <v>0</v>
      </c>
      <c r="P16" s="58">
        <f t="shared" si="2"/>
        <v>1</v>
      </c>
      <c r="R16" s="59">
        <f>'Управление ИБ'!P55</f>
        <v>0</v>
      </c>
      <c r="S16" s="59">
        <f>'Управление ИБ'!Q55</f>
        <v>0</v>
      </c>
      <c r="T16" s="59">
        <f>'Управление ИБ'!R55</f>
        <v>0</v>
      </c>
    </row>
    <row r="17" spans="1:20" ht="15.75" customHeight="1">
      <c r="A17" s="710" t="str">
        <f>'Нормативное соответствие'!B1</f>
        <v>Нормативное соответствие</v>
      </c>
      <c r="B17" s="78" t="str">
        <f>'Нормативное соответствие'!B42</f>
        <v>Персональные данные</v>
      </c>
      <c r="C17" s="47">
        <f>'Нормативное соответствие'!D42</f>
        <v>5</v>
      </c>
      <c r="D17" s="79">
        <f>'Нормативное соответствие'!E42</f>
        <v>5</v>
      </c>
      <c r="E17" s="80">
        <f>'Нормативное соответствие'!F42</f>
        <v>5</v>
      </c>
      <c r="F17" s="61">
        <v>0</v>
      </c>
      <c r="G17" s="61">
        <v>0</v>
      </c>
      <c r="H17" s="61">
        <v>0</v>
      </c>
      <c r="I17" s="51">
        <v>0</v>
      </c>
      <c r="J17" s="52">
        <v>0</v>
      </c>
      <c r="K17" s="81" t="e">
        <f>'Нормативное соответствие'!J42</f>
        <v>#DIV/0!</v>
      </c>
      <c r="L17" s="54">
        <f>'Нормативное соответствие'!K42</f>
        <v>5</v>
      </c>
      <c r="M17" s="82">
        <f>'Нормативное соответствие'!L42</f>
        <v>0</v>
      </c>
      <c r="N17" s="56">
        <f t="shared" si="0"/>
        <v>5</v>
      </c>
      <c r="O17" s="57">
        <f t="shared" si="1"/>
        <v>0</v>
      </c>
      <c r="P17" s="58">
        <f t="shared" si="2"/>
        <v>1</v>
      </c>
      <c r="R17" s="59">
        <f t="shared" ref="R17:T20" si="3">IF(C17=0,0,IF(($M17-C17)&gt;=0,1,1-(C17-$M17)/C17))</f>
        <v>0</v>
      </c>
      <c r="S17" s="59">
        <f t="shared" si="3"/>
        <v>0</v>
      </c>
      <c r="T17" s="59">
        <f t="shared" si="3"/>
        <v>0</v>
      </c>
    </row>
    <row r="18" spans="1:20" ht="15.75" customHeight="1">
      <c r="A18" s="708"/>
      <c r="B18" s="46" t="s">
        <v>43</v>
      </c>
      <c r="C18" s="60">
        <f>'Нормативное соответствие'!D45</f>
        <v>5</v>
      </c>
      <c r="D18" s="48">
        <f>'Нормативное соответствие'!E45</f>
        <v>5</v>
      </c>
      <c r="E18" s="49">
        <f>'Нормативное соответствие'!F45</f>
        <v>5</v>
      </c>
      <c r="F18" s="61">
        <v>0</v>
      </c>
      <c r="G18" s="61">
        <v>0</v>
      </c>
      <c r="H18" s="61">
        <v>0</v>
      </c>
      <c r="I18" s="51">
        <v>0</v>
      </c>
      <c r="J18" s="52">
        <v>0</v>
      </c>
      <c r="K18" s="53" t="e">
        <f>'Нормативное соответствие'!J45</f>
        <v>#DIV/0!</v>
      </c>
      <c r="L18" s="62">
        <f>'Нормативное соответствие'!K45</f>
        <v>5</v>
      </c>
      <c r="M18" s="55">
        <f>'Нормативное соответствие'!L45</f>
        <v>0</v>
      </c>
      <c r="N18" s="56">
        <f t="shared" si="0"/>
        <v>5</v>
      </c>
      <c r="O18" s="57">
        <f t="shared" si="1"/>
        <v>0</v>
      </c>
      <c r="P18" s="58">
        <f t="shared" si="2"/>
        <v>1</v>
      </c>
      <c r="R18" s="59">
        <f t="shared" si="3"/>
        <v>0</v>
      </c>
      <c r="S18" s="59">
        <f t="shared" si="3"/>
        <v>0</v>
      </c>
      <c r="T18" s="59">
        <f t="shared" si="3"/>
        <v>0</v>
      </c>
    </row>
    <row r="19" spans="1:20" ht="15.75" customHeight="1">
      <c r="A19" s="708"/>
      <c r="B19" s="46" t="str">
        <f>'Нормативное соответствие'!B43</f>
        <v>КИИ</v>
      </c>
      <c r="C19" s="60">
        <f>'Нормативное соответствие'!D43</f>
        <v>5</v>
      </c>
      <c r="D19" s="48">
        <f>'Нормативное соответствие'!E43</f>
        <v>5</v>
      </c>
      <c r="E19" s="49">
        <f>'Нормативное соответствие'!F43</f>
        <v>2.8800000000000003</v>
      </c>
      <c r="F19" s="61">
        <v>0</v>
      </c>
      <c r="G19" s="61">
        <v>0</v>
      </c>
      <c r="H19" s="61">
        <v>0</v>
      </c>
      <c r="I19" s="51">
        <v>0</v>
      </c>
      <c r="J19" s="52">
        <v>0</v>
      </c>
      <c r="K19" s="53" t="e">
        <f>'Нормативное соответствие'!J43</f>
        <v>#DIV/0!</v>
      </c>
      <c r="L19" s="62">
        <f>'Нормативное соответствие'!K43</f>
        <v>5</v>
      </c>
      <c r="M19" s="55">
        <f>'Нормативное соответствие'!L43</f>
        <v>0</v>
      </c>
      <c r="N19" s="56">
        <f t="shared" si="0"/>
        <v>5</v>
      </c>
      <c r="O19" s="57">
        <f t="shared" si="1"/>
        <v>0</v>
      </c>
      <c r="P19" s="58">
        <f t="shared" si="2"/>
        <v>1</v>
      </c>
      <c r="R19" s="59">
        <f t="shared" si="3"/>
        <v>0</v>
      </c>
      <c r="S19" s="59">
        <f t="shared" si="3"/>
        <v>0</v>
      </c>
      <c r="T19" s="59">
        <f t="shared" si="3"/>
        <v>0</v>
      </c>
    </row>
    <row r="20" spans="1:20" ht="15.75" customHeight="1">
      <c r="A20" s="708"/>
      <c r="B20" s="46" t="str">
        <f>'Нормативное соответствие'!B46</f>
        <v>250 указ</v>
      </c>
      <c r="C20" s="60">
        <f>'Нормативное соответствие'!D46</f>
        <v>5</v>
      </c>
      <c r="D20" s="48">
        <f>'Нормативное соответствие'!E46</f>
        <v>5</v>
      </c>
      <c r="E20" s="49">
        <f>'Нормативное соответствие'!F46</f>
        <v>5</v>
      </c>
      <c r="F20" s="61">
        <v>0</v>
      </c>
      <c r="G20" s="61">
        <v>0</v>
      </c>
      <c r="H20" s="61">
        <v>0</v>
      </c>
      <c r="I20" s="51">
        <v>0</v>
      </c>
      <c r="J20" s="52">
        <v>0</v>
      </c>
      <c r="K20" s="53" t="e">
        <f>'Нормативное соответствие'!J46</f>
        <v>#DIV/0!</v>
      </c>
      <c r="L20" s="62">
        <f>'Нормативное соответствие'!K46</f>
        <v>5</v>
      </c>
      <c r="M20" s="55">
        <f>'Нормативное соответствие'!L46</f>
        <v>0</v>
      </c>
      <c r="N20" s="56">
        <f t="shared" si="0"/>
        <v>5</v>
      </c>
      <c r="O20" s="57">
        <f t="shared" si="1"/>
        <v>0</v>
      </c>
      <c r="P20" s="58">
        <f t="shared" si="2"/>
        <v>1</v>
      </c>
      <c r="R20" s="59">
        <f t="shared" si="3"/>
        <v>0</v>
      </c>
      <c r="S20" s="59">
        <f t="shared" si="3"/>
        <v>0</v>
      </c>
      <c r="T20" s="59">
        <f t="shared" si="3"/>
        <v>0</v>
      </c>
    </row>
    <row r="21" spans="1:20" ht="15.75" customHeight="1">
      <c r="A21" s="708"/>
      <c r="B21" s="46" t="str">
        <f>'Управление ИБ'!B44</f>
        <v>Управление рисками в цепочке поставок</v>
      </c>
      <c r="C21" s="60">
        <f>'Управление ИБ'!D44</f>
        <v>5</v>
      </c>
      <c r="D21" s="48">
        <f>'Управление ИБ'!E44</f>
        <v>3.7999999999999994</v>
      </c>
      <c r="E21" s="49">
        <f>'Управление ИБ'!F44</f>
        <v>2.7333333333333329</v>
      </c>
      <c r="F21" s="61">
        <v>0</v>
      </c>
      <c r="G21" s="61">
        <v>0</v>
      </c>
      <c r="H21" s="61">
        <v>0</v>
      </c>
      <c r="I21" s="51">
        <v>0</v>
      </c>
      <c r="J21" s="52">
        <v>0</v>
      </c>
      <c r="K21" s="53" t="e">
        <f>'Управление ИБ'!J44</f>
        <v>#DIV/0!</v>
      </c>
      <c r="L21" s="62">
        <f>'Управление ИБ'!K44</f>
        <v>5</v>
      </c>
      <c r="M21" s="55">
        <f>'Управление ИБ'!L44</f>
        <v>0</v>
      </c>
      <c r="N21" s="56">
        <f>L21-M21</f>
        <v>5</v>
      </c>
      <c r="O21" s="57">
        <f>I21-M21</f>
        <v>0</v>
      </c>
      <c r="P21" s="58">
        <f t="shared" si="2"/>
        <v>1</v>
      </c>
      <c r="R21" s="59">
        <f>'Управление ИБ'!P44</f>
        <v>0</v>
      </c>
      <c r="S21" s="59">
        <f>'Управление ИБ'!Q44</f>
        <v>0</v>
      </c>
      <c r="T21" s="59">
        <f>'Управление ИБ'!R44</f>
        <v>0</v>
      </c>
    </row>
    <row r="22" spans="1:20" ht="15.75" customHeight="1">
      <c r="A22" s="709"/>
      <c r="B22" s="83" t="str">
        <f>'Нормативное соответствие'!B44</f>
        <v>Коммерческая тайна</v>
      </c>
      <c r="C22" s="84">
        <f>'Нормативное соответствие'!D44</f>
        <v>5</v>
      </c>
      <c r="D22" s="85">
        <f>'Нормативное соответствие'!E44</f>
        <v>5</v>
      </c>
      <c r="E22" s="86">
        <f>'Нормативное соответствие'!F44</f>
        <v>5</v>
      </c>
      <c r="F22" s="61">
        <v>0</v>
      </c>
      <c r="G22" s="61">
        <v>0</v>
      </c>
      <c r="H22" s="61">
        <v>0</v>
      </c>
      <c r="I22" s="51">
        <v>0</v>
      </c>
      <c r="J22" s="75">
        <v>0</v>
      </c>
      <c r="K22" s="76" t="e">
        <f>'Нормативное соответствие'!J44</f>
        <v>#DIV/0!</v>
      </c>
      <c r="L22" s="77">
        <f>'Нормативное соответствие'!K44</f>
        <v>5</v>
      </c>
      <c r="M22" s="87">
        <f>'Нормативное соответствие'!L44</f>
        <v>0</v>
      </c>
      <c r="N22" s="56">
        <f t="shared" si="0"/>
        <v>5</v>
      </c>
      <c r="O22" s="57">
        <f t="shared" si="1"/>
        <v>0</v>
      </c>
      <c r="P22" s="58">
        <f t="shared" si="2"/>
        <v>1</v>
      </c>
      <c r="R22" s="59">
        <f>IF(C22=0,0,IF(($M22-C22)&gt;=0,1,1-(C22-$M22)/C22))</f>
        <v>0</v>
      </c>
      <c r="S22" s="59">
        <f>IF(D22=0,0,IF(($M22-D22)&gt;=0,1,1-(D22-$M22)/D22))</f>
        <v>0</v>
      </c>
      <c r="T22" s="59">
        <f>IF(E22=0,0,IF(($M22-E22)&gt;=0,1,1-(E22-$M22)/E22))</f>
        <v>0</v>
      </c>
    </row>
    <row r="23" spans="1:20" ht="15.75" customHeight="1">
      <c r="A23" s="710" t="s">
        <v>44</v>
      </c>
      <c r="B23" t="str">
        <f>СЗИ!B29</f>
        <v>Защита от ВПО</v>
      </c>
      <c r="C23" s="60">
        <f>СЗИ!D29</f>
        <v>4.59375</v>
      </c>
      <c r="D23" s="48">
        <f>СЗИ!E29</f>
        <v>4.1875</v>
      </c>
      <c r="E23" s="49">
        <f>СЗИ!F29</f>
        <v>3.0437499999999997</v>
      </c>
      <c r="F23" s="61">
        <v>0</v>
      </c>
      <c r="G23" s="61">
        <v>0</v>
      </c>
      <c r="H23" s="61">
        <v>0</v>
      </c>
      <c r="I23" s="51">
        <v>0</v>
      </c>
      <c r="J23" s="52">
        <v>0</v>
      </c>
      <c r="K23" s="53" t="e">
        <f>СЗИ!J29</f>
        <v>#DIV/0!</v>
      </c>
      <c r="L23" s="54">
        <f>СЗИ!K29</f>
        <v>4.59375</v>
      </c>
      <c r="M23" s="55">
        <f>СЗИ!L29</f>
        <v>0</v>
      </c>
      <c r="N23" s="56">
        <f t="shared" si="0"/>
        <v>4.59375</v>
      </c>
      <c r="O23" s="57">
        <f t="shared" si="1"/>
        <v>0</v>
      </c>
      <c r="P23" s="58">
        <f t="shared" ref="P23:P44" si="4">1-IF(L23=0,0,IF(($M23-L23)&gt;=0,1,1-(L23-$M23)/L23))</f>
        <v>1</v>
      </c>
      <c r="R23" s="59">
        <f>СЗИ!P29</f>
        <v>0</v>
      </c>
      <c r="S23" s="59">
        <f>СЗИ!Q29</f>
        <v>0</v>
      </c>
      <c r="T23" s="59">
        <f>СЗИ!R29</f>
        <v>0</v>
      </c>
    </row>
    <row r="24" spans="1:20" ht="15.75" customHeight="1">
      <c r="A24" s="708"/>
      <c r="B24" t="s">
        <v>45</v>
      </c>
      <c r="C24" s="60">
        <f>СЗИ!D30</f>
        <v>5</v>
      </c>
      <c r="D24" s="48">
        <f>СЗИ!E30</f>
        <v>5</v>
      </c>
      <c r="E24" s="49">
        <f>СЗИ!F30</f>
        <v>5</v>
      </c>
      <c r="F24" s="61">
        <v>0</v>
      </c>
      <c r="G24" s="61">
        <v>0</v>
      </c>
      <c r="H24" s="61">
        <v>0</v>
      </c>
      <c r="I24" s="51">
        <v>0</v>
      </c>
      <c r="J24" s="52">
        <v>0</v>
      </c>
      <c r="K24" s="53">
        <f>СЗИ!J30</f>
        <v>0</v>
      </c>
      <c r="L24" s="62">
        <f>СЗИ!K30</f>
        <v>5</v>
      </c>
      <c r="M24" s="55">
        <f>СЗИ!L30</f>
        <v>0</v>
      </c>
      <c r="N24" s="56">
        <f t="shared" si="0"/>
        <v>5</v>
      </c>
      <c r="O24" s="57">
        <f t="shared" si="1"/>
        <v>0</v>
      </c>
      <c r="P24" s="58">
        <f t="shared" si="4"/>
        <v>1</v>
      </c>
      <c r="R24" s="59">
        <f>СЗИ!P30</f>
        <v>0</v>
      </c>
      <c r="S24" s="59">
        <f>СЗИ!Q30</f>
        <v>0</v>
      </c>
      <c r="T24" s="59">
        <f>СЗИ!R30</f>
        <v>0</v>
      </c>
    </row>
    <row r="25" spans="1:20" ht="15.75" customHeight="1">
      <c r="A25" s="708"/>
      <c r="B25" t="s">
        <v>46</v>
      </c>
      <c r="C25" s="60">
        <f>СЗИ!D31</f>
        <v>4.666666666666667</v>
      </c>
      <c r="D25" s="48">
        <f>СЗИ!E31</f>
        <v>4.333333333333333</v>
      </c>
      <c r="E25" s="49">
        <f>СЗИ!F31</f>
        <v>3.6666666666666665</v>
      </c>
      <c r="F25" s="61">
        <v>0</v>
      </c>
      <c r="G25" s="61">
        <v>0</v>
      </c>
      <c r="H25" s="61">
        <v>0</v>
      </c>
      <c r="I25" s="51">
        <v>0</v>
      </c>
      <c r="J25" s="52">
        <v>0</v>
      </c>
      <c r="K25" s="53">
        <f>СЗИ!J31</f>
        <v>0</v>
      </c>
      <c r="L25" s="62">
        <f>СЗИ!K31</f>
        <v>4.666666666666667</v>
      </c>
      <c r="M25" s="55">
        <f>СЗИ!L31</f>
        <v>0</v>
      </c>
      <c r="N25" s="56">
        <f t="shared" si="0"/>
        <v>4.666666666666667</v>
      </c>
      <c r="O25" s="57">
        <f t="shared" si="1"/>
        <v>0</v>
      </c>
      <c r="P25" s="58">
        <f t="shared" si="4"/>
        <v>1</v>
      </c>
      <c r="R25" s="59">
        <f>СЗИ!P31</f>
        <v>0</v>
      </c>
      <c r="S25" s="59">
        <f>СЗИ!Q31</f>
        <v>0</v>
      </c>
      <c r="T25" s="59">
        <f>СЗИ!R31</f>
        <v>0</v>
      </c>
    </row>
    <row r="26" spans="1:20" ht="15.75" customHeight="1">
      <c r="A26" s="708"/>
      <c r="B26" t="s">
        <v>47</v>
      </c>
      <c r="C26" s="60">
        <f>СЗИ!D32</f>
        <v>5</v>
      </c>
      <c r="D26" s="48">
        <f>СЗИ!E32</f>
        <v>5</v>
      </c>
      <c r="E26" s="49">
        <f>СЗИ!F32</f>
        <v>4.55</v>
      </c>
      <c r="F26" s="61">
        <v>0</v>
      </c>
      <c r="G26" s="61">
        <v>0</v>
      </c>
      <c r="H26" s="61">
        <v>0</v>
      </c>
      <c r="I26" s="51">
        <v>0</v>
      </c>
      <c r="J26" s="52">
        <v>0</v>
      </c>
      <c r="K26" s="53">
        <f>СЗИ!J32</f>
        <v>0</v>
      </c>
      <c r="L26" s="62">
        <f>СЗИ!K32</f>
        <v>5</v>
      </c>
      <c r="M26" s="55">
        <f>СЗИ!L32</f>
        <v>0</v>
      </c>
      <c r="N26" s="56">
        <f t="shared" si="0"/>
        <v>5</v>
      </c>
      <c r="O26" s="57">
        <f t="shared" si="1"/>
        <v>0</v>
      </c>
      <c r="P26" s="58">
        <f t="shared" si="4"/>
        <v>1</v>
      </c>
      <c r="R26" s="59">
        <f>СЗИ!P32</f>
        <v>0</v>
      </c>
      <c r="S26" s="59">
        <f>СЗИ!Q32</f>
        <v>0</v>
      </c>
      <c r="T26" s="59">
        <f>СЗИ!R32</f>
        <v>0</v>
      </c>
    </row>
    <row r="27" spans="1:20" ht="15.75" customHeight="1">
      <c r="A27" s="708"/>
      <c r="B27" t="s">
        <v>48</v>
      </c>
      <c r="C27" s="60">
        <f>СЗИ!D33</f>
        <v>5</v>
      </c>
      <c r="D27" s="48">
        <f>СЗИ!E33</f>
        <v>5</v>
      </c>
      <c r="E27" s="49">
        <f>СЗИ!F33</f>
        <v>4.3999999999999995</v>
      </c>
      <c r="F27" s="61">
        <v>0</v>
      </c>
      <c r="G27" s="61">
        <v>0</v>
      </c>
      <c r="H27" s="61">
        <v>0</v>
      </c>
      <c r="I27" s="51">
        <v>0</v>
      </c>
      <c r="J27" s="52">
        <v>0</v>
      </c>
      <c r="K27" s="53">
        <f>СЗИ!J33</f>
        <v>0</v>
      </c>
      <c r="L27" s="62">
        <f>СЗИ!K33</f>
        <v>5</v>
      </c>
      <c r="M27" s="55">
        <f>СЗИ!L33</f>
        <v>0</v>
      </c>
      <c r="N27" s="56">
        <f t="shared" si="0"/>
        <v>5</v>
      </c>
      <c r="O27" s="57">
        <f t="shared" si="1"/>
        <v>0</v>
      </c>
      <c r="P27" s="58">
        <f t="shared" si="4"/>
        <v>1</v>
      </c>
      <c r="R27" s="59">
        <f>СЗИ!P33</f>
        <v>0</v>
      </c>
      <c r="S27" s="59">
        <f>СЗИ!Q33</f>
        <v>0</v>
      </c>
      <c r="T27" s="59">
        <f>СЗИ!R33</f>
        <v>0</v>
      </c>
    </row>
    <row r="28" spans="1:20" ht="14.4" customHeight="1">
      <c r="A28" s="708"/>
      <c r="B28" s="88" t="str">
        <f>Мониторинг!B39</f>
        <v>SIEM (внедрение системы как СЗИ)</v>
      </c>
      <c r="C28" s="60">
        <f>СЗИ!D34</f>
        <v>4.9038461538461542</v>
      </c>
      <c r="D28" s="48">
        <f>СЗИ!E34</f>
        <v>3.523076923076923</v>
      </c>
      <c r="E28" s="49">
        <f>СЗИ!F34</f>
        <v>0</v>
      </c>
      <c r="F28" s="61">
        <v>0</v>
      </c>
      <c r="G28" s="61">
        <v>0</v>
      </c>
      <c r="H28" s="61">
        <v>0</v>
      </c>
      <c r="I28" s="51">
        <v>0</v>
      </c>
      <c r="J28" s="52">
        <v>0</v>
      </c>
      <c r="K28" s="53" t="e">
        <f>СЗИ!J34</f>
        <v>#DIV/0!</v>
      </c>
      <c r="L28" s="62">
        <f>СЗИ!K34</f>
        <v>4.9038461538461542</v>
      </c>
      <c r="M28" s="55">
        <f>СЗИ!L34</f>
        <v>0</v>
      </c>
      <c r="N28" s="56">
        <f t="shared" si="0"/>
        <v>4.9038461538461542</v>
      </c>
      <c r="O28" s="57">
        <f t="shared" si="1"/>
        <v>0</v>
      </c>
      <c r="P28" s="58">
        <f t="shared" si="4"/>
        <v>1</v>
      </c>
      <c r="R28" s="59">
        <f>СЗИ!P34</f>
        <v>0</v>
      </c>
      <c r="S28" s="59">
        <f>СЗИ!Q34</f>
        <v>0</v>
      </c>
      <c r="T28" s="65"/>
    </row>
    <row r="29" spans="1:20" ht="15.75" customHeight="1">
      <c r="A29" s="708"/>
      <c r="B29" t="s">
        <v>49</v>
      </c>
      <c r="C29" s="60">
        <f>СЗИ!D35</f>
        <v>5</v>
      </c>
      <c r="D29" s="48">
        <f>СЗИ!E35</f>
        <v>4.0999999999999996</v>
      </c>
      <c r="E29" s="49">
        <f>СЗИ!F35</f>
        <v>0</v>
      </c>
      <c r="F29" s="61">
        <v>0</v>
      </c>
      <c r="G29" s="61">
        <v>0</v>
      </c>
      <c r="H29" s="61">
        <v>0</v>
      </c>
      <c r="I29" s="51">
        <v>0</v>
      </c>
      <c r="J29" s="52">
        <v>0</v>
      </c>
      <c r="K29" s="53" t="e">
        <f>СЗИ!J35</f>
        <v>#DIV/0!</v>
      </c>
      <c r="L29" s="62">
        <f>СЗИ!K35</f>
        <v>5</v>
      </c>
      <c r="M29" s="55">
        <f>СЗИ!L35</f>
        <v>0</v>
      </c>
      <c r="N29" s="56">
        <f t="shared" si="0"/>
        <v>5</v>
      </c>
      <c r="O29" s="57">
        <f t="shared" si="1"/>
        <v>0</v>
      </c>
      <c r="P29" s="58">
        <f t="shared" si="4"/>
        <v>1</v>
      </c>
      <c r="R29" s="59">
        <f>СЗИ!P35</f>
        <v>0</v>
      </c>
      <c r="S29" s="59">
        <f>СЗИ!Q35</f>
        <v>0</v>
      </c>
      <c r="T29" s="65"/>
    </row>
    <row r="30" spans="1:20" ht="15.75" customHeight="1">
      <c r="A30" s="708"/>
      <c r="B30" t="s">
        <v>50</v>
      </c>
      <c r="C30" s="60">
        <f>СЗИ!D36</f>
        <v>5</v>
      </c>
      <c r="D30" s="48">
        <f>СЗИ!E36</f>
        <v>3.0250000000000004</v>
      </c>
      <c r="E30" s="49">
        <f>СЗИ!F36</f>
        <v>0</v>
      </c>
      <c r="F30" s="61">
        <v>0</v>
      </c>
      <c r="G30" s="61">
        <v>0</v>
      </c>
      <c r="H30" s="61">
        <v>0</v>
      </c>
      <c r="I30" s="51">
        <v>0</v>
      </c>
      <c r="J30" s="52">
        <v>0</v>
      </c>
      <c r="K30" s="53" t="e">
        <f>СЗИ!J36</f>
        <v>#DIV/0!</v>
      </c>
      <c r="L30" s="62">
        <f>СЗИ!K36</f>
        <v>5</v>
      </c>
      <c r="M30" s="55">
        <f>СЗИ!L36</f>
        <v>0</v>
      </c>
      <c r="N30" s="56">
        <f t="shared" si="0"/>
        <v>5</v>
      </c>
      <c r="O30" s="57">
        <f t="shared" si="1"/>
        <v>0</v>
      </c>
      <c r="P30" s="58">
        <f t="shared" si="4"/>
        <v>1</v>
      </c>
      <c r="R30" s="59">
        <f>СЗИ!P36</f>
        <v>0</v>
      </c>
      <c r="S30" s="59">
        <f>СЗИ!Q36</f>
        <v>0</v>
      </c>
      <c r="T30" s="65"/>
    </row>
    <row r="31" spans="1:20" ht="15.75" customHeight="1">
      <c r="A31" s="708"/>
      <c r="B31" t="str">
        <f>СЗИ!B37</f>
        <v>Сканер уязвимостей</v>
      </c>
      <c r="C31" s="60">
        <f>СЗИ!D37</f>
        <v>4.666666666666667</v>
      </c>
      <c r="D31" s="48">
        <f>СЗИ!E37</f>
        <v>3.7333333333333329</v>
      </c>
      <c r="E31" s="49">
        <f>СЗИ!F37</f>
        <v>0</v>
      </c>
      <c r="F31" s="61">
        <v>0</v>
      </c>
      <c r="G31" s="61">
        <v>0</v>
      </c>
      <c r="H31" s="61">
        <v>0</v>
      </c>
      <c r="I31" s="51">
        <v>0</v>
      </c>
      <c r="J31" s="52">
        <v>0</v>
      </c>
      <c r="K31" s="53" t="e">
        <f>СЗИ!J37</f>
        <v>#DIV/0!</v>
      </c>
      <c r="L31" s="62">
        <f>СЗИ!K37</f>
        <v>4.666666666666667</v>
      </c>
      <c r="M31" s="55">
        <f>СЗИ!L37</f>
        <v>0</v>
      </c>
      <c r="N31" s="56">
        <f t="shared" si="0"/>
        <v>4.666666666666667</v>
      </c>
      <c r="O31" s="57">
        <f t="shared" si="1"/>
        <v>0</v>
      </c>
      <c r="P31" s="58">
        <f t="shared" si="4"/>
        <v>1</v>
      </c>
      <c r="R31" s="59">
        <f>СЗИ!P37</f>
        <v>0</v>
      </c>
      <c r="S31" s="59">
        <f>СЗИ!Q37</f>
        <v>0</v>
      </c>
      <c r="T31" s="65"/>
    </row>
    <row r="32" spans="1:20" ht="15.75" customHeight="1">
      <c r="A32" s="708"/>
      <c r="B32" t="s">
        <v>51</v>
      </c>
      <c r="C32" s="60">
        <f>СЗИ!D38</f>
        <v>5</v>
      </c>
      <c r="D32" s="48">
        <f>СЗИ!E38</f>
        <v>3.7999999999999994</v>
      </c>
      <c r="E32" s="49">
        <f>СЗИ!F38</f>
        <v>0</v>
      </c>
      <c r="F32" s="61">
        <v>0</v>
      </c>
      <c r="G32" s="61">
        <v>0</v>
      </c>
      <c r="H32" s="61">
        <v>0</v>
      </c>
      <c r="I32" s="51">
        <v>0</v>
      </c>
      <c r="J32" s="52">
        <v>0</v>
      </c>
      <c r="K32" s="53" t="e">
        <f>СЗИ!J38</f>
        <v>#DIV/0!</v>
      </c>
      <c r="L32" s="62">
        <f>СЗИ!K38</f>
        <v>5</v>
      </c>
      <c r="M32" s="55">
        <f>СЗИ!L38</f>
        <v>0</v>
      </c>
      <c r="N32" s="56">
        <f t="shared" si="0"/>
        <v>5</v>
      </c>
      <c r="O32" s="57">
        <f t="shared" si="1"/>
        <v>0</v>
      </c>
      <c r="P32" s="58">
        <f t="shared" si="4"/>
        <v>1</v>
      </c>
      <c r="R32" s="59">
        <f>СЗИ!P38</f>
        <v>0</v>
      </c>
      <c r="S32" s="59">
        <f>СЗИ!Q38</f>
        <v>0</v>
      </c>
      <c r="T32" s="65"/>
    </row>
    <row r="33" spans="1:21" ht="15.75" customHeight="1">
      <c r="A33" s="708"/>
      <c r="B33" t="s">
        <v>52</v>
      </c>
      <c r="C33" s="60">
        <f>СЗИ!D39</f>
        <v>5</v>
      </c>
      <c r="D33" s="48">
        <f>СЗИ!E39</f>
        <v>5</v>
      </c>
      <c r="E33" s="49">
        <f>СЗИ!F39</f>
        <v>0</v>
      </c>
      <c r="F33" s="61">
        <v>0</v>
      </c>
      <c r="G33" s="61">
        <v>0</v>
      </c>
      <c r="H33" s="61">
        <v>0</v>
      </c>
      <c r="I33" s="51">
        <v>0</v>
      </c>
      <c r="J33" s="52">
        <v>0</v>
      </c>
      <c r="K33" s="89" t="e">
        <f>СЗИ!J39</f>
        <v>#DIV/0!</v>
      </c>
      <c r="L33" s="90">
        <f>СЗИ!K39</f>
        <v>5</v>
      </c>
      <c r="M33" s="55">
        <f>СЗИ!L39</f>
        <v>0</v>
      </c>
      <c r="N33" s="56">
        <f t="shared" si="0"/>
        <v>5</v>
      </c>
      <c r="O33" s="57">
        <f t="shared" si="1"/>
        <v>0</v>
      </c>
      <c r="P33" s="58">
        <f t="shared" si="4"/>
        <v>1</v>
      </c>
      <c r="R33" s="59">
        <f>СЗИ!P39</f>
        <v>0</v>
      </c>
      <c r="S33" s="59">
        <f>СЗИ!Q39</f>
        <v>0</v>
      </c>
      <c r="T33" s="65"/>
    </row>
    <row r="34" spans="1:21" ht="18">
      <c r="A34" s="708"/>
      <c r="B34" t="s">
        <v>53</v>
      </c>
      <c r="C34" s="60">
        <f>СЗИ!D40</f>
        <v>5</v>
      </c>
      <c r="D34" s="48">
        <f>СЗИ!E40</f>
        <v>0</v>
      </c>
      <c r="E34" s="49">
        <f>СЗИ!F40</f>
        <v>0</v>
      </c>
      <c r="F34" s="61">
        <v>0</v>
      </c>
      <c r="G34" s="61">
        <v>0</v>
      </c>
      <c r="H34" s="61">
        <v>0</v>
      </c>
      <c r="I34" s="51">
        <v>0</v>
      </c>
      <c r="J34" s="52">
        <v>0</v>
      </c>
      <c r="K34" s="89" t="e">
        <f>СЗИ!J40</f>
        <v>#DIV/0!</v>
      </c>
      <c r="L34" s="90">
        <f>СЗИ!K40</f>
        <v>5</v>
      </c>
      <c r="M34" s="55">
        <f>СЗИ!L40</f>
        <v>0</v>
      </c>
      <c r="N34" s="56">
        <f t="shared" si="0"/>
        <v>5</v>
      </c>
      <c r="O34" s="57">
        <f t="shared" si="1"/>
        <v>0</v>
      </c>
      <c r="P34" s="58">
        <f t="shared" si="4"/>
        <v>1</v>
      </c>
      <c r="R34" s="59">
        <f>СЗИ!P40</f>
        <v>0</v>
      </c>
      <c r="S34" s="65"/>
      <c r="T34" s="65"/>
    </row>
    <row r="35" spans="1:21" ht="16.5" customHeight="1">
      <c r="A35" s="708"/>
      <c r="B35" t="s">
        <v>54</v>
      </c>
      <c r="C35" s="60">
        <f>СЗИ!D41</f>
        <v>5</v>
      </c>
      <c r="D35" s="48">
        <f>СЗИ!E41</f>
        <v>0</v>
      </c>
      <c r="E35" s="49">
        <f>СЗИ!F41</f>
        <v>0</v>
      </c>
      <c r="F35" s="61">
        <v>0</v>
      </c>
      <c r="G35" s="61">
        <v>0</v>
      </c>
      <c r="H35" s="61">
        <v>0</v>
      </c>
      <c r="I35" s="51">
        <v>0</v>
      </c>
      <c r="J35" s="52">
        <v>0</v>
      </c>
      <c r="K35" s="89">
        <f>СЗИ!J41</f>
        <v>0</v>
      </c>
      <c r="L35" s="90">
        <f>СЗИ!K41</f>
        <v>5</v>
      </c>
      <c r="M35" s="55">
        <f>СЗИ!L41</f>
        <v>0</v>
      </c>
      <c r="N35" s="56">
        <f t="shared" si="0"/>
        <v>5</v>
      </c>
      <c r="O35" s="57">
        <f t="shared" si="1"/>
        <v>0</v>
      </c>
      <c r="P35" s="58">
        <f t="shared" si="4"/>
        <v>1</v>
      </c>
      <c r="R35" s="59">
        <f>СЗИ!P41</f>
        <v>0</v>
      </c>
      <c r="S35" s="65"/>
      <c r="T35" s="65"/>
    </row>
    <row r="36" spans="1:21" ht="15.75" customHeight="1">
      <c r="A36" s="708"/>
      <c r="B36" t="s">
        <v>55</v>
      </c>
      <c r="C36" s="60">
        <f>СЗИ!D42</f>
        <v>4.8571428571428568</v>
      </c>
      <c r="D36" s="48">
        <f>СЗИ!E42</f>
        <v>0</v>
      </c>
      <c r="E36" s="49">
        <f>СЗИ!F42</f>
        <v>0</v>
      </c>
      <c r="F36" s="61">
        <v>0</v>
      </c>
      <c r="G36" s="61">
        <v>0</v>
      </c>
      <c r="H36" s="61">
        <v>0</v>
      </c>
      <c r="I36" s="51">
        <v>0</v>
      </c>
      <c r="J36" s="91">
        <v>0</v>
      </c>
      <c r="K36" s="89">
        <f>СЗИ!J42</f>
        <v>0</v>
      </c>
      <c r="L36" s="90">
        <f>СЗИ!K42</f>
        <v>4.8571428571428568</v>
      </c>
      <c r="M36" s="55">
        <f>СЗИ!L42</f>
        <v>0</v>
      </c>
      <c r="N36" s="56">
        <f t="shared" si="0"/>
        <v>4.8571428571428568</v>
      </c>
      <c r="O36" s="57">
        <f t="shared" si="1"/>
        <v>0</v>
      </c>
      <c r="P36" s="58">
        <f t="shared" si="4"/>
        <v>1</v>
      </c>
      <c r="R36" s="59">
        <f>СЗИ!P42</f>
        <v>0</v>
      </c>
      <c r="S36" s="65"/>
      <c r="T36" s="65"/>
    </row>
    <row r="37" spans="1:21" ht="15.75" customHeight="1">
      <c r="A37" s="708"/>
      <c r="B37" s="92" t="s">
        <v>56</v>
      </c>
      <c r="C37" s="93">
        <f>Мониторинг!D38</f>
        <v>5</v>
      </c>
      <c r="D37" s="94">
        <f>Мониторинг!E38</f>
        <v>5</v>
      </c>
      <c r="E37" s="95">
        <f>Мониторинг!F38</f>
        <v>0</v>
      </c>
      <c r="F37" s="61">
        <v>0</v>
      </c>
      <c r="G37" s="61">
        <v>0</v>
      </c>
      <c r="H37" s="61">
        <v>0</v>
      </c>
      <c r="I37" s="96">
        <v>0</v>
      </c>
      <c r="J37" s="97">
        <v>0</v>
      </c>
      <c r="K37" s="81" t="e">
        <f>Мониторинг!J38</f>
        <v>#DIV/0!</v>
      </c>
      <c r="L37" s="54">
        <f>Мониторинг!K38</f>
        <v>5</v>
      </c>
      <c r="M37" s="98">
        <f>Мониторинг!L38</f>
        <v>0</v>
      </c>
      <c r="N37" s="56">
        <f t="shared" si="0"/>
        <v>5</v>
      </c>
      <c r="O37" s="57">
        <f t="shared" si="1"/>
        <v>0</v>
      </c>
      <c r="P37" s="58">
        <f t="shared" si="4"/>
        <v>1</v>
      </c>
      <c r="R37" s="59">
        <f t="shared" ref="R37:S44" si="5">IF(C37=0,0,IF(($M37-C37)&gt;=0,1,1-(C37-$M37)/C37))</f>
        <v>0</v>
      </c>
      <c r="S37" s="59">
        <f t="shared" si="5"/>
        <v>0</v>
      </c>
      <c r="T37" s="65"/>
    </row>
    <row r="38" spans="1:21" ht="15.75" customHeight="1">
      <c r="A38" s="709"/>
      <c r="B38" s="99" t="str">
        <f>Мониторинг!B40</f>
        <v>Мониторинг - Процессы</v>
      </c>
      <c r="C38" s="84">
        <f>Мониторинг!D40</f>
        <v>4</v>
      </c>
      <c r="D38" s="85">
        <f>Мониторинг!E40</f>
        <v>2.6</v>
      </c>
      <c r="E38" s="100">
        <f>Мониторинг!F40</f>
        <v>0</v>
      </c>
      <c r="F38" s="101">
        <v>0</v>
      </c>
      <c r="G38" s="101">
        <v>0</v>
      </c>
      <c r="H38" s="101">
        <v>0</v>
      </c>
      <c r="I38" s="102">
        <v>0</v>
      </c>
      <c r="J38" s="75">
        <v>0</v>
      </c>
      <c r="K38" s="76" t="e">
        <f>Мониторинг!J40</f>
        <v>#DIV/0!</v>
      </c>
      <c r="L38" s="77">
        <f>Мониторинг!K40</f>
        <v>4</v>
      </c>
      <c r="M38" s="103">
        <f>Мониторинг!L40</f>
        <v>0</v>
      </c>
      <c r="N38" s="56">
        <f t="shared" si="0"/>
        <v>4</v>
      </c>
      <c r="O38" s="57">
        <f t="shared" si="1"/>
        <v>0</v>
      </c>
      <c r="P38" s="58">
        <f t="shared" si="4"/>
        <v>1</v>
      </c>
      <c r="R38" s="59">
        <f t="shared" si="5"/>
        <v>0</v>
      </c>
      <c r="S38" s="59">
        <f t="shared" si="5"/>
        <v>0</v>
      </c>
      <c r="T38" s="65"/>
    </row>
    <row r="39" spans="1:21" ht="15.75" customHeight="1">
      <c r="A39" s="708" t="s">
        <v>57</v>
      </c>
      <c r="B39" s="46" t="str">
        <f>Реагирование!B30</f>
        <v>Планирование реагирования</v>
      </c>
      <c r="C39" s="60">
        <f>Реагирование!D30</f>
        <v>4.5</v>
      </c>
      <c r="D39" s="48">
        <f>Реагирование!E30</f>
        <v>3.0999999999999996</v>
      </c>
      <c r="E39" s="49">
        <f>Реагирование!F30</f>
        <v>0.5</v>
      </c>
      <c r="F39" s="50">
        <v>0</v>
      </c>
      <c r="G39" s="50">
        <v>0</v>
      </c>
      <c r="H39" s="50">
        <v>0</v>
      </c>
      <c r="I39" s="51">
        <v>0</v>
      </c>
      <c r="J39" s="52">
        <v>0</v>
      </c>
      <c r="K39" s="53" t="e">
        <f>Реагирование!J30</f>
        <v>#DIV/0!</v>
      </c>
      <c r="L39" s="62">
        <f>Реагирование!K30</f>
        <v>4.5</v>
      </c>
      <c r="M39" s="55">
        <f>Реагирование!L30</f>
        <v>0</v>
      </c>
      <c r="N39" s="56">
        <f t="shared" si="0"/>
        <v>4.5</v>
      </c>
      <c r="O39" s="57">
        <f t="shared" si="1"/>
        <v>0</v>
      </c>
      <c r="P39" s="58">
        <f t="shared" si="4"/>
        <v>1</v>
      </c>
      <c r="R39" s="59">
        <f t="shared" si="5"/>
        <v>0</v>
      </c>
      <c r="S39" s="59">
        <f t="shared" si="5"/>
        <v>0</v>
      </c>
      <c r="T39" s="59">
        <f>IF(E39=0,0,IF(($M39-E39)&gt;=0,1,1-(E39-$M39)/E39))</f>
        <v>0</v>
      </c>
    </row>
    <row r="40" spans="1:21" ht="15.75" customHeight="1">
      <c r="A40" s="708"/>
      <c r="B40" s="46" t="str">
        <f>Реагирование!B31</f>
        <v>Коммуникации (реагирование на инциденты)</v>
      </c>
      <c r="C40" s="60">
        <f>Реагирование!D31</f>
        <v>5</v>
      </c>
      <c r="D40" s="48">
        <f>Реагирование!E31</f>
        <v>3.2</v>
      </c>
      <c r="E40" s="49">
        <f>Реагирование!F31</f>
        <v>0.64</v>
      </c>
      <c r="F40" s="61">
        <v>0</v>
      </c>
      <c r="G40" s="61">
        <v>0</v>
      </c>
      <c r="H40" s="61">
        <v>0</v>
      </c>
      <c r="I40" s="51">
        <v>0</v>
      </c>
      <c r="J40" s="52">
        <v>0</v>
      </c>
      <c r="K40" s="53" t="e">
        <f>Реагирование!J31</f>
        <v>#DIV/0!</v>
      </c>
      <c r="L40" s="62">
        <f>Реагирование!K31</f>
        <v>5</v>
      </c>
      <c r="M40" s="55">
        <f>Реагирование!L31</f>
        <v>0</v>
      </c>
      <c r="N40" s="56">
        <f t="shared" si="0"/>
        <v>5</v>
      </c>
      <c r="O40" s="57">
        <f t="shared" si="1"/>
        <v>0</v>
      </c>
      <c r="P40" s="58">
        <f t="shared" si="4"/>
        <v>1</v>
      </c>
      <c r="R40" s="59">
        <f t="shared" si="5"/>
        <v>0</v>
      </c>
      <c r="S40" s="59">
        <f t="shared" si="5"/>
        <v>0</v>
      </c>
      <c r="T40" s="59">
        <f>IF(E40=0,0,IF(($M40-E40)&gt;=0,1,1-(E40-$M40)/E40))</f>
        <v>0</v>
      </c>
    </row>
    <row r="41" spans="1:21" ht="15.75" customHeight="1">
      <c r="A41" s="708"/>
      <c r="B41" s="46" t="str">
        <f>Реагирование!B33</f>
        <v>Плейбуки по реагированию</v>
      </c>
      <c r="C41" s="60">
        <f>Реагирование!D33</f>
        <v>5</v>
      </c>
      <c r="D41" s="48">
        <f>Реагирование!E33</f>
        <v>3.6363636363636362</v>
      </c>
      <c r="E41" s="49">
        <f>Реагирование!F33</f>
        <v>1.8181818181818181</v>
      </c>
      <c r="F41" s="61">
        <v>0</v>
      </c>
      <c r="G41" s="61">
        <v>0</v>
      </c>
      <c r="H41" s="61">
        <v>0</v>
      </c>
      <c r="I41" s="51">
        <v>0</v>
      </c>
      <c r="J41" s="52">
        <v>0</v>
      </c>
      <c r="K41" s="53" t="e">
        <f>Реагирование!J33</f>
        <v>#DIV/0!</v>
      </c>
      <c r="L41" s="62">
        <f>Реагирование!K33</f>
        <v>5</v>
      </c>
      <c r="M41" s="55">
        <f>Реагирование!L33</f>
        <v>0</v>
      </c>
      <c r="N41" s="56">
        <f t="shared" si="0"/>
        <v>5</v>
      </c>
      <c r="O41" s="57">
        <f t="shared" si="1"/>
        <v>0</v>
      </c>
      <c r="P41" s="58">
        <f t="shared" si="4"/>
        <v>1</v>
      </c>
      <c r="R41" s="59">
        <f t="shared" si="5"/>
        <v>0</v>
      </c>
      <c r="S41" s="59">
        <f t="shared" si="5"/>
        <v>0</v>
      </c>
      <c r="T41" s="59">
        <f>IF(E41=0,0,IF(($M41-E41)&gt;=0,1,1-(E41-$M41)/E41))</f>
        <v>0</v>
      </c>
    </row>
    <row r="42" spans="1:21" ht="15.75" customHeight="1">
      <c r="A42" s="709"/>
      <c r="B42" s="83" t="str">
        <f>Реагирование!B32</f>
        <v>Анализ и расследование</v>
      </c>
      <c r="C42" s="84">
        <f>Реагирование!D32</f>
        <v>4.5999999999999996</v>
      </c>
      <c r="D42" s="85">
        <f>Реагирование!E32</f>
        <v>3.84</v>
      </c>
      <c r="E42" s="49">
        <f>Реагирование!F32</f>
        <v>1.04</v>
      </c>
      <c r="F42" s="61">
        <v>0</v>
      </c>
      <c r="G42" s="61">
        <v>0</v>
      </c>
      <c r="H42" s="61">
        <v>0</v>
      </c>
      <c r="I42" s="51">
        <v>0</v>
      </c>
      <c r="J42" s="75">
        <v>0</v>
      </c>
      <c r="K42" s="76" t="e">
        <f>Реагирование!J32</f>
        <v>#DIV/0!</v>
      </c>
      <c r="L42" s="77">
        <f>Реагирование!K32</f>
        <v>4.5999999999999996</v>
      </c>
      <c r="M42" s="55">
        <f>Реагирование!L32</f>
        <v>0</v>
      </c>
      <c r="N42" s="56">
        <f t="shared" si="0"/>
        <v>4.5999999999999996</v>
      </c>
      <c r="O42" s="57">
        <f t="shared" si="1"/>
        <v>0</v>
      </c>
      <c r="P42" s="58">
        <f t="shared" si="4"/>
        <v>1</v>
      </c>
      <c r="R42" s="59">
        <f t="shared" si="5"/>
        <v>0</v>
      </c>
      <c r="S42" s="59">
        <f t="shared" si="5"/>
        <v>0</v>
      </c>
      <c r="T42" s="59">
        <f>IF(E42=0,0,IF(($M42-E42)&gt;=0,1,1-(E42-$M42)/E42))</f>
        <v>0</v>
      </c>
    </row>
    <row r="43" spans="1:21" ht="15.75" customHeight="1">
      <c r="A43" s="710" t="s">
        <v>58</v>
      </c>
      <c r="B43" s="78" t="str">
        <f>Восстановление!B31</f>
        <v>Планирование восстановления</v>
      </c>
      <c r="C43" s="47">
        <f>Восстановление!D27</f>
        <v>5</v>
      </c>
      <c r="D43" s="104">
        <f>Восстановление!E27</f>
        <v>3.5999999999999996</v>
      </c>
      <c r="E43" s="80">
        <f>Восстановление!F27</f>
        <v>1.0666666666666667</v>
      </c>
      <c r="F43" s="61">
        <v>0</v>
      </c>
      <c r="G43" s="61">
        <v>0</v>
      </c>
      <c r="H43" s="61">
        <v>0</v>
      </c>
      <c r="I43" s="51">
        <v>0</v>
      </c>
      <c r="J43" s="52">
        <v>0</v>
      </c>
      <c r="K43" s="81" t="e">
        <f>Восстановление!J27</f>
        <v>#DIV/0!</v>
      </c>
      <c r="L43" s="105">
        <f>Восстановление!K27</f>
        <v>5</v>
      </c>
      <c r="M43" s="106">
        <f>Восстановление!L27</f>
        <v>0</v>
      </c>
      <c r="N43" s="56">
        <f t="shared" si="0"/>
        <v>5</v>
      </c>
      <c r="O43" s="57">
        <f t="shared" si="1"/>
        <v>0</v>
      </c>
      <c r="P43" s="58">
        <f t="shared" si="4"/>
        <v>1</v>
      </c>
      <c r="R43" s="59">
        <f t="shared" si="5"/>
        <v>0</v>
      </c>
      <c r="S43" s="59">
        <f t="shared" si="5"/>
        <v>0</v>
      </c>
      <c r="T43" s="59">
        <f>IF(E43=0,0,IF(($M43-E43)&gt;=0,1,1-(E43-$M43)/E43))</f>
        <v>0</v>
      </c>
    </row>
    <row r="44" spans="1:21" ht="14.1" customHeight="1">
      <c r="A44" s="709"/>
      <c r="B44" s="83" t="str">
        <f>Восстановление!B41</f>
        <v>Восстановление - Коммуникации</v>
      </c>
      <c r="C44" s="84">
        <f>Восстановление!D28</f>
        <v>5</v>
      </c>
      <c r="D44" s="107">
        <f>Восстановление!E28</f>
        <v>1.6</v>
      </c>
      <c r="E44" s="86">
        <f>Восстановление!F28</f>
        <v>0</v>
      </c>
      <c r="F44" s="61">
        <v>0</v>
      </c>
      <c r="G44" s="61">
        <v>0</v>
      </c>
      <c r="H44" s="61">
        <v>0</v>
      </c>
      <c r="I44" s="102">
        <v>0</v>
      </c>
      <c r="J44" s="75">
        <v>0</v>
      </c>
      <c r="K44" s="76" t="e">
        <f>Восстановление!J28</f>
        <v>#DIV/0!</v>
      </c>
      <c r="L44" s="108">
        <f>Восстановление!K28</f>
        <v>5</v>
      </c>
      <c r="M44" s="109">
        <f>Восстановление!L28</f>
        <v>0</v>
      </c>
      <c r="N44" s="56">
        <f t="shared" si="0"/>
        <v>5</v>
      </c>
      <c r="O44" s="57">
        <f t="shared" si="1"/>
        <v>0</v>
      </c>
      <c r="P44" s="58">
        <f t="shared" si="4"/>
        <v>1</v>
      </c>
      <c r="R44" s="59">
        <f t="shared" si="5"/>
        <v>0</v>
      </c>
      <c r="S44" s="59">
        <f t="shared" si="5"/>
        <v>0</v>
      </c>
      <c r="T44" s="65"/>
    </row>
    <row r="45" spans="1:21" ht="30.6" customHeight="1">
      <c r="R45" s="110">
        <f>SUM(Расчет!R23:R36)/COUNTA(Расчет!R23:R36)</f>
        <v>0</v>
      </c>
      <c r="S45" s="111">
        <f>SUM(Расчет!S23:S33)/COUNTA(Расчет!S23:S33)</f>
        <v>0</v>
      </c>
      <c r="T45" s="110">
        <f>SUM(Расчет!T23:T27)/COUNTA(Расчет!T23:T27)</f>
        <v>0</v>
      </c>
      <c r="U45" s="33" t="s">
        <v>59</v>
      </c>
    </row>
    <row r="46" spans="1:21" ht="25.5" customHeight="1">
      <c r="R46" s="110">
        <f>SUM(R4:R13,R15,R16,R38:R44)/COUNTA(R4:R13,R15,R16,R38:R44)</f>
        <v>0</v>
      </c>
      <c r="S46" s="110">
        <f>SUM(S4:S13,S15,S16,S38:S44)/COUNTA(S4:S13,S15,S16,S38:S44)</f>
        <v>0</v>
      </c>
      <c r="T46" s="110">
        <f>SUM(T4:T10,T12,T13,T15,T16,T39:T43)/COUNTA(T4:T10,T12,T13,T15,T16,T39:T43)</f>
        <v>0</v>
      </c>
      <c r="U46" s="33" t="s">
        <v>60</v>
      </c>
    </row>
    <row r="47" spans="1:21" ht="21.75" customHeight="1">
      <c r="R47" s="110">
        <f>SUM(R17:R22)/COUNTA(R17:R22)</f>
        <v>0</v>
      </c>
      <c r="S47" s="111">
        <f>SUM(S17:S22)/COUNTA(S17:S22)</f>
        <v>0</v>
      </c>
      <c r="T47" s="110">
        <f>SUM(T17:T22)/COUNTA(T17:T22)</f>
        <v>0</v>
      </c>
      <c r="U47" s="33" t="s">
        <v>61</v>
      </c>
    </row>
    <row r="48" spans="1:21" ht="21.75" customHeight="1">
      <c r="R48" s="110"/>
      <c r="S48" s="111"/>
      <c r="T48" s="110"/>
      <c r="U48" s="33"/>
    </row>
    <row r="49" spans="1:21" ht="22.5" customHeight="1">
      <c r="R49" s="110">
        <f>SUM(R28,R37,R38:R42)/COUNTA(R28,R37,R38:R42)</f>
        <v>0</v>
      </c>
      <c r="S49" s="111">
        <f>SUM(S28,S37,S38:S42)/COUNTA(S28,S37,S38:S42)</f>
        <v>0</v>
      </c>
      <c r="T49" s="110">
        <f>SUM(T39:T42)/COUNTA(T39:T42)</f>
        <v>0</v>
      </c>
      <c r="U49" s="33" t="s">
        <v>62</v>
      </c>
    </row>
    <row r="50" spans="1:21" ht="27" customHeight="1">
      <c r="R50" s="110">
        <f>R15</f>
        <v>0</v>
      </c>
      <c r="S50" s="111">
        <f>S15</f>
        <v>0</v>
      </c>
      <c r="T50" s="110">
        <f>T15</f>
        <v>0</v>
      </c>
      <c r="U50" s="33" t="s">
        <v>23</v>
      </c>
    </row>
    <row r="51" spans="1:21" ht="15.75" customHeight="1"/>
    <row r="52" spans="1:21" ht="15.75" customHeight="1"/>
    <row r="53" spans="1:21" ht="50.85" customHeight="1">
      <c r="A53" s="15"/>
      <c r="B53" s="15"/>
      <c r="C53" s="16" t="s">
        <v>11</v>
      </c>
      <c r="D53" s="17" t="s">
        <v>10</v>
      </c>
      <c r="E53" s="18" t="s">
        <v>9</v>
      </c>
      <c r="F53" s="706" t="s">
        <v>27</v>
      </c>
      <c r="G53" s="707"/>
      <c r="H53" s="112"/>
      <c r="I53" s="112"/>
      <c r="J53" s="112" t="s">
        <v>63</v>
      </c>
      <c r="K53" s="112"/>
      <c r="L53" s="113" t="str">
        <f>L1</f>
        <v>Расчетные данные на</v>
      </c>
      <c r="M53" s="114" t="s">
        <v>33</v>
      </c>
    </row>
    <row r="54" spans="1:21" ht="15.75" customHeight="1">
      <c r="A54" s="15"/>
      <c r="B54" t="s">
        <v>39</v>
      </c>
      <c r="C54" s="25"/>
      <c r="D54" s="26"/>
      <c r="E54" s="27"/>
      <c r="F54" s="28">
        <v>45017</v>
      </c>
      <c r="G54" s="28">
        <v>45291</v>
      </c>
      <c r="H54" s="115"/>
      <c r="I54" s="115"/>
      <c r="J54" s="115">
        <v>46022</v>
      </c>
      <c r="K54" s="115"/>
      <c r="L54" s="116">
        <v>46022</v>
      </c>
      <c r="M54" s="117">
        <f ca="1">TODAY()</f>
        <v>46038</v>
      </c>
    </row>
    <row r="55" spans="1:21" ht="15.75" customHeight="1">
      <c r="A55" s="704" t="str">
        <f>'Управление ИБ'!B1</f>
        <v>Система управления ИБ</v>
      </c>
      <c r="B55" s="705"/>
      <c r="C55" s="93">
        <f>AVERAGE(C4:C16)</f>
        <v>4.821648351648351</v>
      </c>
      <c r="D55" s="94">
        <f>AVERAGE(D4:D16)</f>
        <v>3.6115950715950715</v>
      </c>
      <c r="E55" s="118">
        <f>AVERAGE(E4:E16)</f>
        <v>1.8860628260628265</v>
      </c>
      <c r="F55" s="119"/>
      <c r="G55" s="119"/>
      <c r="H55" s="119"/>
      <c r="I55" s="119"/>
      <c r="J55" s="119"/>
      <c r="K55" s="119"/>
      <c r="L55" s="98">
        <f>AVERAGE(L4:L16)</f>
        <v>4.821648351648351</v>
      </c>
      <c r="M55" s="98">
        <f>AVERAGE(M4:M16)</f>
        <v>0</v>
      </c>
    </row>
    <row r="56" spans="1:21" ht="15.75" customHeight="1">
      <c r="A56" s="704" t="s">
        <v>61</v>
      </c>
      <c r="B56" s="705"/>
      <c r="C56" s="93">
        <f>AVERAGE(C17:C22)</f>
        <v>5</v>
      </c>
      <c r="D56" s="94">
        <f>AVERAGE(D17:D22)</f>
        <v>4.8</v>
      </c>
      <c r="E56" s="118">
        <f>AVERAGE(E17:E22)</f>
        <v>4.2688888888888892</v>
      </c>
      <c r="F56" s="119"/>
      <c r="G56" s="119"/>
      <c r="H56" s="119"/>
      <c r="I56" s="119"/>
      <c r="J56" s="119"/>
      <c r="K56" s="119"/>
      <c r="L56" s="98">
        <f>AVERAGE(L17:L22)</f>
        <v>5</v>
      </c>
      <c r="M56" s="98">
        <f>AVERAGE(M17:M22)</f>
        <v>0</v>
      </c>
    </row>
    <row r="57" spans="1:21" ht="15.75" customHeight="1">
      <c r="A57" s="704" t="s">
        <v>44</v>
      </c>
      <c r="B57" s="705"/>
      <c r="C57" s="93">
        <f>AVERAGE(C23:C36)</f>
        <v>4.9062908817373101</v>
      </c>
      <c r="D57" s="94">
        <f>AVERAGE(D23:D36)</f>
        <v>3.3358745421245422</v>
      </c>
      <c r="E57" s="118">
        <f>AVERAGE(E23:E36)</f>
        <v>1.4757440476190473</v>
      </c>
      <c r="F57" s="119"/>
      <c r="G57" s="119"/>
      <c r="H57" s="119"/>
      <c r="I57" s="119"/>
      <c r="J57" s="119"/>
      <c r="K57" s="119"/>
      <c r="L57" s="98">
        <f>AVERAGE(L23:L36)</f>
        <v>4.9062908817373101</v>
      </c>
      <c r="M57" s="98">
        <f>AVERAGE(M23:M36)</f>
        <v>0</v>
      </c>
    </row>
    <row r="58" spans="1:21" ht="15.75" customHeight="1">
      <c r="A58" s="704" t="s">
        <v>64</v>
      </c>
      <c r="B58" s="705"/>
      <c r="C58" s="93">
        <f>AVERAGE(C37:C38)</f>
        <v>4.5</v>
      </c>
      <c r="D58" s="94">
        <f>AVERAGE(D37:D38)</f>
        <v>3.8</v>
      </c>
      <c r="E58" s="118">
        <f>AVERAGE(E37:E38)</f>
        <v>0</v>
      </c>
      <c r="F58" s="119"/>
      <c r="G58" s="119"/>
      <c r="H58" s="119"/>
      <c r="I58" s="119"/>
      <c r="J58" s="119"/>
      <c r="K58" s="119"/>
      <c r="L58" s="98">
        <f>AVERAGE(L37:L38)</f>
        <v>4.5</v>
      </c>
      <c r="M58" s="98">
        <f>AVERAGE(M37:M38)</f>
        <v>0</v>
      </c>
    </row>
    <row r="59" spans="1:21" ht="15.75" customHeight="1">
      <c r="A59" s="704" t="s">
        <v>57</v>
      </c>
      <c r="B59" s="705"/>
      <c r="C59" s="93">
        <f>AVERAGE(C39:C42)</f>
        <v>4.7750000000000004</v>
      </c>
      <c r="D59" s="94">
        <f>AVERAGE(D39:D42)</f>
        <v>3.4440909090909089</v>
      </c>
      <c r="E59" s="118">
        <f>AVERAGE(E39:E42)</f>
        <v>0.99954545454545451</v>
      </c>
      <c r="F59" s="119"/>
      <c r="G59" s="119"/>
      <c r="H59" s="119"/>
      <c r="I59" s="119"/>
      <c r="J59" s="119"/>
      <c r="K59" s="119"/>
      <c r="L59" s="98">
        <f>AVERAGE(L39:L42)</f>
        <v>4.7750000000000004</v>
      </c>
      <c r="M59" s="98">
        <f>AVERAGE(M39:M42)</f>
        <v>0</v>
      </c>
    </row>
    <row r="60" spans="1:21" ht="15.75" customHeight="1">
      <c r="A60" s="704" t="s">
        <v>58</v>
      </c>
      <c r="B60" s="705"/>
      <c r="C60" s="93">
        <f>AVERAGE(C43:C44)</f>
        <v>5</v>
      </c>
      <c r="D60" s="94">
        <f>AVERAGE(D43:D44)</f>
        <v>2.5999999999999996</v>
      </c>
      <c r="E60" s="118">
        <f>AVERAGE(E43:E44)</f>
        <v>0.53333333333333333</v>
      </c>
      <c r="F60" s="119"/>
      <c r="G60" s="119"/>
      <c r="H60" s="119"/>
      <c r="I60" s="119"/>
      <c r="J60" s="119"/>
      <c r="K60" s="119"/>
      <c r="L60" s="98">
        <f>AVERAGE(L43:L44)</f>
        <v>5</v>
      </c>
      <c r="M60" s="98">
        <f>AVERAGE(M43:M44)</f>
        <v>0</v>
      </c>
    </row>
    <row r="61" spans="1:21" ht="15.75" customHeight="1"/>
    <row r="62" spans="1:21" ht="15.75" customHeight="1"/>
    <row r="63" spans="1:21" ht="15.75" customHeight="1"/>
    <row r="64" spans="1:2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sheetProtection algorithmName="SHA-512" hashValue="PP4xKBSSTz+xOiHeQ1o3hRDuJCTQPRRt3xuGSVjrCN8vzzzcEBlL+H7EtBZWkOseNfqwECbSD6D81Tb9+ohNeg==" saltValue="2taFZHh67bKNLOEVTgWHMQ==" spinCount="100000" sheet="1" objects="1" scenarios="1"/>
  <autoFilter ref="A3:P44" xr:uid="{00000000-0009-0000-0000-000002000000}"/>
  <mergeCells count="19">
    <mergeCell ref="A60:B60"/>
    <mergeCell ref="A59:B59"/>
    <mergeCell ref="A58:B58"/>
    <mergeCell ref="A57:B57"/>
    <mergeCell ref="A56:B56"/>
    <mergeCell ref="P1:P2"/>
    <mergeCell ref="R1:R2"/>
    <mergeCell ref="S1:S2"/>
    <mergeCell ref="T1:T2"/>
    <mergeCell ref="A55:B55"/>
    <mergeCell ref="F53:G53"/>
    <mergeCell ref="A39:A42"/>
    <mergeCell ref="A43:A44"/>
    <mergeCell ref="F1:G1"/>
    <mergeCell ref="A4:A16"/>
    <mergeCell ref="A17:A22"/>
    <mergeCell ref="A23:A36"/>
    <mergeCell ref="A37:A38"/>
    <mergeCell ref="N1:N2"/>
  </mergeCells>
  <conditionalFormatting sqref="N4:N44">
    <cfRule type="cellIs" dxfId="75" priority="33" operator="lessThanOrEqual">
      <formula>0</formula>
    </cfRule>
  </conditionalFormatting>
  <conditionalFormatting sqref="N4:O44">
    <cfRule type="cellIs" dxfId="74" priority="48" operator="greaterThan">
      <formula>0</formula>
    </cfRule>
  </conditionalFormatting>
  <conditionalFormatting sqref="P3:P44">
    <cfRule type="dataBar" priority="284">
      <dataBar>
        <cfvo type="min"/>
        <cfvo type="max"/>
        <color rgb="FF638EC6"/>
      </dataBar>
      <extLst>
        <ext xmlns:x14="http://schemas.microsoft.com/office/spreadsheetml/2009/9/main" uri="{B025F937-C7B1-47D3-B67F-A62EFF666E3E}">
          <x14:id>{00E20072-0006-4BD6-BB62-00C700B70060}</x14:id>
        </ext>
      </extLst>
    </cfRule>
  </conditionalFormatting>
  <conditionalFormatting sqref="R6:R11">
    <cfRule type="dataBar" priority="5">
      <dataBar>
        <cfvo type="num" val="0"/>
        <cfvo type="max"/>
        <color rgb="FFAADB1E"/>
      </dataBar>
      <extLst>
        <ext xmlns:x14="http://schemas.microsoft.com/office/spreadsheetml/2009/9/main" uri="{B025F937-C7B1-47D3-B67F-A62EFF666E3E}">
          <x14:id>{009600E2-0064-433D-B722-00CC001E00A4}</x14:id>
        </ext>
      </extLst>
    </cfRule>
  </conditionalFormatting>
  <conditionalFormatting sqref="R12:R44 R4:R5">
    <cfRule type="dataBar" priority="246">
      <dataBar>
        <cfvo type="num" val="0"/>
        <cfvo type="max"/>
        <color rgb="FFAADB1E"/>
      </dataBar>
      <extLst>
        <ext xmlns:x14="http://schemas.microsoft.com/office/spreadsheetml/2009/9/main" uri="{B025F937-C7B1-47D3-B67F-A62EFF666E3E}">
          <x14:id>{000200B8-0015-4E2C-A37F-008500B9000C}</x14:id>
        </ext>
      </extLst>
    </cfRule>
  </conditionalFormatting>
  <conditionalFormatting sqref="R45:R49 R3 S46">
    <cfRule type="dataBar" priority="151">
      <dataBar>
        <cfvo type="num" val="0"/>
        <cfvo type="max"/>
        <color rgb="FFAADB1E"/>
      </dataBar>
      <extLst>
        <ext xmlns:x14="http://schemas.microsoft.com/office/spreadsheetml/2009/9/main" uri="{B025F937-C7B1-47D3-B67F-A62EFF666E3E}">
          <x14:id>{00820098-001F-46BB-9BF4-00DF00C60075}</x14:id>
        </ext>
      </extLst>
    </cfRule>
  </conditionalFormatting>
  <conditionalFormatting sqref="R50">
    <cfRule type="dataBar" priority="14">
      <dataBar>
        <cfvo type="num" val="0"/>
        <cfvo type="max"/>
        <color rgb="FFAADB1E"/>
      </dataBar>
      <extLst>
        <ext xmlns:x14="http://schemas.microsoft.com/office/spreadsheetml/2009/9/main" uri="{B025F937-C7B1-47D3-B67F-A62EFF666E3E}">
          <x14:id>{003B003F-00DE-40C6-A398-009C00D400AE}</x14:id>
        </ext>
      </extLst>
    </cfRule>
  </conditionalFormatting>
  <conditionalFormatting sqref="S3 S45 S47:S49">
    <cfRule type="dataBar" priority="29">
      <dataBar>
        <cfvo type="min"/>
        <cfvo type="max"/>
        <color rgb="FFE77119"/>
      </dataBar>
      <extLst>
        <ext xmlns:x14="http://schemas.microsoft.com/office/spreadsheetml/2009/9/main" uri="{B025F937-C7B1-47D3-B67F-A62EFF666E3E}">
          <x14:id>{001300AF-00B3-4A8C-93EE-0015003900C7}</x14:id>
        </ext>
      </extLst>
    </cfRule>
  </conditionalFormatting>
  <conditionalFormatting sqref="S6:S11">
    <cfRule type="dataBar" priority="4">
      <dataBar>
        <cfvo type="min"/>
        <cfvo type="max"/>
        <color rgb="FFE77119"/>
      </dataBar>
      <extLst>
        <ext xmlns:x14="http://schemas.microsoft.com/office/spreadsheetml/2009/9/main" uri="{B025F937-C7B1-47D3-B67F-A62EFF666E3E}">
          <x14:id>{00060090-0073-40A6-8360-007B00EC0012}</x14:id>
        </ext>
      </extLst>
    </cfRule>
  </conditionalFormatting>
  <conditionalFormatting sqref="S12:S33 S37:S44 S4:S5">
    <cfRule type="dataBar" priority="243">
      <dataBar>
        <cfvo type="min"/>
        <cfvo type="max"/>
        <color rgb="FFE77119"/>
      </dataBar>
      <extLst>
        <ext xmlns:x14="http://schemas.microsoft.com/office/spreadsheetml/2009/9/main" uri="{B025F937-C7B1-47D3-B67F-A62EFF666E3E}">
          <x14:id>{0012003E-001F-4800-84D6-003D009B006B}</x14:id>
        </ext>
      </extLst>
    </cfRule>
  </conditionalFormatting>
  <conditionalFormatting sqref="S34:S36">
    <cfRule type="dataBar" priority="2">
      <dataBar>
        <cfvo type="min"/>
        <cfvo type="max"/>
        <color theme="7" tint="0.39997558519241921"/>
      </dataBar>
      <extLst>
        <ext xmlns:x14="http://schemas.microsoft.com/office/spreadsheetml/2009/9/main" uri="{B025F937-C7B1-47D3-B67F-A62EFF666E3E}">
          <x14:id>{0061005A-0006-4493-8E14-0047009A0090}</x14:id>
        </ext>
      </extLst>
    </cfRule>
  </conditionalFormatting>
  <conditionalFormatting sqref="S50">
    <cfRule type="dataBar" priority="12">
      <dataBar>
        <cfvo type="min"/>
        <cfvo type="max"/>
        <color rgb="FFE77119"/>
      </dataBar>
      <extLst>
        <ext xmlns:x14="http://schemas.microsoft.com/office/spreadsheetml/2009/9/main" uri="{B025F937-C7B1-47D3-B67F-A62EFF666E3E}">
          <x14:id>{001D00F8-00B9-4261-9C6D-000A00AD0058}</x14:id>
        </ext>
      </extLst>
    </cfRule>
  </conditionalFormatting>
  <conditionalFormatting sqref="T3">
    <cfRule type="dataBar" priority="26">
      <dataBar>
        <cfvo type="min"/>
        <cfvo type="max"/>
        <color theme="7" tint="0.39997558519241921"/>
      </dataBar>
      <extLst>
        <ext xmlns:x14="http://schemas.microsoft.com/office/spreadsheetml/2009/9/main" uri="{B025F937-C7B1-47D3-B67F-A62EFF666E3E}">
          <x14:id>{003B0028-000C-437C-B664-006B00A600BC}</x14:id>
        </ext>
      </extLst>
    </cfRule>
  </conditionalFormatting>
  <conditionalFormatting sqref="T6:T10">
    <cfRule type="dataBar" priority="3">
      <dataBar>
        <cfvo type="min"/>
        <cfvo type="max"/>
        <color theme="7" tint="0.39997558519241921"/>
      </dataBar>
      <extLst>
        <ext xmlns:x14="http://schemas.microsoft.com/office/spreadsheetml/2009/9/main" uri="{B025F937-C7B1-47D3-B67F-A62EFF666E3E}">
          <x14:id>{003C00BF-00F9-448E-AE96-00E2007B00D6}</x14:id>
        </ext>
      </extLst>
    </cfRule>
  </conditionalFormatting>
  <conditionalFormatting sqref="T11:T44 T4:T5">
    <cfRule type="dataBar" priority="240">
      <dataBar>
        <cfvo type="min"/>
        <cfvo type="max"/>
        <color theme="7" tint="0.39997558519241921"/>
      </dataBar>
      <extLst>
        <ext xmlns:x14="http://schemas.microsoft.com/office/spreadsheetml/2009/9/main" uri="{B025F937-C7B1-47D3-B67F-A62EFF666E3E}">
          <x14:id>{00DE00CF-004C-4D39-BB5D-000D005B00CD}</x14:id>
        </ext>
      </extLst>
    </cfRule>
  </conditionalFormatting>
  <conditionalFormatting sqref="T46">
    <cfRule type="dataBar" priority="1">
      <dataBar>
        <cfvo type="min"/>
        <cfvo type="max"/>
        <color theme="7" tint="0.39997558519241921"/>
      </dataBar>
      <extLst>
        <ext xmlns:x14="http://schemas.microsoft.com/office/spreadsheetml/2009/9/main" uri="{B025F937-C7B1-47D3-B67F-A62EFF666E3E}">
          <x14:id>{001F0079-00C4-4BB4-A105-00F500670062}</x14:id>
        </ext>
      </extLst>
    </cfRule>
  </conditionalFormatting>
  <conditionalFormatting sqref="T47:T49 T45">
    <cfRule type="dataBar" priority="147">
      <dataBar>
        <cfvo type="min"/>
        <cfvo type="max"/>
        <color theme="7" tint="0.39997558519241921"/>
      </dataBar>
      <extLst>
        <ext xmlns:x14="http://schemas.microsoft.com/office/spreadsheetml/2009/9/main" uri="{B025F937-C7B1-47D3-B67F-A62EFF666E3E}">
          <x14:id>{006E0041-00F2-4C23-A626-00BC009B000B}</x14:id>
        </ext>
      </extLst>
    </cfRule>
  </conditionalFormatting>
  <conditionalFormatting sqref="T50">
    <cfRule type="dataBar" priority="13">
      <dataBar>
        <cfvo type="min"/>
        <cfvo type="max"/>
        <color theme="7" tint="0.39997558519241921"/>
      </dataBar>
      <extLst>
        <ext xmlns:x14="http://schemas.microsoft.com/office/spreadsheetml/2009/9/main" uri="{B025F937-C7B1-47D3-B67F-A62EFF666E3E}">
          <x14:id>{007A0017-0013-426F-8804-00EA00630060}</x14:id>
        </ext>
      </extLst>
    </cfRule>
  </conditionalFormatting>
  <conditionalFormatting sqref="Z3:AB3">
    <cfRule type="dataBar" priority="42">
      <dataBar showValue="0">
        <cfvo type="percent" val="0"/>
        <cfvo type="max"/>
        <color rgb="FF638EC6"/>
      </dataBar>
      <extLst>
        <ext xmlns:x14="http://schemas.microsoft.com/office/spreadsheetml/2009/9/main" uri="{B025F937-C7B1-47D3-B67F-A62EFF666E3E}">
          <x14:id>{001F0036-0088-4C17-975E-007200FF00BF}</x14:id>
        </ext>
      </extLst>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00E20072-0006-4BD6-BB62-00C700B70060}">
            <x14:dataBar minLength="0" maxLength="100" gradient="0">
              <x14:cfvo type="autoMin"/>
              <x14:cfvo type="autoMax"/>
              <x14:negativeFillColor indexed="2"/>
              <x14:axisColor indexed="64"/>
            </x14:dataBar>
          </x14:cfRule>
          <xm:sqref>P3:P44</xm:sqref>
        </x14:conditionalFormatting>
        <x14:conditionalFormatting xmlns:xm="http://schemas.microsoft.com/office/excel/2006/main">
          <x14:cfRule type="dataBar" id="{009600E2-0064-433D-B722-00CC001E00A4}">
            <x14:dataBar minLength="0" maxLength="100" gradient="0">
              <x14:cfvo type="num">
                <xm:f>0</xm:f>
              </x14:cfvo>
              <x14:cfvo type="autoMax"/>
              <x14:negativeFillColor indexed="2"/>
              <x14:axisColor indexed="64"/>
            </x14:dataBar>
          </x14:cfRule>
          <xm:sqref>R6:R11</xm:sqref>
        </x14:conditionalFormatting>
        <x14:conditionalFormatting xmlns:xm="http://schemas.microsoft.com/office/excel/2006/main">
          <x14:cfRule type="dataBar" id="{000200B8-0015-4E2C-A37F-008500B9000C}">
            <x14:dataBar minLength="0" maxLength="100" gradient="0">
              <x14:cfvo type="num">
                <xm:f>0</xm:f>
              </x14:cfvo>
              <x14:cfvo type="autoMax"/>
              <x14:negativeFillColor indexed="2"/>
              <x14:axisColor indexed="64"/>
            </x14:dataBar>
          </x14:cfRule>
          <xm:sqref>R12:R44 R4:R5</xm:sqref>
        </x14:conditionalFormatting>
        <x14:conditionalFormatting xmlns:xm="http://schemas.microsoft.com/office/excel/2006/main">
          <x14:cfRule type="dataBar" id="{00820098-001F-46BB-9BF4-00DF00C60075}">
            <x14:dataBar minLength="0" maxLength="100" gradient="0">
              <x14:cfvo type="num">
                <xm:f>0</xm:f>
              </x14:cfvo>
              <x14:cfvo type="autoMax"/>
              <x14:negativeFillColor indexed="2"/>
              <x14:axisColor indexed="64"/>
            </x14:dataBar>
          </x14:cfRule>
          <xm:sqref>R45:R49 R3 S46</xm:sqref>
        </x14:conditionalFormatting>
        <x14:conditionalFormatting xmlns:xm="http://schemas.microsoft.com/office/excel/2006/main">
          <x14:cfRule type="dataBar" id="{003B003F-00DE-40C6-A398-009C00D400AE}">
            <x14:dataBar minLength="0" maxLength="100" gradient="0">
              <x14:cfvo type="num">
                <xm:f>0</xm:f>
              </x14:cfvo>
              <x14:cfvo type="autoMax"/>
              <x14:negativeFillColor indexed="2"/>
              <x14:axisColor indexed="64"/>
            </x14:dataBar>
          </x14:cfRule>
          <xm:sqref>R50</xm:sqref>
        </x14:conditionalFormatting>
        <x14:conditionalFormatting xmlns:xm="http://schemas.microsoft.com/office/excel/2006/main">
          <x14:cfRule type="dataBar" id="{001300AF-00B3-4A8C-93EE-0015003900C7}">
            <x14:dataBar minLength="0" maxLength="100" gradient="0">
              <x14:cfvo type="autoMin"/>
              <x14:cfvo type="autoMax"/>
              <x14:negativeFillColor indexed="2"/>
              <x14:axisColor indexed="64"/>
            </x14:dataBar>
          </x14:cfRule>
          <xm:sqref>S3 S45 S47:S49</xm:sqref>
        </x14:conditionalFormatting>
        <x14:conditionalFormatting xmlns:xm="http://schemas.microsoft.com/office/excel/2006/main">
          <x14:cfRule type="dataBar" id="{00060090-0073-40A6-8360-007B00EC0012}">
            <x14:dataBar minLength="0" maxLength="100" gradient="0">
              <x14:cfvo type="autoMin"/>
              <x14:cfvo type="autoMax"/>
              <x14:negativeFillColor indexed="2"/>
              <x14:axisColor indexed="64"/>
            </x14:dataBar>
          </x14:cfRule>
          <xm:sqref>S6:S11</xm:sqref>
        </x14:conditionalFormatting>
        <x14:conditionalFormatting xmlns:xm="http://schemas.microsoft.com/office/excel/2006/main">
          <x14:cfRule type="dataBar" id="{0012003E-001F-4800-84D6-003D009B006B}">
            <x14:dataBar minLength="0" maxLength="100" gradient="0">
              <x14:cfvo type="autoMin"/>
              <x14:cfvo type="autoMax"/>
              <x14:negativeFillColor indexed="2"/>
              <x14:axisColor indexed="64"/>
            </x14:dataBar>
          </x14:cfRule>
          <xm:sqref>S12:S33 S37:S44 S4:S5</xm:sqref>
        </x14:conditionalFormatting>
        <x14:conditionalFormatting xmlns:xm="http://schemas.microsoft.com/office/excel/2006/main">
          <x14:cfRule type="dataBar" id="{0061005A-0006-4493-8E14-0047009A0090}">
            <x14:dataBar minLength="0" maxLength="100" gradient="0">
              <x14:cfvo type="min"/>
              <x14:cfvo type="max"/>
              <x14:negativeFillColor indexed="2"/>
              <x14:axisColor indexed="64"/>
            </x14:dataBar>
          </x14:cfRule>
          <xm:sqref>S34:S36</xm:sqref>
        </x14:conditionalFormatting>
        <x14:conditionalFormatting xmlns:xm="http://schemas.microsoft.com/office/excel/2006/main">
          <x14:cfRule type="dataBar" id="{001D00F8-00B9-4261-9C6D-000A00AD0058}">
            <x14:dataBar minLength="0" maxLength="100" gradient="0">
              <x14:cfvo type="autoMin"/>
              <x14:cfvo type="autoMax"/>
              <x14:negativeFillColor indexed="2"/>
              <x14:axisColor indexed="64"/>
            </x14:dataBar>
          </x14:cfRule>
          <xm:sqref>S50</xm:sqref>
        </x14:conditionalFormatting>
        <x14:conditionalFormatting xmlns:xm="http://schemas.microsoft.com/office/excel/2006/main">
          <x14:cfRule type="dataBar" id="{003B0028-000C-437C-B664-006B00A600BC}">
            <x14:dataBar minLength="0" maxLength="100" gradient="0">
              <x14:cfvo type="min"/>
              <x14:cfvo type="max"/>
              <x14:negativeFillColor indexed="2"/>
              <x14:axisColor indexed="64"/>
            </x14:dataBar>
          </x14:cfRule>
          <xm:sqref>T3</xm:sqref>
        </x14:conditionalFormatting>
        <x14:conditionalFormatting xmlns:xm="http://schemas.microsoft.com/office/excel/2006/main">
          <x14:cfRule type="dataBar" id="{003C00BF-00F9-448E-AE96-00E2007B00D6}">
            <x14:dataBar minLength="0" maxLength="100" gradient="0">
              <x14:cfvo type="min"/>
              <x14:cfvo type="max"/>
              <x14:negativeFillColor indexed="2"/>
              <x14:axisColor indexed="64"/>
            </x14:dataBar>
          </x14:cfRule>
          <xm:sqref>T6:T10</xm:sqref>
        </x14:conditionalFormatting>
        <x14:conditionalFormatting xmlns:xm="http://schemas.microsoft.com/office/excel/2006/main">
          <x14:cfRule type="dataBar" id="{00DE00CF-004C-4D39-BB5D-000D005B00CD}">
            <x14:dataBar minLength="0" maxLength="100" gradient="0">
              <x14:cfvo type="min"/>
              <x14:cfvo type="max"/>
              <x14:negativeFillColor indexed="2"/>
              <x14:axisColor indexed="64"/>
            </x14:dataBar>
          </x14:cfRule>
          <xm:sqref>T11:T44 T4:T5</xm:sqref>
        </x14:conditionalFormatting>
        <x14:conditionalFormatting xmlns:xm="http://schemas.microsoft.com/office/excel/2006/main">
          <x14:cfRule type="dataBar" id="{001F0079-00C4-4BB4-A105-00F500670062}">
            <x14:dataBar minLength="0" maxLength="100" gradient="0">
              <x14:cfvo type="min"/>
              <x14:cfvo type="max"/>
              <x14:negativeFillColor indexed="2"/>
              <x14:axisColor indexed="64"/>
            </x14:dataBar>
          </x14:cfRule>
          <xm:sqref>T46</xm:sqref>
        </x14:conditionalFormatting>
        <x14:conditionalFormatting xmlns:xm="http://schemas.microsoft.com/office/excel/2006/main">
          <x14:cfRule type="dataBar" id="{006E0041-00F2-4C23-A626-00BC009B000B}">
            <x14:dataBar minLength="0" maxLength="100" gradient="0">
              <x14:cfvo type="min"/>
              <x14:cfvo type="max"/>
              <x14:negativeFillColor indexed="2"/>
              <x14:axisColor indexed="64"/>
            </x14:dataBar>
          </x14:cfRule>
          <xm:sqref>T47:T49 T45</xm:sqref>
        </x14:conditionalFormatting>
        <x14:conditionalFormatting xmlns:xm="http://schemas.microsoft.com/office/excel/2006/main">
          <x14:cfRule type="dataBar" id="{007A0017-0013-426F-8804-00EA00630060}">
            <x14:dataBar minLength="0" maxLength="100" gradient="0">
              <x14:cfvo type="min"/>
              <x14:cfvo type="max"/>
              <x14:negativeFillColor indexed="2"/>
              <x14:axisColor indexed="64"/>
            </x14:dataBar>
          </x14:cfRule>
          <xm:sqref>T50</xm:sqref>
        </x14:conditionalFormatting>
        <x14:conditionalFormatting xmlns:xm="http://schemas.microsoft.com/office/excel/2006/main">
          <x14:cfRule type="dataBar" id="{001F0036-0088-4C17-975E-007200FF00BF}">
            <x14:dataBar minLength="0" maxLength="100" gradient="0">
              <x14:cfvo type="percent">
                <xm:f>0</xm:f>
              </x14:cfvo>
              <x14:cfvo type="max"/>
              <x14:negativeFillColor indexed="2"/>
              <x14:axisColor indexed="64"/>
            </x14:dataBar>
          </x14:cfRule>
          <xm:sqref>Z3:AB3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2" filterMode="1">
    <tabColor theme="0"/>
    <pageSetUpPr fitToPage="1"/>
  </sheetPr>
  <dimension ref="A1:AE1079"/>
  <sheetViews>
    <sheetView tabSelected="1" topLeftCell="A106" zoomScale="55" zoomScaleNormal="55" workbookViewId="0">
      <selection activeCell="Q107" sqref="Q107"/>
    </sheetView>
  </sheetViews>
  <sheetFormatPr defaultRowHeight="15.6"/>
  <cols>
    <col min="1" max="1" width="21.69921875" style="120" customWidth="1"/>
    <col min="2" max="2" width="40.69921875" style="121" customWidth="1"/>
    <col min="3" max="3" width="41.09765625" style="122" customWidth="1"/>
    <col min="4" max="4" width="21.09765625" style="122" customWidth="1"/>
    <col min="5" max="5" width="7.09765625" style="122" hidden="1" customWidth="1"/>
    <col min="6" max="6" width="8.3984375" style="122" hidden="1" customWidth="1"/>
    <col min="7" max="7" width="8.09765625" style="122" hidden="1" customWidth="1"/>
    <col min="8" max="8" width="26.5" style="123" hidden="1" customWidth="1"/>
    <col min="9" max="9" width="13" style="121" customWidth="1"/>
    <col min="10" max="10" width="13.5" style="121" hidden="1" customWidth="1"/>
    <col min="11" max="11" width="13.5" style="122" hidden="1" customWidth="1"/>
    <col min="12" max="12" width="12.3984375" style="124" hidden="1" customWidth="1"/>
    <col min="13" max="13" width="12.8984375" style="122" hidden="1" customWidth="1"/>
    <col min="14" max="14" width="18.09765625" style="123" hidden="1" customWidth="1"/>
    <col min="15" max="16" width="44.59765625" style="122" hidden="1" customWidth="1"/>
    <col min="17" max="17" width="73" style="125" customWidth="1"/>
    <col min="18" max="18" width="35.3984375" style="122" hidden="1" customWidth="1"/>
    <col min="19" max="19" width="17.5" hidden="1" customWidth="1"/>
    <col min="20" max="20" width="16.59765625" hidden="1" customWidth="1"/>
    <col min="21" max="24" width="17.59765625" hidden="1" customWidth="1"/>
  </cols>
  <sheetData>
    <row r="1" spans="1:31" ht="46.2" hidden="1">
      <c r="A1" s="713" t="s">
        <v>65</v>
      </c>
      <c r="B1" s="713"/>
      <c r="C1" s="713"/>
      <c r="D1" s="713"/>
      <c r="E1" s="713"/>
      <c r="F1" s="713"/>
      <c r="G1" s="713"/>
      <c r="H1" s="713"/>
      <c r="I1" s="713"/>
      <c r="J1" s="713"/>
      <c r="K1" s="713"/>
      <c r="L1" s="713"/>
      <c r="M1" s="713"/>
      <c r="N1" s="713"/>
      <c r="O1" s="713"/>
      <c r="P1" s="713"/>
      <c r="Q1" s="713"/>
      <c r="R1" s="713"/>
      <c r="S1" s="713"/>
      <c r="T1" s="713"/>
      <c r="U1" s="713"/>
      <c r="V1" s="713"/>
      <c r="W1" s="713"/>
      <c r="X1" s="713"/>
      <c r="Y1" s="126"/>
    </row>
    <row r="2" spans="1:31" ht="28.8" hidden="1">
      <c r="A2" s="714" t="s">
        <v>66</v>
      </c>
      <c r="B2" s="715"/>
      <c r="C2" s="715"/>
      <c r="D2" s="715"/>
      <c r="E2" s="715"/>
      <c r="F2" s="715"/>
      <c r="G2" s="715"/>
      <c r="H2" s="715"/>
      <c r="I2" s="715"/>
      <c r="J2" s="715"/>
      <c r="K2" s="715"/>
      <c r="L2" s="715"/>
      <c r="M2" s="715"/>
      <c r="N2" s="716"/>
      <c r="O2" s="127"/>
      <c r="P2" s="121"/>
      <c r="Q2" s="128"/>
      <c r="R2"/>
      <c r="S2" s="717" t="s">
        <v>67</v>
      </c>
      <c r="T2" s="718"/>
      <c r="U2" s="718"/>
      <c r="V2" s="718"/>
      <c r="W2" s="718"/>
      <c r="X2" s="719"/>
    </row>
    <row r="3" spans="1:31" ht="28.8" hidden="1">
      <c r="A3" s="720" t="s">
        <v>68</v>
      </c>
      <c r="B3" s="721"/>
      <c r="C3" s="721"/>
      <c r="D3" s="721"/>
      <c r="E3" s="721"/>
      <c r="F3" s="721"/>
      <c r="G3" s="721"/>
      <c r="H3" s="721"/>
      <c r="I3" s="721"/>
      <c r="J3" s="721"/>
      <c r="K3" s="721"/>
      <c r="L3" s="721"/>
      <c r="M3" s="721"/>
      <c r="N3" s="722"/>
      <c r="O3" s="723" t="s">
        <v>69</v>
      </c>
      <c r="P3" s="724"/>
      <c r="Q3" s="724"/>
      <c r="R3"/>
      <c r="S3" s="727" t="s">
        <v>70</v>
      </c>
      <c r="T3" s="728"/>
      <c r="U3" s="728"/>
      <c r="V3" s="728"/>
      <c r="W3" s="728"/>
      <c r="X3" s="729"/>
    </row>
    <row r="4" spans="1:31" ht="28.8" hidden="1">
      <c r="A4" s="730" t="s">
        <v>71</v>
      </c>
      <c r="B4" s="731"/>
      <c r="C4" s="129"/>
      <c r="D4" s="732"/>
      <c r="E4" s="733"/>
      <c r="F4" s="733"/>
      <c r="G4" s="733"/>
      <c r="H4" s="733"/>
      <c r="I4" s="732"/>
      <c r="J4" s="733"/>
      <c r="K4" s="733"/>
      <c r="L4" s="733"/>
      <c r="M4" s="733"/>
      <c r="N4" s="734"/>
      <c r="O4" s="723"/>
      <c r="P4" s="724"/>
      <c r="Q4" s="724"/>
      <c r="R4"/>
      <c r="S4" s="735"/>
      <c r="T4" s="736"/>
      <c r="U4" s="736"/>
      <c r="V4" s="130"/>
      <c r="W4" s="732" t="s">
        <v>72</v>
      </c>
      <c r="X4" s="734"/>
    </row>
    <row r="5" spans="1:31" ht="25.8" hidden="1">
      <c r="A5" s="737" t="s">
        <v>73</v>
      </c>
      <c r="B5" s="738"/>
      <c r="C5" s="131"/>
      <c r="D5" s="739" t="s">
        <v>74</v>
      </c>
      <c r="E5" s="740"/>
      <c r="F5" s="740"/>
      <c r="G5" s="740"/>
      <c r="H5" s="740"/>
      <c r="I5" s="739"/>
      <c r="J5" s="740"/>
      <c r="K5" s="740"/>
      <c r="L5" s="740"/>
      <c r="M5" s="740"/>
      <c r="N5" s="741"/>
      <c r="O5" s="723"/>
      <c r="P5" s="724"/>
      <c r="Q5" s="724"/>
      <c r="R5"/>
      <c r="S5" s="737" t="s">
        <v>74</v>
      </c>
      <c r="T5" s="742"/>
      <c r="U5" s="742"/>
      <c r="V5" s="132"/>
      <c r="W5" s="743" t="s">
        <v>73</v>
      </c>
      <c r="X5" s="744"/>
    </row>
    <row r="6" spans="1:31" ht="28.8" hidden="1">
      <c r="A6" s="745" t="s">
        <v>1200</v>
      </c>
      <c r="B6" s="746"/>
      <c r="C6" s="133"/>
      <c r="D6" s="133"/>
      <c r="E6" s="133"/>
      <c r="F6" s="133"/>
      <c r="G6" s="133"/>
      <c r="H6" s="133"/>
      <c r="I6" s="133"/>
      <c r="J6" s="133"/>
      <c r="K6" s="133"/>
      <c r="L6" s="133"/>
      <c r="M6" s="133"/>
      <c r="N6" s="134"/>
      <c r="O6" s="723"/>
      <c r="P6" s="724"/>
      <c r="Q6" s="724"/>
      <c r="R6"/>
      <c r="S6" s="135"/>
      <c r="T6" s="136"/>
      <c r="U6" s="136"/>
      <c r="V6" s="136"/>
      <c r="W6" s="747" t="s">
        <v>1200</v>
      </c>
      <c r="X6" s="748"/>
    </row>
    <row r="7" spans="1:31" ht="25.8" hidden="1">
      <c r="A7" s="749" t="s">
        <v>75</v>
      </c>
      <c r="B7" s="750"/>
      <c r="C7" s="137"/>
      <c r="D7" s="137"/>
      <c r="E7" s="133"/>
      <c r="F7" s="133"/>
      <c r="G7" s="133"/>
      <c r="H7" s="133"/>
      <c r="I7" s="137"/>
      <c r="J7" s="137"/>
      <c r="K7" s="137"/>
      <c r="L7" s="137"/>
      <c r="M7" s="137"/>
      <c r="N7" s="138"/>
      <c r="O7" s="725"/>
      <c r="P7" s="726"/>
      <c r="Q7" s="726"/>
      <c r="R7"/>
      <c r="S7" s="139"/>
      <c r="T7" s="140"/>
      <c r="U7" s="140"/>
      <c r="V7" s="140"/>
      <c r="W7" s="751" t="s">
        <v>75</v>
      </c>
      <c r="X7" s="752"/>
    </row>
    <row r="8" spans="1:31" ht="23.4">
      <c r="A8" s="753" t="s">
        <v>76</v>
      </c>
      <c r="B8" s="753" t="s">
        <v>77</v>
      </c>
      <c r="C8" s="753" t="s">
        <v>78</v>
      </c>
      <c r="D8" s="753" t="s">
        <v>79</v>
      </c>
      <c r="E8" s="753" t="s">
        <v>11</v>
      </c>
      <c r="F8" s="753" t="s">
        <v>10</v>
      </c>
      <c r="G8" s="753" t="s">
        <v>9</v>
      </c>
      <c r="H8" s="754" t="s">
        <v>80</v>
      </c>
      <c r="I8" s="753" t="s">
        <v>81</v>
      </c>
      <c r="J8" s="142"/>
      <c r="K8" s="143"/>
      <c r="L8" s="143">
        <f>SUBTOTAL(3,L10:L9523)</f>
        <v>76</v>
      </c>
      <c r="M8" s="143"/>
      <c r="N8" s="141" t="str">
        <f>"Всего: " &amp; SUBTOTAL(3,N10:N9523)</f>
        <v>Всего: 76</v>
      </c>
      <c r="O8" s="141" t="str">
        <f>"Всего: " &amp; SUBTOTAL(3,O10:O9523)</f>
        <v>Всего: 76</v>
      </c>
      <c r="P8" s="141" t="str">
        <f>"Всего: " &amp; SUBTOTAL(3,P10:P9523)</f>
        <v>Всего: 76</v>
      </c>
      <c r="Q8" s="141" t="str">
        <f>"Всего: " &amp; SUBTOTAL(3,Q10:Q9523)</f>
        <v>Всего: 76</v>
      </c>
      <c r="R8" s="141" t="str">
        <f>"Всего: " &amp; SUBTOTAL(3,R10:R9523)</f>
        <v>Всего: 0</v>
      </c>
      <c r="S8" s="755" t="s">
        <v>82</v>
      </c>
      <c r="T8" s="755" t="s">
        <v>83</v>
      </c>
      <c r="U8" s="145">
        <f>SUBTOTAL(9,U10:U453)</f>
        <v>0</v>
      </c>
      <c r="V8" s="145">
        <f>SUBTOTAL(9,V10:V453)</f>
        <v>0</v>
      </c>
      <c r="W8" s="145">
        <f>SUBTOTAL(9,W10:W453)</f>
        <v>0</v>
      </c>
      <c r="X8" s="145">
        <f>SUBTOTAL(9,X10:X453)</f>
        <v>0</v>
      </c>
      <c r="Y8" s="146"/>
    </row>
    <row r="9" spans="1:31" s="147" customFormat="1" ht="117">
      <c r="A9" s="753"/>
      <c r="B9" s="753"/>
      <c r="C9" s="753"/>
      <c r="D9" s="753"/>
      <c r="E9" s="753"/>
      <c r="F9" s="753"/>
      <c r="G9" s="753"/>
      <c r="H9" s="754"/>
      <c r="I9" s="753"/>
      <c r="J9" s="148" t="s">
        <v>84</v>
      </c>
      <c r="K9" s="141" t="s">
        <v>85</v>
      </c>
      <c r="L9" s="141" t="s">
        <v>33</v>
      </c>
      <c r="M9" s="149" t="s">
        <v>86</v>
      </c>
      <c r="N9" s="141" t="s">
        <v>87</v>
      </c>
      <c r="O9" s="141" t="s">
        <v>88</v>
      </c>
      <c r="P9" s="141" t="s">
        <v>89</v>
      </c>
      <c r="Q9" s="150" t="s">
        <v>90</v>
      </c>
      <c r="R9" s="141" t="s">
        <v>91</v>
      </c>
      <c r="S9" s="755"/>
      <c r="T9" s="755"/>
      <c r="U9" s="144" t="s">
        <v>92</v>
      </c>
      <c r="V9" s="144" t="s">
        <v>93</v>
      </c>
      <c r="W9" s="144" t="s">
        <v>94</v>
      </c>
      <c r="X9" s="144" t="s">
        <v>95</v>
      </c>
      <c r="Y9" s="12"/>
    </row>
    <row r="10" spans="1:31" ht="140.4" hidden="1">
      <c r="A10" s="151" t="s">
        <v>58</v>
      </c>
      <c r="B10" s="152" t="s">
        <v>169</v>
      </c>
      <c r="C10" s="153" t="str">
        <f>Восстановление!B36</f>
        <v>Выполняется регулярное создание резервных копий в соответствии с регламентом</v>
      </c>
      <c r="D10" s="153" t="str">
        <f>Восстановление!C36</f>
        <v>ВССТ.ПЛН.5</v>
      </c>
      <c r="E10" s="153">
        <f>Восстановление!D36</f>
        <v>5</v>
      </c>
      <c r="F10" s="153">
        <f>Восстановление!E36</f>
        <v>3.2</v>
      </c>
      <c r="G10" s="153">
        <f>Восстановление!F36</f>
        <v>3.2</v>
      </c>
      <c r="H10" s="153">
        <f>Восстановление!S36</f>
        <v>22.050000000000008</v>
      </c>
      <c r="I10" s="154" t="str">
        <f>IF(H10&lt;=200,"КБ1",IF(H10&lt;=300,"КБ2","КБ3"))</f>
        <v>КБ1</v>
      </c>
      <c r="J10" s="154">
        <f>Восстановление!K36</f>
        <v>5</v>
      </c>
      <c r="K10" s="153">
        <f>Восстановление!I36</f>
        <v>0</v>
      </c>
      <c r="L10" s="153">
        <f>Восстановление!L36</f>
        <v>0</v>
      </c>
      <c r="M10" s="153">
        <f t="shared" ref="M10:M73" si="0">IF(K10=J10," ",L10-K10)</f>
        <v>0</v>
      </c>
      <c r="N10" s="153">
        <f>IF(H10&lt;100,IF(L10&gt;=G10,0,J10-L10),IF(H10&lt;300,IF(L10&gt;=F10,0,J10-L10),IF(L10&gt;=E10,0,J10-L10)))</f>
        <v>5</v>
      </c>
      <c r="O10" s="153" t="str">
        <f>Восстановление!T36</f>
        <v xml:space="preserve"> - Обеспечить регулярное создание резервных копий</v>
      </c>
      <c r="P10" s="155" t="s">
        <v>97</v>
      </c>
      <c r="Q10" s="156" t="s">
        <v>170</v>
      </c>
      <c r="R10" s="153"/>
      <c r="S10" s="157"/>
      <c r="T10" s="151" t="s">
        <v>99</v>
      </c>
      <c r="U10" s="158">
        <v>0</v>
      </c>
      <c r="V10" s="158">
        <v>0</v>
      </c>
      <c r="W10" s="158">
        <v>0</v>
      </c>
      <c r="X10" s="158">
        <f t="shared" ref="X10:X67" si="1">SUM(U10:W10)</f>
        <v>0</v>
      </c>
      <c r="Y10" s="159"/>
      <c r="Z10" s="160"/>
      <c r="AA10" s="160"/>
      <c r="AB10" s="160"/>
      <c r="AC10" s="160"/>
      <c r="AD10" s="160"/>
      <c r="AE10" s="160"/>
    </row>
    <row r="11" spans="1:31" ht="163.80000000000001" hidden="1">
      <c r="A11" s="151" t="s">
        <v>58</v>
      </c>
      <c r="B11" s="152" t="s">
        <v>169</v>
      </c>
      <c r="C11" s="153" t="str">
        <f>Восстановление!B37</f>
        <v>Резервные копии хранятся на сторонних площадках</v>
      </c>
      <c r="D11" s="153" t="str">
        <f>Восстановление!C37</f>
        <v>ВССТ.ПЛН.6</v>
      </c>
      <c r="E11" s="153">
        <f>Восстановление!D37</f>
        <v>5</v>
      </c>
      <c r="F11" s="153">
        <f>Восстановление!E37</f>
        <v>3.2</v>
      </c>
      <c r="G11" s="153">
        <f>Восстановление!F37</f>
        <v>1.6</v>
      </c>
      <c r="H11" s="153">
        <f>Восстановление!S37</f>
        <v>22.060000000000009</v>
      </c>
      <c r="I11" s="154" t="str">
        <f>IF(H11&lt;=200,"КБ1",IF(H11&lt;=300,"КБ2","КБ3"))</f>
        <v>КБ1</v>
      </c>
      <c r="J11" s="154">
        <f>Восстановление!K37</f>
        <v>5</v>
      </c>
      <c r="K11" s="153">
        <f>Восстановление!I37</f>
        <v>0</v>
      </c>
      <c r="L11" s="153">
        <f>Восстановление!L37</f>
        <v>0</v>
      </c>
      <c r="M11" s="153">
        <f t="shared" si="0"/>
        <v>0</v>
      </c>
      <c r="N11" s="153">
        <f>IF(H11&lt;100,IF(L11&gt;=G11,0,J11-L11),IF(H11&lt;300,IF(L11&gt;=F11,0,J11-L11),IF(L11&gt;=E11,0,J11-L11)))</f>
        <v>5</v>
      </c>
      <c r="O11" s="153" t="str">
        <f>Восстановление!T37</f>
        <v xml:space="preserve"> - Обеспечить хранение резервных копий вне площадки расположения ИА</v>
      </c>
      <c r="P11" s="155" t="s">
        <v>97</v>
      </c>
      <c r="Q11" s="156" t="s">
        <v>171</v>
      </c>
      <c r="R11" s="153"/>
      <c r="S11" s="157"/>
      <c r="T11" s="151" t="s">
        <v>99</v>
      </c>
      <c r="U11" s="158">
        <v>0</v>
      </c>
      <c r="V11" s="158">
        <v>0</v>
      </c>
      <c r="W11" s="158">
        <v>0</v>
      </c>
      <c r="X11" s="158">
        <f t="shared" si="1"/>
        <v>0</v>
      </c>
      <c r="Y11" s="159"/>
      <c r="Z11" s="160"/>
      <c r="AA11" s="160"/>
      <c r="AB11" s="160"/>
      <c r="AC11" s="160"/>
      <c r="AD11" s="160"/>
      <c r="AE11" s="160"/>
    </row>
    <row r="12" spans="1:31" ht="70.2" hidden="1">
      <c r="A12" s="151" t="s">
        <v>58</v>
      </c>
      <c r="B12" s="152" t="s">
        <v>169</v>
      </c>
      <c r="C12" s="153" t="str">
        <f>Восстановление!B38</f>
        <v>Определены требования восстановления и проводятся тестирования</v>
      </c>
      <c r="D12" s="153" t="str">
        <f>Восстановление!C38</f>
        <v>ВССТ.ПЛН.7</v>
      </c>
      <c r="E12" s="153">
        <f>Восстановление!D38</f>
        <v>5</v>
      </c>
      <c r="F12" s="153">
        <f>Восстановление!E38</f>
        <v>3.2</v>
      </c>
      <c r="G12" s="153">
        <f>Восстановление!F38</f>
        <v>1.6</v>
      </c>
      <c r="H12" s="153">
        <f>Восстановление!S38</f>
        <v>22.070000000000011</v>
      </c>
      <c r="I12" s="154" t="str">
        <f>IF(H12&lt;=200,"КБ1",IF(H12&lt;=300,"КБ2","КБ3"))</f>
        <v>КБ1</v>
      </c>
      <c r="J12" s="154">
        <f>Восстановление!K38</f>
        <v>5</v>
      </c>
      <c r="K12" s="153">
        <f>Восстановление!I38</f>
        <v>0</v>
      </c>
      <c r="L12" s="153">
        <f>Восстановление!L38</f>
        <v>0</v>
      </c>
      <c r="M12" s="153">
        <f t="shared" si="0"/>
        <v>0</v>
      </c>
      <c r="N12" s="153">
        <f>IF(H12&lt;100,IF(L12&gt;=G12,0,J12-L12),IF(H12&lt;300,IF(L12&gt;=F12,0,J12-L12),IF(L12&gt;=E12,0,J12-L12)))</f>
        <v>5</v>
      </c>
      <c r="O12" s="153" t="str">
        <f>Восстановление!T38</f>
        <v xml:space="preserve"> -Разработать и протестировать планы восстановления</v>
      </c>
      <c r="P12" s="155" t="s">
        <v>97</v>
      </c>
      <c r="Q12" s="156" t="s">
        <v>172</v>
      </c>
      <c r="R12" s="153"/>
      <c r="S12" s="157"/>
      <c r="T12" s="151" t="s">
        <v>99</v>
      </c>
      <c r="U12" s="158">
        <v>0</v>
      </c>
      <c r="V12" s="158">
        <v>0</v>
      </c>
      <c r="W12" s="158">
        <v>0</v>
      </c>
      <c r="X12" s="158">
        <f t="shared" si="1"/>
        <v>0</v>
      </c>
      <c r="Y12" s="159"/>
      <c r="Z12" s="160"/>
      <c r="AA12" s="160"/>
      <c r="AB12" s="160"/>
      <c r="AC12" s="160"/>
      <c r="AD12" s="160"/>
      <c r="AE12" s="160"/>
    </row>
    <row r="13" spans="1:31" ht="187.2" hidden="1">
      <c r="A13" s="151" t="s">
        <v>58</v>
      </c>
      <c r="B13" s="152" t="s">
        <v>169</v>
      </c>
      <c r="C13" s="153" t="str">
        <f>Восстановление!B39</f>
        <v>Тестирование планов по реагированию и восстановлению проводятся совместно с поставщиками и сторонними провайдерами (имеющими доступ в инфраструктуру Общества)</v>
      </c>
      <c r="D13" s="153" t="str">
        <f>Восстановление!C39</f>
        <v>ВССТ.ПЛН.8</v>
      </c>
      <c r="E13" s="153">
        <f>Восстановление!D39</f>
        <v>5</v>
      </c>
      <c r="F13" s="153">
        <f>Восстановление!E39</f>
        <v>3.2</v>
      </c>
      <c r="G13" s="153">
        <f>Восстановление!F39</f>
        <v>1.6</v>
      </c>
      <c r="H13" s="153">
        <f>Восстановление!S39</f>
        <v>22.080000000000013</v>
      </c>
      <c r="I13" s="154" t="str">
        <f>IF(H13&lt;=200,"КБ1",IF(H13&lt;=300,"КБ2","КБ3"))</f>
        <v>КБ1</v>
      </c>
      <c r="J13" s="154">
        <f>Восстановление!K39</f>
        <v>5</v>
      </c>
      <c r="K13" s="153">
        <f>Восстановление!I39</f>
        <v>0</v>
      </c>
      <c r="L13" s="153">
        <f>Восстановление!L39</f>
        <v>0</v>
      </c>
      <c r="M13" s="153">
        <f t="shared" si="0"/>
        <v>0</v>
      </c>
      <c r="N13" s="153">
        <f>IF(H13&lt;100,IF(L13&gt;=G13,0,J13-L13),IF(H13&lt;300,IF(L13&gt;=F13,0,J13-L13),IF(L13&gt;=E13,0,J13-L13)))</f>
        <v>5</v>
      </c>
      <c r="O13" s="153" t="str">
        <f>Восстановление!T39</f>
        <v xml:space="preserve">- Включить в договоры обязательства поставщика содействовать при проведении восстановительных мероприятий/ Определить SLA;
   - Определить ответственных за взаимодействие и их полномочия. </v>
      </c>
      <c r="P13" s="155" t="s">
        <v>97</v>
      </c>
      <c r="Q13" s="156" t="s">
        <v>173</v>
      </c>
      <c r="R13" s="153"/>
      <c r="S13" s="157"/>
      <c r="T13" s="151" t="s">
        <v>99</v>
      </c>
      <c r="U13" s="158">
        <v>0</v>
      </c>
      <c r="V13" s="158">
        <v>0</v>
      </c>
      <c r="W13" s="158">
        <v>0</v>
      </c>
      <c r="X13" s="158">
        <v>0</v>
      </c>
      <c r="Y13" s="159"/>
      <c r="Z13" s="160"/>
      <c r="AA13" s="160"/>
      <c r="AB13" s="160"/>
      <c r="AC13" s="160"/>
      <c r="AD13" s="160"/>
      <c r="AE13" s="160"/>
    </row>
    <row r="14" spans="1:31" ht="93.6" hidden="1">
      <c r="A14" s="151" t="s">
        <v>58</v>
      </c>
      <c r="B14" s="152" t="s">
        <v>169</v>
      </c>
      <c r="C14" s="153" t="str">
        <f>Восстановление!B40</f>
        <v>Планы восстановления совершенствуются по результатам тестирования и реагирования</v>
      </c>
      <c r="D14" s="153" t="str">
        <f>Восстановление!C40</f>
        <v>ВССТ.ПЛН.9</v>
      </c>
      <c r="E14" s="153">
        <f>Восстановление!D40</f>
        <v>5</v>
      </c>
      <c r="F14" s="153">
        <f>Восстановление!E40</f>
        <v>3.2</v>
      </c>
      <c r="G14" s="153">
        <f>Восстановление!F40</f>
        <v>1.6</v>
      </c>
      <c r="H14" s="153">
        <f>Восстановление!S40</f>
        <v>22.090000000000014</v>
      </c>
      <c r="I14" s="154" t="str">
        <f>IF(H14&lt;=200,"КБ1",IF(H14&lt;=300,"КБ2","КБ3"))</f>
        <v>КБ1</v>
      </c>
      <c r="J14" s="154">
        <f>Восстановление!K40</f>
        <v>5</v>
      </c>
      <c r="K14" s="153">
        <f>Восстановление!I40</f>
        <v>0</v>
      </c>
      <c r="L14" s="153">
        <f>Восстановление!L40</f>
        <v>0</v>
      </c>
      <c r="M14" s="153">
        <f t="shared" si="0"/>
        <v>0</v>
      </c>
      <c r="N14" s="153">
        <f>IF(H14&lt;100,IF(L14&gt;=G14,0,J14-L14),IF(H14&lt;300,IF(L14&gt;=F14,0,J14-L14),IF(L14&gt;=E14,0,J14-L14)))</f>
        <v>5</v>
      </c>
      <c r="O14" s="153" t="str">
        <f>Восстановление!T40</f>
        <v xml:space="preserve"> - Проводить анализ результатов тестирования планов восстановления. Фиксировать отклонения от планов.</v>
      </c>
      <c r="P14" s="155" t="s">
        <v>97</v>
      </c>
      <c r="Q14" s="156" t="s">
        <v>174</v>
      </c>
      <c r="R14" s="153"/>
      <c r="S14" s="157"/>
      <c r="T14" s="151" t="s">
        <v>99</v>
      </c>
      <c r="U14" s="158">
        <v>0</v>
      </c>
      <c r="V14" s="158">
        <v>0</v>
      </c>
      <c r="W14" s="158">
        <v>0</v>
      </c>
      <c r="X14" s="158">
        <f t="shared" si="1"/>
        <v>0</v>
      </c>
      <c r="Y14" s="159"/>
      <c r="Z14" s="160"/>
      <c r="AA14" s="160"/>
      <c r="AB14" s="160"/>
      <c r="AC14" s="160"/>
      <c r="AD14" s="160"/>
      <c r="AE14" s="160"/>
    </row>
    <row r="15" spans="1:31" ht="187.2" hidden="1">
      <c r="A15" s="151" t="s">
        <v>61</v>
      </c>
      <c r="B15" s="152" t="s">
        <v>135</v>
      </c>
      <c r="C15" s="153" t="str">
        <f>'250'!B53</f>
        <v>Подготовлено и утверждено положение о заместителе, ответственном за обеспечение ИБ, в соответствии с требованиями Постановления Правительства РФ от 15.07.2022 № 1272</v>
      </c>
      <c r="D15" s="153" t="str">
        <f>'250'!C53</f>
        <v>НС.250.ОУ.2</v>
      </c>
      <c r="E15" s="153">
        <f>'250'!D53</f>
        <v>5</v>
      </c>
      <c r="F15" s="153">
        <f>'250'!E53</f>
        <v>5</v>
      </c>
      <c r="G15" s="153">
        <f>'250'!F53</f>
        <v>5</v>
      </c>
      <c r="H15" s="153">
        <f>'Нормативное соответствие'!S111</f>
        <v>9.01</v>
      </c>
      <c r="I15" s="154" t="str">
        <f t="shared" ref="I15:I27" si="2">IF(H15&lt;=200, "КБ1", IF(H15&lt;=300, "КБ2", "КБ3"))</f>
        <v>КБ1</v>
      </c>
      <c r="J15" s="154">
        <f>'250'!K53</f>
        <v>5</v>
      </c>
      <c r="K15" s="153">
        <f>'250'!I53</f>
        <v>0</v>
      </c>
      <c r="L15" s="153">
        <f>'250'!L53</f>
        <v>0</v>
      </c>
      <c r="M15" s="153">
        <f t="shared" si="0"/>
        <v>0</v>
      </c>
      <c r="N15" s="153">
        <f t="shared" ref="N15:N27" si="3">IF(H15&lt;100,    IF(L15&gt;=G15,0,J15-L15),       IF(H15&lt;300,     IF(L15&gt;=F15,0,J15-L15),                  IF(L15&gt;=E15,0,J15-L15)))</f>
        <v>5</v>
      </c>
      <c r="O15" s="153" t="str">
        <f>'250'!S53</f>
        <v xml:space="preserve"> - Разработать и утвердить положение о заместителе, ответсвенном за обеспечение ИБ
 - Ознакомить с положением заместителя, ответственного за обеспечение ИБ</v>
      </c>
      <c r="P15" s="155" t="s">
        <v>97</v>
      </c>
      <c r="Q15" s="156" t="s">
        <v>136</v>
      </c>
      <c r="R15" s="153"/>
      <c r="S15" s="157"/>
      <c r="T15" s="151" t="s">
        <v>99</v>
      </c>
      <c r="U15" s="158">
        <v>0</v>
      </c>
      <c r="V15" s="158">
        <v>0</v>
      </c>
      <c r="W15" s="158">
        <v>0</v>
      </c>
      <c r="X15" s="158">
        <f t="shared" si="1"/>
        <v>0</v>
      </c>
      <c r="Y15" s="159"/>
      <c r="Z15" s="160"/>
      <c r="AA15" s="160"/>
      <c r="AB15" s="160"/>
      <c r="AC15" s="160"/>
      <c r="AD15" s="160"/>
      <c r="AE15" s="160"/>
    </row>
    <row r="16" spans="1:31" ht="234" hidden="1">
      <c r="A16" s="151" t="s">
        <v>61</v>
      </c>
      <c r="B16" s="152" t="s">
        <v>135</v>
      </c>
      <c r="C16" s="153" t="str">
        <f>'250'!B54</f>
        <v>Заместитель по ИБ входит в состав коллегиальных органов Общества</v>
      </c>
      <c r="D16" s="153" t="str">
        <f>'250'!C54</f>
        <v>НС.250.ОУ.3</v>
      </c>
      <c r="E16" s="153">
        <f>'250'!D54</f>
        <v>5</v>
      </c>
      <c r="F16" s="153">
        <f>'250'!E54</f>
        <v>5</v>
      </c>
      <c r="G16" s="153">
        <f>'250'!F54</f>
        <v>5</v>
      </c>
      <c r="H16" s="153">
        <f>'Нормативное соответствие'!S111</f>
        <v>9.01</v>
      </c>
      <c r="I16" s="154" t="str">
        <f t="shared" si="2"/>
        <v>КБ1</v>
      </c>
      <c r="J16" s="154">
        <f>'250'!K54</f>
        <v>5</v>
      </c>
      <c r="K16" s="153">
        <f>'250'!I54</f>
        <v>0</v>
      </c>
      <c r="L16" s="153">
        <f>'250'!L54</f>
        <v>0</v>
      </c>
      <c r="M16" s="153">
        <f t="shared" si="0"/>
        <v>0</v>
      </c>
      <c r="N16" s="153">
        <f t="shared" si="3"/>
        <v>5</v>
      </c>
      <c r="O16" s="153" t="str">
        <f>'250'!S54</f>
        <v xml:space="preserve"> - При наличии коллегиальных органов (правление, совет директоров)  возложить полномочия ответственного за обеспечение ИБ на руководителя, входящего в состав указанных коллегиальных органов или включить ответственного за обеспечение ИБ в их состав.</v>
      </c>
      <c r="P16" s="155" t="s">
        <v>97</v>
      </c>
      <c r="Q16" s="162" t="s">
        <v>137</v>
      </c>
      <c r="R16" s="153"/>
      <c r="S16" s="157"/>
      <c r="T16" s="151" t="s">
        <v>99</v>
      </c>
      <c r="U16" s="158">
        <v>0</v>
      </c>
      <c r="V16" s="158">
        <v>0</v>
      </c>
      <c r="W16" s="158">
        <v>0</v>
      </c>
      <c r="X16" s="158">
        <f t="shared" si="1"/>
        <v>0</v>
      </c>
      <c r="Y16" s="159"/>
      <c r="Z16" s="160"/>
      <c r="AA16" s="160"/>
      <c r="AB16" s="160"/>
      <c r="AC16" s="160"/>
      <c r="AD16" s="160"/>
      <c r="AE16" s="160"/>
    </row>
    <row r="17" spans="1:31" ht="409.6" hidden="1">
      <c r="A17" s="151" t="s">
        <v>61</v>
      </c>
      <c r="B17" s="152" t="s">
        <v>135</v>
      </c>
      <c r="C17" s="153" t="str">
        <f>'250'!B55</f>
        <v>Проводится обучение пользователей по ИБ</v>
      </c>
      <c r="D17" s="153" t="str">
        <f>'250'!C55</f>
        <v>НС.250.ОУ.4</v>
      </c>
      <c r="E17" s="153">
        <f>'250'!D55</f>
        <v>5</v>
      </c>
      <c r="F17" s="153">
        <f>'250'!E55</f>
        <v>5</v>
      </c>
      <c r="G17" s="153">
        <f>'250'!F55</f>
        <v>5</v>
      </c>
      <c r="H17" s="153">
        <f>'Нормативное соответствие'!S111</f>
        <v>9.01</v>
      </c>
      <c r="I17" s="154" t="str">
        <f t="shared" si="2"/>
        <v>КБ1</v>
      </c>
      <c r="J17" s="154">
        <f>'250'!K55</f>
        <v>5</v>
      </c>
      <c r="K17" s="153">
        <f>'250'!I55</f>
        <v>0</v>
      </c>
      <c r="L17" s="153">
        <f>'250'!L55</f>
        <v>0</v>
      </c>
      <c r="M17" s="153">
        <f t="shared" si="0"/>
        <v>0</v>
      </c>
      <c r="N17" s="153">
        <f t="shared" si="3"/>
        <v>5</v>
      </c>
      <c r="O17" s="153" t="str">
        <f>'250'!S55</f>
        <v xml:space="preserve"> -  Разработать и утвердить правила и процедуры информирования и обучения персонала;
 - Переодически проводить обучение персонала правилам эксплуатации отдельных средств защиты информации, включая проведение практических занятий с персоналом;
 -  Проводить контроль осведомленности персонала об угрозах безопасности информации и уровня знаний персонала по вопросам обеспечения ИБ
 - Актуализировать правила и процедуры информирования и обучения персонала</v>
      </c>
      <c r="P17" s="155" t="s">
        <v>97</v>
      </c>
      <c r="Q17" s="162" t="s">
        <v>132</v>
      </c>
      <c r="R17" s="153"/>
      <c r="S17" s="157"/>
      <c r="T17" s="151" t="s">
        <v>99</v>
      </c>
      <c r="U17" s="158">
        <v>0</v>
      </c>
      <c r="V17" s="158">
        <v>0</v>
      </c>
      <c r="W17" s="158">
        <v>0</v>
      </c>
      <c r="X17" s="158">
        <f t="shared" si="1"/>
        <v>0</v>
      </c>
      <c r="Y17" s="159"/>
      <c r="Z17" s="160"/>
      <c r="AA17" s="160"/>
      <c r="AB17" s="160"/>
      <c r="AC17" s="160"/>
      <c r="AD17" s="160"/>
      <c r="AE17" s="160"/>
    </row>
    <row r="18" spans="1:31" ht="409.6" hidden="1">
      <c r="A18" s="151" t="s">
        <v>61</v>
      </c>
      <c r="B18" s="152" t="s">
        <v>135</v>
      </c>
      <c r="C18" s="153" t="str">
        <f>'250'!B56</f>
        <v>Заместитель руководителя Общества имеет необходимое обучение</v>
      </c>
      <c r="D18" s="153" t="str">
        <f>'250'!C56</f>
        <v>НС.250.ОУ.5</v>
      </c>
      <c r="E18" s="153">
        <f>'250'!D56</f>
        <v>5</v>
      </c>
      <c r="F18" s="153">
        <f>'250'!E56</f>
        <v>5</v>
      </c>
      <c r="G18" s="153">
        <f>'250'!F56</f>
        <v>5</v>
      </c>
      <c r="H18" s="153">
        <f>'Нормативное соответствие'!S111</f>
        <v>9.01</v>
      </c>
      <c r="I18" s="154" t="str">
        <f t="shared" si="2"/>
        <v>КБ1</v>
      </c>
      <c r="J18" s="154">
        <f>'250'!K56</f>
        <v>5</v>
      </c>
      <c r="K18" s="153">
        <f>'250'!I56</f>
        <v>0</v>
      </c>
      <c r="L18" s="153">
        <f>'250'!L56</f>
        <v>0</v>
      </c>
      <c r="M18" s="153">
        <f t="shared" si="0"/>
        <v>0</v>
      </c>
      <c r="N18" s="153">
        <f t="shared" si="3"/>
        <v>5</v>
      </c>
      <c r="O18" s="153" t="str">
        <f>'250'!S56</f>
        <v xml:space="preserve"> - Ответственное лицо должно иметь высшее образование (не ниже уровня специалитета, магистратуры) по направлению обеспечения информационной безопасности (далее – ИБ):
­ 10.0 - 01 «Информационная безопасность»;
­ 10.0 - 01 «Компьютерная безопасность»;
­ 10.0 - 02 «ИБ телекоммуникационных систем»;
­ 10.0 - 03 «ИБ автоматизированных систем»;
­ 10.0 - 04 «Информационно-аналитические системы безопасности»;
­ 10.0 - 05 «Безопасность ИТ в правоохранительных органах».
Если ответственное лицо имеет высшее образование по другому направлению подготовки (специальности), то ответственное лицо обязано пройти обучение по программе профессиональной переподготовки по направлению 'Информационная безопасность'.
Минимальный срок профессиональной переподготовки — 250 академических часов.</v>
      </c>
      <c r="P18" s="155" t="s">
        <v>97</v>
      </c>
      <c r="Q18" s="156" t="s">
        <v>138</v>
      </c>
      <c r="R18" s="153"/>
      <c r="S18" s="157"/>
      <c r="T18" s="151" t="s">
        <v>99</v>
      </c>
      <c r="U18" s="158">
        <v>0</v>
      </c>
      <c r="V18" s="158">
        <v>0</v>
      </c>
      <c r="W18" s="158">
        <v>0</v>
      </c>
      <c r="X18" s="158">
        <f t="shared" si="1"/>
        <v>0</v>
      </c>
      <c r="Y18" s="159"/>
      <c r="Z18" s="160"/>
      <c r="AA18" s="160"/>
      <c r="AB18" s="160"/>
      <c r="AC18" s="160"/>
      <c r="AD18" s="160"/>
      <c r="AE18" s="160"/>
    </row>
    <row r="19" spans="1:31" ht="93.6" hidden="1">
      <c r="A19" s="151" t="s">
        <v>61</v>
      </c>
      <c r="B19" s="152" t="s">
        <v>135</v>
      </c>
      <c r="C19" s="153" t="str">
        <f>'250'!B57</f>
        <v>Заместитель  руководителя Общества проходит регулярное повышение квалификации</v>
      </c>
      <c r="D19" s="153" t="str">
        <f>'250'!C57</f>
        <v>НС.250.ОУ.6</v>
      </c>
      <c r="E19" s="153">
        <f>'250'!D57</f>
        <v>5</v>
      </c>
      <c r="F19" s="153">
        <f>'250'!E57</f>
        <v>5</v>
      </c>
      <c r="G19" s="153">
        <f>'250'!F57</f>
        <v>5</v>
      </c>
      <c r="H19" s="153">
        <f>'Нормативное соответствие'!S111</f>
        <v>9.01</v>
      </c>
      <c r="I19" s="154" t="str">
        <f t="shared" si="2"/>
        <v>КБ1</v>
      </c>
      <c r="J19" s="154">
        <f>'250'!K57</f>
        <v>5</v>
      </c>
      <c r="K19" s="153">
        <f>'250'!I57</f>
        <v>0</v>
      </c>
      <c r="L19" s="153">
        <f>'250'!L57</f>
        <v>0</v>
      </c>
      <c r="M19" s="153">
        <f t="shared" si="0"/>
        <v>0</v>
      </c>
      <c r="N19" s="153">
        <f t="shared" si="3"/>
        <v>5</v>
      </c>
      <c r="O19" s="153" t="str">
        <f>'250'!S57</f>
        <v xml:space="preserve"> - Ответственное лицо обязано проходит повышение квалификации не менее одного раза в 3 года</v>
      </c>
      <c r="P19" s="155" t="s">
        <v>97</v>
      </c>
      <c r="Q19" s="156" t="s">
        <v>139</v>
      </c>
      <c r="R19" s="153"/>
      <c r="S19" s="157"/>
      <c r="T19" s="151" t="s">
        <v>99</v>
      </c>
      <c r="U19" s="158">
        <v>0</v>
      </c>
      <c r="V19" s="158">
        <v>0</v>
      </c>
      <c r="W19" s="158">
        <v>0</v>
      </c>
      <c r="X19" s="158">
        <f t="shared" si="1"/>
        <v>0</v>
      </c>
      <c r="Y19" s="159"/>
      <c r="Z19" s="160"/>
      <c r="AA19" s="160"/>
      <c r="AB19" s="160"/>
      <c r="AC19" s="160"/>
      <c r="AD19" s="160"/>
      <c r="AE19" s="160"/>
    </row>
    <row r="20" spans="1:31" ht="163.80000000000001" hidden="1">
      <c r="A20" s="151" t="s">
        <v>61</v>
      </c>
      <c r="B20" s="152" t="s">
        <v>135</v>
      </c>
      <c r="C20" s="153" t="str">
        <f>'250'!B58</f>
        <v>Документы по цифровой трансформации и т.п проходят согласование с ИБ</v>
      </c>
      <c r="D20" s="153" t="str">
        <f>'250'!C58</f>
        <v>НС.250.ОУ.7</v>
      </c>
      <c r="E20" s="153">
        <f>'250'!D58</f>
        <v>5</v>
      </c>
      <c r="F20" s="153">
        <f>'250'!E58</f>
        <v>5</v>
      </c>
      <c r="G20" s="153">
        <f>'250'!F58</f>
        <v>5</v>
      </c>
      <c r="H20" s="153">
        <f>'Нормативное соответствие'!S111</f>
        <v>9.01</v>
      </c>
      <c r="I20" s="154" t="str">
        <f t="shared" si="2"/>
        <v>КБ1</v>
      </c>
      <c r="J20" s="154">
        <f>'250'!K58</f>
        <v>5</v>
      </c>
      <c r="K20" s="153">
        <f>'250'!I58</f>
        <v>0</v>
      </c>
      <c r="L20" s="153">
        <f>'250'!L58</f>
        <v>0</v>
      </c>
      <c r="M20" s="153">
        <f t="shared" si="0"/>
        <v>0</v>
      </c>
      <c r="N20" s="153">
        <f t="shared" si="3"/>
        <v>5</v>
      </c>
      <c r="O20" s="153" t="str">
        <f>'250'!S58</f>
        <v xml:space="preserve"> - Основополагающие документы Общества в сфере ИТ, цифровизации и цифровой трансформации должны быть согласованы с заместителем руководителя, ответственным за обеспечение ИБ</v>
      </c>
      <c r="P20" s="155" t="s">
        <v>97</v>
      </c>
      <c r="Q20" s="156" t="s">
        <v>140</v>
      </c>
      <c r="R20" s="153"/>
      <c r="S20" s="157"/>
      <c r="T20" s="151" t="s">
        <v>99</v>
      </c>
      <c r="U20" s="158">
        <v>0</v>
      </c>
      <c r="V20" s="158">
        <v>0</v>
      </c>
      <c r="W20" s="158">
        <v>0</v>
      </c>
      <c r="X20" s="158">
        <f t="shared" si="1"/>
        <v>0</v>
      </c>
      <c r="Y20" s="159"/>
      <c r="Z20" s="160"/>
      <c r="AA20" s="160"/>
      <c r="AB20" s="160"/>
      <c r="AC20" s="160"/>
      <c r="AD20" s="160"/>
      <c r="AE20" s="160"/>
    </row>
    <row r="21" spans="1:31" ht="117" hidden="1">
      <c r="A21" s="151" t="s">
        <v>61</v>
      </c>
      <c r="B21" s="152" t="s">
        <v>135</v>
      </c>
      <c r="C21" s="153" t="str">
        <f>'250'!B59</f>
        <v>Проводится регулярное повышение осведомленности</v>
      </c>
      <c r="D21" s="153" t="str">
        <f>'250'!C59</f>
        <v>НС.250.ОУ.8</v>
      </c>
      <c r="E21" s="153">
        <f>'250'!D59</f>
        <v>5</v>
      </c>
      <c r="F21" s="153">
        <f>'250'!E59</f>
        <v>5</v>
      </c>
      <c r="G21" s="153">
        <f>'250'!F59</f>
        <v>5</v>
      </c>
      <c r="H21" s="153">
        <f>'Нормативное соответствие'!S111</f>
        <v>9.01</v>
      </c>
      <c r="I21" s="154" t="str">
        <f t="shared" si="2"/>
        <v>КБ1</v>
      </c>
      <c r="J21" s="154">
        <f>'250'!K59</f>
        <v>5</v>
      </c>
      <c r="K21" s="153">
        <f>'250'!I59</f>
        <v>0</v>
      </c>
      <c r="L21" s="153">
        <f>'250'!L59</f>
        <v>0</v>
      </c>
      <c r="M21" s="153">
        <f t="shared" si="0"/>
        <v>0</v>
      </c>
      <c r="N21" s="153">
        <f t="shared" si="3"/>
        <v>5</v>
      </c>
      <c r="O21" s="153" t="str">
        <f>'250'!S59</f>
        <v xml:space="preserve"> - Наладить регулярное информирование руководства Общества  о компьютерных инцидентах и текущем уровне ИБ в Общества.</v>
      </c>
      <c r="P21" s="155" t="s">
        <v>97</v>
      </c>
      <c r="Q21" s="162" t="s">
        <v>141</v>
      </c>
      <c r="R21" s="153"/>
      <c r="S21" s="157"/>
      <c r="T21" s="151" t="s">
        <v>99</v>
      </c>
      <c r="U21" s="158">
        <v>0</v>
      </c>
      <c r="V21" s="158">
        <v>0</v>
      </c>
      <c r="W21" s="158">
        <v>0</v>
      </c>
      <c r="X21" s="158">
        <f t="shared" si="1"/>
        <v>0</v>
      </c>
      <c r="Y21" s="159"/>
      <c r="Z21" s="160"/>
      <c r="AA21" s="160"/>
      <c r="AB21" s="160"/>
      <c r="AC21" s="160"/>
      <c r="AD21" s="160"/>
      <c r="AE21" s="160"/>
    </row>
    <row r="22" spans="1:31" ht="163.80000000000001" hidden="1">
      <c r="A22" s="151" t="s">
        <v>61</v>
      </c>
      <c r="B22" s="152" t="s">
        <v>135</v>
      </c>
      <c r="C22" s="153" t="str">
        <f>'250'!B62</f>
        <v>Утверждено положение о подразделении, обеспечивающим ИБ в соответствии с требованиями Постановления Правительства РФ от 15.07.2022 № 1272</v>
      </c>
      <c r="D22" s="153" t="str">
        <f>'250'!C62</f>
        <v>НС.250.ПДР.2</v>
      </c>
      <c r="E22" s="153">
        <f>'250'!D62</f>
        <v>5</v>
      </c>
      <c r="F22" s="153">
        <f>'250'!E62</f>
        <v>5</v>
      </c>
      <c r="G22" s="153">
        <f>'250'!F62</f>
        <v>5</v>
      </c>
      <c r="H22" s="153">
        <f>'Нормативное соответствие'!S112</f>
        <v>9.02</v>
      </c>
      <c r="I22" s="154" t="str">
        <f t="shared" si="2"/>
        <v>КБ1</v>
      </c>
      <c r="J22" s="154">
        <f>'250'!K62</f>
        <v>5</v>
      </c>
      <c r="K22" s="153">
        <f>'250'!I62</f>
        <v>0</v>
      </c>
      <c r="L22" s="153">
        <f>'250'!L62</f>
        <v>0</v>
      </c>
      <c r="M22" s="153">
        <f t="shared" si="0"/>
        <v>0</v>
      </c>
      <c r="N22" s="153">
        <f t="shared" si="3"/>
        <v>5</v>
      </c>
      <c r="O22" s="153" t="str">
        <f>'250'!S62</f>
        <v xml:space="preserve"> - Разработать и утвердить положение о структурном подразделении, ответсвенном за обеспечение ИБ
 - Ознакомить с положением  подразделение, ответственное  за обеспечение ИБ</v>
      </c>
      <c r="P22" s="155" t="s">
        <v>97</v>
      </c>
      <c r="Q22" s="156" t="s">
        <v>142</v>
      </c>
      <c r="R22" s="153"/>
      <c r="S22" s="157"/>
      <c r="T22" s="151" t="s">
        <v>99</v>
      </c>
      <c r="U22" s="158">
        <v>0</v>
      </c>
      <c r="V22" s="158">
        <v>0</v>
      </c>
      <c r="W22" s="158">
        <v>0</v>
      </c>
      <c r="X22" s="158">
        <f t="shared" si="1"/>
        <v>0</v>
      </c>
      <c r="Y22" s="159"/>
      <c r="Z22" s="160"/>
      <c r="AA22" s="160"/>
      <c r="AB22" s="160"/>
      <c r="AC22" s="160"/>
      <c r="AD22" s="160"/>
      <c r="AE22" s="160"/>
    </row>
    <row r="23" spans="1:31" ht="140.4" hidden="1">
      <c r="A23" s="151" t="s">
        <v>61</v>
      </c>
      <c r="B23" s="152" t="s">
        <v>135</v>
      </c>
      <c r="C23" s="153" t="str">
        <f>'250'!B63</f>
        <v>Подразделение подчинено заместителю руководителю Общества, ответственному за ИБ</v>
      </c>
      <c r="D23" s="153" t="str">
        <f>'250'!C63</f>
        <v>НС.250.ПДР.3</v>
      </c>
      <c r="E23" s="153">
        <f>'250'!D63</f>
        <v>5</v>
      </c>
      <c r="F23" s="153">
        <f>'250'!E63</f>
        <v>5</v>
      </c>
      <c r="G23" s="153">
        <f>'250'!F63</f>
        <v>5</v>
      </c>
      <c r="H23" s="153">
        <f>'Нормативное соответствие'!S112</f>
        <v>9.02</v>
      </c>
      <c r="I23" s="154" t="str">
        <f t="shared" si="2"/>
        <v>КБ1</v>
      </c>
      <c r="J23" s="154">
        <f>'250'!K62</f>
        <v>5</v>
      </c>
      <c r="K23" s="153">
        <f>'250'!I63</f>
        <v>0</v>
      </c>
      <c r="L23" s="153">
        <f>'250'!L63</f>
        <v>0</v>
      </c>
      <c r="M23" s="153">
        <f t="shared" si="0"/>
        <v>0</v>
      </c>
      <c r="N23" s="153">
        <f t="shared" si="3"/>
        <v>5</v>
      </c>
      <c r="O23" s="153" t="str">
        <f>'250'!S63</f>
        <v xml:space="preserve"> - Подчинить подразделение, ответственное  за обеспечение ИБ, заместителю руководителю Общества, ответственному за ИБ, в соответствии со орг. структурой Общества</v>
      </c>
      <c r="P23" s="155" t="s">
        <v>97</v>
      </c>
      <c r="Q23" s="156" t="s">
        <v>142</v>
      </c>
      <c r="R23" s="153"/>
      <c r="S23" s="157"/>
      <c r="T23" s="151" t="s">
        <v>99</v>
      </c>
      <c r="U23" s="158">
        <v>0</v>
      </c>
      <c r="V23" s="158">
        <v>0</v>
      </c>
      <c r="W23" s="158">
        <v>0</v>
      </c>
      <c r="X23" s="158">
        <f t="shared" si="1"/>
        <v>0</v>
      </c>
      <c r="Y23" s="159"/>
      <c r="Z23" s="160"/>
      <c r="AA23" s="160"/>
      <c r="AB23" s="160"/>
      <c r="AC23" s="160"/>
      <c r="AD23" s="160"/>
      <c r="AE23" s="160"/>
    </row>
    <row r="24" spans="1:31" ht="93.6" hidden="1">
      <c r="A24" s="151" t="s">
        <v>61</v>
      </c>
      <c r="B24" s="152" t="s">
        <v>135</v>
      </c>
      <c r="C24" s="153" t="str">
        <f>'250'!B65</f>
        <v>Все привлекаемые к осуществлению мероприятий по ИБ организации имеют лицензии</v>
      </c>
      <c r="D24" s="153" t="str">
        <f>'250'!C65</f>
        <v>НС.250.ПДРД.1</v>
      </c>
      <c r="E24" s="153">
        <f>'250'!D65</f>
        <v>5</v>
      </c>
      <c r="F24" s="153">
        <f>'250'!E65</f>
        <v>5</v>
      </c>
      <c r="G24" s="153">
        <f>'250'!F65</f>
        <v>5</v>
      </c>
      <c r="H24" s="153">
        <f>'Нормативное соответствие'!S113</f>
        <v>9.0299999999999994</v>
      </c>
      <c r="I24" s="154" t="str">
        <f t="shared" si="2"/>
        <v>КБ1</v>
      </c>
      <c r="J24" s="154">
        <f>'250'!K65</f>
        <v>5</v>
      </c>
      <c r="K24" s="153">
        <f>'250'!I65</f>
        <v>0</v>
      </c>
      <c r="L24" s="153">
        <f>'250'!L65</f>
        <v>0</v>
      </c>
      <c r="M24" s="153">
        <f t="shared" si="0"/>
        <v>0</v>
      </c>
      <c r="N24" s="165">
        <f t="shared" si="3"/>
        <v>5</v>
      </c>
      <c r="O24" s="153" t="str">
        <f>'250'!S65</f>
        <v xml:space="preserve"> - Привлекать к мероприятиям по ИБ только организации имеющие лицензии ФСТЭК и ФСБ</v>
      </c>
      <c r="P24" s="155" t="s">
        <v>97</v>
      </c>
      <c r="Q24" s="156" t="s">
        <v>143</v>
      </c>
      <c r="R24" s="153"/>
      <c r="S24" s="157"/>
      <c r="T24" s="151" t="s">
        <v>99</v>
      </c>
      <c r="U24" s="158">
        <v>0</v>
      </c>
      <c r="V24" s="158">
        <v>0</v>
      </c>
      <c r="W24" s="158">
        <v>0</v>
      </c>
      <c r="X24" s="158">
        <f t="shared" si="1"/>
        <v>0</v>
      </c>
      <c r="Y24" s="159"/>
      <c r="Z24" s="160"/>
      <c r="AA24" s="160"/>
      <c r="AB24" s="160"/>
      <c r="AC24" s="160"/>
      <c r="AD24" s="160"/>
      <c r="AE24" s="160"/>
    </row>
    <row r="25" spans="1:31" ht="70.2" hidden="1">
      <c r="A25" s="151" t="s">
        <v>61</v>
      </c>
      <c r="B25" s="152" t="s">
        <v>135</v>
      </c>
      <c r="C25" s="153" t="str">
        <f>'250'!B66</f>
        <v>Привлекаемый SOC имеет аккредитацию</v>
      </c>
      <c r="D25" s="153" t="str">
        <f>'250'!C66</f>
        <v>НС.250.ПДРД.2</v>
      </c>
      <c r="E25" s="153">
        <f>'250'!D66</f>
        <v>5</v>
      </c>
      <c r="F25" s="153">
        <f>'250'!E66</f>
        <v>5</v>
      </c>
      <c r="G25" s="153">
        <f>'250'!F66</f>
        <v>5</v>
      </c>
      <c r="H25" s="153">
        <f>'Нормативное соответствие'!S113</f>
        <v>9.0299999999999994</v>
      </c>
      <c r="I25" s="154" t="str">
        <f t="shared" si="2"/>
        <v>КБ1</v>
      </c>
      <c r="J25" s="154">
        <f>'250'!K66</f>
        <v>5</v>
      </c>
      <c r="K25" s="153">
        <f>'250'!I66</f>
        <v>0</v>
      </c>
      <c r="L25" s="153">
        <f>'250'!L66</f>
        <v>0</v>
      </c>
      <c r="M25" s="153">
        <f t="shared" si="0"/>
        <v>0</v>
      </c>
      <c r="N25" s="165">
        <f t="shared" si="3"/>
        <v>5</v>
      </c>
      <c r="O25" s="153" t="str">
        <f>'250'!S66</f>
        <v xml:space="preserve"> - При заключении договора с SOC убедиться в наличии аккредитации</v>
      </c>
      <c r="P25" s="155" t="s">
        <v>97</v>
      </c>
      <c r="Q25" s="156" t="s">
        <v>144</v>
      </c>
      <c r="R25" s="153"/>
      <c r="S25" s="157"/>
      <c r="T25" s="151" t="s">
        <v>99</v>
      </c>
      <c r="U25" s="158">
        <v>0</v>
      </c>
      <c r="V25" s="158">
        <v>0</v>
      </c>
      <c r="W25" s="158">
        <v>0</v>
      </c>
      <c r="X25" s="158">
        <f t="shared" si="1"/>
        <v>0</v>
      </c>
      <c r="Y25" s="159"/>
      <c r="Z25" s="160"/>
      <c r="AA25" s="160"/>
      <c r="AB25" s="160"/>
      <c r="AC25" s="160"/>
      <c r="AD25" s="160"/>
      <c r="AE25" s="160"/>
    </row>
    <row r="26" spans="1:31" ht="409.6" hidden="1">
      <c r="A26" s="151" t="s">
        <v>61</v>
      </c>
      <c r="B26" s="152" t="s">
        <v>135</v>
      </c>
      <c r="C26" s="153" t="str">
        <f>'250'!B67</f>
        <v>Привлекаемые для оценки защищенности организации имеют лицензию ФСТЭК</v>
      </c>
      <c r="D26" s="153" t="str">
        <f>'250'!C67</f>
        <v>НС.250.ПДРД.3</v>
      </c>
      <c r="E26" s="153">
        <f>'250'!D67</f>
        <v>5</v>
      </c>
      <c r="F26" s="153">
        <f>'250'!E67</f>
        <v>5</v>
      </c>
      <c r="G26" s="153">
        <f>'250'!F67</f>
        <v>5</v>
      </c>
      <c r="H26" s="153">
        <f>'Нормативное соответствие'!S113</f>
        <v>9.0299999999999994</v>
      </c>
      <c r="I26" s="154" t="str">
        <f t="shared" si="2"/>
        <v>КБ1</v>
      </c>
      <c r="J26" s="154">
        <f>'250'!K67</f>
        <v>5</v>
      </c>
      <c r="K26" s="153">
        <f>'250'!I67</f>
        <v>0</v>
      </c>
      <c r="L26" s="153">
        <f>'250'!L67</f>
        <v>0</v>
      </c>
      <c r="M26" s="153">
        <f t="shared" si="0"/>
        <v>0</v>
      </c>
      <c r="N26" s="165">
        <f t="shared" si="3"/>
        <v>5</v>
      </c>
      <c r="O26" s="153" t="str">
        <f>'250'!S67</f>
        <v xml:space="preserve"> - Определить  и привлечь  организацию для оценки уровня защищенности информационных систем ,имеющих соответствующие лицензии ФСТЭК и ФСБ (https://reestr.fstec.ru/reg1).
 - Сформировать техническое задание на выполнение работ по оценке уровня защищенности.
 - Получить отчетные документы в бумажном и в электронном виде от лицензиата по результатам оценки уровня защищенности информационных систем.
 -  На основании распоряжения Правительства РФ от 2 - 0 - 2022 N 1661-р (ред. от 0 - 0 - 2023) 'Об утверждении перечня ключевых органов (организаций), которым необходимо осуществить мероприятия по оценке уровня защищенности своих информационных систем с привлечением организаций, имеющих соответствующие лицензии ФСБ России и ФСТЭК Росси'  предоставить отчетные документы по оценке уровня защищенности информационных систем Правительству РФ, а также в адрес ФСТЭК и ФСБ России на основании соответствующего запроса.</v>
      </c>
      <c r="P26" s="155" t="s">
        <v>97</v>
      </c>
      <c r="Q26" s="156" t="s">
        <v>145</v>
      </c>
      <c r="R26" s="153"/>
      <c r="S26" s="157"/>
      <c r="T26" s="151" t="s">
        <v>99</v>
      </c>
      <c r="U26" s="158">
        <v>0</v>
      </c>
      <c r="V26" s="158">
        <v>0</v>
      </c>
      <c r="W26" s="158">
        <v>0</v>
      </c>
      <c r="X26" s="158">
        <f t="shared" si="1"/>
        <v>0</v>
      </c>
      <c r="Y26" s="159"/>
      <c r="Z26" s="160"/>
      <c r="AA26" s="160"/>
      <c r="AB26" s="160"/>
      <c r="AC26" s="160"/>
      <c r="AD26" s="160"/>
      <c r="AE26" s="160"/>
    </row>
    <row r="27" spans="1:31" ht="409.6" hidden="1">
      <c r="A27" s="151" t="s">
        <v>61</v>
      </c>
      <c r="B27" s="152" t="s">
        <v>135</v>
      </c>
      <c r="C27" s="153" t="str">
        <f>'250'!B68</f>
        <v>Привлекаемые для оценки защищенности организации имеют лицензию ФСБ</v>
      </c>
      <c r="D27" s="153" t="str">
        <f>'250'!C68</f>
        <v>НС.250.ПДРД.4</v>
      </c>
      <c r="E27" s="153">
        <f>'250'!D68</f>
        <v>5</v>
      </c>
      <c r="F27" s="153">
        <f>'250'!E68</f>
        <v>5</v>
      </c>
      <c r="G27" s="153">
        <f>'250'!F68</f>
        <v>5</v>
      </c>
      <c r="H27" s="153">
        <f>'Нормативное соответствие'!S113</f>
        <v>9.0299999999999994</v>
      </c>
      <c r="I27" s="154" t="str">
        <f t="shared" si="2"/>
        <v>КБ1</v>
      </c>
      <c r="J27" s="154">
        <f>'250'!K68</f>
        <v>5</v>
      </c>
      <c r="K27" s="153">
        <f>'250'!I68</f>
        <v>0</v>
      </c>
      <c r="L27" s="153">
        <f>'250'!L68</f>
        <v>0</v>
      </c>
      <c r="M27" s="153">
        <f t="shared" si="0"/>
        <v>0</v>
      </c>
      <c r="N27" s="165">
        <f t="shared" si="3"/>
        <v>5</v>
      </c>
      <c r="O27" s="153" t="str">
        <f>'250'!S68</f>
        <v xml:space="preserve"> - Определить  и привлечь  организацию для оценки уровня защищенности информационных систем ,имеющих соответствующие лицензии ФСТЭК и ФСБ (https://reestr.fstec.ru/reg1).
  - Сформировать техническое задание на выполнение работ по оценке уровня защищенности.
 - Получить отчетные документы в бумажном и в электронном виде от лицензиата по результатам оценки уровня защищенности информационных систем. 
 -  На основании распоряжения Правительства РФ от 2 - 0 - 2022 N 1661-р (ред. от 0 - 0 - 2023) 'Об утверждении перечня ключевых органов (организаций), которым необходимо осуществить мероприятия по оценке уровня защищенности своих информационных систем с привлечением организаций, имеющих соответствующие лицензии ФСБ России и ФСТЭК Росси'  предоставить отчетные документы по оценке уровня защищенности информационных систем Правительству РФ, а также в адрес ФСТЭК и ФСБ России на основании соответствующего запроса.</v>
      </c>
      <c r="P27" s="155" t="s">
        <v>97</v>
      </c>
      <c r="Q27" s="156" t="s">
        <v>145</v>
      </c>
      <c r="R27" s="153"/>
      <c r="S27" s="157"/>
      <c r="T27" s="151" t="s">
        <v>99</v>
      </c>
      <c r="U27" s="158">
        <v>0</v>
      </c>
      <c r="V27" s="158">
        <v>0</v>
      </c>
      <c r="W27" s="158">
        <v>0</v>
      </c>
      <c r="X27" s="158">
        <f t="shared" si="1"/>
        <v>0</v>
      </c>
      <c r="Y27" s="159"/>
      <c r="Z27" s="160"/>
      <c r="AA27" s="160"/>
      <c r="AB27" s="160"/>
      <c r="AC27" s="160"/>
      <c r="AD27" s="160"/>
      <c r="AE27" s="160"/>
    </row>
    <row r="28" spans="1:31" ht="117" hidden="1">
      <c r="A28" s="151" t="s">
        <v>61</v>
      </c>
      <c r="B28" s="152" t="s">
        <v>135</v>
      </c>
      <c r="C28" s="153" t="str">
        <f>'250'!B70</f>
        <v>Произведена инвентаризация СЗИ на предмет выявления импортного</v>
      </c>
      <c r="D28" s="153" t="str">
        <f>'250'!C70</f>
        <v>НС.250.СЗИ.1</v>
      </c>
      <c r="E28" s="153">
        <f>'250'!D70</f>
        <v>5</v>
      </c>
      <c r="F28" s="153">
        <f>'250'!E70</f>
        <v>5</v>
      </c>
      <c r="G28" s="153">
        <f>'250'!F70</f>
        <v>5</v>
      </c>
      <c r="H28" s="153">
        <f>'Нормативное соответствие'!S114</f>
        <v>9.0399999999999991</v>
      </c>
      <c r="I28" s="154" t="str">
        <f t="shared" ref="I28:I37" si="4">IF(H28&lt;=200,"КБ1",IF(H28&lt;=300,"КБ2","КБ3"))</f>
        <v>КБ1</v>
      </c>
      <c r="J28" s="154">
        <f>'250'!K70</f>
        <v>5</v>
      </c>
      <c r="K28" s="153">
        <f>'250'!I70</f>
        <v>0</v>
      </c>
      <c r="L28" s="153">
        <f>'250'!L70</f>
        <v>0</v>
      </c>
      <c r="M28" s="153">
        <f t="shared" si="0"/>
        <v>0</v>
      </c>
      <c r="N28" s="165">
        <f t="shared" ref="N28:N37" si="5">IF(H28&lt;100,IF(L28&gt;=G28,0,J28-L28),IF(H28&lt;300,IF(L28&gt;=F28,0,J28-L28),IF(L28&gt;=E28,0,J28-L28)))</f>
        <v>5</v>
      </c>
      <c r="O28" s="153" t="str">
        <f>'250'!S70</f>
        <v xml:space="preserve"> - Провести инвентаризацию используемых средств защиты информации и выявить все средства из недружественных государств</v>
      </c>
      <c r="P28" s="155" t="s">
        <v>97</v>
      </c>
      <c r="Q28" s="162" t="s">
        <v>146</v>
      </c>
      <c r="R28" s="153"/>
      <c r="S28" s="157"/>
      <c r="T28" s="151" t="s">
        <v>99</v>
      </c>
      <c r="U28" s="158">
        <v>0</v>
      </c>
      <c r="V28" s="158">
        <v>0</v>
      </c>
      <c r="W28" s="158">
        <v>0</v>
      </c>
      <c r="X28" s="158">
        <f t="shared" si="1"/>
        <v>0</v>
      </c>
      <c r="Y28" s="159"/>
      <c r="Z28" s="160"/>
      <c r="AA28" s="160"/>
      <c r="AB28" s="160"/>
      <c r="AC28" s="160"/>
      <c r="AD28" s="160"/>
      <c r="AE28" s="160"/>
    </row>
    <row r="29" spans="1:31" ht="210.6" hidden="1">
      <c r="A29" s="151" t="s">
        <v>61</v>
      </c>
      <c r="B29" s="152" t="s">
        <v>135</v>
      </c>
      <c r="C29" s="153" t="str">
        <f>'250'!B71</f>
        <v>Проведена оценка возможности перехода на отечественное</v>
      </c>
      <c r="D29" s="153" t="str">
        <f>'250'!C71</f>
        <v>НС.250.СЗИ.2</v>
      </c>
      <c r="E29" s="153">
        <f>'250'!D71</f>
        <v>5</v>
      </c>
      <c r="F29" s="153">
        <f>'250'!E71</f>
        <v>5</v>
      </c>
      <c r="G29" s="153">
        <f>'250'!F71</f>
        <v>5</v>
      </c>
      <c r="H29" s="153">
        <f>'Нормативное соответствие'!S114</f>
        <v>9.0399999999999991</v>
      </c>
      <c r="I29" s="154" t="str">
        <f t="shared" si="4"/>
        <v>КБ1</v>
      </c>
      <c r="J29" s="154">
        <f>'250'!K71</f>
        <v>5</v>
      </c>
      <c r="K29" s="153">
        <f>'250'!I71</f>
        <v>0</v>
      </c>
      <c r="L29" s="153">
        <f>'250'!L71</f>
        <v>0</v>
      </c>
      <c r="M29" s="153">
        <f t="shared" si="0"/>
        <v>0</v>
      </c>
      <c r="N29" s="165">
        <f t="shared" si="5"/>
        <v>5</v>
      </c>
      <c r="O29" s="153" t="str">
        <f>'250'!S71</f>
        <v xml:space="preserve"> - Провести  оценку возможности перехода с используемых средств защиты информации из недружественных государств  на иные решения (отечественные, open source или из дружественных государств).</v>
      </c>
      <c r="P29" s="155" t="s">
        <v>97</v>
      </c>
      <c r="Q29" s="162" t="s">
        <v>147</v>
      </c>
      <c r="R29" s="153"/>
      <c r="S29" s="157"/>
      <c r="T29" s="151" t="s">
        <v>99</v>
      </c>
      <c r="U29" s="158">
        <v>0</v>
      </c>
      <c r="V29" s="158">
        <v>0</v>
      </c>
      <c r="W29" s="158">
        <v>0</v>
      </c>
      <c r="X29" s="158">
        <f t="shared" si="1"/>
        <v>0</v>
      </c>
      <c r="Y29" s="159"/>
      <c r="Z29" s="160"/>
      <c r="AA29" s="160"/>
      <c r="AB29" s="160"/>
      <c r="AC29" s="160"/>
      <c r="AD29" s="160"/>
      <c r="AE29" s="160"/>
    </row>
    <row r="30" spans="1:31" ht="70.2" hidden="1">
      <c r="A30" s="151" t="s">
        <v>61</v>
      </c>
      <c r="B30" s="152" t="s">
        <v>135</v>
      </c>
      <c r="C30" s="153" t="str">
        <f>'250'!B72</f>
        <v>Подготовлен план перехода</v>
      </c>
      <c r="D30" s="153" t="str">
        <f>'250'!C72</f>
        <v>НС.250.СЗИ.3</v>
      </c>
      <c r="E30" s="153">
        <f>'250'!D72</f>
        <v>5</v>
      </c>
      <c r="F30" s="153">
        <f>'250'!E72</f>
        <v>5</v>
      </c>
      <c r="G30" s="153">
        <f>'250'!F72</f>
        <v>5</v>
      </c>
      <c r="H30" s="153">
        <f>'Нормативное соответствие'!S114</f>
        <v>9.0399999999999991</v>
      </c>
      <c r="I30" s="154" t="str">
        <f t="shared" si="4"/>
        <v>КБ1</v>
      </c>
      <c r="J30" s="154">
        <f>'250'!K72</f>
        <v>5</v>
      </c>
      <c r="K30" s="153">
        <f>'250'!I72</f>
        <v>0</v>
      </c>
      <c r="L30" s="153">
        <f>'250'!L72</f>
        <v>0</v>
      </c>
      <c r="M30" s="153">
        <f t="shared" si="0"/>
        <v>0</v>
      </c>
      <c r="N30" s="165">
        <f t="shared" si="5"/>
        <v>5</v>
      </c>
      <c r="O30" s="153" t="str">
        <f>'250'!S72</f>
        <v xml:space="preserve"> - Подготовить план перехода со средств защиты информации  из недружественных государств.</v>
      </c>
      <c r="P30" s="155" t="s">
        <v>97</v>
      </c>
      <c r="Q30" s="162" t="s">
        <v>148</v>
      </c>
      <c r="R30" s="153"/>
      <c r="S30" s="157"/>
      <c r="T30" s="151" t="s">
        <v>99</v>
      </c>
      <c r="U30" s="158">
        <v>0</v>
      </c>
      <c r="V30" s="158">
        <v>0</v>
      </c>
      <c r="W30" s="158">
        <v>0</v>
      </c>
      <c r="X30" s="158">
        <f t="shared" si="1"/>
        <v>0</v>
      </c>
      <c r="Y30" s="159"/>
      <c r="Z30" s="160"/>
      <c r="AA30" s="160"/>
      <c r="AB30" s="160"/>
      <c r="AC30" s="160"/>
      <c r="AD30" s="160"/>
      <c r="AE30" s="160"/>
    </row>
    <row r="31" spans="1:31" ht="117" hidden="1">
      <c r="A31" s="151" t="s">
        <v>61</v>
      </c>
      <c r="B31" s="152" t="s">
        <v>135</v>
      </c>
      <c r="C31" s="153" t="str">
        <f>'250'!B73</f>
        <v>Осуществлено пилотирование</v>
      </c>
      <c r="D31" s="153" t="str">
        <f>'250'!C73</f>
        <v>НС.250.СЗИ.4</v>
      </c>
      <c r="E31" s="153">
        <f>'250'!D73</f>
        <v>5</v>
      </c>
      <c r="F31" s="153">
        <f>'250'!E73</f>
        <v>5</v>
      </c>
      <c r="G31" s="153">
        <f>'250'!F73</f>
        <v>5</v>
      </c>
      <c r="H31" s="153">
        <f>'Нормативное соответствие'!S114</f>
        <v>9.0399999999999991</v>
      </c>
      <c r="I31" s="154" t="str">
        <f t="shared" si="4"/>
        <v>КБ1</v>
      </c>
      <c r="J31" s="154">
        <f>'250'!K73</f>
        <v>5</v>
      </c>
      <c r="K31" s="153">
        <f>'250'!I73</f>
        <v>0</v>
      </c>
      <c r="L31" s="153">
        <f>'250'!L73</f>
        <v>0</v>
      </c>
      <c r="M31" s="153">
        <f t="shared" si="0"/>
        <v>0</v>
      </c>
      <c r="N31" s="165">
        <f t="shared" si="5"/>
        <v>5</v>
      </c>
      <c r="O31" s="153" t="str">
        <f>'250'!S73</f>
        <v xml:space="preserve"> - Осуществить пилотирование решений, выбранных для замены средствам защиты информации  из недружественных государств</v>
      </c>
      <c r="P31" s="155" t="s">
        <v>97</v>
      </c>
      <c r="Q31" s="166" t="s">
        <v>149</v>
      </c>
      <c r="R31" s="153"/>
      <c r="S31" s="157"/>
      <c r="T31" s="151" t="s">
        <v>99</v>
      </c>
      <c r="U31" s="158">
        <v>0</v>
      </c>
      <c r="V31" s="158">
        <v>0</v>
      </c>
      <c r="W31" s="158">
        <v>0</v>
      </c>
      <c r="X31" s="158">
        <f t="shared" si="1"/>
        <v>0</v>
      </c>
      <c r="Y31" s="159"/>
      <c r="Z31" s="160"/>
      <c r="AA31" s="160"/>
      <c r="AB31" s="160"/>
      <c r="AC31" s="160"/>
      <c r="AD31" s="160"/>
      <c r="AE31" s="160"/>
    </row>
    <row r="32" spans="1:31" ht="70.2" hidden="1">
      <c r="A32" s="151" t="s">
        <v>61</v>
      </c>
      <c r="B32" s="152" t="s">
        <v>135</v>
      </c>
      <c r="C32" s="153" t="str">
        <f>'250'!B74</f>
        <v>Сделан выбор и осуществлено внедрение выбранного СЗИ</v>
      </c>
      <c r="D32" s="153" t="str">
        <f>'250'!C74</f>
        <v>НС.250.СЗИ.5</v>
      </c>
      <c r="E32" s="153">
        <f>'250'!D74</f>
        <v>5</v>
      </c>
      <c r="F32" s="153">
        <f>'250'!E74</f>
        <v>5</v>
      </c>
      <c r="G32" s="153">
        <f>'250'!F74</f>
        <v>5</v>
      </c>
      <c r="H32" s="153">
        <f>'Нормативное соответствие'!S114</f>
        <v>9.0399999999999991</v>
      </c>
      <c r="I32" s="154" t="str">
        <f t="shared" si="4"/>
        <v>КБ1</v>
      </c>
      <c r="J32" s="154">
        <f>'250'!K74</f>
        <v>5</v>
      </c>
      <c r="K32" s="153">
        <f>'250'!I74</f>
        <v>0</v>
      </c>
      <c r="L32" s="153">
        <f>'250'!L74</f>
        <v>0</v>
      </c>
      <c r="M32" s="153">
        <f t="shared" si="0"/>
        <v>0</v>
      </c>
      <c r="N32" s="165">
        <f t="shared" si="5"/>
        <v>5</v>
      </c>
      <c r="O32" s="153" t="str">
        <f>'250'!S74</f>
        <v xml:space="preserve"> - Внедрить выбранные средства защиты информации.</v>
      </c>
      <c r="P32" s="155" t="s">
        <v>97</v>
      </c>
      <c r="Q32" s="162" t="s">
        <v>150</v>
      </c>
      <c r="R32" s="153"/>
      <c r="S32" s="157"/>
      <c r="T32" s="151" t="s">
        <v>99</v>
      </c>
      <c r="U32" s="158">
        <v>0</v>
      </c>
      <c r="V32" s="158">
        <v>0</v>
      </c>
      <c r="W32" s="158">
        <v>0</v>
      </c>
      <c r="X32" s="158">
        <f t="shared" si="1"/>
        <v>0</v>
      </c>
      <c r="Y32" s="159"/>
      <c r="Z32" s="160"/>
      <c r="AA32" s="160"/>
      <c r="AB32" s="160"/>
      <c r="AC32" s="160"/>
      <c r="AD32" s="160"/>
      <c r="AE32" s="160"/>
    </row>
    <row r="33" spans="1:31" ht="409.6" hidden="1">
      <c r="A33" s="151" t="s">
        <v>61</v>
      </c>
      <c r="B33" s="152" t="s">
        <v>135</v>
      </c>
      <c r="C33" s="153" t="str">
        <f>'250'!B76</f>
        <v>Утвержден регламент взаимодействия с ГосСОПКА</v>
      </c>
      <c r="D33" s="153" t="str">
        <f>'250'!C76</f>
        <v>НС.250.СОПКА.1</v>
      </c>
      <c r="E33" s="153">
        <f>'250'!D76</f>
        <v>5</v>
      </c>
      <c r="F33" s="153">
        <f>'250'!E76</f>
        <v>5</v>
      </c>
      <c r="G33" s="153">
        <f>'250'!F76</f>
        <v>5</v>
      </c>
      <c r="H33" s="153">
        <f>'Нормативное соответствие'!S115</f>
        <v>9.0499999999999989</v>
      </c>
      <c r="I33" s="154" t="str">
        <f t="shared" si="4"/>
        <v>КБ1</v>
      </c>
      <c r="J33" s="154">
        <f>'250'!K76</f>
        <v>5</v>
      </c>
      <c r="K33" s="153">
        <f>'250'!I76</f>
        <v>0</v>
      </c>
      <c r="L33" s="153">
        <f>'250'!L76</f>
        <v>0</v>
      </c>
      <c r="M33" s="153">
        <f t="shared" si="0"/>
        <v>0</v>
      </c>
      <c r="N33" s="165">
        <f t="shared" si="5"/>
        <v>5</v>
      </c>
      <c r="O33" s="153" t="str">
        <f>'250'!S76</f>
        <v xml:space="preserve"> -  Подписать Соглашение о взаимодействии Публичного акционерного общества Ростелеком и ДЗО в области обнаружения, предупреждения и ликвидации последствий компьютерных атак ;
 -  Разработать и утверждить ОРД и ВНД, регламентирующие взаимодействие с  Корпоративным центром ГосСОПКА (на базе SOC Департамент мониторинга и реагирования на компьютерные инциденты КЦ ПАО 'Ростелеком; далее - КЦ ГосСОПКА):
- утвердить регламент информирования ФСБ России (НКЦКИ) о компьютерных инцидентах;
- Утвердить перечень информации о компьютерных инцидентах, связанных с функционированием объектов КИИ;
- Разработать и утвердить правила и процедуры реагирования на компьютерные инциденты.</v>
      </c>
      <c r="P33" s="155" t="s">
        <v>97</v>
      </c>
      <c r="Q33" s="162" t="s">
        <v>151</v>
      </c>
      <c r="R33" s="153"/>
      <c r="S33" s="157"/>
      <c r="T33" s="151" t="s">
        <v>99</v>
      </c>
      <c r="U33" s="158">
        <v>0</v>
      </c>
      <c r="V33" s="158">
        <v>0</v>
      </c>
      <c r="W33" s="158">
        <v>0</v>
      </c>
      <c r="X33" s="158">
        <f t="shared" si="1"/>
        <v>0</v>
      </c>
      <c r="Y33" s="159"/>
      <c r="Z33" s="160"/>
      <c r="AA33" s="160"/>
      <c r="AB33" s="160"/>
      <c r="AC33" s="160"/>
      <c r="AD33" s="160"/>
      <c r="AE33" s="160"/>
    </row>
    <row r="34" spans="1:31" ht="187.2" hidden="1">
      <c r="A34" s="151" t="s">
        <v>61</v>
      </c>
      <c r="B34" s="152" t="s">
        <v>135</v>
      </c>
      <c r="C34" s="153" t="str">
        <f>'250'!B77</f>
        <v>Осуществляется мониторинг ресурсов</v>
      </c>
      <c r="D34" s="153" t="str">
        <f>'250'!C77</f>
        <v>НС.250.СОПКА.2</v>
      </c>
      <c r="E34" s="153">
        <f>'250'!D77</f>
        <v>5</v>
      </c>
      <c r="F34" s="153">
        <f>'250'!E77</f>
        <v>5</v>
      </c>
      <c r="G34" s="153">
        <f>'250'!F77</f>
        <v>5</v>
      </c>
      <c r="H34" s="153">
        <f>'Нормативное соответствие'!S115</f>
        <v>9.0499999999999989</v>
      </c>
      <c r="I34" s="154" t="str">
        <f t="shared" si="4"/>
        <v>КБ1</v>
      </c>
      <c r="J34" s="154">
        <f>'250'!K77</f>
        <v>5</v>
      </c>
      <c r="K34" s="153">
        <f>'250'!I77</f>
        <v>0</v>
      </c>
      <c r="L34" s="153">
        <f>'250'!L77</f>
        <v>0</v>
      </c>
      <c r="M34" s="153">
        <f t="shared" si="0"/>
        <v>0</v>
      </c>
      <c r="N34" s="165">
        <f t="shared" si="5"/>
        <v>5</v>
      </c>
      <c r="O34" s="153" t="str">
        <f>'250'!S77</f>
        <v xml:space="preserve"> - Выполнить подключение ЗОКИИ к КЦ ГосСОПКА
 - Организовать двустороннее взаимодействие с КЦ ГосСОПКА по мониторингу защищенности  ЗОКИИ, принадлежащих Обществу  или используемых ею</v>
      </c>
      <c r="P34" s="155" t="s">
        <v>97</v>
      </c>
      <c r="Q34" s="162" t="s">
        <v>152</v>
      </c>
      <c r="R34" s="153"/>
      <c r="S34" s="157"/>
      <c r="T34" s="151" t="s">
        <v>99</v>
      </c>
      <c r="U34" s="158">
        <v>0</v>
      </c>
      <c r="V34" s="158">
        <v>0</v>
      </c>
      <c r="W34" s="158">
        <v>0</v>
      </c>
      <c r="X34" s="158">
        <f t="shared" si="1"/>
        <v>0</v>
      </c>
      <c r="Y34" s="159"/>
      <c r="Z34" s="160"/>
      <c r="AA34" s="160"/>
      <c r="AB34" s="160"/>
      <c r="AC34" s="160"/>
      <c r="AD34" s="160"/>
      <c r="AE34" s="160"/>
    </row>
    <row r="35" spans="1:31" ht="210.6" hidden="1">
      <c r="A35" s="151" t="s">
        <v>61</v>
      </c>
      <c r="B35" s="152" t="s">
        <v>135</v>
      </c>
      <c r="C35" s="153" t="str">
        <f>'250'!B78</f>
        <v>Организовано взаимодействие с должностными лицами ФСБ России по результатам мониторинга</v>
      </c>
      <c r="D35" s="153" t="str">
        <f>'250'!C78</f>
        <v>НС.250.СОПКА.3</v>
      </c>
      <c r="E35" s="153">
        <f>'250'!D78</f>
        <v>5</v>
      </c>
      <c r="F35" s="153">
        <f>'250'!E78</f>
        <v>5</v>
      </c>
      <c r="G35" s="153">
        <f>'250'!F78</f>
        <v>5</v>
      </c>
      <c r="H35" s="153">
        <f>'Нормативное соответствие'!S115</f>
        <v>9.0499999999999989</v>
      </c>
      <c r="I35" s="154" t="str">
        <f t="shared" si="4"/>
        <v>КБ1</v>
      </c>
      <c r="J35" s="154">
        <f>'250'!K78</f>
        <v>5</v>
      </c>
      <c r="K35" s="153">
        <f>'250'!I78</f>
        <v>0</v>
      </c>
      <c r="L35" s="153">
        <f>'250'!L78</f>
        <v>0</v>
      </c>
      <c r="M35" s="153">
        <f t="shared" si="0"/>
        <v>0</v>
      </c>
      <c r="N35" s="165">
        <f t="shared" si="5"/>
        <v>5</v>
      </c>
      <c r="O35" s="153" t="str">
        <f>'250'!S78</f>
        <v xml:space="preserve"> - Запросить информацию у КЦ ГосСОПКА по поводу организации взаимодействия с должностными лицами ФСБ России и ее территориальных органов по результатам мониторинга защищенности информационных ресурсов Общества.</v>
      </c>
      <c r="P35" s="155" t="s">
        <v>97</v>
      </c>
      <c r="Q35" s="162" t="s">
        <v>153</v>
      </c>
      <c r="R35" s="153"/>
      <c r="S35" s="157"/>
      <c r="T35" s="151" t="s">
        <v>99</v>
      </c>
      <c r="U35" s="158">
        <v>0</v>
      </c>
      <c r="V35" s="158">
        <v>0</v>
      </c>
      <c r="W35" s="158">
        <v>0</v>
      </c>
      <c r="X35" s="158">
        <f t="shared" si="1"/>
        <v>0</v>
      </c>
      <c r="Y35" s="159"/>
      <c r="Z35" s="160"/>
      <c r="AA35" s="160"/>
      <c r="AB35" s="160"/>
      <c r="AC35" s="160"/>
      <c r="AD35" s="160"/>
      <c r="AE35" s="160"/>
    </row>
    <row r="36" spans="1:31" ht="280.8" hidden="1">
      <c r="A36" s="151" t="s">
        <v>61</v>
      </c>
      <c r="B36" s="152" t="s">
        <v>135</v>
      </c>
      <c r="C36" s="153" t="str">
        <f>'250'!B79</f>
        <v>Заключено соглашение с НКЦКИ</v>
      </c>
      <c r="D36" s="153" t="str">
        <f>'250'!C79</f>
        <v>НС.250.СОПКА.4</v>
      </c>
      <c r="E36" s="153">
        <f>'250'!D79</f>
        <v>5</v>
      </c>
      <c r="F36" s="153">
        <f>'250'!E79</f>
        <v>5</v>
      </c>
      <c r="G36" s="153">
        <f>'250'!F79</f>
        <v>5</v>
      </c>
      <c r="H36" s="153">
        <f>'Нормативное соответствие'!S115</f>
        <v>9.0499999999999989</v>
      </c>
      <c r="I36" s="154" t="str">
        <f t="shared" si="4"/>
        <v>КБ1</v>
      </c>
      <c r="J36" s="154">
        <f>'250'!K79</f>
        <v>5</v>
      </c>
      <c r="K36" s="153">
        <f>'250'!I79</f>
        <v>0</v>
      </c>
      <c r="L36" s="153">
        <f>'250'!L79</f>
        <v>0</v>
      </c>
      <c r="M36" s="153">
        <f t="shared" si="0"/>
        <v>0</v>
      </c>
      <c r="N36" s="165">
        <f t="shared" si="5"/>
        <v>5</v>
      </c>
      <c r="O36" s="153" t="str">
        <f>'250'!S79</f>
        <v xml:space="preserve"> - Запросить информацию у КЦ ГосСОПКА по поводу соглашения с НКЦКИ
 - Разработать и утвердить план реагирования на компьютерные инциденты и принятия мер по ликвидации последствий компьютерных атак самостоятельно или совместно с НКЦКИ.
 - Направить План на согласование в НКЦКИ</v>
      </c>
      <c r="P36" s="155" t="s">
        <v>97</v>
      </c>
      <c r="Q36" s="162" t="s">
        <v>154</v>
      </c>
      <c r="R36" s="153"/>
      <c r="S36" s="157"/>
      <c r="T36" s="151" t="s">
        <v>99</v>
      </c>
      <c r="U36" s="158">
        <v>0</v>
      </c>
      <c r="V36" s="158">
        <v>0</v>
      </c>
      <c r="W36" s="158">
        <v>0</v>
      </c>
      <c r="X36" s="158">
        <f t="shared" si="1"/>
        <v>0</v>
      </c>
      <c r="Y36" s="159"/>
      <c r="Z36" s="160"/>
      <c r="AA36" s="160"/>
      <c r="AB36" s="160"/>
      <c r="AC36" s="160"/>
      <c r="AD36" s="160"/>
      <c r="AE36" s="160"/>
    </row>
    <row r="37" spans="1:31" ht="187.2" hidden="1">
      <c r="A37" s="151" t="s">
        <v>61</v>
      </c>
      <c r="B37" s="152" t="s">
        <v>135</v>
      </c>
      <c r="C37" s="153" t="str">
        <f>'250'!B80</f>
        <v>Организовано взаимодействие с НКЦКИ</v>
      </c>
      <c r="D37" s="153" t="str">
        <f>'250'!C80</f>
        <v>НС.250.СОПКА.5</v>
      </c>
      <c r="E37" s="153">
        <f>'250'!D80</f>
        <v>5</v>
      </c>
      <c r="F37" s="153">
        <f>'250'!E80</f>
        <v>5</v>
      </c>
      <c r="G37" s="153">
        <f>'250'!F80</f>
        <v>5</v>
      </c>
      <c r="H37" s="153">
        <f>'Нормативное соответствие'!S115</f>
        <v>9.0499999999999989</v>
      </c>
      <c r="I37" s="154" t="str">
        <f t="shared" si="4"/>
        <v>КБ1</v>
      </c>
      <c r="J37" s="154">
        <f>'250'!K80</f>
        <v>5</v>
      </c>
      <c r="K37" s="153">
        <f>'250'!I80</f>
        <v>0</v>
      </c>
      <c r="L37" s="153">
        <f>'250'!L80</f>
        <v>0</v>
      </c>
      <c r="M37" s="153">
        <f t="shared" si="0"/>
        <v>0</v>
      </c>
      <c r="N37" s="165">
        <f t="shared" si="5"/>
        <v>5</v>
      </c>
      <c r="O37" s="153" t="str">
        <f>'250'!S80</f>
        <v xml:space="preserve"> - Запросить информацию у КЦ ГосСОПКА по поводу организации взаимодействия с НКЦКИ
 - Уведомить НКЦКИ о передаче информации по компьютерным инцидентам через  КЦ ГосСОПКА</v>
      </c>
      <c r="P37" s="155" t="s">
        <v>97</v>
      </c>
      <c r="Q37" s="162" t="s">
        <v>155</v>
      </c>
      <c r="R37" s="153"/>
      <c r="S37" s="157"/>
      <c r="T37" s="151" t="s">
        <v>99</v>
      </c>
      <c r="U37" s="158">
        <v>0</v>
      </c>
      <c r="V37" s="158">
        <v>0</v>
      </c>
      <c r="W37" s="158">
        <v>0</v>
      </c>
      <c r="X37" s="158">
        <f t="shared" si="1"/>
        <v>0</v>
      </c>
      <c r="Y37" s="159"/>
      <c r="Z37" s="160"/>
      <c r="AA37" s="160"/>
      <c r="AB37" s="160"/>
      <c r="AC37" s="160"/>
      <c r="AD37" s="160"/>
      <c r="AE37" s="160"/>
    </row>
    <row r="38" spans="1:31" ht="409.6" hidden="1">
      <c r="A38" s="151" t="s">
        <v>61</v>
      </c>
      <c r="B38" s="152" t="s">
        <v>123</v>
      </c>
      <c r="C38" s="153" t="str">
        <f>'Нормативное соответствие'!B75</f>
        <v>Полномочия по обеспечению ИБ возложены на заместителя руководителя Общества</v>
      </c>
      <c r="D38" s="153" t="str">
        <f>'Нормативное соответствие'!C75</f>
        <v>НС.КИИ.1</v>
      </c>
      <c r="E38" s="153">
        <f>'Нормативное соответствие'!D75</f>
        <v>5</v>
      </c>
      <c r="F38" s="153">
        <f>'Нормативное соответствие'!E75</f>
        <v>5</v>
      </c>
      <c r="G38" s="153">
        <f>'Нормативное соответствие'!F75</f>
        <v>5</v>
      </c>
      <c r="H38" s="153">
        <f>'Нормативное соответствие'!S75</f>
        <v>8.01</v>
      </c>
      <c r="I38" s="154" t="str">
        <f t="shared" ref="I38:I49" si="6">IF(H38&lt;=200, "КБ1", IF(H38&lt;=300, "КБ2", "КБ3"))</f>
        <v>КБ1</v>
      </c>
      <c r="J38" s="154">
        <f>'Нормативное соответствие'!K75</f>
        <v>5</v>
      </c>
      <c r="K38" s="153">
        <f>'Нормативное соответствие'!I75</f>
        <v>0</v>
      </c>
      <c r="L38" s="153">
        <f>'Нормативное соответствие'!L75</f>
        <v>0</v>
      </c>
      <c r="M38" s="153">
        <f t="shared" si="0"/>
        <v>0</v>
      </c>
      <c r="N38" s="153">
        <f t="shared" ref="N38:N49" si="7">IF(H38&lt;100,    IF(L38&gt;=G38,0,J38-L38),       IF(H38&lt;300,     IF(L38&gt;=F38,0,J38-L38),                  IF(L38&gt;=E38,0,J38-L38)))</f>
        <v>5</v>
      </c>
      <c r="O38" s="153" t="str">
        <f>'Нормативное соответствие'!T75</f>
        <v xml:space="preserve"> - В соотвествии с приказом 235 с Приказом ФСТЭК от 21 декабря 2017 г. N 235 Об утверждении Требований к созданию систем безопасности значимых объектов критической информационной инфраструктуры Российской Федерации и обеспечению их функционирования:
 -  Определить полномочия для подразделения, ответственное за ИБ (как минимум уровня отдела ИБ);
 -  Подготовить положение  о подразделении, обеспечивающим ИБ в Обществе;
 -  Создать выделенное подразделение, ответственное за ИБ (как минимум уровня отдела ИБ):
- Утвердить приказом по орг. структуре создание подразделения ИБ;
- Утвердить положение  о подразделении, обеспечивающим ИБ в Обществе;
 -  Распоряжением/приказом определить подразделение ИБ, как подразделение Общества, ответственное за обеспечение безопасности значимых объектов КИИ;
Если 2-3 работника подчиняются главному инженеру (тех. директору) или заместителю по безопасности (экономической и физической), то этих 2-3 работников необходимо выделить в отдельный отдел информационной безопасности.</v>
      </c>
      <c r="P38" s="155" t="s">
        <v>97</v>
      </c>
      <c r="Q38" s="162" t="s">
        <v>124</v>
      </c>
      <c r="R38" s="153"/>
      <c r="S38" s="157"/>
      <c r="T38" s="151" t="s">
        <v>99</v>
      </c>
      <c r="U38" s="158">
        <v>0</v>
      </c>
      <c r="V38" s="158">
        <v>0</v>
      </c>
      <c r="W38" s="158">
        <v>0</v>
      </c>
      <c r="X38" s="158">
        <f t="shared" si="1"/>
        <v>0</v>
      </c>
      <c r="Y38" s="159"/>
      <c r="Z38" s="160"/>
      <c r="AA38" s="160"/>
      <c r="AB38" s="160"/>
      <c r="AC38" s="160"/>
      <c r="AD38" s="160"/>
      <c r="AE38" s="160"/>
    </row>
    <row r="39" spans="1:31" ht="409.6" hidden="1">
      <c r="A39" s="151" t="s">
        <v>61</v>
      </c>
      <c r="B39" s="152" t="s">
        <v>123</v>
      </c>
      <c r="C39" s="153" t="str">
        <f>'Нормативное соответствие'!B88</f>
        <v>Взаимодействие с ГОССОПКА</v>
      </c>
      <c r="D39" s="153" t="str">
        <f>'Нормативное соответствие'!C88</f>
        <v>НС.КИИ.14</v>
      </c>
      <c r="E39" s="153">
        <f>'Нормативное соответствие'!D88</f>
        <v>5</v>
      </c>
      <c r="F39" s="153">
        <f>'Нормативное соответствие'!E88</f>
        <v>5</v>
      </c>
      <c r="G39" s="153">
        <f>'Нормативное соответствие'!F88</f>
        <v>5</v>
      </c>
      <c r="H39" s="153">
        <f>'Нормативное соответствие'!S88</f>
        <v>8.139999999999997</v>
      </c>
      <c r="I39" s="154" t="str">
        <f t="shared" si="6"/>
        <v>КБ1</v>
      </c>
      <c r="J39" s="154">
        <f>'Нормативное соответствие'!K88</f>
        <v>5</v>
      </c>
      <c r="K39" s="153">
        <f>'Нормативное соответствие'!I88</f>
        <v>0</v>
      </c>
      <c r="L39" s="153">
        <f>'Нормативное соответствие'!L88</f>
        <v>0</v>
      </c>
      <c r="M39" s="153">
        <f t="shared" si="0"/>
        <v>0</v>
      </c>
      <c r="N39" s="153">
        <f t="shared" si="7"/>
        <v>5</v>
      </c>
      <c r="O39" s="153" t="str">
        <f>'Нормативное соответствие'!T88</f>
        <v xml:space="preserve"> - Выполнить подключение ЗОКИИ к Корпоративному центру ГосСОПКА (на базе SOC Департамент мониторинга и реагирования на компьютерные инциденты КЦ ПАО Ростелеком; далее - КЦ ГосСОПКА):
1. Подписать Соглашение о взаимодействии Публичного акционерного общества Ростелеком и ДЗО в области обнаружения, предупреждения и ликвидации последствий компьютерных атак 
2. Разработать и утвердить ОРД и ВНД, регламентирующие взаимодействие с КЦ ГосСОПКА:
- утвердить регламент информирования ФСБ России (НКЦКИ) о компьютерных инцидентах;
- Утвердить перечень информации о компьютерных инцидентах, связанных с функционированием объектов КИИ;
- Разработать и утвердить правила и процедуры реагирования на компьютерные инциденты.
- Разработать и утвердить план реагирования на компьютерные инциденты и принятия мер по ликвидации последствий компьютерных атак самостоятельно или совместно с НКЦКИ.
- Направить План на согласование в НКЦКИ.</v>
      </c>
      <c r="P39" s="155" t="s">
        <v>97</v>
      </c>
      <c r="Q39" s="164" t="s">
        <v>133</v>
      </c>
      <c r="R39" s="153"/>
      <c r="S39" s="157"/>
      <c r="T39" s="151" t="s">
        <v>99</v>
      </c>
      <c r="U39" s="158">
        <v>0</v>
      </c>
      <c r="V39" s="158">
        <v>0</v>
      </c>
      <c r="W39" s="158">
        <v>0</v>
      </c>
      <c r="X39" s="158">
        <f t="shared" si="1"/>
        <v>0</v>
      </c>
      <c r="Y39" s="159"/>
      <c r="Z39" s="160"/>
      <c r="AA39" s="160"/>
      <c r="AB39" s="160"/>
      <c r="AC39" s="160"/>
      <c r="AD39" s="160"/>
      <c r="AE39" s="160"/>
    </row>
    <row r="40" spans="1:31" ht="210.6" hidden="1">
      <c r="A40" s="151" t="s">
        <v>61</v>
      </c>
      <c r="B40" s="152" t="s">
        <v>123</v>
      </c>
      <c r="C40" s="153" t="str">
        <f>'Нормативное соответствие'!B89</f>
        <v>Предоставлены своевременные ответы на запросы ФСТЭК России о выполнении мер по защите информации, рекомендованных к реализации (ответы предоставлены на более чем 95% запросов)</v>
      </c>
      <c r="D40" s="153" t="str">
        <f>'Нормативное соответствие'!C89</f>
        <v>НС.КИИ.15</v>
      </c>
      <c r="E40" s="153">
        <f>'Нормативное соответствие'!D89</f>
        <v>5</v>
      </c>
      <c r="F40" s="153">
        <f>'Нормативное соответствие'!E89</f>
        <v>5</v>
      </c>
      <c r="G40" s="153">
        <f>'Нормативное соответствие'!F89</f>
        <v>3.2</v>
      </c>
      <c r="H40" s="153">
        <f>'Нормативное соответствие'!S89</f>
        <v>8.1499999999999968</v>
      </c>
      <c r="I40" s="154" t="str">
        <f t="shared" si="6"/>
        <v>КБ1</v>
      </c>
      <c r="J40" s="154">
        <f>'Нормативное соответствие'!K89</f>
        <v>5</v>
      </c>
      <c r="K40" s="153">
        <f>'Нормативное соответствие'!I89</f>
        <v>0</v>
      </c>
      <c r="L40" s="153">
        <f>'Нормативное соответствие'!L89</f>
        <v>0</v>
      </c>
      <c r="M40" s="153">
        <f t="shared" si="0"/>
        <v>0</v>
      </c>
      <c r="N40" s="153">
        <f t="shared" si="7"/>
        <v>5</v>
      </c>
      <c r="O40" s="153" t="str">
        <f>'Нормативное соответствие'!T89</f>
        <v xml:space="preserve"> - Определить ответственного сотрудника за взаимодействие с гос.регуляторами в области запросов КИИ</v>
      </c>
      <c r="P40" s="155" t="s">
        <v>97</v>
      </c>
      <c r="Q40" s="162" t="s">
        <v>134</v>
      </c>
      <c r="R40" s="153"/>
      <c r="S40" s="157"/>
      <c r="T40" s="151" t="s">
        <v>99</v>
      </c>
      <c r="U40" s="158">
        <v>0</v>
      </c>
      <c r="V40" s="158">
        <v>0</v>
      </c>
      <c r="W40" s="158">
        <v>0</v>
      </c>
      <c r="X40" s="158">
        <f t="shared" si="1"/>
        <v>0</v>
      </c>
      <c r="Y40" s="159"/>
      <c r="Z40" s="160"/>
      <c r="AA40" s="160"/>
      <c r="AB40" s="160"/>
      <c r="AC40" s="160"/>
      <c r="AD40" s="160"/>
      <c r="AE40" s="160"/>
    </row>
    <row r="41" spans="1:31" ht="409.6" hidden="1">
      <c r="A41" s="151" t="s">
        <v>61</v>
      </c>
      <c r="B41" s="152" t="s">
        <v>123</v>
      </c>
      <c r="C41" s="153" t="str">
        <f>'Нормативное соответствие'!B76</f>
        <v>Функции по обеспечению Иб возложены на структурное подразделение</v>
      </c>
      <c r="D41" s="153" t="str">
        <f>'Нормативное соответствие'!C76</f>
        <v>НС.КИИ.2</v>
      </c>
      <c r="E41" s="153">
        <f>'Нормативное соответствие'!D76</f>
        <v>5</v>
      </c>
      <c r="F41" s="153">
        <f>'Нормативное соответствие'!E76</f>
        <v>5</v>
      </c>
      <c r="G41" s="153">
        <f>'Нормативное соответствие'!F76</f>
        <v>5</v>
      </c>
      <c r="H41" s="153">
        <f>'Нормативное соответствие'!S76</f>
        <v>8.02</v>
      </c>
      <c r="I41" s="154" t="str">
        <f t="shared" si="6"/>
        <v>КБ1</v>
      </c>
      <c r="J41" s="154">
        <f>'Нормативное соответствие'!K76</f>
        <v>5</v>
      </c>
      <c r="K41" s="153">
        <f>'Нормативное соответствие'!I76</f>
        <v>0</v>
      </c>
      <c r="L41" s="153">
        <f>'Нормативное соответствие'!L76</f>
        <v>0</v>
      </c>
      <c r="M41" s="153">
        <f t="shared" si="0"/>
        <v>0</v>
      </c>
      <c r="N41" s="153">
        <f t="shared" si="7"/>
        <v>5</v>
      </c>
      <c r="O41" s="153" t="str">
        <f>'Нормативное соответствие'!T76</f>
        <v xml:space="preserve"> - В соотвествии с приказом 235 с Приказом ФСТЭК от 21 декабря 2017 г. N 235 Об утверждении Требований к созданию систем безопасности значимых объектов критической информационной инфраструктуры Российской Федерации и обеспечению их функционирования:
 -  Определить полномочия для подразделения, ответственное за ИБ (как минимум уровня отдела ИБ);
 -  Подготовить положение  о подразделении, обеспечивающим ИБ в Обществе;
 -  Создать выделенное подразделение, ответственное за ИБ (как минимум уровня отдела ИБ):
- Утвердить приказом по орг. структуре создание подразделения ИБ;
- Утвердить положение  о подразделении, обеспечивающим ИБ в Обществе;
 -  Распоряжением/приказом определить подразделение ИБ, как подразделение Общества, ответственное за обеспечение безопасности значимых объектов КИИ;
Если 2-3 работника подчиняются главному инженеру (тех. директору) или заместителю по безопасности (экономической и физической), то этих 2-3 работников необходимо выделить в отдельный отдел информационной безопасности.</v>
      </c>
      <c r="P41" s="155" t="s">
        <v>97</v>
      </c>
      <c r="Q41" s="162" t="s">
        <v>124</v>
      </c>
      <c r="R41" s="153"/>
      <c r="S41" s="157"/>
      <c r="T41" s="151" t="s">
        <v>99</v>
      </c>
      <c r="U41" s="158">
        <v>0</v>
      </c>
      <c r="V41" s="158">
        <v>0</v>
      </c>
      <c r="W41" s="158">
        <v>0</v>
      </c>
      <c r="X41" s="158">
        <f t="shared" si="1"/>
        <v>0</v>
      </c>
      <c r="Y41" s="159"/>
      <c r="Z41" s="160"/>
      <c r="AA41" s="160"/>
      <c r="AB41" s="160"/>
      <c r="AC41" s="160"/>
      <c r="AD41" s="160"/>
      <c r="AE41" s="160"/>
    </row>
    <row r="42" spans="1:31" ht="409.6" hidden="1">
      <c r="A42" s="151" t="s">
        <v>61</v>
      </c>
      <c r="B42" s="152" t="s">
        <v>123</v>
      </c>
      <c r="C42" s="153" t="str">
        <f>'Нормативное соответствие'!B77</f>
        <v>Создана Комиссия по категорированию объектов КИИ</v>
      </c>
      <c r="D42" s="153" t="str">
        <f>'Нормативное соответствие'!C77</f>
        <v>НС.КИИ.3</v>
      </c>
      <c r="E42" s="153">
        <f>'Нормативное соответствие'!D77</f>
        <v>5</v>
      </c>
      <c r="F42" s="153">
        <f>'Нормативное соответствие'!E77</f>
        <v>5</v>
      </c>
      <c r="G42" s="153">
        <f>'Нормативное соответствие'!F77</f>
        <v>5</v>
      </c>
      <c r="H42" s="153">
        <f>'Нормативное соответствие'!S77</f>
        <v>8.0299999999999994</v>
      </c>
      <c r="I42" s="154" t="str">
        <f t="shared" si="6"/>
        <v>КБ1</v>
      </c>
      <c r="J42" s="154">
        <f>'Нормативное соответствие'!K77</f>
        <v>5</v>
      </c>
      <c r="K42" s="153">
        <f>'Нормативное соответствие'!I77</f>
        <v>0</v>
      </c>
      <c r="L42" s="153">
        <f>'Нормативное соответствие'!L77</f>
        <v>0</v>
      </c>
      <c r="M42" s="153">
        <f t="shared" si="0"/>
        <v>0</v>
      </c>
      <c r="N42" s="153">
        <f t="shared" si="7"/>
        <v>5</v>
      </c>
      <c r="O42" s="153" t="str">
        <f>'Нормативное соответствие'!T77</f>
        <v xml:space="preserve"> - В соотвествии с Постановлением Правительства РФ от 08.02.2018 N 127 Об утверждении Правил категорирования объектов критической информационной инфраструктуры Российской Федерации, а также перечня показателей критериев значимости объектов критической информационной инфраструктуры Российской Федерации и их значений:
1.Определить полномочия для комиссии по категорированию
2.Подготовить и утвердить Положение о работе Комиссии по категорированию (описывается процесс и порядок работы комиссии)
3. Определить состав комиссии по категорированию согласно пункту 11 ПП127
4. Утвердить приказом состав комиссии по Обществу</v>
      </c>
      <c r="P42" s="155" t="s">
        <v>97</v>
      </c>
      <c r="Q42" s="162" t="s">
        <v>125</v>
      </c>
      <c r="R42" s="153"/>
      <c r="S42" s="157"/>
      <c r="T42" s="151" t="s">
        <v>99</v>
      </c>
      <c r="U42" s="158">
        <v>0</v>
      </c>
      <c r="V42" s="158">
        <v>0</v>
      </c>
      <c r="W42" s="158">
        <v>0</v>
      </c>
      <c r="X42" s="158">
        <f t="shared" si="1"/>
        <v>0</v>
      </c>
      <c r="Y42" s="159"/>
      <c r="Z42" s="160"/>
      <c r="AA42" s="160"/>
      <c r="AB42" s="160"/>
      <c r="AC42" s="160"/>
      <c r="AD42" s="160"/>
      <c r="AE42" s="160"/>
    </row>
    <row r="43" spans="1:31" ht="409.6" hidden="1">
      <c r="A43" s="151" t="s">
        <v>61</v>
      </c>
      <c r="B43" s="152" t="s">
        <v>123</v>
      </c>
      <c r="C43" s="153" t="str">
        <f>'Нормативное соответствие'!B78</f>
        <v>Проведен анализ  критичных процессов,  сформирован перечень систем, подлежащих категорированию (ИС, ИТКС, АСУ)</v>
      </c>
      <c r="D43" s="153" t="str">
        <f>'Нормативное соответствие'!C78</f>
        <v>НС.КИИ.4</v>
      </c>
      <c r="E43" s="153">
        <f>'Нормативное соответствие'!D78</f>
        <v>5</v>
      </c>
      <c r="F43" s="153">
        <f>'Нормативное соответствие'!E78</f>
        <v>5</v>
      </c>
      <c r="G43" s="153">
        <f>'Нормативное соответствие'!F78</f>
        <v>5</v>
      </c>
      <c r="H43" s="153">
        <f>'Нормативное соответствие'!S78</f>
        <v>8.0399999999999991</v>
      </c>
      <c r="I43" s="154" t="str">
        <f t="shared" si="6"/>
        <v>КБ1</v>
      </c>
      <c r="J43" s="154">
        <f>'Нормативное соответствие'!K78</f>
        <v>5</v>
      </c>
      <c r="K43" s="153">
        <f>'Нормативное соответствие'!I78</f>
        <v>0</v>
      </c>
      <c r="L43" s="153">
        <f>'Нормативное соответствие'!L78</f>
        <v>0</v>
      </c>
      <c r="M43" s="153">
        <f t="shared" si="0"/>
        <v>0</v>
      </c>
      <c r="N43" s="153">
        <f t="shared" si="7"/>
        <v>5</v>
      </c>
      <c r="O43" s="153" t="str">
        <f>'Нормативное соответствие'!T78</f>
        <v xml:space="preserve"> - В соответствии с Постановлением Правительства РФ № 127 и Методическими указаниями по категорированию объектов критической информационной инфраструктуры, принадлежащих субъектам критической информационной инфраструктуры, осуществляющим деятельность в отрасли связи (утв. Минцифры России):
1.Провести анализ и определить список  управленческих, технологических, производственных, финансово- экономических и (или) иных процессов в рамках выполнения функций (полномочий) или осуществления видов деятельности организации
2.Выявить посредством анализа управленческих, технологических, производственных, финансово-экономических и (или) иных процессов в рамках выполнения функций (полномочий) или осуществления видов деятельности , нарушение и (или) прекращение которых может привести к негативным социальным, политическим, экономическим, экологическим последствиям, последствиям для обеспечения обороны страны, безопасности государства и правопорядка (далее - критические процессы).
3.Определить список систем и сервисов, которые выполняют и/или обеспечивают критчиеские процессы (п. 2) - перечень этих систем и будет являться перечнем объектов КИИ, подлежащим категорированию.
4. Перечень объектов КИИ, подлежащих категорированию, вынести на рассмотрение комиссии по категорированию объектов КИИ Общества.</v>
      </c>
      <c r="P43" s="155" t="s">
        <v>97</v>
      </c>
      <c r="Q43" s="162" t="s">
        <v>126</v>
      </c>
      <c r="R43" s="153"/>
      <c r="S43" s="157"/>
      <c r="T43" s="151" t="s">
        <v>99</v>
      </c>
      <c r="U43" s="158">
        <v>0</v>
      </c>
      <c r="V43" s="158">
        <v>0</v>
      </c>
      <c r="W43" s="158">
        <v>0</v>
      </c>
      <c r="X43" s="158">
        <f t="shared" si="1"/>
        <v>0</v>
      </c>
      <c r="Y43" s="159"/>
      <c r="Z43" s="160"/>
      <c r="AA43" s="160"/>
      <c r="AB43" s="160"/>
      <c r="AC43" s="160"/>
      <c r="AD43" s="160"/>
      <c r="AE43" s="160"/>
    </row>
    <row r="44" spans="1:31" ht="409.6" hidden="1">
      <c r="A44" s="151" t="s">
        <v>61</v>
      </c>
      <c r="B44" s="152" t="s">
        <v>123</v>
      </c>
      <c r="C44" s="153" t="str">
        <f>'Нормативное соответствие'!B79</f>
        <v>Проведено категорирование объктов КИИ</v>
      </c>
      <c r="D44" s="153" t="str">
        <f>'Нормативное соответствие'!C79</f>
        <v>НС.КИИ.5</v>
      </c>
      <c r="E44" s="153">
        <f>'Нормативное соответствие'!D79</f>
        <v>5</v>
      </c>
      <c r="F44" s="153">
        <f>'Нормативное соответствие'!E79</f>
        <v>5</v>
      </c>
      <c r="G44" s="153">
        <f>'Нормативное соответствие'!F79</f>
        <v>5</v>
      </c>
      <c r="H44" s="153">
        <f>'Нормативное соответствие'!S79</f>
        <v>8.0499999999999989</v>
      </c>
      <c r="I44" s="154" t="str">
        <f t="shared" si="6"/>
        <v>КБ1</v>
      </c>
      <c r="J44" s="154">
        <f>'Нормативное соответствие'!K79</f>
        <v>5</v>
      </c>
      <c r="K44" s="153">
        <f>'Нормативное соответствие'!I79</f>
        <v>0</v>
      </c>
      <c r="L44" s="153">
        <f>'Нормативное соответствие'!L79</f>
        <v>0</v>
      </c>
      <c r="M44" s="153">
        <f t="shared" si="0"/>
        <v>0</v>
      </c>
      <c r="N44" s="153">
        <f t="shared" si="7"/>
        <v>5</v>
      </c>
      <c r="O44" s="153" t="str">
        <f>'Нормативное соответствие'!T79</f>
        <v xml:space="preserve"> - В соответствии с Постановлением Правительства РФ № 127 и Методическими указаниями по категорированию объектов критической информационной инфраструктуры, принадлежащих субъектам критической информационной инфраструктуры, осуществляющим деятельность в отрасли связи (утв. Минцифры России 
1.Провести оценку в соответствии с перечнем показателей критериев значимости масштаба возможных последствий в случае возникновения компьютерного инцидента на объектах КИИ.
2. Присвоить каждому из объектов КИИ одной из категорий значимости, либо принятие решения комиссией по категорированию об отсутствии необходимости присвоения им одной из категорий значимости.
3. Утвердить у руководителя организации акты категорирования объектов КИИ (для каждого объекта КИИ).
4. Уведомить ФСТЭК России о результатах категторирования ОКИИ.
5. Получить подвтерждение из ФСТЭК России о корректности, проведенного категорирования и внесении в Реестр ЗОКИИ (значимых объектов КИИ) РФ.</v>
      </c>
      <c r="P44" s="155" t="s">
        <v>97</v>
      </c>
      <c r="Q44" s="162" t="s">
        <v>127</v>
      </c>
      <c r="R44" s="153"/>
      <c r="S44" s="157"/>
      <c r="T44" s="151" t="s">
        <v>99</v>
      </c>
      <c r="U44" s="158">
        <v>0</v>
      </c>
      <c r="V44" s="158">
        <v>0</v>
      </c>
      <c r="W44" s="158">
        <v>0</v>
      </c>
      <c r="X44" s="158">
        <f t="shared" si="1"/>
        <v>0</v>
      </c>
      <c r="Y44" s="159"/>
      <c r="Z44" s="160"/>
      <c r="AA44" s="160"/>
      <c r="AB44" s="160"/>
      <c r="AC44" s="160"/>
      <c r="AD44" s="160"/>
      <c r="AE44" s="160"/>
    </row>
    <row r="45" spans="1:31" ht="409.6" hidden="1">
      <c r="A45" s="151" t="s">
        <v>61</v>
      </c>
      <c r="B45" s="152" t="s">
        <v>123</v>
      </c>
      <c r="C45" s="153" t="str">
        <f>'Нормативное соответствие'!B80</f>
        <v>Сведения о системах передаются в ФСТЭК России</v>
      </c>
      <c r="D45" s="153" t="str">
        <f>'Нормативное соответствие'!C80</f>
        <v>НС.КИИ.6</v>
      </c>
      <c r="E45" s="153">
        <f>'Нормативное соответствие'!D80</f>
        <v>5</v>
      </c>
      <c r="F45" s="153">
        <f>'Нормативное соответствие'!E80</f>
        <v>5</v>
      </c>
      <c r="G45" s="153">
        <f>'Нормативное соответствие'!F80</f>
        <v>5</v>
      </c>
      <c r="H45" s="153">
        <f>'Нормативное соответствие'!S80</f>
        <v>8.0599999999999987</v>
      </c>
      <c r="I45" s="154" t="str">
        <f t="shared" si="6"/>
        <v>КБ1</v>
      </c>
      <c r="J45" s="154">
        <f>'Нормативное соответствие'!K80</f>
        <v>5</v>
      </c>
      <c r="K45" s="153">
        <f>'Нормативное соответствие'!I80</f>
        <v>0</v>
      </c>
      <c r="L45" s="153">
        <f>'Нормативное соответствие'!L80</f>
        <v>0</v>
      </c>
      <c r="M45" s="153">
        <f t="shared" si="0"/>
        <v>0</v>
      </c>
      <c r="N45" s="153">
        <f t="shared" si="7"/>
        <v>5</v>
      </c>
      <c r="O45" s="153" t="str">
        <f>'Нормативное соответствие'!T80</f>
        <v>- В соответствии с Постановлением Правительства РФ № 127 и Приказ ФСТЭК России от 6 декабря 2017 г. N 227.
1. Во ФСТЭК России направить сведения о результатах категорирования ОКИИ в течение 10 рабочих дней после утверждения актов категорирования объектов КИИ;
2. При изменениях состава ОКИИ направлять во ФСТЭК России сведения об изменениях в составе ОКИИ в течение 20 рабочих дней со дня их изменения на бумажном и электронном носителях.
3.Получить подвтерждение из ФСТЭК России о корректности проведенного категорирования и внесении в Реестр ЗОКИИ РФ, либо внесение в Реестр ЗОКИИ РФ изменений сведений об ОКИИ.</v>
      </c>
      <c r="P45" s="155" t="s">
        <v>97</v>
      </c>
      <c r="Q45" s="162" t="s">
        <v>128</v>
      </c>
      <c r="R45" s="153"/>
      <c r="S45" s="157"/>
      <c r="T45" s="151" t="s">
        <v>99</v>
      </c>
      <c r="U45" s="158">
        <v>0</v>
      </c>
      <c r="V45" s="158">
        <v>0</v>
      </c>
      <c r="W45" s="158">
        <v>0</v>
      </c>
      <c r="X45" s="158">
        <f t="shared" si="1"/>
        <v>0</v>
      </c>
      <c r="Y45" s="159"/>
      <c r="Z45" s="160"/>
      <c r="AA45" s="160"/>
      <c r="AB45" s="160"/>
      <c r="AC45" s="160"/>
      <c r="AD45" s="160"/>
      <c r="AE45" s="160"/>
    </row>
    <row r="46" spans="1:31" ht="409.6" hidden="1">
      <c r="A46" s="151" t="s">
        <v>61</v>
      </c>
      <c r="B46" s="152" t="s">
        <v>123</v>
      </c>
      <c r="C46" s="153" t="str">
        <f>'Нормативное соответствие'!B83</f>
        <v>Проведены мероприятия по оценке уровня защищенности
информационных систем с привлечением организаций, имеющих соответствующие лицензии ФСБ России и ФСТЭК России</v>
      </c>
      <c r="D46" s="153" t="str">
        <f>'Нормативное соответствие'!C83</f>
        <v>НС.КИИ.9</v>
      </c>
      <c r="E46" s="153">
        <f>'Нормативное соответствие'!D83</f>
        <v>5</v>
      </c>
      <c r="F46" s="153">
        <f>'Нормативное соответствие'!E83</f>
        <v>5</v>
      </c>
      <c r="G46" s="153">
        <f>'Нормативное соответствие'!F83</f>
        <v>5</v>
      </c>
      <c r="H46" s="163">
        <f>'Нормативное соответствие'!S83</f>
        <v>8.0899999999999981</v>
      </c>
      <c r="I46" s="154" t="str">
        <f t="shared" si="6"/>
        <v>КБ1</v>
      </c>
      <c r="J46" s="154">
        <f>'Нормативное соответствие'!K83</f>
        <v>5</v>
      </c>
      <c r="K46" s="153">
        <f>'Нормативное соответствие'!I83</f>
        <v>0</v>
      </c>
      <c r="L46" s="153">
        <f>'Нормативное соответствие'!L83</f>
        <v>0</v>
      </c>
      <c r="M46" s="153">
        <f t="shared" si="0"/>
        <v>0</v>
      </c>
      <c r="N46" s="153">
        <f t="shared" si="7"/>
        <v>5</v>
      </c>
      <c r="O46" s="153" t="str">
        <f>'Нормативное соответствие'!T83</f>
        <v xml:space="preserve"> - Использовать для СОИБ КИИ:
 -  средства защиты информации (СрЗИ) сертифицированные на соответствие требованиям по безопасности (требования к классу защищенности разные, в зависимости от категории значимости ЗОКИИ);
 -  СрЗИ прошедшие оценку соответствия в форме испытаний или приемки, которые проводятся субъектами критической информационной инфраструктуры самостоятельно или с привлечением организаций.
В случае п. 2 и привлечения организаций, имеющих в соответствии с законодательством Российской Федерации лицензии на деятельность в области защиты информации:
 - Определить  и привлечь  организацию для оценки уровня защищенности информационных систем ,имеющих соответствующие лицензии ФСТЭК и ФСБ (https://reestr.fstec.ru/reg1).
 - Сформировать техническое задание на выполнение работ по оценке уровня защищенности.
 - Получить отчетные документы в бумажном и в электронном виде от лицензиата по результатам оценки уровня защищенности информационных систем. 
 -  На основании распоряжения Правительства РФ от 2 - 0 - 2022 N 1661-р (ред. от 0 - 0 - 2023) Об утверждении перечня ключевых органов (организаций), которым необходимо осуществить мероприятия по оценке уровня защищенности своих информационных систем с привлечением организаций, имеющих соответствующие лицензии ФСБ России и ФСТЭК Росси  предоставить отчетные документы по оценке уровня защищенности информационных систем Правительству РФ, а также в адрес ФСТЭК и ФСБ России на основании соответствующего запроса.</v>
      </c>
      <c r="P46" s="155" t="s">
        <v>97</v>
      </c>
      <c r="Q46" s="162" t="s">
        <v>129</v>
      </c>
      <c r="R46" s="153"/>
      <c r="S46" s="157"/>
      <c r="T46" s="151" t="s">
        <v>99</v>
      </c>
      <c r="U46" s="158">
        <v>0</v>
      </c>
      <c r="V46" s="158">
        <v>0</v>
      </c>
      <c r="W46" s="158">
        <v>0</v>
      </c>
      <c r="X46" s="158">
        <f t="shared" si="1"/>
        <v>0</v>
      </c>
      <c r="Y46" s="159"/>
      <c r="Z46" s="160"/>
      <c r="AA46" s="160"/>
      <c r="AB46" s="160"/>
      <c r="AC46" s="160"/>
      <c r="AD46" s="160"/>
      <c r="AE46" s="160"/>
    </row>
    <row r="47" spans="1:31" ht="163.80000000000001" hidden="1">
      <c r="A47" s="151" t="s">
        <v>61</v>
      </c>
      <c r="B47" s="152" t="s">
        <v>222</v>
      </c>
      <c r="C47" s="153" t="str">
        <f>'Нормативное соответствие'!B91</f>
        <v>Определен перечень КТ</v>
      </c>
      <c r="D47" s="153" t="str">
        <f>'Нормативное соответствие'!C91</f>
        <v>НС.КТ.1</v>
      </c>
      <c r="E47" s="153">
        <f>'Нормативное соответствие'!D91</f>
        <v>5</v>
      </c>
      <c r="F47" s="153">
        <f>'Нормативное соответствие'!E91</f>
        <v>5</v>
      </c>
      <c r="G47" s="153">
        <f>'Нормативное соответствие'!F91</f>
        <v>5</v>
      </c>
      <c r="H47" s="153">
        <f>'Нормативное соответствие'!S91</f>
        <v>40.01</v>
      </c>
      <c r="I47" s="154" t="str">
        <f t="shared" si="6"/>
        <v>КБ1</v>
      </c>
      <c r="J47" s="154">
        <f>'Нормативное соответствие'!K91</f>
        <v>5</v>
      </c>
      <c r="K47" s="153">
        <f>'Нормативное соответствие'!I91</f>
        <v>0</v>
      </c>
      <c r="L47" s="153">
        <f>'Нормативное соответствие'!L91</f>
        <v>0</v>
      </c>
      <c r="M47" s="153">
        <f t="shared" si="0"/>
        <v>0</v>
      </c>
      <c r="N47" s="153">
        <f t="shared" si="7"/>
        <v>5</v>
      </c>
      <c r="O47" s="153" t="str">
        <f>'Нормативное соответствие'!T91</f>
        <v xml:space="preserve"> - Определить и утвердить перечень информации, составляющей КТ, взяв за основу определение из п.2 ст. 3 ФЗ № 98;
 - Ознакомить сотрудников с перечнем.</v>
      </c>
      <c r="P47" s="155" t="s">
        <v>97</v>
      </c>
      <c r="Q47" s="162" t="s">
        <v>223</v>
      </c>
      <c r="R47" s="153"/>
      <c r="S47" s="157"/>
      <c r="T47" s="151" t="s">
        <v>99</v>
      </c>
      <c r="U47" s="158">
        <v>0</v>
      </c>
      <c r="V47" s="158">
        <v>0</v>
      </c>
      <c r="W47" s="158">
        <v>0</v>
      </c>
      <c r="X47" s="158">
        <f t="shared" si="1"/>
        <v>0</v>
      </c>
      <c r="Y47" s="159"/>
      <c r="Z47" s="160"/>
      <c r="AA47" s="160"/>
      <c r="AB47" s="160"/>
      <c r="AC47" s="160"/>
      <c r="AD47" s="160"/>
      <c r="AE47" s="160"/>
    </row>
    <row r="48" spans="1:31" ht="140.4" hidden="1">
      <c r="A48" s="151" t="s">
        <v>61</v>
      </c>
      <c r="B48" s="152" t="s">
        <v>222</v>
      </c>
      <c r="C48" s="153" t="str">
        <f>'Нормативное соответствие'!B92</f>
        <v>Организовано и осуществляется маркирование материальных носителей КТ, или включение в состав реквизита документа грифа КТ</v>
      </c>
      <c r="D48" s="153" t="str">
        <f>'Нормативное соответствие'!C92</f>
        <v>НС.КТ.2</v>
      </c>
      <c r="E48" s="153">
        <f>'Нормативное соответствие'!D92</f>
        <v>5</v>
      </c>
      <c r="F48" s="153">
        <f>'Нормативное соответствие'!E92</f>
        <v>5</v>
      </c>
      <c r="G48" s="153">
        <f>'Нормативное соответствие'!F92</f>
        <v>5</v>
      </c>
      <c r="H48" s="153">
        <f>'Нормативное соответствие'!S92</f>
        <v>40.019999999999996</v>
      </c>
      <c r="I48" s="154" t="str">
        <f t="shared" si="6"/>
        <v>КБ1</v>
      </c>
      <c r="J48" s="154">
        <f>'Нормативное соответствие'!K92</f>
        <v>5</v>
      </c>
      <c r="K48" s="153">
        <f>'Нормативное соответствие'!I92</f>
        <v>0</v>
      </c>
      <c r="L48" s="153">
        <f>'Нормативное соответствие'!L92</f>
        <v>0</v>
      </c>
      <c r="M48" s="153">
        <f t="shared" si="0"/>
        <v>0</v>
      </c>
      <c r="N48" s="153">
        <f t="shared" si="7"/>
        <v>5</v>
      </c>
      <c r="O48" s="153" t="str">
        <f>'Нормативное соответствие'!T92</f>
        <v>Организовать и осуществлять маркирование материальных носителей КТ</v>
      </c>
      <c r="P48" s="155" t="s">
        <v>97</v>
      </c>
      <c r="Q48" s="162" t="s">
        <v>224</v>
      </c>
      <c r="R48" s="153"/>
      <c r="S48" s="157"/>
      <c r="T48" s="151" t="s">
        <v>99</v>
      </c>
      <c r="U48" s="158">
        <v>0</v>
      </c>
      <c r="V48" s="158">
        <v>0</v>
      </c>
      <c r="W48" s="158">
        <v>0</v>
      </c>
      <c r="X48" s="158">
        <f t="shared" si="1"/>
        <v>0</v>
      </c>
      <c r="Y48" s="159"/>
      <c r="Z48" s="160"/>
      <c r="AA48" s="160"/>
      <c r="AB48" s="160"/>
      <c r="AC48" s="160"/>
      <c r="AD48" s="160"/>
      <c r="AE48" s="160"/>
    </row>
    <row r="49" spans="1:31" ht="140.4" hidden="1">
      <c r="A49" s="151" t="s">
        <v>61</v>
      </c>
      <c r="B49" s="152" t="s">
        <v>222</v>
      </c>
      <c r="C49" s="153" t="str">
        <f>'Нормативное соответствие'!B93</f>
        <v>Организован и осуществляется учет лиц, получивших доступ к КТ, и (или) лиц, которым такая информация была предоставлена или передана</v>
      </c>
      <c r="D49" s="153" t="str">
        <f>'Нормативное соответствие'!C93</f>
        <v>НС.КТ.3</v>
      </c>
      <c r="E49" s="153">
        <f>'Нормативное соответствие'!D93</f>
        <v>5</v>
      </c>
      <c r="F49" s="153">
        <f>'Нормативное соответствие'!E93</f>
        <v>5</v>
      </c>
      <c r="G49" s="153">
        <f>'Нормативное соответствие'!F93</f>
        <v>5</v>
      </c>
      <c r="H49" s="153">
        <f>'Нормативное соответствие'!S93</f>
        <v>40.029999999999994</v>
      </c>
      <c r="I49" s="154" t="str">
        <f t="shared" si="6"/>
        <v>КБ1</v>
      </c>
      <c r="J49" s="154">
        <f>'Нормативное соответствие'!K93</f>
        <v>5</v>
      </c>
      <c r="K49" s="153">
        <f>'Нормативное соответствие'!I93</f>
        <v>0</v>
      </c>
      <c r="L49" s="153">
        <f>'Нормативное соответствие'!L93</f>
        <v>0</v>
      </c>
      <c r="M49" s="153">
        <f t="shared" si="0"/>
        <v>0</v>
      </c>
      <c r="N49" s="153">
        <f t="shared" si="7"/>
        <v>5</v>
      </c>
      <c r="O49" s="153" t="str">
        <f>'Нормативное соответствие'!T93</f>
        <v>Организовать и осуществлятьучет лиц имеющих доступ к КТ</v>
      </c>
      <c r="P49" s="155" t="s">
        <v>97</v>
      </c>
      <c r="Q49" s="162" t="s">
        <v>225</v>
      </c>
      <c r="R49" s="153"/>
      <c r="S49" s="157"/>
      <c r="T49" s="151" t="s">
        <v>99</v>
      </c>
      <c r="U49" s="158">
        <v>0</v>
      </c>
      <c r="V49" s="158">
        <v>0</v>
      </c>
      <c r="W49" s="158">
        <v>0</v>
      </c>
      <c r="X49" s="158">
        <f t="shared" si="1"/>
        <v>0</v>
      </c>
      <c r="Y49" s="159"/>
      <c r="Z49" s="160"/>
      <c r="AA49" s="160"/>
      <c r="AB49" s="160"/>
      <c r="AC49" s="160"/>
      <c r="AD49" s="160"/>
      <c r="AE49" s="160"/>
    </row>
    <row r="50" spans="1:31" ht="163.80000000000001" hidden="1">
      <c r="A50" s="151" t="s">
        <v>61</v>
      </c>
      <c r="B50" s="152" t="s">
        <v>222</v>
      </c>
      <c r="C50" s="153" t="str">
        <f>'Нормативное соответствие'!B94</f>
        <v>Отношения по использованию КТ с работниками регулируются на основании трудовых договоров, а с контрагентами на основании гражданско-правовых договоров</v>
      </c>
      <c r="D50" s="153" t="str">
        <f>'Нормативное соответствие'!C94</f>
        <v>НС.КТ.4</v>
      </c>
      <c r="E50" s="153">
        <f>'Нормативное соответствие'!D94</f>
        <v>5</v>
      </c>
      <c r="F50" s="153">
        <f>'Нормативное соответствие'!E94</f>
        <v>5</v>
      </c>
      <c r="G50" s="153">
        <f>'Нормативное соответствие'!F94</f>
        <v>5</v>
      </c>
      <c r="H50" s="153">
        <f>'Нормативное соответствие'!S94</f>
        <v>40.039999999999992</v>
      </c>
      <c r="I50" s="154" t="str">
        <f t="shared" ref="I50:I66" si="8">IF(H50&lt;=200,"КБ1",IF(H50&lt;=300,"КБ2","КБ3"))</f>
        <v>КБ1</v>
      </c>
      <c r="J50" s="154">
        <f>'Нормативное соответствие'!K94</f>
        <v>5</v>
      </c>
      <c r="K50" s="153">
        <f>'Нормативное соответствие'!I94</f>
        <v>0</v>
      </c>
      <c r="L50" s="153">
        <f>'Нормативное соответствие'!L94</f>
        <v>0</v>
      </c>
      <c r="M50" s="153">
        <f t="shared" si="0"/>
        <v>0</v>
      </c>
      <c r="N50" s="153">
        <f t="shared" ref="N50:N66" si="9">IF(H50&lt;100,IF(L50&gt;=G50,0,J50-L50),IF(H50&lt;300,IF(L50&gt;=F50,0,J50-L50),IF(L50&gt;=E50,0,J50-L50)))</f>
        <v>5</v>
      </c>
      <c r="O50" s="153" t="str">
        <f>'Нормативное соответствие'!T94</f>
        <v>- Разработать шаблон соглашения о неразглашении информации, составляющей КТ;
 - Включить соглашение в трудовые договоры, а также договоры с контрагентами.</v>
      </c>
      <c r="P50" s="155" t="s">
        <v>97</v>
      </c>
      <c r="Q50" s="162" t="s">
        <v>226</v>
      </c>
      <c r="R50" s="153"/>
      <c r="S50" s="157"/>
      <c r="T50" s="151" t="s">
        <v>99</v>
      </c>
      <c r="U50" s="158">
        <v>0</v>
      </c>
      <c r="V50" s="158">
        <v>0</v>
      </c>
      <c r="W50" s="158">
        <v>0</v>
      </c>
      <c r="X50" s="158">
        <f t="shared" si="1"/>
        <v>0</v>
      </c>
      <c r="Y50" s="159"/>
      <c r="Z50" s="160"/>
      <c r="AA50" s="160"/>
      <c r="AB50" s="160"/>
      <c r="AC50" s="160"/>
      <c r="AD50" s="160"/>
      <c r="AE50" s="160"/>
    </row>
    <row r="51" spans="1:31" ht="140.4" hidden="1">
      <c r="A51" s="151" t="s">
        <v>61</v>
      </c>
      <c r="B51" s="152" t="s">
        <v>222</v>
      </c>
      <c r="C51" s="153" t="str">
        <f>'Нормативное соответствие'!B95</f>
        <v>Определен порядок обращения с КТ и контроля за соблюдением такого порядка</v>
      </c>
      <c r="D51" s="153" t="str">
        <f>'Нормативное соответствие'!C95</f>
        <v>НС.КТ.5</v>
      </c>
      <c r="E51" s="153">
        <f>'Нормативное соответствие'!D95</f>
        <v>5</v>
      </c>
      <c r="F51" s="153">
        <f>'Нормативное соответствие'!E95</f>
        <v>5</v>
      </c>
      <c r="G51" s="153">
        <f>'Нормативное соответствие'!F95</f>
        <v>5</v>
      </c>
      <c r="H51" s="153">
        <f>'Нормативное соответствие'!S95</f>
        <v>40.04999999999999</v>
      </c>
      <c r="I51" s="154" t="str">
        <f t="shared" si="8"/>
        <v>КБ1</v>
      </c>
      <c r="J51" s="154">
        <f>'Нормативное соответствие'!K95</f>
        <v>5</v>
      </c>
      <c r="K51" s="153">
        <f>'Нормативное соответствие'!I95</f>
        <v>0</v>
      </c>
      <c r="L51" s="153">
        <f>'Нормативное соответствие'!L95</f>
        <v>0</v>
      </c>
      <c r="M51" s="153">
        <f t="shared" si="0"/>
        <v>0</v>
      </c>
      <c r="N51" s="153">
        <f t="shared" si="9"/>
        <v>5</v>
      </c>
      <c r="O51" s="153" t="str">
        <f>'Нормативное соответствие'!T95</f>
        <v xml:space="preserve"> - Разработать и утвердить локальный документ, который определяет порядок обращения с КТ. Ознакомить сотрудников.Проводить актуализацию ВНД</v>
      </c>
      <c r="P51" s="155" t="s">
        <v>97</v>
      </c>
      <c r="Q51" s="162" t="s">
        <v>227</v>
      </c>
      <c r="R51" s="153"/>
      <c r="S51" s="157"/>
      <c r="T51" s="151" t="s">
        <v>99</v>
      </c>
      <c r="U51" s="158">
        <v>0</v>
      </c>
      <c r="V51" s="158">
        <v>0</v>
      </c>
      <c r="W51" s="158">
        <v>0</v>
      </c>
      <c r="X51" s="158">
        <f t="shared" si="1"/>
        <v>0</v>
      </c>
      <c r="Y51" s="159"/>
      <c r="Z51" s="160"/>
      <c r="AA51" s="160"/>
      <c r="AB51" s="160"/>
      <c r="AC51" s="160"/>
      <c r="AD51" s="160"/>
      <c r="AE51" s="160"/>
    </row>
    <row r="52" spans="1:31" ht="117" hidden="1">
      <c r="A52" s="151" t="s">
        <v>61</v>
      </c>
      <c r="B52" s="152" t="s">
        <v>222</v>
      </c>
      <c r="C52" s="153" t="str">
        <f>'Нормативное соответствие'!B96</f>
        <v>В трудовом договоре с руководителем Общества предусмотрены его обязанности по обеспечению охраны КТ</v>
      </c>
      <c r="D52" s="153" t="str">
        <f>'Нормативное соответствие'!C96</f>
        <v>НС.КТ.6</v>
      </c>
      <c r="E52" s="153">
        <f>'Нормативное соответствие'!D96</f>
        <v>5</v>
      </c>
      <c r="F52" s="153">
        <f>'Нормативное соответствие'!E96</f>
        <v>5</v>
      </c>
      <c r="G52" s="153">
        <f>'Нормативное соответствие'!F96</f>
        <v>5</v>
      </c>
      <c r="H52" s="153">
        <f>'Нормативное соответствие'!S96</f>
        <v>40.059999999999988</v>
      </c>
      <c r="I52" s="154" t="str">
        <f t="shared" si="8"/>
        <v>КБ1</v>
      </c>
      <c r="J52" s="154">
        <f>'Нормативное соответствие'!K96</f>
        <v>5</v>
      </c>
      <c r="K52" s="153">
        <f>'Нормативное соответствие'!I96</f>
        <v>0</v>
      </c>
      <c r="L52" s="153">
        <f>'Нормативное соответствие'!L96</f>
        <v>0</v>
      </c>
      <c r="M52" s="153">
        <f t="shared" si="0"/>
        <v>0</v>
      </c>
      <c r="N52" s="153">
        <f t="shared" si="9"/>
        <v>5</v>
      </c>
      <c r="O52" s="153" t="str">
        <f>'Нормативное соответствие'!T96</f>
        <v xml:space="preserve"> В трудовом договоре с руководителем Общества предусмотреть его обязанности по обеспечению охраны КТ</v>
      </c>
      <c r="P52" s="155" t="s">
        <v>97</v>
      </c>
      <c r="Q52" s="162" t="s">
        <v>228</v>
      </c>
      <c r="R52" s="153"/>
      <c r="S52" s="157"/>
      <c r="T52" s="151" t="s">
        <v>99</v>
      </c>
      <c r="U52" s="158">
        <v>0</v>
      </c>
      <c r="V52" s="158">
        <v>0</v>
      </c>
      <c r="W52" s="158">
        <v>0</v>
      </c>
      <c r="X52" s="158">
        <f t="shared" si="1"/>
        <v>0</v>
      </c>
      <c r="Y52" s="159"/>
      <c r="Z52" s="160"/>
      <c r="AA52" s="160"/>
      <c r="AB52" s="160"/>
      <c r="AC52" s="160"/>
      <c r="AD52" s="160"/>
      <c r="AE52" s="160"/>
    </row>
    <row r="53" spans="1:31" ht="280.8" hidden="1">
      <c r="A53" s="151" t="s">
        <v>61</v>
      </c>
      <c r="B53" s="152" t="s">
        <v>222</v>
      </c>
      <c r="C53" s="153" t="str">
        <f>'Нормативное соответствие'!B97</f>
        <v>Работник Общества знакомится под расписку с документами Общества, устанавливающими режим КТ в Обществе и мерами отвественности за его нарушение, а также с полученными докуменами контрагента, содержащего сведения КТ в рамках исполнения своих трудовых обязанностей</v>
      </c>
      <c r="D53" s="153" t="str">
        <f>'Нормативное соответствие'!C97</f>
        <v>НС.КТ.7</v>
      </c>
      <c r="E53" s="153">
        <f>'Нормативное соответствие'!D97</f>
        <v>5</v>
      </c>
      <c r="F53" s="153">
        <f>'Нормативное соответствие'!E97</f>
        <v>5</v>
      </c>
      <c r="G53" s="153">
        <f>'Нормативное соответствие'!F97</f>
        <v>5</v>
      </c>
      <c r="H53" s="153">
        <f>'Нормативное соответствие'!S97</f>
        <v>40.069999999999986</v>
      </c>
      <c r="I53" s="154" t="str">
        <f t="shared" si="8"/>
        <v>КБ1</v>
      </c>
      <c r="J53" s="154">
        <f>'Нормативное соответствие'!K97</f>
        <v>5</v>
      </c>
      <c r="K53" s="153">
        <f>'Нормативное соответствие'!I97</f>
        <v>0</v>
      </c>
      <c r="L53" s="153">
        <f>'Нормативное соответствие'!L97</f>
        <v>0</v>
      </c>
      <c r="M53" s="153">
        <f t="shared" si="0"/>
        <v>0</v>
      </c>
      <c r="N53" s="153">
        <f t="shared" si="9"/>
        <v>5</v>
      </c>
      <c r="O53" s="153" t="str">
        <f>'Нормативное соответствие'!T97</f>
        <v>Обеспечить ознакомление работников Общества, допущенных к КТ,  под подпись с документами Общества, устанавливающими режим КТ</v>
      </c>
      <c r="P53" s="155" t="s">
        <v>97</v>
      </c>
      <c r="Q53" s="162" t="s">
        <v>229</v>
      </c>
      <c r="R53" s="153"/>
      <c r="S53" s="157"/>
      <c r="T53" s="151" t="s">
        <v>99</v>
      </c>
      <c r="U53" s="158">
        <v>0</v>
      </c>
      <c r="V53" s="158">
        <v>0</v>
      </c>
      <c r="W53" s="158">
        <v>0</v>
      </c>
      <c r="X53" s="158">
        <f t="shared" si="1"/>
        <v>0</v>
      </c>
      <c r="Y53" s="159"/>
      <c r="Z53" s="160"/>
      <c r="AA53" s="160"/>
      <c r="AB53" s="160"/>
      <c r="AC53" s="160"/>
      <c r="AD53" s="160"/>
      <c r="AE53" s="160"/>
    </row>
    <row r="54" spans="1:31" ht="117" hidden="1">
      <c r="A54" s="151" t="s">
        <v>61</v>
      </c>
      <c r="B54" s="152" t="s">
        <v>222</v>
      </c>
      <c r="C54" s="153" t="str">
        <f>'Нормативное соответствие'!B98</f>
        <v>Доступ работника к КТ осуществляется с его согласия, если это не предусмотрено его трудовыми обязанностями</v>
      </c>
      <c r="D54" s="153" t="str">
        <f>'Нормативное соответствие'!C98</f>
        <v>НС.КТ.8</v>
      </c>
      <c r="E54" s="153">
        <f>'Нормативное соответствие'!D98</f>
        <v>5</v>
      </c>
      <c r="F54" s="153">
        <f>'Нормативное соответствие'!E98</f>
        <v>5</v>
      </c>
      <c r="G54" s="153">
        <f>'Нормативное соответствие'!F98</f>
        <v>5</v>
      </c>
      <c r="H54" s="153">
        <f>'Нормативное соответствие'!S98</f>
        <v>40.079999999999984</v>
      </c>
      <c r="I54" s="154" t="str">
        <f t="shared" si="8"/>
        <v>КБ1</v>
      </c>
      <c r="J54" s="154">
        <f>'Нормативное соответствие'!K98</f>
        <v>5</v>
      </c>
      <c r="K54" s="153">
        <f>'Нормативное соответствие'!I98</f>
        <v>0</v>
      </c>
      <c r="L54" s="153">
        <f>'Нормативное соответствие'!L98</f>
        <v>0</v>
      </c>
      <c r="M54" s="153">
        <f t="shared" si="0"/>
        <v>0</v>
      </c>
      <c r="N54" s="153">
        <f t="shared" si="9"/>
        <v>5</v>
      </c>
      <c r="O54" s="153" t="str">
        <f>'Нормативное соответствие'!T98</f>
        <v xml:space="preserve"> -Определить порядок доступа работников к КТ, если таковой не предусмотрен трудовыми договорами.</v>
      </c>
      <c r="P54" s="155" t="s">
        <v>97</v>
      </c>
      <c r="Q54" s="162" t="s">
        <v>230</v>
      </c>
      <c r="R54" s="153"/>
      <c r="S54" s="157"/>
      <c r="T54" s="151" t="s">
        <v>99</v>
      </c>
      <c r="U54" s="158">
        <v>0</v>
      </c>
      <c r="V54" s="158">
        <v>0</v>
      </c>
      <c r="W54" s="158">
        <v>0</v>
      </c>
      <c r="X54" s="158">
        <f t="shared" si="1"/>
        <v>0</v>
      </c>
      <c r="Y54" s="159"/>
      <c r="Z54" s="160"/>
      <c r="AA54" s="160"/>
      <c r="AB54" s="160"/>
      <c r="AC54" s="160"/>
      <c r="AD54" s="160"/>
      <c r="AE54" s="160"/>
    </row>
    <row r="55" spans="1:31" ht="257.39999999999998" hidden="1">
      <c r="A55" s="151" t="s">
        <v>61</v>
      </c>
      <c r="B55" s="152" t="s">
        <v>175</v>
      </c>
      <c r="C55" s="153" t="str">
        <f>'Нормативное соответствие'!B50</f>
        <v xml:space="preserve">Наличие политики в отношении обработки ПДН, соответствующей требованиям законодательтсва (https://62.rkn.gov.ru/directions/p3535/p6528) </v>
      </c>
      <c r="D55" s="153" t="str">
        <f>'Нормативное соответствие'!C50</f>
        <v>НС.ПР.5.8.15.1</v>
      </c>
      <c r="E55" s="153">
        <f>'Нормативное соответствие'!D50</f>
        <v>5</v>
      </c>
      <c r="F55" s="153">
        <f>'Нормативное соответствие'!E50</f>
        <v>5</v>
      </c>
      <c r="G55" s="153">
        <f>'Нормативное соответствие'!F50</f>
        <v>5</v>
      </c>
      <c r="H55" s="153">
        <f>'Нормативное соответствие'!S50</f>
        <v>26.01</v>
      </c>
      <c r="I55" s="154" t="str">
        <f t="shared" si="8"/>
        <v>КБ1</v>
      </c>
      <c r="J55" s="154">
        <f>'Нормативное соответствие'!K50</f>
        <v>5</v>
      </c>
      <c r="K55" s="153">
        <f>'Нормативное соответствие'!I50</f>
        <v>0</v>
      </c>
      <c r="L55" s="153">
        <f>'Нормативное соответствие'!L50</f>
        <v>0</v>
      </c>
      <c r="M55" s="153">
        <f t="shared" si="0"/>
        <v>0</v>
      </c>
      <c r="N55" s="153">
        <f t="shared" si="9"/>
        <v>5</v>
      </c>
      <c r="O55" s="153" t="str">
        <f>'Нормативное соответствие'!T50</f>
        <v xml:space="preserve"> -  Разработать и утвердить Политику по обработке персональных данных в Обществе 
   -  Обеспечить регулярную проверку актуальности Политики по обработке персональных данных в Обществе и её соответствия действующим нормам законодательства</v>
      </c>
      <c r="P55" s="155" t="s">
        <v>97</v>
      </c>
      <c r="Q55" s="162" t="s">
        <v>176</v>
      </c>
      <c r="R55" s="153"/>
      <c r="S55" s="157"/>
      <c r="T55" s="151" t="s">
        <v>99</v>
      </c>
      <c r="U55" s="158">
        <v>0</v>
      </c>
      <c r="V55" s="158">
        <v>0</v>
      </c>
      <c r="W55" s="158">
        <v>0</v>
      </c>
      <c r="X55" s="158">
        <f t="shared" si="1"/>
        <v>0</v>
      </c>
      <c r="Y55" s="159"/>
      <c r="Z55" s="160"/>
      <c r="AA55" s="160"/>
      <c r="AB55" s="160"/>
      <c r="AC55" s="160"/>
      <c r="AD55" s="160"/>
      <c r="AE55" s="160"/>
    </row>
    <row r="56" spans="1:31" ht="117" hidden="1">
      <c r="A56" s="151" t="s">
        <v>61</v>
      </c>
      <c r="B56" s="152" t="s">
        <v>175</v>
      </c>
      <c r="C56" s="153" t="str">
        <f>'Нормативное соответствие'!B59</f>
        <v>Наличие документа, подтверждающего определение угроз безопасности ПДн при их обработке в ИСПДн</v>
      </c>
      <c r="D56" s="153" t="str">
        <f>'Нормативное соответствие'!C59</f>
        <v>НС.ПР.5.8.15.10</v>
      </c>
      <c r="E56" s="153">
        <f>'Нормативное соответствие'!D59</f>
        <v>5</v>
      </c>
      <c r="F56" s="153">
        <f>'Нормативное соответствие'!E59</f>
        <v>5</v>
      </c>
      <c r="G56" s="153">
        <f>'Нормативное соответствие'!F59</f>
        <v>5</v>
      </c>
      <c r="H56" s="153">
        <f>'Нормативное соответствие'!S59</f>
        <v>26.100000000000016</v>
      </c>
      <c r="I56" s="154" t="str">
        <f t="shared" si="8"/>
        <v>КБ1</v>
      </c>
      <c r="J56" s="154">
        <f>'Нормативное соответствие'!K59</f>
        <v>5</v>
      </c>
      <c r="K56" s="153">
        <f>'Нормативное соответствие'!I59</f>
        <v>0</v>
      </c>
      <c r="L56" s="153">
        <f>'Нормативное соответствие'!L59</f>
        <v>0</v>
      </c>
      <c r="M56" s="153">
        <f t="shared" si="0"/>
        <v>0</v>
      </c>
      <c r="N56" s="153">
        <f t="shared" si="9"/>
        <v>5</v>
      </c>
      <c r="O56" s="153" t="str">
        <f>'Нормативное соответствие'!T59</f>
        <v xml:space="preserve"> Разработать нормативный документ, в котором определены угрозы безопасности ПДн при их обработке в ИСПДн;</v>
      </c>
      <c r="P56" s="155" t="s">
        <v>97</v>
      </c>
      <c r="Q56" s="162" t="s">
        <v>184</v>
      </c>
      <c r="R56" s="153"/>
      <c r="S56" s="157"/>
      <c r="T56" s="151" t="s">
        <v>99</v>
      </c>
      <c r="U56" s="158">
        <v>0</v>
      </c>
      <c r="V56" s="158">
        <v>0</v>
      </c>
      <c r="W56" s="158">
        <v>0</v>
      </c>
      <c r="X56" s="158">
        <f t="shared" si="1"/>
        <v>0</v>
      </c>
      <c r="Y56" s="159"/>
      <c r="Z56" s="160"/>
      <c r="AA56" s="160"/>
      <c r="AB56" s="160"/>
      <c r="AC56" s="160"/>
      <c r="AD56" s="160"/>
      <c r="AE56" s="160"/>
    </row>
    <row r="57" spans="1:31" ht="397.8" hidden="1">
      <c r="A57" s="151" t="s">
        <v>61</v>
      </c>
      <c r="B57" s="152" t="s">
        <v>175</v>
      </c>
      <c r="C57" s="153" t="str">
        <f>'Нормативное соответствие'!B60</f>
        <v xml:space="preserve">Направлено отдельное уведомление в Роскомнадзор  в случае трансграничной передачи персональных данных </v>
      </c>
      <c r="D57" s="153" t="str">
        <f>'Нормативное соответствие'!C60</f>
        <v>НС.ПР.5.8.15.11</v>
      </c>
      <c r="E57" s="153">
        <f>'Нормативное соответствие'!D60</f>
        <v>5</v>
      </c>
      <c r="F57" s="153">
        <f>'Нормативное соответствие'!E60</f>
        <v>5</v>
      </c>
      <c r="G57" s="153">
        <f>'Нормативное соответствие'!F60</f>
        <v>5</v>
      </c>
      <c r="H57" s="153">
        <f>'Нормативное соответствие'!S60</f>
        <v>26.110000000000017</v>
      </c>
      <c r="I57" s="154" t="str">
        <f t="shared" si="8"/>
        <v>КБ1</v>
      </c>
      <c r="J57" s="154">
        <f>'Нормативное соответствие'!K60</f>
        <v>5</v>
      </c>
      <c r="K57" s="153">
        <f>'Нормативное соответствие'!I60</f>
        <v>0</v>
      </c>
      <c r="L57" s="153">
        <f>'Нормативное соответствие'!L60</f>
        <v>0</v>
      </c>
      <c r="M57" s="153">
        <f t="shared" si="0"/>
        <v>0</v>
      </c>
      <c r="N57" s="153">
        <f t="shared" si="9"/>
        <v>5</v>
      </c>
      <c r="O57" s="153" t="str">
        <f>'Нормативное соответствие'!T60</f>
        <v xml:space="preserve"> - Разработать и направить в Роскомнадзор Уведомление о намерении осуществлять трансграничную передачу персональных данных (при наличии такого вида обработки);
  -  Разработать процесс внесения изменений в Уведомление Роскомнадзора о намерении осуществлять трансграничную передачу персональных данных для всех новых организуемых бизнес-процессов, предусматривающих трансграничную передачу персональных данных </v>
      </c>
      <c r="P57" s="155" t="s">
        <v>97</v>
      </c>
      <c r="Q57" s="162" t="s">
        <v>185</v>
      </c>
      <c r="R57" s="153"/>
      <c r="S57" s="157"/>
      <c r="T57" s="151" t="s">
        <v>99</v>
      </c>
      <c r="U57" s="158">
        <v>0</v>
      </c>
      <c r="V57" s="158">
        <v>0</v>
      </c>
      <c r="W57" s="158">
        <v>0</v>
      </c>
      <c r="X57" s="158">
        <f t="shared" si="1"/>
        <v>0</v>
      </c>
      <c r="Y57" s="159"/>
      <c r="Z57" s="160"/>
      <c r="AA57" s="160"/>
      <c r="AB57" s="160"/>
      <c r="AC57" s="160"/>
      <c r="AD57" s="160"/>
      <c r="AE57" s="160"/>
    </row>
    <row r="58" spans="1:31" ht="409.6" hidden="1">
      <c r="A58" s="151" t="s">
        <v>61</v>
      </c>
      <c r="B58" s="152" t="s">
        <v>175</v>
      </c>
      <c r="C58" s="153" t="str">
        <f>'Нормативное соответствие'!B61</f>
        <v xml:space="preserve">При сборе персональных данных, в том числе посредством информационно-телекоммуникационной сети "Интернет", запись, систематизация, накопление, хранение, уточнение (обновление, изменение), извлечение персональных данных граждан Российской Федерации с использованием баз данных, находящихся за пределами территории Российской Федерации, не допускаются.
</v>
      </c>
      <c r="D58" s="153" t="str">
        <f>'Нормативное соответствие'!C61</f>
        <v>НС.ПР.5.8.15.12</v>
      </c>
      <c r="E58" s="153">
        <f>'Нормативное соответствие'!D61</f>
        <v>5</v>
      </c>
      <c r="F58" s="153">
        <f>'Нормативное соответствие'!E61</f>
        <v>5</v>
      </c>
      <c r="G58" s="153">
        <f>'Нормативное соответствие'!F61</f>
        <v>5</v>
      </c>
      <c r="H58" s="153">
        <f>'Нормативное соответствие'!S61</f>
        <v>26.120000000000019</v>
      </c>
      <c r="I58" s="154" t="str">
        <f t="shared" si="8"/>
        <v>КБ1</v>
      </c>
      <c r="J58" s="154">
        <f>'Нормативное соответствие'!K61</f>
        <v>5</v>
      </c>
      <c r="K58" s="153">
        <f>'Нормативное соответствие'!I61</f>
        <v>0</v>
      </c>
      <c r="L58" s="153">
        <f>'Нормативное соответствие'!L61</f>
        <v>0</v>
      </c>
      <c r="M58" s="153">
        <f t="shared" si="0"/>
        <v>0</v>
      </c>
      <c r="N58" s="153">
        <f t="shared" si="9"/>
        <v>5</v>
      </c>
      <c r="O58" s="153" t="str">
        <f>'Нормативное соответствие'!T61</f>
        <v xml:space="preserve"> - Провести аудит фактического размещения баз данных, обеспечивающих систематизацию, накопление, хранение, уточнение (обновления, изменения), извлечение персональных данных граждан РФ;
   -  В случае выявления баз данных, размещенных за пределами территории РФ, запланировать модернизацию инфраструктуры, предусматривающую релокацию таких баз;
   -  Разработать процесс учета всех баз данных организации, обеспечивающих систематизацию, накопление, хранение, уточнение (обновления, изменения), извлечение персональных данных, с указанием их местонахождения</v>
      </c>
      <c r="P58" s="155" t="s">
        <v>97</v>
      </c>
      <c r="Q58" s="156" t="s">
        <v>186</v>
      </c>
      <c r="R58" s="153"/>
      <c r="S58" s="157"/>
      <c r="T58" s="151" t="s">
        <v>99</v>
      </c>
      <c r="U58" s="158">
        <v>0</v>
      </c>
      <c r="V58" s="158">
        <v>0</v>
      </c>
      <c r="W58" s="158">
        <v>0</v>
      </c>
      <c r="X58" s="158">
        <f t="shared" si="1"/>
        <v>0</v>
      </c>
      <c r="Y58" s="159"/>
      <c r="Z58" s="160"/>
      <c r="AA58" s="160"/>
      <c r="AB58" s="160"/>
      <c r="AC58" s="160"/>
      <c r="AD58" s="160"/>
      <c r="AE58" s="160"/>
    </row>
    <row r="59" spans="1:31" ht="257.39999999999998" hidden="1">
      <c r="A59" s="151" t="s">
        <v>61</v>
      </c>
      <c r="B59" s="152" t="s">
        <v>175</v>
      </c>
      <c r="C59" s="153" t="str">
        <f>'Нормативное соответствие'!B62</f>
        <v xml:space="preserve">Наличие перечня ИСПДН </v>
      </c>
      <c r="D59" s="153" t="str">
        <f>'Нормативное соответствие'!C62</f>
        <v>НС.ПР.5.8.15.13</v>
      </c>
      <c r="E59" s="153">
        <f>'Нормативное соответствие'!D62</f>
        <v>5</v>
      </c>
      <c r="F59" s="153">
        <f>'Нормативное соответствие'!E62</f>
        <v>5</v>
      </c>
      <c r="G59" s="153">
        <f>'Нормативное соответствие'!F62</f>
        <v>5</v>
      </c>
      <c r="H59" s="153">
        <f>'Нормативное соответствие'!S62</f>
        <v>26.13000000000002</v>
      </c>
      <c r="I59" s="154" t="str">
        <f t="shared" si="8"/>
        <v>КБ1</v>
      </c>
      <c r="J59" s="154">
        <f>'Нормативное соответствие'!K62</f>
        <v>5</v>
      </c>
      <c r="K59" s="153">
        <f>'Нормативное соответствие'!I62</f>
        <v>0</v>
      </c>
      <c r="L59" s="153">
        <f>'Нормативное соответствие'!L62</f>
        <v>0</v>
      </c>
      <c r="M59" s="153">
        <f t="shared" si="0"/>
        <v>0</v>
      </c>
      <c r="N59" s="153">
        <f t="shared" si="9"/>
        <v>5</v>
      </c>
      <c r="O59" s="153" t="str">
        <f>'Нормативное соответствие'!T62</f>
        <v xml:space="preserve"> - Разработать и утвердить ВНД, определяющий угрозы безопасности персональных данных при их обработке в организации;
   -  Убедиться, что для всех информационных систем персональных данных организации определены угрозы безопасности персональных данных</v>
      </c>
      <c r="P59" s="155" t="s">
        <v>97</v>
      </c>
      <c r="Q59" s="156" t="s">
        <v>186</v>
      </c>
      <c r="R59" s="153"/>
      <c r="S59" s="157"/>
      <c r="T59" s="151" t="s">
        <v>99</v>
      </c>
      <c r="U59" s="158">
        <v>0</v>
      </c>
      <c r="V59" s="158">
        <v>0</v>
      </c>
      <c r="W59" s="158">
        <v>0</v>
      </c>
      <c r="X59" s="158">
        <f t="shared" si="1"/>
        <v>0</v>
      </c>
      <c r="Y59" s="159"/>
      <c r="Z59" s="160"/>
      <c r="AA59" s="160"/>
      <c r="AB59" s="160"/>
      <c r="AC59" s="160"/>
      <c r="AD59" s="160"/>
      <c r="AE59" s="160"/>
    </row>
    <row r="60" spans="1:31" ht="210.6" hidden="1">
      <c r="A60" s="151" t="s">
        <v>61</v>
      </c>
      <c r="B60" s="152" t="s">
        <v>175</v>
      </c>
      <c r="C60" s="153" t="str">
        <f>'Нормативное соответствие'!B63</f>
        <v>Учет машинных носителей персональных данных;</v>
      </c>
      <c r="D60" s="153" t="str">
        <f>'Нормативное соответствие'!C63</f>
        <v>НС.ПР.5.8.15.14</v>
      </c>
      <c r="E60" s="153">
        <f>'Нормативное соответствие'!D63</f>
        <v>5</v>
      </c>
      <c r="F60" s="153">
        <f>'Нормативное соответствие'!E63</f>
        <v>5</v>
      </c>
      <c r="G60" s="153">
        <f>'Нормативное соответствие'!F63</f>
        <v>5</v>
      </c>
      <c r="H60" s="153">
        <f>'Нормативное соответствие'!S63</f>
        <v>26.140000000000022</v>
      </c>
      <c r="I60" s="154" t="str">
        <f t="shared" si="8"/>
        <v>КБ1</v>
      </c>
      <c r="J60" s="154">
        <f>'Нормативное соответствие'!K63</f>
        <v>5</v>
      </c>
      <c r="K60" s="153">
        <f>'Нормативное соответствие'!I63</f>
        <v>0</v>
      </c>
      <c r="L60" s="153">
        <f>'Нормативное соответствие'!L63</f>
        <v>0</v>
      </c>
      <c r="M60" s="153">
        <f t="shared" si="0"/>
        <v>0</v>
      </c>
      <c r="N60" s="153">
        <f t="shared" si="9"/>
        <v>5</v>
      </c>
      <c r="O60" s="153" t="str">
        <f>'Нормативное соответствие'!T63</f>
        <v xml:space="preserve"> - Разработать и утвердить ВНД, определяющий порядок использования съемных носителей информации, в т.ч. правила их учета; 
   - Запланировать регулярный процесс контроля ведения учета съемных носителей информации</v>
      </c>
      <c r="P60" s="155" t="s">
        <v>97</v>
      </c>
      <c r="Q60" s="156" t="s">
        <v>187</v>
      </c>
      <c r="R60" s="153"/>
      <c r="S60" s="157"/>
      <c r="T60" s="151" t="s">
        <v>99</v>
      </c>
      <c r="U60" s="158">
        <v>0</v>
      </c>
      <c r="V60" s="158">
        <v>0</v>
      </c>
      <c r="W60" s="158">
        <v>0</v>
      </c>
      <c r="X60" s="158">
        <f t="shared" si="1"/>
        <v>0</v>
      </c>
      <c r="Y60" s="159"/>
      <c r="Z60" s="160"/>
      <c r="AA60" s="160"/>
      <c r="AB60" s="160"/>
      <c r="AC60" s="160"/>
      <c r="AD60" s="160"/>
      <c r="AE60" s="160"/>
    </row>
    <row r="61" spans="1:31" ht="93.6" hidden="1">
      <c r="A61" s="151" t="s">
        <v>61</v>
      </c>
      <c r="B61" s="152" t="s">
        <v>175</v>
      </c>
      <c r="C61" s="153" t="str">
        <f>'Нормативное соответствие'!B64</f>
        <v>Наличие документов, подтверждающих определение уровня защищенности ПДн в ИСПДн</v>
      </c>
      <c r="D61" s="153" t="str">
        <f>'Нормативное соответствие'!C64</f>
        <v>НС.ПР.5.8.15.15</v>
      </c>
      <c r="E61" s="153">
        <f>'Нормативное соответствие'!D64</f>
        <v>5</v>
      </c>
      <c r="F61" s="153">
        <f>'Нормативное соответствие'!E64</f>
        <v>5</v>
      </c>
      <c r="G61" s="153">
        <f>'Нормативное соответствие'!F64</f>
        <v>5</v>
      </c>
      <c r="H61" s="153">
        <f>'Нормативное соответствие'!S64</f>
        <v>26.150000000000023</v>
      </c>
      <c r="I61" s="154" t="str">
        <f t="shared" si="8"/>
        <v>КБ1</v>
      </c>
      <c r="J61" s="154">
        <f>'Нормативное соответствие'!K64</f>
        <v>5</v>
      </c>
      <c r="K61" s="153">
        <f>'Нормативное соответствие'!I64</f>
        <v>0</v>
      </c>
      <c r="L61" s="153">
        <f>'Нормативное соответствие'!L64</f>
        <v>0</v>
      </c>
      <c r="M61" s="153">
        <f t="shared" si="0"/>
        <v>0</v>
      </c>
      <c r="N61" s="153">
        <f t="shared" si="9"/>
        <v>5</v>
      </c>
      <c r="O61" s="153" t="str">
        <f>'Нормативное соответствие'!T64</f>
        <v xml:space="preserve"> - Разработать и утвердить Акты категорирования для каждой ИСПДн;</v>
      </c>
      <c r="P61" s="155" t="s">
        <v>97</v>
      </c>
      <c r="Q61" s="156" t="s">
        <v>188</v>
      </c>
      <c r="R61" s="153"/>
      <c r="S61" s="157"/>
      <c r="T61" s="151" t="s">
        <v>99</v>
      </c>
      <c r="U61" s="158">
        <v>0</v>
      </c>
      <c r="V61" s="158">
        <v>0</v>
      </c>
      <c r="W61" s="158">
        <v>0</v>
      </c>
      <c r="X61" s="158">
        <f t="shared" si="1"/>
        <v>0</v>
      </c>
      <c r="Y61" s="159"/>
      <c r="Z61" s="160"/>
      <c r="AA61" s="160"/>
      <c r="AB61" s="160"/>
      <c r="AC61" s="160"/>
      <c r="AD61" s="160"/>
      <c r="AE61" s="160"/>
    </row>
    <row r="62" spans="1:31" ht="351" hidden="1">
      <c r="A62" s="151" t="s">
        <v>61</v>
      </c>
      <c r="B62" s="152" t="s">
        <v>175</v>
      </c>
      <c r="C62" s="153" t="str">
        <f>'Нормативное соответствие'!B65</f>
        <v>Проводится периодический внутренний контроль и (или) аудит соответствия обработки персональных данных Федеральному закону №152-ФЗ "О персональных данных" и принятым требованиям к защите персональных данных, политике в отношении обработки персональных данных и прочим внутренним нормативным документам.</v>
      </c>
      <c r="D62" s="153" t="str">
        <f>'Нормативное соответствие'!C65</f>
        <v>НС.ПР.5.8.15.16</v>
      </c>
      <c r="E62" s="153">
        <f>'Нормативное соответствие'!D65</f>
        <v>5</v>
      </c>
      <c r="F62" s="153">
        <f>'Нормативное соответствие'!E65</f>
        <v>5</v>
      </c>
      <c r="G62" s="153">
        <f>'Нормативное соответствие'!F65</f>
        <v>5</v>
      </c>
      <c r="H62" s="153">
        <f>'Нормативное соответствие'!S65</f>
        <v>26.160000000000025</v>
      </c>
      <c r="I62" s="154" t="str">
        <f t="shared" si="8"/>
        <v>КБ1</v>
      </c>
      <c r="J62" s="154">
        <f>'Нормативное соответствие'!K65</f>
        <v>5</v>
      </c>
      <c r="K62" s="153">
        <f>'Нормативное соответствие'!I65</f>
        <v>0</v>
      </c>
      <c r="L62" s="153">
        <f>'Нормативное соответствие'!L65</f>
        <v>0</v>
      </c>
      <c r="M62" s="153">
        <f t="shared" si="0"/>
        <v>0</v>
      </c>
      <c r="N62" s="153">
        <f t="shared" si="9"/>
        <v>5</v>
      </c>
      <c r="O62" s="153" t="str">
        <f>'Нормативное соответствие'!T65</f>
        <v xml:space="preserve"> - Разработать и утвердить Положение о проведении контроля информационной безопасности (в т.ч. устанавливающий порядок проведения аудита соответствия обработки персональных данных требованиям ФЗ-152);
   -  Разработать и утвердить План проведения контроля информационной безопасности и (или) аудита соответствия обработки персональных данных требованиям ФЗ-152</v>
      </c>
      <c r="P62" s="155" t="s">
        <v>97</v>
      </c>
      <c r="Q62" s="156" t="s">
        <v>189</v>
      </c>
      <c r="R62" s="153"/>
      <c r="S62" s="157"/>
      <c r="T62" s="151" t="s">
        <v>99</v>
      </c>
      <c r="U62" s="158">
        <v>0</v>
      </c>
      <c r="V62" s="158">
        <v>0</v>
      </c>
      <c r="W62" s="158">
        <v>0</v>
      </c>
      <c r="X62" s="158">
        <f t="shared" si="1"/>
        <v>0</v>
      </c>
      <c r="Y62" s="159"/>
      <c r="Z62" s="160"/>
      <c r="AA62" s="160"/>
      <c r="AB62" s="160"/>
      <c r="AC62" s="160"/>
      <c r="AD62" s="160"/>
      <c r="AE62" s="160"/>
    </row>
    <row r="63" spans="1:31" ht="327.60000000000002" hidden="1">
      <c r="A63" s="151" t="s">
        <v>61</v>
      </c>
      <c r="B63" s="152" t="s">
        <v>175</v>
      </c>
      <c r="C63" s="153" t="str">
        <f>'Нормативное соответствие'!B66</f>
        <v>Наличие оценки вреда, который может быть причинен субъектам персональных данных в случае нарушения законодательства в области персональных данных, в соответствии с требованиями, установленными Роскомнадзором.</v>
      </c>
      <c r="D63" s="153" t="str">
        <f>'Нормативное соответствие'!C66</f>
        <v>НС.ПР.5.8.15.17</v>
      </c>
      <c r="E63" s="153">
        <f>'Нормативное соответствие'!D66</f>
        <v>5</v>
      </c>
      <c r="F63" s="153">
        <f>'Нормативное соответствие'!E66</f>
        <v>5</v>
      </c>
      <c r="G63" s="153">
        <f>'Нормативное соответствие'!F66</f>
        <v>5</v>
      </c>
      <c r="H63" s="153">
        <f>'Нормативное соответствие'!S66</f>
        <v>26.170000000000027</v>
      </c>
      <c r="I63" s="154" t="str">
        <f t="shared" si="8"/>
        <v>КБ1</v>
      </c>
      <c r="J63" s="154">
        <f>'Нормативное соответствие'!K66</f>
        <v>5</v>
      </c>
      <c r="K63" s="153">
        <f>'Нормативное соответствие'!I66</f>
        <v>0</v>
      </c>
      <c r="L63" s="153">
        <f>'Нормативное соответствие'!L66</f>
        <v>0</v>
      </c>
      <c r="M63" s="153">
        <f t="shared" si="0"/>
        <v>0</v>
      </c>
      <c r="N63" s="153">
        <f t="shared" si="9"/>
        <v>5</v>
      </c>
      <c r="O63" s="153" t="str">
        <f>'Нормативное соответствие'!T66</f>
        <v xml:space="preserve"> 1.Ответственныи за организацию обработки персональных данных либо комиссией провести процедуру оценку вреда. В ходе оценки определить в соответствии с требованиями Приказа Росконадзора № 178 одну из степеней вреда, который может быть причинен субъекту персональных данных - высокую, среднюю или низкую;
2) Оформить результаты оценки вреда Актом.</v>
      </c>
      <c r="P63" s="155" t="s">
        <v>97</v>
      </c>
      <c r="Q63" s="162" t="s">
        <v>190</v>
      </c>
      <c r="R63" s="153"/>
      <c r="S63" s="157"/>
      <c r="T63" s="151" t="s">
        <v>99</v>
      </c>
      <c r="U63" s="158">
        <v>0</v>
      </c>
      <c r="V63" s="158">
        <v>0</v>
      </c>
      <c r="W63" s="158">
        <v>0</v>
      </c>
      <c r="X63" s="158">
        <f t="shared" si="1"/>
        <v>0</v>
      </c>
      <c r="Y63" s="159"/>
      <c r="Z63" s="160"/>
      <c r="AA63" s="160"/>
      <c r="AB63" s="160"/>
      <c r="AC63" s="160"/>
      <c r="AD63" s="160"/>
      <c r="AE63" s="160"/>
    </row>
    <row r="64" spans="1:31" ht="409.6" hidden="1">
      <c r="A64" s="151" t="s">
        <v>61</v>
      </c>
      <c r="B64" s="152" t="s">
        <v>175</v>
      </c>
      <c r="C64" s="153" t="str">
        <f>'Нормативное соответствие'!B67</f>
        <v>Осуществляется информирование Роскомнадзора об инцидентах, связанных с обработкой персональных данных, повлекших нарушение прав субъектов персональных данных, с момента выявления такого инцидента в порядке, определенном Федеральным законом 152-ФЗ "О персональных данных".</v>
      </c>
      <c r="D64" s="153" t="str">
        <f>'Нормативное соответствие'!C67</f>
        <v>НС.ПР.5.8.15.18</v>
      </c>
      <c r="E64" s="153">
        <f>'Нормативное соответствие'!D67</f>
        <v>5</v>
      </c>
      <c r="F64" s="153">
        <f>'Нормативное соответствие'!E67</f>
        <v>5</v>
      </c>
      <c r="G64" s="153">
        <f>'Нормативное соответствие'!F67</f>
        <v>5</v>
      </c>
      <c r="H64" s="153">
        <f>'Нормативное соответствие'!S67</f>
        <v>26.180000000000028</v>
      </c>
      <c r="I64" s="154" t="str">
        <f t="shared" si="8"/>
        <v>КБ1</v>
      </c>
      <c r="J64" s="154">
        <f>'Нормативное соответствие'!K67</f>
        <v>5</v>
      </c>
      <c r="K64" s="153">
        <f>'Нормативное соответствие'!I67</f>
        <v>0</v>
      </c>
      <c r="L64" s="153">
        <f>'Нормативное соответствие'!L67</f>
        <v>0</v>
      </c>
      <c r="M64" s="153">
        <f t="shared" si="0"/>
        <v>0</v>
      </c>
      <c r="N64" s="153">
        <f t="shared" si="9"/>
        <v>5</v>
      </c>
      <c r="O64" s="153" t="str">
        <f>'Нормативное соответствие'!T67</f>
        <v xml:space="preserve"> - Выстроить в организации сквозной процесс по сбору информации об инцидентах, связанных с обработкой персональных данных, повлекших нарушение прав субъектов персональных данных, установить временные ограничения;
 -  Регламентировать процесс по информированию Роскомнадзора об инцидентах, связанных с обработкой персональных данных, повлекших нарушение прав субъектов персональных данных, в сроки и порядке согласно п. - 1 Ст.21 ФЗ № 152;
3) Запланировать регулярный процесс контроля информирования Роскомнадзора об инцидентах, связанных с обработкой персональных данных, повлекших нарушение прав субъектов персональных данных (в случае их обнаружения)</v>
      </c>
      <c r="P64" s="155" t="s">
        <v>97</v>
      </c>
      <c r="Q64" s="156" t="s">
        <v>191</v>
      </c>
      <c r="R64" s="153"/>
      <c r="S64" s="157"/>
      <c r="T64" s="151" t="s">
        <v>99</v>
      </c>
      <c r="U64" s="158">
        <v>0</v>
      </c>
      <c r="V64" s="158">
        <v>0</v>
      </c>
      <c r="W64" s="158">
        <v>0</v>
      </c>
      <c r="X64" s="158">
        <f t="shared" si="1"/>
        <v>0</v>
      </c>
      <c r="Y64" s="159"/>
      <c r="Z64" s="160"/>
      <c r="AA64" s="160"/>
      <c r="AB64" s="160"/>
      <c r="AC64" s="160"/>
      <c r="AD64" s="160"/>
      <c r="AE64" s="160"/>
    </row>
    <row r="65" spans="1:31" ht="374.4" hidden="1">
      <c r="A65" s="151" t="s">
        <v>61</v>
      </c>
      <c r="B65" s="152" t="s">
        <v>175</v>
      </c>
      <c r="C65" s="153" t="str">
        <f>'Нормативное соответствие'!B68</f>
        <v>Организовано периодическое ознакомление работников, непосредственно осуществляющих обработку персональных данных, с положениями законодательства Российской Федерации о персональных данных, в том числе с требованиями к защите персональных данных и внутренними нормативными документами по вопросам обработки персональных данных</v>
      </c>
      <c r="D65" s="153" t="str">
        <f>'Нормативное соответствие'!C68</f>
        <v>НС.ПР.5.8.15.19</v>
      </c>
      <c r="E65" s="153">
        <f>'Нормативное соответствие'!D68</f>
        <v>5</v>
      </c>
      <c r="F65" s="153">
        <f>'Нормативное соответствие'!E68</f>
        <v>5</v>
      </c>
      <c r="G65" s="153">
        <f>'Нормативное соответствие'!F68</f>
        <v>5</v>
      </c>
      <c r="H65" s="153">
        <f>'Нормативное соответствие'!S68</f>
        <v>26.19000000000003</v>
      </c>
      <c r="I65" s="154" t="str">
        <f t="shared" si="8"/>
        <v>КБ1</v>
      </c>
      <c r="J65" s="154">
        <f>'Нормативное соответствие'!K68</f>
        <v>5</v>
      </c>
      <c r="K65" s="153">
        <f>'Нормативное соответствие'!I68</f>
        <v>0</v>
      </c>
      <c r="L65" s="153">
        <f>'Нормативное соответствие'!L68</f>
        <v>0</v>
      </c>
      <c r="M65" s="153">
        <f t="shared" si="0"/>
        <v>0</v>
      </c>
      <c r="N65" s="153">
        <f t="shared" si="9"/>
        <v>5</v>
      </c>
      <c r="O65" s="153" t="str">
        <f>'Нормативное соответствие'!T68</f>
        <v xml:space="preserve"> - Выстроить в организации процесс по ознакомлению работников, непосредственно осуществляющих обработку персональных данных, с положениями законодательства РФ и ВНД организации по вопросам обработки и обеспечения безопасности персональных данных (в т.ч. при трудоустройстве);
2) Закрепить данный процесс в ВНД</v>
      </c>
      <c r="P65" s="155" t="s">
        <v>97</v>
      </c>
      <c r="Q65" s="156" t="s">
        <v>192</v>
      </c>
      <c r="R65" s="153"/>
      <c r="S65" s="157"/>
      <c r="T65" s="151" t="s">
        <v>99</v>
      </c>
      <c r="U65" s="158">
        <v>0</v>
      </c>
      <c r="V65" s="158">
        <v>0</v>
      </c>
      <c r="W65" s="158">
        <v>0</v>
      </c>
      <c r="X65" s="158">
        <f t="shared" si="1"/>
        <v>0</v>
      </c>
      <c r="Y65" s="159"/>
      <c r="Z65" s="160"/>
      <c r="AA65" s="160"/>
      <c r="AB65" s="160"/>
      <c r="AC65" s="160"/>
      <c r="AD65" s="160"/>
      <c r="AE65" s="160"/>
    </row>
    <row r="66" spans="1:31" ht="409.6" hidden="1">
      <c r="A66" s="151" t="s">
        <v>61</v>
      </c>
      <c r="B66" s="152" t="s">
        <v>175</v>
      </c>
      <c r="C66" s="153" t="str">
        <f>'Нормативное соответствие'!B51</f>
        <v>Политика опубликована и/или доступна (вебсайт или иные ресурсы) для чтения субъектам ПДН</v>
      </c>
      <c r="D66" s="153" t="str">
        <f>'Нормативное соответствие'!C51</f>
        <v>НС.ПР.5.8.15.2</v>
      </c>
      <c r="E66" s="153">
        <f>'Нормативное соответствие'!D51</f>
        <v>5</v>
      </c>
      <c r="F66" s="153">
        <f>'Нормативное соответствие'!E51</f>
        <v>5</v>
      </c>
      <c r="G66" s="153">
        <f>'Нормативное соответствие'!F51</f>
        <v>5</v>
      </c>
      <c r="H66" s="153">
        <f>'Нормативное соответствие'!S51</f>
        <v>26.020000000000003</v>
      </c>
      <c r="I66" s="154" t="str">
        <f t="shared" si="8"/>
        <v>КБ1</v>
      </c>
      <c r="J66" s="154">
        <f>'Нормативное соответствие'!K51</f>
        <v>5</v>
      </c>
      <c r="K66" s="153">
        <f>'Нормативное соответствие'!I51</f>
        <v>0</v>
      </c>
      <c r="L66" s="153">
        <f>'Нормативное соответствие'!L51</f>
        <v>0</v>
      </c>
      <c r="M66" s="153">
        <f t="shared" si="0"/>
        <v>0</v>
      </c>
      <c r="N66" s="153">
        <f t="shared" si="9"/>
        <v>5</v>
      </c>
      <c r="O66" s="153" t="str">
        <f>'Нормативное соответствие'!T51</f>
        <v xml:space="preserve">  -  Разместить Политику по обработке персональных данных в Организации (или выписку из неё) на веб-сайте Организации;
    -  Разместить печатную версию Политики по обработке персональных данных в Организации в общедоступной части офиса Организации;
    -  Обеспечить ознакомление всех работников Организации с Политикой по обработке персональных данных в Организации (с возможностью подтверждения такого ознакомления - посредством системы электронного документооборота или под роспись на бумажном носителе</v>
      </c>
      <c r="P66" s="155" t="s">
        <v>97</v>
      </c>
      <c r="Q66" s="156" t="s">
        <v>177</v>
      </c>
      <c r="R66" s="153"/>
      <c r="S66" s="157"/>
      <c r="T66" s="151" t="s">
        <v>99</v>
      </c>
      <c r="U66" s="158">
        <v>0</v>
      </c>
      <c r="V66" s="158">
        <v>0</v>
      </c>
      <c r="W66" s="158">
        <v>0</v>
      </c>
      <c r="X66" s="158">
        <f t="shared" si="1"/>
        <v>0</v>
      </c>
      <c r="Y66" s="159"/>
      <c r="Z66" s="160"/>
      <c r="AA66" s="160"/>
      <c r="AB66" s="160"/>
      <c r="AC66" s="160"/>
      <c r="AD66" s="160"/>
      <c r="AE66" s="160"/>
    </row>
    <row r="67" spans="1:31" ht="140.4" hidden="1">
      <c r="A67" s="151" t="s">
        <v>61</v>
      </c>
      <c r="B67" s="152" t="s">
        <v>175</v>
      </c>
      <c r="C67" s="153" t="str">
        <f>'Нормативное соответствие'!B69</f>
        <v>Наличие перечня лиц, доступ которых к ПДн, обрабатываемым в ИСПДн, необходим им для выполнения служебных (трудовых) обязанностей</v>
      </c>
      <c r="D67" s="153" t="str">
        <f>'Нормативное соответствие'!C69</f>
        <v>НС.ПР.5.8.15.20</v>
      </c>
      <c r="E67" s="153">
        <f>'Нормативное соответствие'!D69</f>
        <v>5</v>
      </c>
      <c r="F67" s="153">
        <f>'Нормативное соответствие'!E69</f>
        <v>5</v>
      </c>
      <c r="G67" s="153">
        <f>'Нормативное соответствие'!F69</f>
        <v>5</v>
      </c>
      <c r="H67" s="153">
        <f>'Нормативное соответствие'!S69</f>
        <v>26.200000000000031</v>
      </c>
      <c r="I67" s="154" t="str">
        <f>IF(H67&lt;=200, "КБ1", IF(H67&lt;=300, "КБ2", "КБ3"))</f>
        <v>КБ1</v>
      </c>
      <c r="J67" s="154">
        <f>'Нормативное соответствие'!K69</f>
        <v>5</v>
      </c>
      <c r="K67" s="153">
        <f>'Нормативное соответствие'!I69</f>
        <v>0</v>
      </c>
      <c r="L67" s="153">
        <f>'Нормативное соответствие'!L69</f>
        <v>0</v>
      </c>
      <c r="M67" s="153">
        <f t="shared" si="0"/>
        <v>0</v>
      </c>
      <c r="N67" s="153">
        <f>IF(H67&lt;100,    IF(L67&gt;=G67,0,J67-L67),       IF(H67&lt;300,     IF(L67&gt;=F67,0,J67-L67),                  IF(L67&gt;=E67,0,J67-L67)))</f>
        <v>5</v>
      </c>
      <c r="O67" s="153" t="str">
        <f>'Нормативное соответствие'!T69</f>
        <v xml:space="preserve"> Разработать и утвердить перечень лиц, доступ которых к ПДн, обрабатываемым в ИСПДн, необходим им для выполнения служебных (трудовых) обязанностей</v>
      </c>
      <c r="P67" s="155" t="s">
        <v>97</v>
      </c>
      <c r="Q67" s="156" t="s">
        <v>193</v>
      </c>
      <c r="R67" s="153"/>
      <c r="S67" s="157"/>
      <c r="T67" s="151" t="s">
        <v>99</v>
      </c>
      <c r="U67" s="158">
        <v>0</v>
      </c>
      <c r="V67" s="158">
        <v>0</v>
      </c>
      <c r="W67" s="158">
        <v>0</v>
      </c>
      <c r="X67" s="158">
        <f t="shared" si="1"/>
        <v>0</v>
      </c>
      <c r="Y67" s="159"/>
      <c r="Z67" s="160"/>
      <c r="AA67" s="160"/>
      <c r="AB67" s="160"/>
      <c r="AC67" s="160"/>
      <c r="AD67" s="160"/>
      <c r="AE67" s="160"/>
    </row>
    <row r="68" spans="1:31" ht="409.6" hidden="1">
      <c r="A68" s="151" t="s">
        <v>61</v>
      </c>
      <c r="B68" s="152" t="s">
        <v>175</v>
      </c>
      <c r="C68" s="153" t="str">
        <f>'Нормативное соответствие'!B70</f>
        <v>Определены места хранения персональных данных (материальных носителей), а также перечни лиц, осуществляющих обработку персональных данных либо имеющих к ним доступ</v>
      </c>
      <c r="D68" s="153" t="str">
        <f>'Нормативное соответствие'!C70</f>
        <v>НС.ПР.5.8.15.21</v>
      </c>
      <c r="E68" s="153">
        <f>'Нормативное соответствие'!D70</f>
        <v>5</v>
      </c>
      <c r="F68" s="153">
        <f>'Нормативное соответствие'!E70</f>
        <v>5</v>
      </c>
      <c r="G68" s="153">
        <f>'Нормативное соответствие'!F70</f>
        <v>5</v>
      </c>
      <c r="H68" s="153">
        <f>'Нормативное соответствие'!S70</f>
        <v>26.210000000000033</v>
      </c>
      <c r="I68" s="154" t="str">
        <f>IF(H68&lt;=200, "КБ1", IF(H68&lt;=300, "КБ2", "КБ3"))</f>
        <v>КБ1</v>
      </c>
      <c r="J68" s="154">
        <f>'Нормативное соответствие'!K70</f>
        <v>5</v>
      </c>
      <c r="K68" s="153">
        <f>'Нормативное соответствие'!I70</f>
        <v>0</v>
      </c>
      <c r="L68" s="153">
        <f>'Нормативное соответствие'!L70</f>
        <v>0</v>
      </c>
      <c r="M68" s="153">
        <f t="shared" si="0"/>
        <v>0</v>
      </c>
      <c r="N68" s="153">
        <f>IF(H68&lt;100,    IF(L68&gt;=G68,0,J68-L68),       IF(H68&lt;300,     IF(L68&gt;=F68,0,J68-L68),                  IF(L68&gt;=E68,0,J68-L68)))</f>
        <v>5</v>
      </c>
      <c r="O68" s="153" t="str">
        <f>'Нормативное соответствие'!T70</f>
        <v xml:space="preserve">  -  Определить и утвердить перечень мест хранения персональных данных/материальных носителей 
   -   Регламентировать порядок закрепления мест хранения, а также актуализации информации о местах хранения
   -  Утвердить перечень лиц, осуществляющих обработку персональных данных и/или имеющих к ним доступ
   -  Обеспечить регулярную проверку актуальности имеющихся перечней мест хранения и лиц, осуществляющих обработку персональных данных и/или имеющих к ним доступ </v>
      </c>
      <c r="P68" s="155" t="s">
        <v>97</v>
      </c>
      <c r="Q68" s="162" t="s">
        <v>194</v>
      </c>
      <c r="R68" s="153"/>
      <c r="S68" s="157"/>
      <c r="T68" s="151" t="s">
        <v>99</v>
      </c>
      <c r="U68" s="158">
        <v>0</v>
      </c>
      <c r="V68" s="158">
        <v>0</v>
      </c>
      <c r="W68" s="158">
        <v>0</v>
      </c>
      <c r="X68" s="158">
        <f t="shared" ref="X68:X121" si="10">SUM(U68:W68)</f>
        <v>0</v>
      </c>
      <c r="Y68" s="159"/>
      <c r="Z68" s="160"/>
      <c r="AA68" s="160"/>
      <c r="AB68" s="160"/>
      <c r="AC68" s="160"/>
      <c r="AD68" s="160"/>
      <c r="AE68" s="160"/>
    </row>
    <row r="69" spans="1:31" ht="397.8" hidden="1">
      <c r="A69" s="151" t="s">
        <v>61</v>
      </c>
      <c r="B69" s="152" t="s">
        <v>175</v>
      </c>
      <c r="C69" s="153" t="str">
        <f>'Нормативное соответствие'!B71</f>
        <v>Определены и соблюдаются меры, необходимые для обеспечения сохранности персональных данных и исключающие несанкционированный к ним доступ при хранении материальных носителей, а также перечень лиц, ответственных за реализацию указанных мер (наличие запираемых шкафов, сигнализации и пр.)</v>
      </c>
      <c r="D69" s="153" t="str">
        <f>'Нормативное соответствие'!C71</f>
        <v>НС.ПР.5.8.15.22</v>
      </c>
      <c r="E69" s="153">
        <f>'Нормативное соответствие'!D71</f>
        <v>5</v>
      </c>
      <c r="F69" s="153">
        <f>'Нормативное соответствие'!E71</f>
        <v>5</v>
      </c>
      <c r="G69" s="153">
        <f>'Нормативное соответствие'!F71</f>
        <v>5</v>
      </c>
      <c r="H69" s="153">
        <f>'Нормативное соответствие'!S71</f>
        <v>26.220000000000034</v>
      </c>
      <c r="I69" s="154" t="str">
        <f>IF(H69&lt;=200, "КБ1", IF(H69&lt;=300, "КБ2", "КБ3"))</f>
        <v>КБ1</v>
      </c>
      <c r="J69" s="154">
        <f>'Нормативное соответствие'!K71</f>
        <v>5</v>
      </c>
      <c r="K69" s="153">
        <f>'Нормативное соответствие'!I71</f>
        <v>0</v>
      </c>
      <c r="L69" s="153">
        <f>'Нормативное соответствие'!L71</f>
        <v>0</v>
      </c>
      <c r="M69" s="153">
        <f t="shared" si="0"/>
        <v>0</v>
      </c>
      <c r="N69" s="153">
        <f>IF(H69&lt;100,    IF(L69&gt;=G69,0,J69-L69),       IF(H69&lt;300,     IF(L69&gt;=F69,0,J69-L69),                  IF(L69&gt;=E69,0,J69-L69)))</f>
        <v>5</v>
      </c>
      <c r="O69" s="153" t="str">
        <f>'Нормативное соответствие'!T71</f>
        <v xml:space="preserve">  -  Разработать и утвердить перечень мер, необходимых для обеспечения сохранности персональных данных и исключающих несанкционированный доступ к ним при хранении материальных носителей; 
   -  Назначить работников, ответственных за реализацию мер; 
   -  Проводить плановые и внеплановые проверки соблюдения закрепленных в ВНД мер, необходимых для обеспечения сохранности персональных данных</v>
      </c>
      <c r="P69" s="155" t="s">
        <v>97</v>
      </c>
      <c r="Q69" s="156" t="s">
        <v>195</v>
      </c>
      <c r="R69" s="153"/>
      <c r="S69" s="157"/>
      <c r="T69" s="151" t="s">
        <v>99</v>
      </c>
      <c r="U69" s="158">
        <v>0</v>
      </c>
      <c r="V69" s="158">
        <v>0</v>
      </c>
      <c r="W69" s="158">
        <v>0</v>
      </c>
      <c r="X69" s="158">
        <f t="shared" si="10"/>
        <v>0</v>
      </c>
      <c r="Y69" s="159"/>
      <c r="Z69" s="160"/>
      <c r="AA69" s="160"/>
      <c r="AB69" s="160"/>
      <c r="AC69" s="160"/>
      <c r="AD69" s="160"/>
      <c r="AE69" s="160"/>
    </row>
    <row r="70" spans="1:31" ht="210.6" hidden="1">
      <c r="A70" s="151" t="s">
        <v>61</v>
      </c>
      <c r="B70" s="152" t="s">
        <v>175</v>
      </c>
      <c r="C70" s="153" t="str">
        <f>'Нормативное соответствие'!B72</f>
        <v>Организован процесс уничтожения перс.данных в соответствии с требованиями Приказа Роскомнадзора от 28.10.2022  № 179 "Об утверждении Требований к подтверждению уничтожения персональных данных"</v>
      </c>
      <c r="D70" s="153" t="str">
        <f>'Нормативное соответствие'!C72</f>
        <v>НС.ПР.5.8.15.23</v>
      </c>
      <c r="E70" s="153">
        <f>'Нормативное соответствие'!D72</f>
        <v>5</v>
      </c>
      <c r="F70" s="153">
        <f>'Нормативное соответствие'!E72</f>
        <v>5</v>
      </c>
      <c r="G70" s="153">
        <f>'Нормативное соответствие'!F72</f>
        <v>5</v>
      </c>
      <c r="H70" s="153">
        <f>'Нормативное соответствие'!S72</f>
        <v>26.230000000000036</v>
      </c>
      <c r="I70" s="154" t="str">
        <f>IF(H70&lt;=200, "КБ1", IF(H70&lt;=300, "КБ2", "КБ3"))</f>
        <v>КБ1</v>
      </c>
      <c r="J70" s="154">
        <f>'Нормативное соответствие'!K72</f>
        <v>5</v>
      </c>
      <c r="K70" s="153">
        <f>'Нормативное соответствие'!I72</f>
        <v>0</v>
      </c>
      <c r="L70" s="153">
        <f>'Нормативное соответствие'!L72</f>
        <v>0</v>
      </c>
      <c r="M70" s="153">
        <f t="shared" si="0"/>
        <v>0</v>
      </c>
      <c r="N70" s="153">
        <f>IF(H70&lt;100,    IF(L70&gt;=G70,0,J70-L70),       IF(H70&lt;300,     IF(L70&gt;=F70,0,J70-L70),                  IF(L70&gt;=E70,0,J70-L70)))</f>
        <v>5</v>
      </c>
      <c r="O70" s="153" t="str">
        <f>'Нормативное соответствие'!T72</f>
        <v xml:space="preserve"> -  Регламентировать и внедрить процесс уничтожения данных в соответствии с требованиями приказа Роскомнадзор № 179; 
    </v>
      </c>
      <c r="P70" s="155" t="s">
        <v>97</v>
      </c>
      <c r="Q70" s="162" t="s">
        <v>196</v>
      </c>
      <c r="R70" s="153"/>
      <c r="S70" s="157"/>
      <c r="T70" s="151" t="s">
        <v>99</v>
      </c>
      <c r="U70" s="158">
        <v>0</v>
      </c>
      <c r="V70" s="158">
        <v>0</v>
      </c>
      <c r="W70" s="158">
        <v>0</v>
      </c>
      <c r="X70" s="158">
        <f t="shared" si="10"/>
        <v>0</v>
      </c>
      <c r="Y70" s="159"/>
      <c r="Z70" s="160"/>
      <c r="AA70" s="160"/>
      <c r="AB70" s="160"/>
      <c r="AC70" s="160"/>
      <c r="AD70" s="160"/>
      <c r="AE70" s="160"/>
    </row>
    <row r="71" spans="1:31" ht="409.6" hidden="1">
      <c r="A71" s="151" t="s">
        <v>61</v>
      </c>
      <c r="B71" s="152" t="s">
        <v>175</v>
      </c>
      <c r="C71" s="153" t="str">
        <f>'Нормативное соответствие'!B73</f>
        <v>Обеспечена защита персональных данных при их передаче/выходе за пределы контролируемой зоны организации</v>
      </c>
      <c r="D71" s="153" t="str">
        <f>'Нормативное соответствие'!C73</f>
        <v>НС.ПР.5.8.15.24</v>
      </c>
      <c r="E71" s="153">
        <f>'Нормативное соответствие'!D73</f>
        <v>5</v>
      </c>
      <c r="F71" s="153">
        <f>'Нормативное соответствие'!E73</f>
        <v>5</v>
      </c>
      <c r="G71" s="153">
        <f>'Нормативное соответствие'!F73</f>
        <v>5</v>
      </c>
      <c r="H71" s="153">
        <f>'Нормативное соответствие'!S73</f>
        <v>26.240000000000038</v>
      </c>
      <c r="I71" s="154" t="str">
        <f>IF(H71&lt;=200, "КБ1", IF(H71&lt;=300, "КБ2", "КБ3"))</f>
        <v>КБ1</v>
      </c>
      <c r="J71" s="154">
        <f>'Нормативное соответствие'!K73</f>
        <v>5</v>
      </c>
      <c r="K71" s="153">
        <f>'Нормативное соответствие'!I73</f>
        <v>0</v>
      </c>
      <c r="L71" s="153">
        <f>'Нормативное соответствие'!L73</f>
        <v>0</v>
      </c>
      <c r="M71" s="153">
        <f t="shared" si="0"/>
        <v>0</v>
      </c>
      <c r="N71" s="153">
        <f>IF(H71&lt;100,    IF(L71&gt;=G71,0,J71-L71),       IF(H71&lt;300,     IF(L71&gt;=F71,0,J71-L71),                  IF(L71&gt;=E71,0,J71-L71)))</f>
        <v>5</v>
      </c>
      <c r="O71" s="153" t="str">
        <f>'Нормативное соответствие'!T73</f>
        <v xml:space="preserve">  -  Регламентировать требования по защите персональных данных при их передаче/выходе за пределы контролируемой зоны организации, в т.ч. применение сертифицированных средств криптографической защиты информации (СКЗИ); 
  -  Определить требуемый класс СКЗИ в соответствии с моделью нарушителя; 
  -  Включить требования по защите персональных данных при их передаче как обязательные при заключении договоров с третьимм лицами; 
  -  Осуществлять проверку выполнения требований по защите персональных данных при их передаче </v>
      </c>
      <c r="P71" s="155" t="s">
        <v>97</v>
      </c>
      <c r="Q71" s="162" t="s">
        <v>197</v>
      </c>
      <c r="R71" s="153"/>
      <c r="S71" s="157"/>
      <c r="T71" s="151" t="s">
        <v>99</v>
      </c>
      <c r="U71" s="158">
        <v>0</v>
      </c>
      <c r="V71" s="158">
        <v>0</v>
      </c>
      <c r="W71" s="158">
        <v>0</v>
      </c>
      <c r="X71" s="158">
        <f t="shared" si="10"/>
        <v>0</v>
      </c>
      <c r="Y71" s="159"/>
      <c r="Z71" s="160"/>
      <c r="AA71" s="160"/>
      <c r="AB71" s="160"/>
      <c r="AC71" s="160"/>
      <c r="AD71" s="160"/>
      <c r="AE71" s="160"/>
    </row>
    <row r="72" spans="1:31" ht="140.4" hidden="1">
      <c r="A72" s="151" t="s">
        <v>61</v>
      </c>
      <c r="B72" s="152" t="s">
        <v>175</v>
      </c>
      <c r="C72" s="153" t="str">
        <f>'Нормативное соответствие'!B52</f>
        <v>Назначено лицо, ответственное за организацию обработки персональных данных, определены его функции и обязанности</v>
      </c>
      <c r="D72" s="153" t="str">
        <f>'Нормативное соответствие'!C52</f>
        <v>НС.ПР.5.8.15.3</v>
      </c>
      <c r="E72" s="153">
        <f>'Нормативное соответствие'!D52</f>
        <v>5</v>
      </c>
      <c r="F72" s="153">
        <f>'Нормативное соответствие'!E52</f>
        <v>5</v>
      </c>
      <c r="G72" s="153">
        <f>'Нормативное соответствие'!F52</f>
        <v>5</v>
      </c>
      <c r="H72" s="153">
        <f>'Нормативное соответствие'!S52</f>
        <v>26.030000000000005</v>
      </c>
      <c r="I72" s="154" t="str">
        <f t="shared" ref="I72:I78" si="11">IF(H72&lt;=200,"КБ1",IF(H72&lt;=300,"КБ2","КБ3"))</f>
        <v>КБ1</v>
      </c>
      <c r="J72" s="154">
        <f>'Нормативное соответствие'!K52</f>
        <v>5</v>
      </c>
      <c r="K72" s="153">
        <f>'Нормативное соответствие'!I52</f>
        <v>0</v>
      </c>
      <c r="L72" s="153">
        <f>'Нормативное соответствие'!L52</f>
        <v>0</v>
      </c>
      <c r="M72" s="153">
        <f t="shared" si="0"/>
        <v>0</v>
      </c>
      <c r="N72" s="153">
        <f t="shared" ref="N72:N78" si="12">IF(H72&lt;100,IF(L72&gt;=G72,0,J72-L72),IF(H72&lt;300,IF(L72&gt;=F72,0,J72-L72),IF(L72&gt;=E72,0,J72-L72)))</f>
        <v>5</v>
      </c>
      <c r="O72" s="153" t="str">
        <f>'Нормативное соответствие'!T52</f>
        <v xml:space="preserve">  -  Разработать и утвердить Приказ о назначении лица, ответственного за организацию обработки персональных данных.</v>
      </c>
      <c r="P72" s="155" t="s">
        <v>97</v>
      </c>
      <c r="Q72" s="162" t="s">
        <v>178</v>
      </c>
      <c r="R72" s="153"/>
      <c r="S72" s="157"/>
      <c r="T72" s="151" t="s">
        <v>99</v>
      </c>
      <c r="U72" s="158">
        <v>0</v>
      </c>
      <c r="V72" s="158">
        <v>0</v>
      </c>
      <c r="W72" s="158">
        <v>0</v>
      </c>
      <c r="X72" s="158">
        <f t="shared" si="10"/>
        <v>0</v>
      </c>
      <c r="Y72" s="159"/>
      <c r="Z72" s="160"/>
      <c r="AA72" s="160"/>
      <c r="AB72" s="160"/>
      <c r="AC72" s="160"/>
      <c r="AD72" s="160"/>
      <c r="AE72" s="160"/>
    </row>
    <row r="73" spans="1:31" ht="163.80000000000001" hidden="1">
      <c r="A73" s="151" t="s">
        <v>61</v>
      </c>
      <c r="B73" s="152" t="s">
        <v>175</v>
      </c>
      <c r="C73" s="153" t="str">
        <f>'Нормативное соответствие'!B53</f>
        <v xml:space="preserve">Уведомление об обработке персональных данных направлено в Роскомнадзор, сведения об организации в реестре РКН поддерживаются в акутальном состоянии </v>
      </c>
      <c r="D73" s="153" t="str">
        <f>'Нормативное соответствие'!C53</f>
        <v>НС.ПР.5.8.15.4</v>
      </c>
      <c r="E73" s="153">
        <f>'Нормативное соответствие'!D53</f>
        <v>5</v>
      </c>
      <c r="F73" s="153">
        <f>'Нормативное соответствие'!E53</f>
        <v>5</v>
      </c>
      <c r="G73" s="153">
        <f>'Нормативное соответствие'!F53</f>
        <v>5</v>
      </c>
      <c r="H73" s="153">
        <f>'Нормативное соответствие'!S53</f>
        <v>26.040000000000006</v>
      </c>
      <c r="I73" s="154" t="str">
        <f t="shared" si="11"/>
        <v>КБ1</v>
      </c>
      <c r="J73" s="154">
        <f>'Нормативное соответствие'!K53</f>
        <v>5</v>
      </c>
      <c r="K73" s="153">
        <f>'Нормативное соответствие'!I53</f>
        <v>0</v>
      </c>
      <c r="L73" s="153">
        <f>'Нормативное соответствие'!L53</f>
        <v>0</v>
      </c>
      <c r="M73" s="153">
        <f t="shared" si="0"/>
        <v>0</v>
      </c>
      <c r="N73" s="153">
        <f t="shared" si="12"/>
        <v>5</v>
      </c>
      <c r="O73" s="153" t="str">
        <f>'Нормативное соответствие'!T53</f>
        <v xml:space="preserve"> - Разработать и направить в Роскомнадзор Уведомление об обработке персональных данных</v>
      </c>
      <c r="P73" s="155" t="s">
        <v>97</v>
      </c>
      <c r="Q73" s="156" t="s">
        <v>179</v>
      </c>
      <c r="R73" s="153"/>
      <c r="S73" s="157"/>
      <c r="T73" s="151" t="s">
        <v>99</v>
      </c>
      <c r="U73" s="158">
        <v>0</v>
      </c>
      <c r="V73" s="158">
        <v>0</v>
      </c>
      <c r="W73" s="158">
        <v>0</v>
      </c>
      <c r="X73" s="158">
        <f t="shared" si="10"/>
        <v>0</v>
      </c>
      <c r="Y73" s="159"/>
      <c r="Z73" s="160"/>
      <c r="AA73" s="160"/>
      <c r="AB73" s="160"/>
      <c r="AC73" s="160"/>
      <c r="AD73" s="160"/>
      <c r="AE73" s="160"/>
    </row>
    <row r="74" spans="1:31" ht="409.6" hidden="1">
      <c r="A74" s="151" t="s">
        <v>61</v>
      </c>
      <c r="B74" s="152" t="s">
        <v>175</v>
      </c>
      <c r="C74" s="153" t="str">
        <f>'Нормативное соответствие'!B54</f>
        <v>Наличие ВНД, регламентирующих порядок реализации процессов обработки ПДН в соответствии с рекомендациями ПАО "Ростелеком" (размещено на киберпортале)</v>
      </c>
      <c r="D74" s="153" t="str">
        <f>'Нормативное соответствие'!C54</f>
        <v>НС.ПР.5.8.15.5</v>
      </c>
      <c r="E74" s="153">
        <f>'Нормативное соответствие'!D54</f>
        <v>5</v>
      </c>
      <c r="F74" s="153">
        <f>'Нормативное соответствие'!E54</f>
        <v>5</v>
      </c>
      <c r="G74" s="153">
        <f>'Нормативное соответствие'!F54</f>
        <v>5</v>
      </c>
      <c r="H74" s="153">
        <f>'Нормативное соответствие'!S54</f>
        <v>26.050000000000008</v>
      </c>
      <c r="I74" s="154" t="str">
        <f t="shared" si="11"/>
        <v>КБ1</v>
      </c>
      <c r="J74" s="154">
        <f>'Нормативное соответствие'!K54</f>
        <v>5</v>
      </c>
      <c r="K74" s="153">
        <f>'Нормативное соответствие'!I54</f>
        <v>0</v>
      </c>
      <c r="L74" s="153">
        <f>'Нормативное соответствие'!L54</f>
        <v>0</v>
      </c>
      <c r="M74" s="153">
        <f t="shared" ref="M74:M137" si="13">IF(K74=J74," ",L74-K74)</f>
        <v>0</v>
      </c>
      <c r="N74" s="153">
        <f t="shared" si="12"/>
        <v>5</v>
      </c>
      <c r="O74" s="153" t="str">
        <f>'Нормативное соответствие'!T54</f>
        <v xml:space="preserve"> -  Провести процедуру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
  -  В случае выявления необходимости, актуализировать и направить повторно Уведомление в Роскомнадзор;
  -  Запланировать регулярный процесс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 и подачи актуальных сведений в Роскомнадзор</v>
      </c>
      <c r="P74" s="155" t="s">
        <v>97</v>
      </c>
      <c r="Q74" s="156" t="s">
        <v>179</v>
      </c>
      <c r="R74" s="153"/>
      <c r="S74" s="157"/>
      <c r="T74" s="151" t="s">
        <v>99</v>
      </c>
      <c r="U74" s="158">
        <v>0</v>
      </c>
      <c r="V74" s="158">
        <v>0</v>
      </c>
      <c r="W74" s="158">
        <v>0</v>
      </c>
      <c r="X74" s="158">
        <f t="shared" si="10"/>
        <v>0</v>
      </c>
      <c r="Y74" s="159"/>
      <c r="Z74" s="160"/>
      <c r="AA74" s="160"/>
      <c r="AB74" s="160"/>
      <c r="AC74" s="160"/>
      <c r="AD74" s="160"/>
      <c r="AE74" s="160"/>
    </row>
    <row r="75" spans="1:31" ht="409.6" hidden="1">
      <c r="A75" s="151" t="s">
        <v>61</v>
      </c>
      <c r="B75" s="152" t="s">
        <v>175</v>
      </c>
      <c r="C75" s="153" t="str">
        <f>'Нормативное соответствие'!B55</f>
        <v xml:space="preserve">Наличие согласия на обработку персональных данных от субъекта персональных данных в соответствии с законодательством РФ </v>
      </c>
      <c r="D75" s="153" t="str">
        <f>'Нормативное соответствие'!C55</f>
        <v>НС.ПР.5.8.15.6</v>
      </c>
      <c r="E75" s="153">
        <f>'Нормативное соответствие'!D55</f>
        <v>5</v>
      </c>
      <c r="F75" s="153">
        <f>'Нормативное соответствие'!E55</f>
        <v>5</v>
      </c>
      <c r="G75" s="153">
        <f>'Нормативное соответствие'!F55</f>
        <v>5</v>
      </c>
      <c r="H75" s="153">
        <f>'Нормативное соответствие'!S55</f>
        <v>26.060000000000009</v>
      </c>
      <c r="I75" s="154" t="str">
        <f t="shared" si="11"/>
        <v>КБ1</v>
      </c>
      <c r="J75" s="154">
        <f>'Нормативное соответствие'!K55</f>
        <v>5</v>
      </c>
      <c r="K75" s="153">
        <f>'Нормативное соответствие'!I55</f>
        <v>0</v>
      </c>
      <c r="L75" s="153">
        <f>'Нормативное соответствие'!L55</f>
        <v>0</v>
      </c>
      <c r="M75" s="153">
        <f t="shared" si="13"/>
        <v>0</v>
      </c>
      <c r="N75" s="153">
        <f t="shared" si="12"/>
        <v>5</v>
      </c>
      <c r="O75" s="153" t="str">
        <f>'Нормативное соответствие'!T55</f>
        <v xml:space="preserve"> - Провести процедуру определения оснований для обработки персональных данных для каждой заявленной в ВНД организации цели их обработки;
   -  Разработать формы Согласия на обработку персональных данных от субъекта персональных данных для всех случаев (целей) обработки персональных данных в организации, для которых отсутствует иное законное основание;
   -  Обеспечить сбор Согласий на обработку персональных данных от субъектов персональных данных согласно разработанным формам;
   - Разработать процесс учета и хранения Согласий на обработку персональных данных от субъектов персональных данных для всех случаев (целей) обработки персональных данных в организации</v>
      </c>
      <c r="P75" s="155" t="s">
        <v>97</v>
      </c>
      <c r="Q75" s="156" t="s">
        <v>180</v>
      </c>
      <c r="R75" s="153"/>
      <c r="S75" s="157"/>
      <c r="T75" s="151" t="s">
        <v>99</v>
      </c>
      <c r="U75" s="158">
        <v>0</v>
      </c>
      <c r="V75" s="158">
        <v>0</v>
      </c>
      <c r="W75" s="158">
        <v>0</v>
      </c>
      <c r="X75" s="158">
        <f t="shared" si="10"/>
        <v>0</v>
      </c>
      <c r="Y75" s="159"/>
      <c r="Z75" s="160"/>
      <c r="AA75" s="160"/>
      <c r="AB75" s="160"/>
      <c r="AC75" s="160"/>
      <c r="AD75" s="160"/>
      <c r="AE75" s="160"/>
    </row>
    <row r="76" spans="1:31" ht="409.6" hidden="1">
      <c r="A76" s="151" t="s">
        <v>61</v>
      </c>
      <c r="B76" s="152" t="s">
        <v>175</v>
      </c>
      <c r="C76" s="153" t="str">
        <f>'Нормативное соответствие'!B56</f>
        <v>При поступлении на работу работник дает согласие на передачу его персональных данных третьим лицам</v>
      </c>
      <c r="D76" s="153" t="str">
        <f>'Нормативное соответствие'!C56</f>
        <v>НС.ПР.5.8.15.7</v>
      </c>
      <c r="E76" s="153">
        <f>'Нормативное соответствие'!D56</f>
        <v>5</v>
      </c>
      <c r="F76" s="153">
        <f>'Нормативное соответствие'!E56</f>
        <v>5</v>
      </c>
      <c r="G76" s="153">
        <f>'Нормативное соответствие'!F56</f>
        <v>5</v>
      </c>
      <c r="H76" s="153">
        <f>'Нормативное соответствие'!S56</f>
        <v>26.070000000000011</v>
      </c>
      <c r="I76" s="154" t="str">
        <f t="shared" si="11"/>
        <v>КБ1</v>
      </c>
      <c r="J76" s="154">
        <f>'Нормативное соответствие'!K56</f>
        <v>5</v>
      </c>
      <c r="K76" s="153">
        <f>'Нормативное соответствие'!I56</f>
        <v>0</v>
      </c>
      <c r="L76" s="153">
        <f>'Нормативное соответствие'!L56</f>
        <v>0</v>
      </c>
      <c r="M76" s="153">
        <f t="shared" si="13"/>
        <v>0</v>
      </c>
      <c r="N76" s="153">
        <f t="shared" si="12"/>
        <v>5</v>
      </c>
      <c r="O76" s="153" t="str">
        <f>'Нормативное соответствие'!T56</f>
        <v xml:space="preserve"> -  Разработать или получить в Блоке ИБ ПАО Ростелеком типовую форму Согласия на передачу персональных данных работника;
   -  Провести аудит процессов обработки персональных данных работников с целью выявления случаев их передачи третьим лицам;
   -  Проанализировать выявленные случаи передачи персональных данных работников третьим лицам на предмет отсеивания случаев, когда такая передача осуществляется в целях соблюдения законодательства Российской федерации;
   -  Адаптировать форму Согласия на передачу персональных данных работника для выявленных случаев, не имеющих правовых оснований для передачи;
   -  Разработать процесс учета и хранения Согласий на передачу персональных данных работников третьим лицам;
   -  Разработать и внедрить процедуру адаптации формы Согласия на передачу персональных данных работников третьим лицам для всех вновь возникающих в организации случаев такой передачи.</v>
      </c>
      <c r="P76" s="155" t="s">
        <v>97</v>
      </c>
      <c r="Q76" s="156" t="s">
        <v>181</v>
      </c>
      <c r="R76" s="153"/>
      <c r="S76" s="157"/>
      <c r="T76" s="151" t="s">
        <v>99</v>
      </c>
      <c r="U76" s="158">
        <v>0</v>
      </c>
      <c r="V76" s="158">
        <v>0</v>
      </c>
      <c r="W76" s="158">
        <v>0</v>
      </c>
      <c r="X76" s="158">
        <f t="shared" si="10"/>
        <v>0</v>
      </c>
      <c r="Y76" s="159"/>
      <c r="Z76" s="160"/>
      <c r="AA76" s="160"/>
      <c r="AB76" s="160"/>
      <c r="AC76" s="160"/>
      <c r="AD76" s="160"/>
      <c r="AE76" s="160"/>
    </row>
    <row r="77" spans="1:31" ht="257.39999999999998" hidden="1">
      <c r="A77" s="151" t="s">
        <v>61</v>
      </c>
      <c r="B77" s="152" t="s">
        <v>175</v>
      </c>
      <c r="C77" s="153" t="str">
        <f>'Нормативное соответствие'!B57</f>
        <v>Обеспечивается ли прекращение обработки персональных данных в случае отзыва субъектом персональных данных согласия на обработку своих персональных данных в срок, установленный законодательством РФ?</v>
      </c>
      <c r="D77" s="153" t="str">
        <f>'Нормативное соответствие'!C57</f>
        <v>НС.ПР.5.8.15.8</v>
      </c>
      <c r="E77" s="153">
        <f>'Нормативное соответствие'!D57</f>
        <v>5</v>
      </c>
      <c r="F77" s="153">
        <f>'Нормативное соответствие'!E57</f>
        <v>5</v>
      </c>
      <c r="G77" s="153">
        <f>'Нормативное соответствие'!F57</f>
        <v>5</v>
      </c>
      <c r="H77" s="153">
        <f>'Нормативное соответствие'!S57</f>
        <v>26.080000000000013</v>
      </c>
      <c r="I77" s="154" t="str">
        <f t="shared" si="11"/>
        <v>КБ1</v>
      </c>
      <c r="J77" s="154">
        <f>'Нормативное соответствие'!K57</f>
        <v>5</v>
      </c>
      <c r="K77" s="153">
        <f>'Нормативное соответствие'!I57</f>
        <v>0</v>
      </c>
      <c r="L77" s="153">
        <f>'Нормативное соответствие'!L57</f>
        <v>0</v>
      </c>
      <c r="M77" s="153">
        <f t="shared" si="13"/>
        <v>0</v>
      </c>
      <c r="N77" s="153">
        <f t="shared" si="12"/>
        <v>5</v>
      </c>
      <c r="O77" s="153" t="str">
        <f>'Нормативное соответствие'!T57</f>
        <v xml:space="preserve"> - Разработать Порядок отзыва субъектом персональных данных  согласия на обработку его персональных данных, определяющий процедуру и сроки прекращения обработки его персональных данных (блокирование, уничтожение) в случае невозможности обеспечения правомерности дальнейшей их обработки</v>
      </c>
      <c r="P77" s="155" t="s">
        <v>97</v>
      </c>
      <c r="Q77" s="156" t="s">
        <v>182</v>
      </c>
      <c r="R77" s="153"/>
      <c r="S77" s="157"/>
      <c r="T77" s="151" t="s">
        <v>99</v>
      </c>
      <c r="U77" s="158">
        <v>0</v>
      </c>
      <c r="V77" s="158">
        <v>0</v>
      </c>
      <c r="W77" s="158">
        <v>0</v>
      </c>
      <c r="X77" s="158">
        <f t="shared" si="10"/>
        <v>0</v>
      </c>
      <c r="Y77" s="159"/>
      <c r="Z77" s="160"/>
      <c r="AA77" s="160"/>
      <c r="AB77" s="160"/>
      <c r="AC77" s="160"/>
      <c r="AD77" s="160"/>
      <c r="AE77" s="160"/>
    </row>
    <row r="78" spans="1:31" ht="374.4" hidden="1">
      <c r="A78" s="151" t="s">
        <v>61</v>
      </c>
      <c r="B78" s="152" t="s">
        <v>175</v>
      </c>
      <c r="C78" s="153" t="str">
        <f>'Нормативное соответствие'!B58</f>
        <v>Осуществляется ознакомление всех работников с требованием о неразглашении информации, содержащей персональные данные субъектов персональных данных третьим лицам</v>
      </c>
      <c r="D78" s="153" t="str">
        <f>'Нормативное соответствие'!C58</f>
        <v>НС.ПР.5.8.15.9</v>
      </c>
      <c r="E78" s="153">
        <f>'Нормативное соответствие'!D58</f>
        <v>5</v>
      </c>
      <c r="F78" s="153">
        <f>'Нормативное соответствие'!E58</f>
        <v>5</v>
      </c>
      <c r="G78" s="153">
        <f>'Нормативное соответствие'!F58</f>
        <v>5</v>
      </c>
      <c r="H78" s="153">
        <f>'Нормативное соответствие'!S58</f>
        <v>26.090000000000014</v>
      </c>
      <c r="I78" s="154" t="str">
        <f t="shared" si="11"/>
        <v>КБ1</v>
      </c>
      <c r="J78" s="154">
        <f>'Нормативное соответствие'!K58</f>
        <v>5</v>
      </c>
      <c r="K78" s="153">
        <f>'Нормативное соответствие'!I58</f>
        <v>0</v>
      </c>
      <c r="L78" s="153">
        <f>'Нормативное соответствие'!L58</f>
        <v>0</v>
      </c>
      <c r="M78" s="153">
        <f t="shared" si="13"/>
        <v>0</v>
      </c>
      <c r="N78" s="153">
        <f t="shared" si="12"/>
        <v>5</v>
      </c>
      <c r="O78" s="153" t="str">
        <f>'Нормативное соответствие'!T58</f>
        <v xml:space="preserve"> -  Разработать или получить в Блоке ИБ ПАО Ростелеком типовую форму Обязательства о неразглашении конфиденциальной информации (персональных данных);
   -  Разработать процесс сбора Обязательств о неразглашении конфиденциальной информации (персональных данных) с  вновь устроившихся работников организации, либо подтверждения их ознакомления в с требованием о неразглашении в иной форме</v>
      </c>
      <c r="P78" s="155" t="s">
        <v>97</v>
      </c>
      <c r="Q78" s="156" t="s">
        <v>183</v>
      </c>
      <c r="R78" s="153"/>
      <c r="S78" s="157"/>
      <c r="T78" s="151" t="s">
        <v>99</v>
      </c>
      <c r="U78" s="158">
        <v>0</v>
      </c>
      <c r="V78" s="158">
        <v>0</v>
      </c>
      <c r="W78" s="158">
        <v>0</v>
      </c>
      <c r="X78" s="158">
        <f t="shared" si="10"/>
        <v>0</v>
      </c>
      <c r="Y78" s="159"/>
      <c r="Z78" s="160"/>
      <c r="AA78" s="160"/>
      <c r="AB78" s="160"/>
      <c r="AC78" s="160"/>
      <c r="AD78" s="160"/>
      <c r="AE78" s="160"/>
    </row>
    <row r="79" spans="1:31" ht="140.4" hidden="1">
      <c r="A79" s="151" t="s">
        <v>61</v>
      </c>
      <c r="B79" s="152" t="s">
        <v>208</v>
      </c>
      <c r="C79" s="153" t="str">
        <f>'Нормативное соответствие'!B100</f>
        <v>Создан орган криптографической защиты (ОКЗ), или возложены функции ОКЗ</v>
      </c>
      <c r="D79" s="153" t="str">
        <f>'Нормативное соответствие'!C100</f>
        <v>НС.СКЗИ.5.9.3.1</v>
      </c>
      <c r="E79" s="153">
        <f>'Нормативное соответствие'!D100</f>
        <v>5</v>
      </c>
      <c r="F79" s="153">
        <f>'Нормативное соответствие'!E100</f>
        <v>5</v>
      </c>
      <c r="G79" s="153">
        <f>'Нормативное соответствие'!F100</f>
        <v>5</v>
      </c>
      <c r="H79" s="153">
        <f>'Нормативное соответствие'!S100</f>
        <v>37.01</v>
      </c>
      <c r="I79" s="154" t="str">
        <f t="shared" ref="I79:I110" si="14">IF(H79&lt;=200, "КБ1", IF(H79&lt;=300, "КБ2", "КБ3"))</f>
        <v>КБ1</v>
      </c>
      <c r="J79" s="154">
        <f>'Нормативное соответствие'!K100</f>
        <v>5</v>
      </c>
      <c r="K79" s="153">
        <f>'Нормативное соответствие'!I100</f>
        <v>0</v>
      </c>
      <c r="L79" s="153">
        <f>'Нормативное соответствие'!L100</f>
        <v>0</v>
      </c>
      <c r="M79" s="153">
        <f t="shared" si="13"/>
        <v>0</v>
      </c>
      <c r="N79" s="153">
        <f t="shared" ref="N79:N110" si="15">IF(H79&lt;100,    IF(L79&gt;=G79,0,J79-L79),       IF(H79&lt;300,     IF(L79&gt;=F79,0,J79-L79),                  IF(L79&gt;=E79,0,J79-L79)))</f>
        <v>5</v>
      </c>
      <c r="O79" s="153" t="str">
        <f>'Нормативное соответствие'!T100</f>
        <v xml:space="preserve"> -Издать приказ о создании ОКЗ;
Утверждено Положение об ОКЗ;
Назначить руководителя ОКЗ и инженерно-технических работников;
Утвердить состав ОКЗ.</v>
      </c>
      <c r="P79" s="155" t="s">
        <v>97</v>
      </c>
      <c r="Q79" s="156" t="s">
        <v>209</v>
      </c>
      <c r="R79" s="153"/>
      <c r="S79" s="157"/>
      <c r="T79" s="151" t="s">
        <v>99</v>
      </c>
      <c r="U79" s="158">
        <v>0</v>
      </c>
      <c r="V79" s="158">
        <v>0</v>
      </c>
      <c r="W79" s="158">
        <v>0</v>
      </c>
      <c r="X79" s="158">
        <f t="shared" si="10"/>
        <v>0</v>
      </c>
      <c r="Y79" s="159"/>
      <c r="Z79" s="160"/>
      <c r="AA79" s="160"/>
      <c r="AB79" s="160"/>
      <c r="AC79" s="160"/>
      <c r="AD79" s="160"/>
      <c r="AE79" s="160"/>
    </row>
    <row r="80" spans="1:31" ht="409.6" hidden="1">
      <c r="A80" s="151" t="s">
        <v>61</v>
      </c>
      <c r="B80" s="152" t="s">
        <v>208</v>
      </c>
      <c r="C80" s="153" t="str">
        <f>'Нормативное соответствие'!B109</f>
        <v>Утвержден документ, регламентирующий  организацию, эксплуатацию и вывод из эксплуатации СКЗИ в организации, включая формы соответствующих документов</v>
      </c>
      <c r="D80" s="153" t="str">
        <f>'Нормативное соответствие'!C109</f>
        <v>НС.СКЗИ.5.9.3.10</v>
      </c>
      <c r="E80" s="153">
        <f>'Нормативное соответствие'!D109</f>
        <v>5</v>
      </c>
      <c r="F80" s="153">
        <f>'Нормативное соответствие'!E109</f>
        <v>5</v>
      </c>
      <c r="G80" s="153">
        <f>'Нормативное соответствие'!F109</f>
        <v>5</v>
      </c>
      <c r="H80" s="163">
        <f>'Нормативное соответствие'!S109</f>
        <v>37.09999999999998</v>
      </c>
      <c r="I80" s="154" t="str">
        <f t="shared" si="14"/>
        <v>КБ1</v>
      </c>
      <c r="J80" s="154">
        <f>'Нормативное соответствие'!K109</f>
        <v>5</v>
      </c>
      <c r="K80" s="153">
        <f>'Нормативное соответствие'!I109</f>
        <v>0</v>
      </c>
      <c r="L80" s="153">
        <f>'Нормативное соответствие'!L109</f>
        <v>0</v>
      </c>
      <c r="M80" s="153">
        <f t="shared" si="13"/>
        <v>0</v>
      </c>
      <c r="N80" s="153">
        <f t="shared" si="15"/>
        <v>5</v>
      </c>
      <c r="O80" s="153" t="str">
        <f>'Нормативное соответствие'!T109</f>
        <v xml:space="preserve"> -Разработать и утвердить приказом Регламент ОКЗ с приложенями, но не органичиваясь:
-Типовая форма акта повреждения упаковки;
-Типовая форма лицевого счета пользователя СКЗИ;
-Типовая форма журнала поэкземплярного учёта СКЗИ, эксплуатационной и технической документации к ним, ключевых документов;
-Типовая форма журнала учета хранилищ ключевых документов, дистрибутивов, технической и эксплуатационной документации к СКЗИ;
-Типовая форма журнала учета проверок порядка использования СКЗИ;
-Типовая форма журнала поэкземплярного учета ключевых документов;
-Типовая форма акта уничтожения СКЗИ, ключевой информации, эксплуатационной и технической документации СКЗИ;
-Типовая форма журнала учёта Спецпомещений;
-Порядок проведения расследований фактов нарушения условий использования средств криптографической защиты информации в организации;
-Акт приема-передачи СКЗИ, эксплуатационной и технической документации СКЗИ, ключевых документов и ключевых носителей;
-Акт установки и настройки СКЗИ.
Перечень приложений может быть расширен в зависимости от потребностей организации.</v>
      </c>
      <c r="P80" s="155" t="s">
        <v>97</v>
      </c>
      <c r="Q80" s="156" t="s">
        <v>220</v>
      </c>
      <c r="R80" s="153"/>
      <c r="S80" s="157"/>
      <c r="T80" s="151" t="s">
        <v>99</v>
      </c>
      <c r="U80" s="158">
        <v>0</v>
      </c>
      <c r="V80" s="158">
        <v>0</v>
      </c>
      <c r="W80" s="158">
        <v>0</v>
      </c>
      <c r="X80" s="158">
        <f t="shared" si="10"/>
        <v>0</v>
      </c>
      <c r="Y80" s="159"/>
      <c r="Z80" s="160"/>
      <c r="AA80" s="160"/>
      <c r="AB80" s="160"/>
      <c r="AC80" s="160"/>
      <c r="AD80" s="160"/>
      <c r="AE80" s="160"/>
    </row>
    <row r="81" spans="1:31" ht="234" hidden="1">
      <c r="A81" s="151" t="s">
        <v>61</v>
      </c>
      <c r="B81" s="152" t="s">
        <v>208</v>
      </c>
      <c r="C81" s="153" t="str">
        <f>'Нормативное соответствие'!B101</f>
        <v>Ведется учет ключевой информации</v>
      </c>
      <c r="D81" s="153" t="str">
        <f>'Нормативное соответствие'!C101</f>
        <v>НС.СКЗИ.5.9.3.2</v>
      </c>
      <c r="E81" s="153">
        <f>'Нормативное соответствие'!D101</f>
        <v>5</v>
      </c>
      <c r="F81" s="153">
        <f>'Нормативное соответствие'!E101</f>
        <v>5</v>
      </c>
      <c r="G81" s="153">
        <f>'Нормативное соответствие'!F101</f>
        <v>5</v>
      </c>
      <c r="H81" s="153">
        <f>'Нормативное соответствие'!S101</f>
        <v>37.019999999999996</v>
      </c>
      <c r="I81" s="154" t="str">
        <f t="shared" si="14"/>
        <v>КБ1</v>
      </c>
      <c r="J81" s="154">
        <f>'Нормативное соответствие'!K101</f>
        <v>5</v>
      </c>
      <c r="K81" s="153">
        <f>'Нормативное соответствие'!I101</f>
        <v>0</v>
      </c>
      <c r="L81" s="153">
        <f>'Нормативное соответствие'!L101</f>
        <v>0</v>
      </c>
      <c r="M81" s="153">
        <f t="shared" si="13"/>
        <v>0</v>
      </c>
      <c r="N81" s="153">
        <f t="shared" si="15"/>
        <v>5</v>
      </c>
      <c r="O81" s="153" t="str">
        <f>'Нормативное соответствие'!T101</f>
        <v xml:space="preserve"> Организовать процесс учета ключевой информации;
Присвоить ключевым документам (КД), ключевым носителям (КН) идентификаторы (в случае их отсутствия);
Заполнить Журнал учета КД/КН в разрезе лиц, которым эти КД/КН выданы..</v>
      </c>
      <c r="P81" s="155" t="s">
        <v>97</v>
      </c>
      <c r="Q81" s="156" t="s">
        <v>210</v>
      </c>
      <c r="R81" s="153"/>
      <c r="S81" s="157"/>
      <c r="T81" s="151" t="s">
        <v>99</v>
      </c>
      <c r="U81" s="158">
        <v>0</v>
      </c>
      <c r="V81" s="158">
        <v>0</v>
      </c>
      <c r="W81" s="158">
        <v>0</v>
      </c>
      <c r="X81" s="158">
        <f t="shared" si="10"/>
        <v>0</v>
      </c>
      <c r="Y81" s="159"/>
      <c r="Z81" s="160"/>
      <c r="AA81" s="160"/>
      <c r="AB81" s="160"/>
      <c r="AC81" s="160"/>
      <c r="AD81" s="160"/>
      <c r="AE81" s="160"/>
    </row>
    <row r="82" spans="1:31" ht="210.6" hidden="1">
      <c r="A82" s="151" t="s">
        <v>61</v>
      </c>
      <c r="B82" s="152" t="s">
        <v>208</v>
      </c>
      <c r="C82" s="153" t="str">
        <f>'Нормативное соответствие'!B102</f>
        <v>Ведется обучение лиц, допускаемых и использующих СКЗИ, правилам их использования, оформлены заключения о допуске к самостоятельной работе с СКЗИ</v>
      </c>
      <c r="D82" s="153" t="str">
        <f>'Нормативное соответствие'!C102</f>
        <v>НС.СКЗИ.5.9.3.3</v>
      </c>
      <c r="E82" s="153">
        <f>'Нормативное соответствие'!D102</f>
        <v>5</v>
      </c>
      <c r="F82" s="153">
        <f>'Нормативное соответствие'!E102</f>
        <v>5</v>
      </c>
      <c r="G82" s="153">
        <f>'Нормативное соответствие'!F102</f>
        <v>5</v>
      </c>
      <c r="H82" s="153">
        <f>'Нормативное соответствие'!S102</f>
        <v>37.029999999999994</v>
      </c>
      <c r="I82" s="154" t="str">
        <f t="shared" si="14"/>
        <v>КБ1</v>
      </c>
      <c r="J82" s="154">
        <f>'Нормативное соответствие'!K102</f>
        <v>5</v>
      </c>
      <c r="K82" s="153">
        <f>'Нормативное соответствие'!I102</f>
        <v>0</v>
      </c>
      <c r="L82" s="153">
        <f>'Нормативное соответствие'!L102</f>
        <v>0</v>
      </c>
      <c r="M82" s="153">
        <f t="shared" si="13"/>
        <v>0</v>
      </c>
      <c r="N82" s="153">
        <f t="shared" si="15"/>
        <v>5</v>
      </c>
      <c r="O82" s="153" t="str">
        <f>'Нормативное соответствие'!T102</f>
        <v xml:space="preserve"> Разработать и утвердить инструкцию для пользователей СКЗИ. Ознакомить пользователей  СКЗИ с инструкцией. 
Оформить заключения о допуске лиц к самостоятельной работе с СКЗИ для каждого пользователя СКЗИ.</v>
      </c>
      <c r="P82" s="155" t="s">
        <v>97</v>
      </c>
      <c r="Q82" s="156" t="s">
        <v>211</v>
      </c>
      <c r="R82" s="153"/>
      <c r="S82" s="157"/>
      <c r="T82" s="151" t="s">
        <v>99</v>
      </c>
      <c r="U82" s="158">
        <v>0</v>
      </c>
      <c r="V82" s="158">
        <v>0</v>
      </c>
      <c r="W82" s="158">
        <v>0</v>
      </c>
      <c r="X82" s="158">
        <f t="shared" si="10"/>
        <v>0</v>
      </c>
      <c r="Y82" s="159"/>
      <c r="Z82" s="160"/>
      <c r="AA82" s="160"/>
      <c r="AB82" s="160"/>
      <c r="AC82" s="160"/>
      <c r="AD82" s="160"/>
      <c r="AE82" s="160"/>
    </row>
    <row r="83" spans="1:31" ht="93.6" hidden="1">
      <c r="A83" s="151" t="s">
        <v>61</v>
      </c>
      <c r="B83" s="152" t="s">
        <v>208</v>
      </c>
      <c r="C83" s="153" t="str">
        <f>'Нормативное соответствие'!B103</f>
        <v>На каждого пользователя СКЗИ ведется лицевой счет</v>
      </c>
      <c r="D83" s="153" t="str">
        <f>'Нормативное соответствие'!C103</f>
        <v>НС.СКЗИ.5.9.3.4</v>
      </c>
      <c r="E83" s="153">
        <f>'Нормативное соответствие'!D103</f>
        <v>5</v>
      </c>
      <c r="F83" s="153">
        <f>'Нормативное соответствие'!E103</f>
        <v>5</v>
      </c>
      <c r="G83" s="153">
        <f>'Нормативное соответствие'!F103</f>
        <v>5</v>
      </c>
      <c r="H83" s="153">
        <f>'Нормативное соответствие'!S103</f>
        <v>37.039999999999992</v>
      </c>
      <c r="I83" s="154" t="str">
        <f t="shared" si="14"/>
        <v>КБ1</v>
      </c>
      <c r="J83" s="154">
        <f>'Нормативное соответствие'!K103</f>
        <v>5</v>
      </c>
      <c r="K83" s="153">
        <f>'Нормативное соответствие'!I103</f>
        <v>0</v>
      </c>
      <c r="L83" s="153">
        <f>'Нормативное соответствие'!L103</f>
        <v>0</v>
      </c>
      <c r="M83" s="153">
        <f t="shared" si="13"/>
        <v>0</v>
      </c>
      <c r="N83" s="153">
        <f t="shared" si="15"/>
        <v>5</v>
      </c>
      <c r="O83" s="153" t="str">
        <f>'Нормативное соответствие'!T103</f>
        <v xml:space="preserve"> - На каждого пользователя СКЗИ оформить лицевой счет в части выданных ему ключевых документов (КД)</v>
      </c>
      <c r="P83" s="155" t="s">
        <v>97</v>
      </c>
      <c r="Q83" s="156" t="s">
        <v>212</v>
      </c>
      <c r="R83" s="153"/>
      <c r="S83" s="157"/>
      <c r="T83" s="151" t="s">
        <v>99</v>
      </c>
      <c r="U83" s="158">
        <v>0</v>
      </c>
      <c r="V83" s="158">
        <v>0</v>
      </c>
      <c r="W83" s="158">
        <v>0</v>
      </c>
      <c r="X83" s="158">
        <f t="shared" si="10"/>
        <v>0</v>
      </c>
      <c r="Y83" s="159"/>
      <c r="Z83" s="160"/>
      <c r="AA83" s="160"/>
      <c r="AB83" s="160"/>
      <c r="AC83" s="160"/>
      <c r="AD83" s="160"/>
      <c r="AE83" s="160"/>
    </row>
    <row r="84" spans="1:31" ht="163.80000000000001" hidden="1">
      <c r="A84" s="151" t="s">
        <v>61</v>
      </c>
      <c r="B84" s="152" t="s">
        <v>208</v>
      </c>
      <c r="C84" s="153" t="str">
        <f>'Нормативное соответствие'!B104</f>
        <v>Ведется поэкземплярный учет используемых СКЗИ, эксплуатационной и технической документации к ним, ключевых документов</v>
      </c>
      <c r="D84" s="153" t="str">
        <f>'Нормативное соответствие'!C104</f>
        <v>НС.СКЗИ.5.9.3.5</v>
      </c>
      <c r="E84" s="153">
        <f>'Нормативное соответствие'!D104</f>
        <v>5</v>
      </c>
      <c r="F84" s="153">
        <f>'Нормативное соответствие'!E104</f>
        <v>5</v>
      </c>
      <c r="G84" s="153">
        <f>'Нормативное соответствие'!F104</f>
        <v>5</v>
      </c>
      <c r="H84" s="153">
        <f>'Нормативное соответствие'!S104</f>
        <v>37.04999999999999</v>
      </c>
      <c r="I84" s="154" t="str">
        <f t="shared" si="14"/>
        <v>КБ1</v>
      </c>
      <c r="J84" s="154">
        <f>'Нормативное соответствие'!K104</f>
        <v>5</v>
      </c>
      <c r="K84" s="153">
        <f>'Нормативное соответствие'!I104</f>
        <v>0</v>
      </c>
      <c r="L84" s="153">
        <f>'Нормативное соответствие'!L104</f>
        <v>0</v>
      </c>
      <c r="M84" s="153">
        <f t="shared" si="13"/>
        <v>0</v>
      </c>
      <c r="N84" s="153">
        <f t="shared" si="15"/>
        <v>5</v>
      </c>
      <c r="O84" s="153" t="str">
        <f>'Нормативное соответствие'!T104</f>
        <v xml:space="preserve"> Заполнить Журнал поэкземплярного учета, используемых СКЗИ, включив в него сведения об эксплуатационной и технической документации на СКЗИ.</v>
      </c>
      <c r="P84" s="155" t="s">
        <v>97</v>
      </c>
      <c r="Q84" s="156" t="s">
        <v>210</v>
      </c>
      <c r="R84" s="153"/>
      <c r="S84" s="157"/>
      <c r="T84" s="151" t="s">
        <v>99</v>
      </c>
      <c r="U84" s="158">
        <v>0</v>
      </c>
      <c r="V84" s="158">
        <v>0</v>
      </c>
      <c r="W84" s="158">
        <v>0</v>
      </c>
      <c r="X84" s="158">
        <f t="shared" si="10"/>
        <v>0</v>
      </c>
      <c r="Y84" s="159"/>
      <c r="Z84" s="160"/>
      <c r="AA84" s="160"/>
      <c r="AB84" s="160"/>
      <c r="AC84" s="160"/>
      <c r="AD84" s="160"/>
      <c r="AE84" s="160"/>
    </row>
    <row r="85" spans="1:31" ht="257.39999999999998" hidden="1">
      <c r="A85" s="151" t="s">
        <v>61</v>
      </c>
      <c r="B85" s="152" t="s">
        <v>208</v>
      </c>
      <c r="C85" s="153" t="str">
        <f>'Нормативное соответствие'!B105</f>
        <v>Ведется учет хранилищ ключевых документов</v>
      </c>
      <c r="D85" s="153" t="str">
        <f>'Нормативное соответствие'!C105</f>
        <v>НС.СКЗИ.5.9.3.6</v>
      </c>
      <c r="E85" s="153">
        <f>'Нормативное соответствие'!D105</f>
        <v>5</v>
      </c>
      <c r="F85" s="153">
        <f>'Нормативное соответствие'!E105</f>
        <v>5</v>
      </c>
      <c r="G85" s="153">
        <f>'Нормативное соответствие'!F105</f>
        <v>5</v>
      </c>
      <c r="H85" s="153">
        <f>'Нормативное соответствие'!S105</f>
        <v>37.059999999999988</v>
      </c>
      <c r="I85" s="154" t="str">
        <f t="shared" si="14"/>
        <v>КБ1</v>
      </c>
      <c r="J85" s="154">
        <f>'Нормативное соответствие'!K105</f>
        <v>5</v>
      </c>
      <c r="K85" s="153">
        <f>'Нормативное соответствие'!I105</f>
        <v>0</v>
      </c>
      <c r="L85" s="153">
        <f>'Нормативное соответствие'!L105</f>
        <v>0</v>
      </c>
      <c r="M85" s="153">
        <f t="shared" si="13"/>
        <v>0</v>
      </c>
      <c r="N85" s="153">
        <f t="shared" si="15"/>
        <v>5</v>
      </c>
      <c r="O85" s="153" t="str">
        <f>'Нормативное соответствие'!T105</f>
        <v xml:space="preserve"> -  Обеспечить приобретение сейфов/металлических шкафов для хранения КД для ОКЗ и для пользователей СКЗИ;
   -  Выдать персоналу ОКЗ и пользователям СКЗИ персональные печати для опечатывания хранилищ;
   -  Присвоить идентификаторы хранилищам, учесть их в Журнале учета хранилищ.</v>
      </c>
      <c r="P85" s="155" t="s">
        <v>97</v>
      </c>
      <c r="Q85" s="156" t="s">
        <v>216</v>
      </c>
      <c r="R85" s="153"/>
      <c r="S85" s="157"/>
      <c r="T85" s="151" t="s">
        <v>99</v>
      </c>
      <c r="U85" s="158">
        <v>0</v>
      </c>
      <c r="V85" s="158">
        <v>0</v>
      </c>
      <c r="W85" s="158">
        <v>0</v>
      </c>
      <c r="X85" s="158">
        <f t="shared" si="10"/>
        <v>0</v>
      </c>
      <c r="Y85" s="159"/>
      <c r="Z85" s="160"/>
      <c r="AA85" s="160"/>
      <c r="AB85" s="160"/>
      <c r="AC85" s="160"/>
      <c r="AD85" s="160"/>
      <c r="AE85" s="160"/>
    </row>
    <row r="86" spans="1:31" ht="163.80000000000001" hidden="1">
      <c r="A86" s="151" t="s">
        <v>61</v>
      </c>
      <c r="B86" s="152" t="s">
        <v>208</v>
      </c>
      <c r="C86" s="153" t="str">
        <f>'Нормативное соответствие'!B106</f>
        <v>Осуществляется контроль за соблюдением условий использования
(эксплуатации) СКЗИ, установленный эксплуатационной документацией на СКЗИ</v>
      </c>
      <c r="D86" s="153" t="str">
        <f>'Нормативное соответствие'!C106</f>
        <v>НС.СКЗИ.5.9.3.7</v>
      </c>
      <c r="E86" s="153">
        <f>'Нормативное соответствие'!D106</f>
        <v>5</v>
      </c>
      <c r="F86" s="153">
        <f>'Нормативное соответствие'!E106</f>
        <v>5</v>
      </c>
      <c r="G86" s="153">
        <f>'Нормативное соответствие'!F106</f>
        <v>5</v>
      </c>
      <c r="H86" s="161">
        <f>'Нормативное соответствие'!S106</f>
        <v>37.069999999999986</v>
      </c>
      <c r="I86" s="154" t="str">
        <f t="shared" si="14"/>
        <v>КБ1</v>
      </c>
      <c r="J86" s="154">
        <f>'Нормативное соответствие'!K106</f>
        <v>5</v>
      </c>
      <c r="K86" s="153">
        <f>'Нормативное соответствие'!I106</f>
        <v>0</v>
      </c>
      <c r="L86" s="153">
        <f>'Нормативное соответствие'!L106</f>
        <v>0</v>
      </c>
      <c r="M86" s="153">
        <f t="shared" si="13"/>
        <v>0</v>
      </c>
      <c r="N86" s="153">
        <f t="shared" si="15"/>
        <v>5</v>
      </c>
      <c r="O86" s="153" t="str">
        <f>'Нормативное соответствие'!T106</f>
        <v xml:space="preserve"> -  Разработать план и график проведения проверок выполнения пользователями СКЗИ условий использования СКЗИ;
   - Организовать проверки в соответствии с планом.</v>
      </c>
      <c r="P86" s="155" t="s">
        <v>97</v>
      </c>
      <c r="Q86" s="156" t="s">
        <v>217</v>
      </c>
      <c r="R86" s="153"/>
      <c r="S86" s="157"/>
      <c r="T86" s="151" t="s">
        <v>99</v>
      </c>
      <c r="U86" s="158">
        <v>0</v>
      </c>
      <c r="V86" s="158">
        <v>0</v>
      </c>
      <c r="W86" s="158">
        <v>0</v>
      </c>
      <c r="X86" s="158">
        <f t="shared" si="10"/>
        <v>0</v>
      </c>
      <c r="Y86" s="159"/>
      <c r="Z86" s="160"/>
      <c r="AA86" s="160"/>
      <c r="AB86" s="160"/>
      <c r="AC86" s="160"/>
      <c r="AD86" s="160"/>
      <c r="AE86" s="160"/>
    </row>
    <row r="87" spans="1:31" ht="140.4" hidden="1">
      <c r="A87" s="151" t="s">
        <v>61</v>
      </c>
      <c r="B87" s="152" t="s">
        <v>208</v>
      </c>
      <c r="C87" s="153" t="str">
        <f>'Нормативное соответствие'!B107</f>
        <v xml:space="preserve">Осуществляется уничтожение ключевой информации </v>
      </c>
      <c r="D87" s="153" t="str">
        <f>'Нормативное соответствие'!C107</f>
        <v>НС.СКЗИ.5.9.3.8</v>
      </c>
      <c r="E87" s="153">
        <f>'Нормативное соответствие'!D107</f>
        <v>5</v>
      </c>
      <c r="F87" s="153">
        <f>'Нормативное соответствие'!E107</f>
        <v>5</v>
      </c>
      <c r="G87" s="153">
        <f>'Нормативное соответствие'!F107</f>
        <v>5</v>
      </c>
      <c r="H87" s="153">
        <f>'Нормативное соответствие'!S107</f>
        <v>37.079999999999984</v>
      </c>
      <c r="I87" s="154" t="str">
        <f t="shared" si="14"/>
        <v>КБ1</v>
      </c>
      <c r="J87" s="154">
        <f>'Нормативное соответствие'!K107</f>
        <v>5</v>
      </c>
      <c r="K87" s="153">
        <f>'Нормативное соответствие'!I107</f>
        <v>0</v>
      </c>
      <c r="L87" s="153">
        <f>'Нормативное соответствие'!L107</f>
        <v>0</v>
      </c>
      <c r="M87" s="153">
        <f t="shared" si="13"/>
        <v>0</v>
      </c>
      <c r="N87" s="153">
        <f t="shared" si="15"/>
        <v>5</v>
      </c>
      <c r="O87" s="153" t="str">
        <f>'Нормативное соответствие'!T107</f>
        <v xml:space="preserve"> - Организовать процесс уничтожения ключевой информации в соответствии с требованиями пункта 42 Приказа ФАПСИ от 13 июня 2001 г. № 152</v>
      </c>
      <c r="P87" s="155" t="s">
        <v>97</v>
      </c>
      <c r="Q87" s="156" t="s">
        <v>218</v>
      </c>
      <c r="R87" s="153"/>
      <c r="S87" s="157"/>
      <c r="T87" s="151" t="s">
        <v>99</v>
      </c>
      <c r="U87" s="158">
        <v>0</v>
      </c>
      <c r="V87" s="158">
        <v>0</v>
      </c>
      <c r="W87" s="158">
        <v>0</v>
      </c>
      <c r="X87" s="158">
        <f t="shared" si="10"/>
        <v>0</v>
      </c>
      <c r="Y87" s="159"/>
      <c r="Z87" s="160"/>
      <c r="AA87" s="160"/>
      <c r="AB87" s="160"/>
      <c r="AC87" s="160"/>
      <c r="AD87" s="160"/>
      <c r="AE87" s="160"/>
    </row>
    <row r="88" spans="1:31" ht="117" hidden="1">
      <c r="A88" s="151" t="s">
        <v>61</v>
      </c>
      <c r="B88" s="152" t="s">
        <v>208</v>
      </c>
      <c r="C88" s="153" t="str">
        <f>'Нормативное соответствие'!B108</f>
        <v>Ведется учет спецпомещений</v>
      </c>
      <c r="D88" s="153" t="str">
        <f>'Нормативное соответствие'!C108</f>
        <v>НС.СКЗИ.5.9.3.9</v>
      </c>
      <c r="E88" s="153">
        <f>'Нормативное соответствие'!D108</f>
        <v>5</v>
      </c>
      <c r="F88" s="153">
        <f>'Нормативное соответствие'!E108</f>
        <v>5</v>
      </c>
      <c r="G88" s="153">
        <f>'Нормативное соответствие'!F108</f>
        <v>5</v>
      </c>
      <c r="H88" s="153">
        <f>'Нормативное соответствие'!S108</f>
        <v>37.089999999999982</v>
      </c>
      <c r="I88" s="154" t="str">
        <f t="shared" si="14"/>
        <v>КБ1</v>
      </c>
      <c r="J88" s="154">
        <f>'Нормативное соответствие'!K108</f>
        <v>5</v>
      </c>
      <c r="K88" s="153">
        <f>'Нормативное соответствие'!I108</f>
        <v>0</v>
      </c>
      <c r="L88" s="153">
        <f>'Нормативное соответствие'!L108</f>
        <v>0</v>
      </c>
      <c r="M88" s="153">
        <f t="shared" si="13"/>
        <v>0</v>
      </c>
      <c r="N88" s="153">
        <f t="shared" si="15"/>
        <v>5</v>
      </c>
      <c r="O88" s="153" t="str">
        <f>'Нормативное соответствие'!T108</f>
        <v xml:space="preserve"> Определить, организовать, оборудовать в соответствии с требованиями Приказа ФАПСИ № 152 спецпомещения, а также обеспечить их учет</v>
      </c>
      <c r="P88" s="155" t="s">
        <v>97</v>
      </c>
      <c r="Q88" s="156" t="s">
        <v>219</v>
      </c>
      <c r="R88" s="153"/>
      <c r="S88" s="157"/>
      <c r="T88" s="151" t="s">
        <v>99</v>
      </c>
      <c r="U88" s="158">
        <v>0</v>
      </c>
      <c r="V88" s="158">
        <v>0</v>
      </c>
      <c r="W88" s="158">
        <v>0</v>
      </c>
      <c r="X88" s="158">
        <f t="shared" si="10"/>
        <v>0</v>
      </c>
      <c r="Y88" s="159"/>
      <c r="Z88" s="160"/>
      <c r="AA88" s="160"/>
      <c r="AB88" s="160"/>
      <c r="AC88" s="160"/>
      <c r="AD88" s="160"/>
      <c r="AE88" s="160"/>
    </row>
    <row r="89" spans="1:31" ht="163.80000000000001" hidden="1">
      <c r="A89" s="151" t="s">
        <v>57</v>
      </c>
      <c r="B89" s="630" t="s">
        <v>198</v>
      </c>
      <c r="C89" s="153" t="str">
        <f>Реагирование!B56</f>
        <v>Все предполагаемые вектора атак покрыты сценариями по реагированию</v>
      </c>
      <c r="D89" s="153" t="str">
        <f>Реагирование!C56</f>
        <v>РЕАГ.PB.5.9.3.1</v>
      </c>
      <c r="E89" s="153">
        <f>Реагирование!D56</f>
        <v>5</v>
      </c>
      <c r="F89" s="153">
        <f>Реагирование!E56</f>
        <v>5</v>
      </c>
      <c r="G89" s="153">
        <f>Реагирование!F56</f>
        <v>5</v>
      </c>
      <c r="H89" s="170">
        <f>Реагирование!S56</f>
        <v>27.01</v>
      </c>
      <c r="I89" s="154" t="str">
        <f t="shared" si="14"/>
        <v>КБ1</v>
      </c>
      <c r="J89" s="154">
        <f>Реагирование!K56</f>
        <v>5</v>
      </c>
      <c r="K89" s="153">
        <f>Реагирование!I56</f>
        <v>0</v>
      </c>
      <c r="L89" s="153">
        <f>Реагирование!L56</f>
        <v>0</v>
      </c>
      <c r="M89" s="153">
        <f t="shared" si="13"/>
        <v>0</v>
      </c>
      <c r="N89" s="153">
        <f t="shared" si="15"/>
        <v>5</v>
      </c>
      <c r="O89" s="153" t="str">
        <f>Реагирование!T56</f>
        <v xml:space="preserve"> - При разработке плейбуков учесть все имеющиеся информационные системы, каналы связи, подразделения и филиалы, категории пользователей, внешние сервисы и подрядчиков.</v>
      </c>
      <c r="P89" s="155" t="s">
        <v>97</v>
      </c>
      <c r="Q89" s="156" t="s">
        <v>199</v>
      </c>
      <c r="R89" s="153"/>
      <c r="S89" s="157"/>
      <c r="T89" s="151" t="s">
        <v>99</v>
      </c>
      <c r="U89" s="158">
        <v>0</v>
      </c>
      <c r="V89" s="158">
        <v>0</v>
      </c>
      <c r="W89" s="158">
        <v>0</v>
      </c>
      <c r="X89" s="158">
        <f t="shared" si="10"/>
        <v>0</v>
      </c>
      <c r="Y89" s="159"/>
      <c r="Z89" s="160"/>
      <c r="AA89" s="160"/>
      <c r="AB89" s="160"/>
      <c r="AC89" s="160"/>
      <c r="AD89" s="160"/>
      <c r="AE89" s="160"/>
    </row>
    <row r="90" spans="1:31" ht="70.2" hidden="1">
      <c r="A90" s="151" t="s">
        <v>57</v>
      </c>
      <c r="B90" s="152" t="s">
        <v>198</v>
      </c>
      <c r="C90" s="153" t="str">
        <f>Реагирование!B57</f>
        <v>Наличие плейбука по реагированию на сработки АВЗ</v>
      </c>
      <c r="D90" s="153" t="str">
        <f>Реагирование!C57</f>
        <v>РЕАГ.PB.5.9.3.2</v>
      </c>
      <c r="E90" s="153">
        <f>Реагирование!D57</f>
        <v>5</v>
      </c>
      <c r="F90" s="153">
        <f>Реагирование!E57</f>
        <v>5</v>
      </c>
      <c r="G90" s="153">
        <f>Реагирование!F57</f>
        <v>5</v>
      </c>
      <c r="H90" s="170">
        <f>Реагирование!S57</f>
        <v>27.020000000000003</v>
      </c>
      <c r="I90" s="154" t="str">
        <f t="shared" si="14"/>
        <v>КБ1</v>
      </c>
      <c r="J90" s="154">
        <f>Реагирование!K57</f>
        <v>5</v>
      </c>
      <c r="K90" s="153">
        <f>Реагирование!I57</f>
        <v>0</v>
      </c>
      <c r="L90" s="153">
        <f>Реагирование!L57</f>
        <v>0</v>
      </c>
      <c r="M90" s="153">
        <f t="shared" si="13"/>
        <v>0</v>
      </c>
      <c r="N90" s="153">
        <f t="shared" si="15"/>
        <v>5</v>
      </c>
      <c r="O90" s="153" t="str">
        <f>Реагирование!T57</f>
        <v xml:space="preserve"> - Разработать и простестировать плейбуки по реагированию на сработки АВЗ</v>
      </c>
      <c r="P90" s="155" t="s">
        <v>97</v>
      </c>
      <c r="Q90" s="156" t="s">
        <v>200</v>
      </c>
      <c r="R90" s="153"/>
      <c r="S90" s="157"/>
      <c r="T90" s="151" t="s">
        <v>99</v>
      </c>
      <c r="U90" s="158">
        <v>0</v>
      </c>
      <c r="V90" s="158">
        <v>0</v>
      </c>
      <c r="W90" s="158">
        <v>0</v>
      </c>
      <c r="X90" s="158">
        <f t="shared" si="10"/>
        <v>0</v>
      </c>
      <c r="Y90" s="159"/>
      <c r="Z90" s="160"/>
      <c r="AA90" s="160"/>
      <c r="AB90" s="160"/>
      <c r="AC90" s="160"/>
      <c r="AD90" s="160"/>
      <c r="AE90" s="160"/>
    </row>
    <row r="91" spans="1:31" ht="70.2" hidden="1">
      <c r="A91" s="151" t="s">
        <v>57</v>
      </c>
      <c r="B91" s="152" t="s">
        <v>198</v>
      </c>
      <c r="C91" s="153" t="str">
        <f>Реагирование!B58</f>
        <v>Наличие плейбука по реагированию на сработки (2FA)</v>
      </c>
      <c r="D91" s="153" t="str">
        <f>Реагирование!C58</f>
        <v>РЕАГ.PB.5.9.3.3</v>
      </c>
      <c r="E91" s="153">
        <f>Реагирование!D58</f>
        <v>5</v>
      </c>
      <c r="F91" s="153">
        <f>Реагирование!E58</f>
        <v>5</v>
      </c>
      <c r="G91" s="153">
        <f>Реагирование!F58</f>
        <v>5</v>
      </c>
      <c r="H91" s="170">
        <f>Реагирование!S58</f>
        <v>27.030000000000005</v>
      </c>
      <c r="I91" s="154" t="str">
        <f t="shared" si="14"/>
        <v>КБ1</v>
      </c>
      <c r="J91" s="154">
        <f>Реагирование!K58</f>
        <v>5</v>
      </c>
      <c r="K91" s="153">
        <f>Реагирование!I58</f>
        <v>0</v>
      </c>
      <c r="L91" s="153">
        <f>Реагирование!L58</f>
        <v>0</v>
      </c>
      <c r="M91" s="153">
        <f t="shared" si="13"/>
        <v>0</v>
      </c>
      <c r="N91" s="153">
        <f t="shared" si="15"/>
        <v>5</v>
      </c>
      <c r="O91" s="153" t="str">
        <f>Реагирование!T58</f>
        <v xml:space="preserve"> - Разработать и простестировать плейбуки по реагированию на сработки 2FA</v>
      </c>
      <c r="P91" s="155" t="s">
        <v>97</v>
      </c>
      <c r="Q91" s="156" t="s">
        <v>200</v>
      </c>
      <c r="R91" s="153"/>
      <c r="S91" s="157"/>
      <c r="T91" s="151" t="s">
        <v>99</v>
      </c>
      <c r="U91" s="158">
        <v>0</v>
      </c>
      <c r="V91" s="158">
        <v>0</v>
      </c>
      <c r="W91" s="158">
        <v>0</v>
      </c>
      <c r="X91" s="158">
        <f t="shared" si="10"/>
        <v>0</v>
      </c>
      <c r="Y91" s="159"/>
      <c r="Z91" s="160"/>
      <c r="AA91" s="160"/>
      <c r="AB91" s="160"/>
      <c r="AC91" s="160"/>
      <c r="AD91" s="160"/>
      <c r="AE91" s="160"/>
    </row>
    <row r="92" spans="1:31" ht="93.6" hidden="1">
      <c r="A92" s="151" t="s">
        <v>57</v>
      </c>
      <c r="B92" s="152" t="s">
        <v>198</v>
      </c>
      <c r="C92" s="153" t="str">
        <f>Реагирование!B59</f>
        <v>Наличие плейбука по реагированию на сработки(RA VPN)</v>
      </c>
      <c r="D92" s="153" t="str">
        <f>Реагирование!C59</f>
        <v>РЕАГ.PB.5.9.3.4</v>
      </c>
      <c r="E92" s="153">
        <f>Реагирование!D59</f>
        <v>5</v>
      </c>
      <c r="F92" s="153">
        <f>Реагирование!E59</f>
        <v>5</v>
      </c>
      <c r="G92" s="153">
        <f>Реагирование!F59</f>
        <v>5</v>
      </c>
      <c r="H92" s="170">
        <f>Реагирование!S59</f>
        <v>27.040000000000006</v>
      </c>
      <c r="I92" s="154" t="str">
        <f t="shared" si="14"/>
        <v>КБ1</v>
      </c>
      <c r="J92" s="154">
        <f>Реагирование!K59</f>
        <v>5</v>
      </c>
      <c r="K92" s="153">
        <f>Реагирование!I59</f>
        <v>0</v>
      </c>
      <c r="L92" s="153">
        <f>Реагирование!L59</f>
        <v>0</v>
      </c>
      <c r="M92" s="153">
        <f t="shared" si="13"/>
        <v>0</v>
      </c>
      <c r="N92" s="153">
        <f t="shared" si="15"/>
        <v>5</v>
      </c>
      <c r="O92" s="153" t="str">
        <f>Реагирование!T59</f>
        <v xml:space="preserve"> - Разработать и простестировать плейбуки по реагированию на сработки RA VPN</v>
      </c>
      <c r="P92" s="155" t="s">
        <v>97</v>
      </c>
      <c r="Q92" s="156" t="s">
        <v>200</v>
      </c>
      <c r="R92" s="153"/>
      <c r="S92" s="157"/>
      <c r="T92" s="151" t="s">
        <v>99</v>
      </c>
      <c r="U92" s="158">
        <v>0</v>
      </c>
      <c r="V92" s="158">
        <v>0</v>
      </c>
      <c r="W92" s="158">
        <v>0</v>
      </c>
      <c r="X92" s="158">
        <f t="shared" si="10"/>
        <v>0</v>
      </c>
      <c r="Y92" s="159"/>
      <c r="Z92" s="160"/>
      <c r="AA92" s="160"/>
      <c r="AB92" s="160"/>
      <c r="AC92" s="160"/>
      <c r="AD92" s="160"/>
      <c r="AE92" s="160"/>
    </row>
    <row r="93" spans="1:31" ht="140.4" hidden="1">
      <c r="A93" s="151" t="s">
        <v>57</v>
      </c>
      <c r="B93" s="152" t="s">
        <v>202</v>
      </c>
      <c r="C93" s="153" t="str">
        <f>Реагирование!B51</f>
        <v>Процесс расследования инцидентов</v>
      </c>
      <c r="D93" s="153" t="str">
        <f>Реагирование!C51</f>
        <v>РЕАГ.АНЛЗ.2</v>
      </c>
      <c r="E93" s="153">
        <f>Реагирование!D51</f>
        <v>4</v>
      </c>
      <c r="F93" s="153">
        <f>Реагирование!E51</f>
        <v>3</v>
      </c>
      <c r="G93" s="153">
        <f>Реагирование!F51</f>
        <v>1</v>
      </c>
      <c r="H93" s="153">
        <f>Реагирование!S51</f>
        <v>30.020000000000003</v>
      </c>
      <c r="I93" s="154" t="str">
        <f t="shared" si="14"/>
        <v>КБ1</v>
      </c>
      <c r="J93" s="154">
        <f>Реагирование!K51</f>
        <v>4</v>
      </c>
      <c r="K93" s="153">
        <f>Реагирование!I51</f>
        <v>0</v>
      </c>
      <c r="L93" s="153">
        <f>Реагирование!L51</f>
        <v>0</v>
      </c>
      <c r="M93" s="153">
        <f t="shared" si="13"/>
        <v>0</v>
      </c>
      <c r="N93" s="153">
        <f t="shared" si="15"/>
        <v>4</v>
      </c>
      <c r="O93" s="153" t="str">
        <f>Реагирование!T51</f>
        <v>- Проводить расследование инцидентов информационной безопасности
- Результаты расследований должны быть задокументированы</v>
      </c>
      <c r="P93" s="155" t="s">
        <v>97</v>
      </c>
      <c r="Q93" s="156" t="s">
        <v>203</v>
      </c>
      <c r="R93" s="153"/>
      <c r="S93" s="157"/>
      <c r="T93" s="151" t="s">
        <v>99</v>
      </c>
      <c r="U93" s="158">
        <v>0</v>
      </c>
      <c r="V93" s="158">
        <v>0</v>
      </c>
      <c r="W93" s="158">
        <v>0</v>
      </c>
      <c r="X93" s="158">
        <f t="shared" si="10"/>
        <v>0</v>
      </c>
      <c r="Y93" s="159"/>
      <c r="Z93" s="160"/>
      <c r="AA93" s="160"/>
      <c r="AB93" s="160"/>
      <c r="AC93" s="160"/>
      <c r="AD93" s="160"/>
      <c r="AE93" s="160"/>
    </row>
    <row r="94" spans="1:31" ht="187.2" hidden="1">
      <c r="A94" s="151" t="s">
        <v>57</v>
      </c>
      <c r="B94" s="152" t="s">
        <v>202</v>
      </c>
      <c r="C94" s="153" t="str">
        <f>Реагирование!B52</f>
        <v>Анализируются причины возникновения инцидентов</v>
      </c>
      <c r="D94" s="153" t="str">
        <f>Реагирование!C52</f>
        <v>РЕАГ.АНЛЗ.3</v>
      </c>
      <c r="E94" s="153">
        <f>Реагирование!D52</f>
        <v>5</v>
      </c>
      <c r="F94" s="153">
        <f>Реагирование!E52</f>
        <v>5</v>
      </c>
      <c r="G94" s="153">
        <f>Реагирование!F52</f>
        <v>3.2</v>
      </c>
      <c r="H94" s="153">
        <f>Реагирование!S52</f>
        <v>30.030000000000005</v>
      </c>
      <c r="I94" s="154" t="str">
        <f t="shared" si="14"/>
        <v>КБ1</v>
      </c>
      <c r="J94" s="154">
        <f>Реагирование!K52</f>
        <v>5</v>
      </c>
      <c r="K94" s="153">
        <f>Реагирование!I52</f>
        <v>0</v>
      </c>
      <c r="L94" s="153">
        <f>Реагирование!L52</f>
        <v>0</v>
      </c>
      <c r="M94" s="153">
        <f t="shared" si="13"/>
        <v>0</v>
      </c>
      <c r="N94" s="153">
        <f t="shared" si="15"/>
        <v>5</v>
      </c>
      <c r="O94" s="153" t="str">
        <f>Реагирование!T52</f>
        <v xml:space="preserve"> - Обеспечить проведение анализа причин возникновения критичных инцидентов ИБ;
 -  По результатам анализа, разрабатывать рекомендации по предотвращению аналогичных инцидентов в будущем </v>
      </c>
      <c r="P94" s="155" t="s">
        <v>97</v>
      </c>
      <c r="Q94" s="156" t="s">
        <v>204</v>
      </c>
      <c r="R94" s="153"/>
      <c r="S94" s="157"/>
      <c r="T94" s="151" t="s">
        <v>99</v>
      </c>
      <c r="U94" s="158">
        <v>0</v>
      </c>
      <c r="V94" s="158">
        <v>0</v>
      </c>
      <c r="W94" s="158">
        <v>0</v>
      </c>
      <c r="X94" s="158">
        <f t="shared" si="10"/>
        <v>0</v>
      </c>
      <c r="Y94" s="159"/>
      <c r="Z94" s="160"/>
      <c r="AA94" s="160"/>
      <c r="AB94" s="160"/>
      <c r="AC94" s="160"/>
      <c r="AD94" s="160"/>
      <c r="AE94" s="160"/>
    </row>
    <row r="95" spans="1:31" ht="187.2" hidden="1">
      <c r="A95" s="151" t="s">
        <v>57</v>
      </c>
      <c r="B95" s="152" t="s">
        <v>202</v>
      </c>
      <c r="C95" s="153" t="str">
        <f>Реагирование!B53</f>
        <v>Процесс пост-анализа инцидентов</v>
      </c>
      <c r="D95" s="153" t="str">
        <f>Реагирование!C53</f>
        <v>РЕАГ.АНЛЗ.4</v>
      </c>
      <c r="E95" s="153">
        <f>Реагирование!D53</f>
        <v>4</v>
      </c>
      <c r="F95" s="153">
        <f>Реагирование!E53</f>
        <v>3</v>
      </c>
      <c r="G95" s="153">
        <f>Реагирование!F53</f>
        <v>1</v>
      </c>
      <c r="H95" s="153">
        <f>Реагирование!S53</f>
        <v>30.040000000000006</v>
      </c>
      <c r="I95" s="154" t="str">
        <f t="shared" si="14"/>
        <v>КБ1</v>
      </c>
      <c r="J95" s="154">
        <f>Реагирование!K53</f>
        <v>4</v>
      </c>
      <c r="K95" s="153">
        <f>Реагирование!I53</f>
        <v>0</v>
      </c>
      <c r="L95" s="153">
        <f>Реагирование!L53</f>
        <v>0</v>
      </c>
      <c r="M95" s="153">
        <f t="shared" si="13"/>
        <v>0</v>
      </c>
      <c r="N95" s="153">
        <f t="shared" si="15"/>
        <v>4</v>
      </c>
      <c r="O95" s="153" t="str">
        <f>Реагирование!T53</f>
        <v>Проводится анализ критичных инцидентов ИБ на ИС классов MissionCritical и BusinesCritical в режиме рабочих встреч с подразделениями ИТ, с составлением протоколов, содержащих первоочередные меры митигации</v>
      </c>
      <c r="P95" s="155" t="s">
        <v>97</v>
      </c>
      <c r="Q95" s="156" t="s">
        <v>204</v>
      </c>
      <c r="R95" s="153"/>
      <c r="S95" s="157"/>
      <c r="T95" s="151" t="s">
        <v>99</v>
      </c>
      <c r="U95" s="158">
        <v>0</v>
      </c>
      <c r="V95" s="158">
        <v>0</v>
      </c>
      <c r="W95" s="158">
        <v>0</v>
      </c>
      <c r="X95" s="158">
        <f t="shared" si="10"/>
        <v>0</v>
      </c>
      <c r="Y95" s="159"/>
      <c r="Z95" s="160"/>
      <c r="AA95" s="160"/>
      <c r="AB95" s="160"/>
      <c r="AC95" s="160"/>
      <c r="AD95" s="160"/>
      <c r="AE95" s="160"/>
    </row>
    <row r="96" spans="1:31" ht="93.6" hidden="1">
      <c r="A96" s="151" t="s">
        <v>57</v>
      </c>
      <c r="B96" s="152" t="s">
        <v>213</v>
      </c>
      <c r="C96" s="153" t="str">
        <f>Реагирование!B47</f>
        <v>Определен порядок взаимодействия с регуляторами по инцидентам ИБ</v>
      </c>
      <c r="D96" s="153" t="str">
        <f>Реагирование!C47</f>
        <v>РЕАГ.КМНК.4</v>
      </c>
      <c r="E96" s="153">
        <f>Реагирование!D47</f>
        <v>5</v>
      </c>
      <c r="F96" s="153">
        <f>Реагирование!E47</f>
        <v>3.2</v>
      </c>
      <c r="G96" s="153">
        <f>Реагирование!F47</f>
        <v>1.6</v>
      </c>
      <c r="H96" s="153">
        <f>Реагирование!S47</f>
        <v>37.039999999999992</v>
      </c>
      <c r="I96" s="154" t="str">
        <f t="shared" si="14"/>
        <v>КБ1</v>
      </c>
      <c r="J96" s="154">
        <f>Реагирование!K47</f>
        <v>5</v>
      </c>
      <c r="K96" s="153">
        <f>Реагирование!I47</f>
        <v>0</v>
      </c>
      <c r="L96" s="153">
        <f>Реагирование!L47</f>
        <v>0</v>
      </c>
      <c r="M96" s="153">
        <f t="shared" si="13"/>
        <v>0</v>
      </c>
      <c r="N96" s="153">
        <f t="shared" si="15"/>
        <v>5</v>
      </c>
      <c r="O96" s="153" t="str">
        <f>Реагирование!T47</f>
        <v xml:space="preserve"> - Взаимодействовать с регуляторами по инциденту ИБ в установленных законом случаях</v>
      </c>
      <c r="P96" s="155" t="s">
        <v>97</v>
      </c>
      <c r="Q96" s="156" t="s">
        <v>214</v>
      </c>
      <c r="R96" s="153"/>
      <c r="S96" s="157"/>
      <c r="T96" s="151" t="s">
        <v>99</v>
      </c>
      <c r="U96" s="158">
        <v>0</v>
      </c>
      <c r="V96" s="158">
        <v>0</v>
      </c>
      <c r="W96" s="158">
        <v>0</v>
      </c>
      <c r="X96" s="158">
        <f t="shared" si="10"/>
        <v>0</v>
      </c>
      <c r="Y96" s="159"/>
      <c r="Z96" s="160"/>
      <c r="AA96" s="160"/>
      <c r="AB96" s="160"/>
      <c r="AC96" s="160"/>
      <c r="AD96" s="160"/>
      <c r="AE96" s="160"/>
    </row>
    <row r="97" spans="1:31" ht="70.2" hidden="1">
      <c r="A97" s="151" t="s">
        <v>57</v>
      </c>
      <c r="B97" s="152" t="s">
        <v>213</v>
      </c>
      <c r="C97" s="153" t="str">
        <f>Реагирование!B48</f>
        <v>Для значимых инцидентов подготовлены планы коммуникаций</v>
      </c>
      <c r="D97" s="153" t="str">
        <f>Реагирование!C48</f>
        <v>РЕАГ.КМНК.5</v>
      </c>
      <c r="E97" s="153">
        <f>Реагирование!D48</f>
        <v>5</v>
      </c>
      <c r="F97" s="153">
        <f>Реагирование!E48</f>
        <v>3.2</v>
      </c>
      <c r="G97" s="153">
        <f>Реагирование!F48</f>
        <v>1.6</v>
      </c>
      <c r="H97" s="153">
        <f>Реагирование!S48</f>
        <v>37.04999999999999</v>
      </c>
      <c r="I97" s="154" t="str">
        <f t="shared" si="14"/>
        <v>КБ1</v>
      </c>
      <c r="J97" s="154">
        <f>Реагирование!K48</f>
        <v>5</v>
      </c>
      <c r="K97" s="153">
        <f>Реагирование!I48</f>
        <v>0</v>
      </c>
      <c r="L97" s="153">
        <f>Реагирование!L48</f>
        <v>0</v>
      </c>
      <c r="M97" s="153">
        <f t="shared" si="13"/>
        <v>0</v>
      </c>
      <c r="N97" s="153">
        <f t="shared" si="15"/>
        <v>5</v>
      </c>
      <c r="O97" s="153" t="str">
        <f>Реагирование!T48</f>
        <v xml:space="preserve"> - Составить план коммуникаций при значимых инцидентах, довести его до всех участников</v>
      </c>
      <c r="P97" s="155" t="s">
        <v>97</v>
      </c>
      <c r="Q97" s="156" t="s">
        <v>215</v>
      </c>
      <c r="R97" s="153"/>
      <c r="S97" s="157"/>
      <c r="T97" s="151" t="s">
        <v>99</v>
      </c>
      <c r="U97" s="158">
        <v>0</v>
      </c>
      <c r="V97" s="158">
        <v>0</v>
      </c>
      <c r="W97" s="158">
        <v>0</v>
      </c>
      <c r="X97" s="158">
        <f t="shared" si="10"/>
        <v>0</v>
      </c>
      <c r="Y97" s="159"/>
      <c r="Z97" s="160"/>
      <c r="AA97" s="160"/>
      <c r="AB97" s="160"/>
      <c r="AC97" s="160"/>
      <c r="AD97" s="160"/>
      <c r="AE97" s="160"/>
    </row>
    <row r="98" spans="1:31" ht="304.2" hidden="1">
      <c r="A98" s="151" t="s">
        <v>57</v>
      </c>
      <c r="B98" s="152" t="s">
        <v>121</v>
      </c>
      <c r="C98" s="153" t="str">
        <f>Реагирование!B39</f>
        <v>Процесс реагирования на инциденты ИБ</v>
      </c>
      <c r="D98" s="153" t="str">
        <f>Реагирование!C39</f>
        <v>РЕАГ.ПЛР.1</v>
      </c>
      <c r="E98" s="153">
        <f>Реагирование!D39</f>
        <v>4</v>
      </c>
      <c r="F98" s="153">
        <f>Реагирование!E39</f>
        <v>3</v>
      </c>
      <c r="G98" s="153">
        <f>Реагирование!F39</f>
        <v>1</v>
      </c>
      <c r="H98" s="153">
        <f>Реагирование!S39</f>
        <v>7.01</v>
      </c>
      <c r="I98" s="154" t="str">
        <f t="shared" si="14"/>
        <v>КБ1</v>
      </c>
      <c r="J98" s="154">
        <f>Реагирование!K39</f>
        <v>4</v>
      </c>
      <c r="K98" s="153">
        <f>Реагирование!I39</f>
        <v>0</v>
      </c>
      <c r="L98" s="153">
        <f>Реагирование!L39</f>
        <v>0</v>
      </c>
      <c r="M98" s="153">
        <f t="shared" si="13"/>
        <v>0</v>
      </c>
      <c r="N98" s="153">
        <f t="shared" si="15"/>
        <v>4</v>
      </c>
      <c r="O98" s="153" t="str">
        <f>Реагирование!T39</f>
        <v xml:space="preserve"> - Определить ответственных за решение инцидентов ИБ, включая ответственного за коммуникации внутри и со сторонними компаниями;
  -  Составить и актуализировать список заинтересованных лиц, которые должны получить уведомление об инциденте;
  -  Для критичных инцидентов определить SLA и порядок действий по реагированию;
 </v>
      </c>
      <c r="P98" s="155" t="s">
        <v>97</v>
      </c>
      <c r="Q98" s="156" t="s">
        <v>122</v>
      </c>
      <c r="R98" s="153"/>
      <c r="S98" s="157"/>
      <c r="T98" s="151" t="s">
        <v>99</v>
      </c>
      <c r="U98" s="158">
        <v>0</v>
      </c>
      <c r="V98" s="158">
        <v>0</v>
      </c>
      <c r="W98" s="158">
        <v>0</v>
      </c>
      <c r="X98" s="158">
        <f t="shared" si="10"/>
        <v>0</v>
      </c>
      <c r="Y98" s="159"/>
      <c r="Z98" s="160"/>
      <c r="AA98" s="160"/>
      <c r="AB98" s="160"/>
      <c r="AC98" s="160"/>
      <c r="AD98" s="160"/>
      <c r="AE98" s="160"/>
    </row>
    <row r="99" spans="1:31" ht="70.2" hidden="1">
      <c r="A99" s="151" t="s">
        <v>57</v>
      </c>
      <c r="B99" s="152" t="s">
        <v>121</v>
      </c>
      <c r="C99" s="153" t="str">
        <f>Реагирование!B40</f>
        <v>Процесс категорирования инцидентов ИБ</v>
      </c>
      <c r="D99" s="153" t="str">
        <f>Реагирование!C40</f>
        <v>РЕАГ.ПЛР.2</v>
      </c>
      <c r="E99" s="153">
        <f>Реагирование!D40</f>
        <v>4</v>
      </c>
      <c r="F99" s="153">
        <f>Реагирование!E40</f>
        <v>3</v>
      </c>
      <c r="G99" s="153">
        <f>Реагирование!F40</f>
        <v>1</v>
      </c>
      <c r="H99" s="153">
        <f>Реагирование!S40</f>
        <v>7.02</v>
      </c>
      <c r="I99" s="154" t="str">
        <f t="shared" si="14"/>
        <v>КБ1</v>
      </c>
      <c r="J99" s="154">
        <f>Реагирование!K40</f>
        <v>4</v>
      </c>
      <c r="K99" s="153">
        <f>Реагирование!I40</f>
        <v>0</v>
      </c>
      <c r="L99" s="153">
        <f>Реагирование!L40</f>
        <v>0</v>
      </c>
      <c r="M99" s="153">
        <f t="shared" si="13"/>
        <v>0</v>
      </c>
      <c r="N99" s="153">
        <f t="shared" si="15"/>
        <v>4</v>
      </c>
      <c r="O99" s="153" t="str">
        <f>Реагирование!T40</f>
        <v xml:space="preserve"> - В Обществе неформально определить категории инцидентов ИБ</v>
      </c>
      <c r="P99" s="155" t="s">
        <v>97</v>
      </c>
      <c r="Q99" s="156" t="s">
        <v>122</v>
      </c>
      <c r="R99" s="153"/>
      <c r="S99" s="157"/>
      <c r="T99" s="151" t="s">
        <v>99</v>
      </c>
      <c r="U99" s="158">
        <v>0</v>
      </c>
      <c r="V99" s="158">
        <v>0</v>
      </c>
      <c r="W99" s="158">
        <v>0</v>
      </c>
      <c r="X99" s="158">
        <f t="shared" si="10"/>
        <v>0</v>
      </c>
      <c r="Y99" s="159"/>
      <c r="Z99" s="160"/>
      <c r="AA99" s="160"/>
      <c r="AB99" s="160"/>
      <c r="AC99" s="160"/>
      <c r="AD99" s="160"/>
      <c r="AE99" s="160"/>
    </row>
    <row r="100" spans="1:31" ht="187.2">
      <c r="A100" s="151" t="s">
        <v>44</v>
      </c>
      <c r="B100" s="152" t="s">
        <v>96</v>
      </c>
      <c r="C100" s="153" t="str">
        <f>СЗИ!B55</f>
        <v>Процент покрытия необходимой инфраструктуры средствами 2FA (все необходимые системы используют второй фактор согласно Тех. проекта)</v>
      </c>
      <c r="D100" s="153" t="str">
        <f>СЗИ!C55</f>
        <v>СЗИ.2FA.1</v>
      </c>
      <c r="E100" s="153">
        <f>СЗИ!D55</f>
        <v>5</v>
      </c>
      <c r="F100" s="153">
        <f>СЗИ!E55</f>
        <v>5</v>
      </c>
      <c r="G100" s="153">
        <f>СЗИ!F55</f>
        <v>5</v>
      </c>
      <c r="H100" s="153">
        <f>СЗИ!S55</f>
        <v>2.0099999999999998</v>
      </c>
      <c r="I100" s="154" t="str">
        <f t="shared" si="14"/>
        <v>КБ1</v>
      </c>
      <c r="J100" s="154">
        <f>СЗИ!K55</f>
        <v>5</v>
      </c>
      <c r="K100" s="153">
        <f>СЗИ!I55</f>
        <v>0</v>
      </c>
      <c r="L100" s="153">
        <f>СЗИ!L55</f>
        <v>0</v>
      </c>
      <c r="M100" s="153">
        <f t="shared" si="13"/>
        <v>0</v>
      </c>
      <c r="N100" s="153">
        <f t="shared" si="15"/>
        <v>5</v>
      </c>
      <c r="O100" s="153" t="str">
        <f>СЗИ!T55</f>
        <v xml:space="preserve"> - Выбрать и протестировать OTP решения; 
  - Выполнить проектирование; 
  - Провести закупку и внедрение.
- Автоматизировать процесс выдачи и отзыва средств OTP</v>
      </c>
      <c r="P100" s="155" t="s">
        <v>97</v>
      </c>
      <c r="Q100" s="156" t="s">
        <v>98</v>
      </c>
      <c r="R100" s="153"/>
      <c r="S100" s="157"/>
      <c r="T100" s="151" t="s">
        <v>99</v>
      </c>
      <c r="U100" s="158">
        <v>0</v>
      </c>
      <c r="V100" s="158">
        <v>0</v>
      </c>
      <c r="W100" s="158">
        <v>0</v>
      </c>
      <c r="X100" s="158">
        <f t="shared" si="10"/>
        <v>0</v>
      </c>
      <c r="Y100" s="159"/>
      <c r="Z100" s="160"/>
      <c r="AA100" s="160"/>
      <c r="AB100" s="160"/>
      <c r="AC100" s="160"/>
      <c r="AD100" s="160"/>
      <c r="AE100" s="160"/>
    </row>
    <row r="101" spans="1:31" ht="140.4">
      <c r="A101" s="151" t="s">
        <v>44</v>
      </c>
      <c r="B101" s="152" t="s">
        <v>96</v>
      </c>
      <c r="C101" s="153" t="str">
        <f>СЗИ!B56</f>
        <v>Двухфакторная аутентификация используется для удаленного доступа  работников к ресурсам Общества</v>
      </c>
      <c r="D101" s="153" t="str">
        <f>СЗИ!C56</f>
        <v>СЗИ.2FA.2</v>
      </c>
      <c r="E101" s="153">
        <f>СЗИ!D56</f>
        <v>5</v>
      </c>
      <c r="F101" s="153">
        <f>СЗИ!E56</f>
        <v>5</v>
      </c>
      <c r="G101" s="153">
        <f>СЗИ!F56</f>
        <v>5</v>
      </c>
      <c r="H101" s="153">
        <f>СЗИ!S56</f>
        <v>2.0199999999999996</v>
      </c>
      <c r="I101" s="154" t="str">
        <f t="shared" si="14"/>
        <v>КБ1</v>
      </c>
      <c r="J101" s="154">
        <f>СЗИ!K56</f>
        <v>5</v>
      </c>
      <c r="K101" s="153">
        <f>СЗИ!I56</f>
        <v>0</v>
      </c>
      <c r="L101" s="153">
        <f>СЗИ!L56</f>
        <v>0</v>
      </c>
      <c r="M101" s="153">
        <f t="shared" si="13"/>
        <v>0</v>
      </c>
      <c r="N101" s="153">
        <f t="shared" si="15"/>
        <v>5</v>
      </c>
      <c r="O101" s="153" t="str">
        <f>СЗИ!T56</f>
        <v xml:space="preserve"> - Внедрить OTP для системы удаленного доступа</v>
      </c>
      <c r="P101" s="155" t="s">
        <v>97</v>
      </c>
      <c r="Q101" s="156" t="s">
        <v>100</v>
      </c>
      <c r="R101" s="153"/>
      <c r="S101" s="157"/>
      <c r="T101" s="151" t="s">
        <v>99</v>
      </c>
      <c r="U101" s="158">
        <v>0</v>
      </c>
      <c r="V101" s="158">
        <v>0</v>
      </c>
      <c r="W101" s="158">
        <v>0</v>
      </c>
      <c r="X101" s="158">
        <f t="shared" si="10"/>
        <v>0</v>
      </c>
      <c r="Y101" s="159"/>
      <c r="Z101" s="160"/>
      <c r="AA101" s="160"/>
      <c r="AB101" s="160"/>
      <c r="AC101" s="160"/>
      <c r="AD101" s="160"/>
      <c r="AE101" s="160"/>
    </row>
    <row r="102" spans="1:31" ht="140.4">
      <c r="A102" s="151" t="s">
        <v>44</v>
      </c>
      <c r="B102" s="152" t="s">
        <v>96</v>
      </c>
      <c r="C102" s="153" t="str">
        <f>СЗИ!B57</f>
        <v>Двухфакторная аутентификация используется для удаленного доступа подрядчиков к ресурсам Общества</v>
      </c>
      <c r="D102" s="153" t="str">
        <f>СЗИ!C57</f>
        <v>СЗИ.2FA.3</v>
      </c>
      <c r="E102" s="153">
        <f>СЗИ!D57</f>
        <v>5</v>
      </c>
      <c r="F102" s="153">
        <f>СЗИ!E57</f>
        <v>5</v>
      </c>
      <c r="G102" s="153">
        <f>СЗИ!F57</f>
        <v>5</v>
      </c>
      <c r="H102" s="153">
        <f>СЗИ!S57</f>
        <v>2.0299999999999994</v>
      </c>
      <c r="I102" s="154" t="str">
        <f t="shared" si="14"/>
        <v>КБ1</v>
      </c>
      <c r="J102" s="154">
        <f>СЗИ!K57</f>
        <v>5</v>
      </c>
      <c r="K102" s="153">
        <f>СЗИ!I57</f>
        <v>0</v>
      </c>
      <c r="L102" s="153">
        <f>СЗИ!L57</f>
        <v>0</v>
      </c>
      <c r="M102" s="153">
        <f t="shared" si="13"/>
        <v>0</v>
      </c>
      <c r="N102" s="153">
        <f t="shared" si="15"/>
        <v>5</v>
      </c>
      <c r="O102" s="153" t="str">
        <f>СЗИ!T57</f>
        <v xml:space="preserve">  - Внедрить OTP для всех подрядчиков, имеющих доступ в инфраструктуру Общества.</v>
      </c>
      <c r="P102" s="155" t="s">
        <v>97</v>
      </c>
      <c r="Q102" s="156" t="s">
        <v>100</v>
      </c>
      <c r="R102" s="153"/>
      <c r="S102" s="157"/>
      <c r="T102" s="151" t="s">
        <v>99</v>
      </c>
      <c r="U102" s="158">
        <v>0</v>
      </c>
      <c r="V102" s="158">
        <v>0</v>
      </c>
      <c r="W102" s="158">
        <v>0</v>
      </c>
      <c r="X102" s="158">
        <f t="shared" si="10"/>
        <v>0</v>
      </c>
      <c r="Y102" s="159"/>
      <c r="Z102" s="160"/>
      <c r="AA102" s="160"/>
      <c r="AB102" s="160"/>
      <c r="AC102" s="160"/>
      <c r="AD102" s="160"/>
      <c r="AE102" s="160"/>
    </row>
    <row r="103" spans="1:31" ht="140.4">
      <c r="A103" s="151" t="s">
        <v>44</v>
      </c>
      <c r="B103" s="152" t="s">
        <v>96</v>
      </c>
      <c r="C103" s="153" t="str">
        <f>СЗИ!B58</f>
        <v>Двухфакторная аутентификация используется для привелигированных УЗ</v>
      </c>
      <c r="D103" s="153" t="str">
        <f>СЗИ!C58</f>
        <v>СЗИ.2FA.4</v>
      </c>
      <c r="E103" s="153">
        <f>СЗИ!D58</f>
        <v>5</v>
      </c>
      <c r="F103" s="153">
        <f>СЗИ!E58</f>
        <v>5</v>
      </c>
      <c r="G103" s="153">
        <f>СЗИ!F58</f>
        <v>5</v>
      </c>
      <c r="H103" s="153">
        <f>СЗИ!S58</f>
        <v>2.0399999999999991</v>
      </c>
      <c r="I103" s="154" t="str">
        <f t="shared" si="14"/>
        <v>КБ1</v>
      </c>
      <c r="J103" s="154">
        <f>СЗИ!K58</f>
        <v>5</v>
      </c>
      <c r="K103" s="153">
        <f>СЗИ!I58</f>
        <v>0</v>
      </c>
      <c r="L103" s="153">
        <f>СЗИ!L58</f>
        <v>0</v>
      </c>
      <c r="M103" s="153">
        <f t="shared" si="13"/>
        <v>0</v>
      </c>
      <c r="N103" s="153">
        <f t="shared" si="15"/>
        <v>5</v>
      </c>
      <c r="O103" s="153" t="str">
        <f>СЗИ!T58</f>
        <v xml:space="preserve"> - Внедрить OTP для административного доступа к серверам ИС
 - Внедрить OTP для административного доступа к сетевому оборудованию.</v>
      </c>
      <c r="P103" s="155" t="s">
        <v>97</v>
      </c>
      <c r="Q103" s="156" t="s">
        <v>100</v>
      </c>
      <c r="R103" s="153"/>
      <c r="S103" s="157"/>
      <c r="T103" s="151" t="s">
        <v>99</v>
      </c>
      <c r="U103" s="158">
        <v>0</v>
      </c>
      <c r="V103" s="158">
        <v>0</v>
      </c>
      <c r="W103" s="158">
        <v>0</v>
      </c>
      <c r="X103" s="158">
        <f t="shared" si="10"/>
        <v>0</v>
      </c>
      <c r="Y103" s="159"/>
      <c r="Z103" s="160"/>
      <c r="AA103" s="160"/>
      <c r="AB103" s="160"/>
      <c r="AC103" s="160"/>
      <c r="AD103" s="160"/>
      <c r="AE103" s="160"/>
    </row>
    <row r="104" spans="1:31" ht="117">
      <c r="A104" s="151" t="s">
        <v>44</v>
      </c>
      <c r="B104" s="152" t="s">
        <v>101</v>
      </c>
      <c r="C104" s="153" t="str">
        <f>СЗИ!B60</f>
        <v>Процент покрытия активов на внешнем периметре лицензиями/договорами</v>
      </c>
      <c r="D104" s="153" t="str">
        <f>СЗИ!C60</f>
        <v>СЗИ.CPT.1</v>
      </c>
      <c r="E104" s="153">
        <f>СЗИ!D60</f>
        <v>5</v>
      </c>
      <c r="F104" s="153">
        <f>СЗИ!E60</f>
        <v>5</v>
      </c>
      <c r="G104" s="153">
        <f>СЗИ!F60</f>
        <v>5</v>
      </c>
      <c r="H104" s="153">
        <f>СЗИ!S60</f>
        <v>3.01</v>
      </c>
      <c r="I104" s="154" t="str">
        <f t="shared" si="14"/>
        <v>КБ1</v>
      </c>
      <c r="J104" s="154">
        <f>СЗИ!K60</f>
        <v>5</v>
      </c>
      <c r="K104" s="153">
        <f>СЗИ!I60</f>
        <v>0</v>
      </c>
      <c r="L104" s="153">
        <f>СЗИ!L60</f>
        <v>0</v>
      </c>
      <c r="M104" s="153">
        <f t="shared" si="13"/>
        <v>0</v>
      </c>
      <c r="N104" s="153">
        <f t="shared" si="15"/>
        <v>5</v>
      </c>
      <c r="O104" s="153" t="str">
        <f>СЗИ!T60</f>
        <v xml:space="preserve"> - Приобрести средства CPT в достаточном объеме для контроля всех активов, опубликованных на периметре</v>
      </c>
      <c r="P104" s="155" t="s">
        <v>97</v>
      </c>
      <c r="Q104" s="156" t="s">
        <v>102</v>
      </c>
      <c r="R104" s="153"/>
      <c r="S104" s="157"/>
      <c r="T104" s="151" t="s">
        <v>99</v>
      </c>
      <c r="U104" s="158">
        <v>0</v>
      </c>
      <c r="V104" s="158">
        <v>0</v>
      </c>
      <c r="W104" s="158">
        <v>0</v>
      </c>
      <c r="X104" s="158">
        <f t="shared" si="10"/>
        <v>0</v>
      </c>
      <c r="Y104" s="159"/>
      <c r="Z104" s="160"/>
      <c r="AA104" s="160"/>
      <c r="AB104" s="160"/>
      <c r="AC104" s="160"/>
      <c r="AD104" s="160"/>
      <c r="AE104" s="160"/>
    </row>
    <row r="105" spans="1:31" ht="140.4">
      <c r="A105" s="151" t="s">
        <v>44</v>
      </c>
      <c r="B105" s="152" t="s">
        <v>101</v>
      </c>
      <c r="C105" s="153" t="str">
        <f>СЗИ!B61</f>
        <v>Процент охваченных регулярным сканированием активов от числа покрытых лицензиями (процент утилизации закупленных лицензий)</v>
      </c>
      <c r="D105" s="153" t="str">
        <f>СЗИ!C61</f>
        <v>СЗИ.CPT.2</v>
      </c>
      <c r="E105" s="153">
        <f>СЗИ!D61</f>
        <v>5</v>
      </c>
      <c r="F105" s="153">
        <f>СЗИ!E61</f>
        <v>5</v>
      </c>
      <c r="G105" s="153">
        <f>СЗИ!F61</f>
        <v>5</v>
      </c>
      <c r="H105" s="153">
        <f>СЗИ!S61</f>
        <v>3.0199999999999996</v>
      </c>
      <c r="I105" s="154" t="str">
        <f t="shared" si="14"/>
        <v>КБ1</v>
      </c>
      <c r="J105" s="154">
        <f>СЗИ!K61</f>
        <v>5</v>
      </c>
      <c r="K105" s="153">
        <f>СЗИ!I61</f>
        <v>0</v>
      </c>
      <c r="L105" s="153">
        <f>СЗИ!L61</f>
        <v>0</v>
      </c>
      <c r="M105" s="153">
        <f t="shared" si="13"/>
        <v>0</v>
      </c>
      <c r="N105" s="153">
        <f t="shared" si="15"/>
        <v>5</v>
      </c>
      <c r="O105" s="153" t="str">
        <f>СЗИ!T61</f>
        <v xml:space="preserve"> - Поставить периметр на контроль CPT</v>
      </c>
      <c r="P105" s="155" t="s">
        <v>97</v>
      </c>
      <c r="Q105" s="156" t="s">
        <v>103</v>
      </c>
      <c r="R105" s="153"/>
      <c r="S105" s="157"/>
      <c r="T105" s="151" t="s">
        <v>99</v>
      </c>
      <c r="U105" s="158">
        <v>0</v>
      </c>
      <c r="V105" s="158">
        <v>0</v>
      </c>
      <c r="W105" s="158">
        <v>0</v>
      </c>
      <c r="X105" s="158">
        <f t="shared" si="10"/>
        <v>0</v>
      </c>
      <c r="Y105" s="159"/>
      <c r="Z105" s="160"/>
      <c r="AA105" s="160"/>
      <c r="AB105" s="160"/>
      <c r="AC105" s="160"/>
      <c r="AD105" s="160"/>
      <c r="AE105" s="160"/>
    </row>
    <row r="106" spans="1:31" ht="70.2">
      <c r="A106" s="151" t="s">
        <v>44</v>
      </c>
      <c r="B106" s="152" t="s">
        <v>101</v>
      </c>
      <c r="C106" s="153" t="str">
        <f>СЗИ!B62</f>
        <v>Внедрен процесс управления уязвимостями на периметре (CPT)</v>
      </c>
      <c r="D106" s="153" t="str">
        <f>СЗИ!C62</f>
        <v>СЗИ.CPT.3</v>
      </c>
      <c r="E106" s="153">
        <f>СЗИ!D62</f>
        <v>4</v>
      </c>
      <c r="F106" s="153">
        <f>СЗИ!E62</f>
        <v>3</v>
      </c>
      <c r="G106" s="153">
        <f>СЗИ!F62</f>
        <v>1</v>
      </c>
      <c r="H106" s="153">
        <f>СЗИ!S62</f>
        <v>3.0299999999999994</v>
      </c>
      <c r="I106" s="154" t="str">
        <f t="shared" si="14"/>
        <v>КБ1</v>
      </c>
      <c r="J106" s="154">
        <f>СЗИ!K62</f>
        <v>4</v>
      </c>
      <c r="K106" s="153">
        <f>СЗИ!I62</f>
        <v>0</v>
      </c>
      <c r="L106" s="153">
        <f>СЗИ!L62</f>
        <v>0</v>
      </c>
      <c r="M106" s="153">
        <f t="shared" si="13"/>
        <v>0</v>
      </c>
      <c r="N106" s="153">
        <f t="shared" si="15"/>
        <v>4</v>
      </c>
      <c r="O106" s="153" t="str">
        <f>СЗИ!T62</f>
        <v xml:space="preserve"> - Уязвимости High и Critical устраняются</v>
      </c>
      <c r="P106" s="155" t="s">
        <v>97</v>
      </c>
      <c r="Q106" s="156" t="s">
        <v>104</v>
      </c>
      <c r="R106" s="153"/>
      <c r="S106" s="157"/>
      <c r="T106" s="151" t="s">
        <v>99</v>
      </c>
      <c r="U106" s="158">
        <v>0</v>
      </c>
      <c r="V106" s="158">
        <v>0</v>
      </c>
      <c r="W106" s="158">
        <v>0</v>
      </c>
      <c r="X106" s="158">
        <f t="shared" si="10"/>
        <v>0</v>
      </c>
      <c r="Y106" s="159"/>
      <c r="Z106" s="160"/>
      <c r="AA106" s="160"/>
      <c r="AB106" s="160"/>
      <c r="AC106" s="160"/>
      <c r="AD106" s="160"/>
      <c r="AE106" s="160"/>
    </row>
    <row r="107" spans="1:31" ht="117">
      <c r="A107" s="151" t="s">
        <v>44</v>
      </c>
      <c r="B107" s="152" t="s">
        <v>113</v>
      </c>
      <c r="C107" s="153" t="str">
        <f>СЗИ!B64</f>
        <v>Наличие средств RA VPN</v>
      </c>
      <c r="D107" s="153" t="str">
        <f>СЗИ!C64</f>
        <v>СЗИ.RA-VPN.1</v>
      </c>
      <c r="E107" s="153">
        <f>СЗИ!D64</f>
        <v>5</v>
      </c>
      <c r="F107" s="153">
        <f>СЗИ!E64</f>
        <v>5</v>
      </c>
      <c r="G107" s="153">
        <f>СЗИ!F64</f>
        <v>5</v>
      </c>
      <c r="H107" s="153">
        <f>СЗИ!S64</f>
        <v>4.01</v>
      </c>
      <c r="I107" s="154" t="str">
        <f t="shared" si="14"/>
        <v>КБ1</v>
      </c>
      <c r="J107" s="154">
        <f>СЗИ!K64</f>
        <v>5</v>
      </c>
      <c r="K107" s="153">
        <f>СЗИ!I64</f>
        <v>0</v>
      </c>
      <c r="L107" s="153">
        <f>СЗИ!L64</f>
        <v>0</v>
      </c>
      <c r="M107" s="153">
        <f t="shared" si="13"/>
        <v>0</v>
      </c>
      <c r="N107" s="153">
        <f t="shared" si="15"/>
        <v>5</v>
      </c>
      <c r="O107" s="153" t="str">
        <f>СЗИ!T64</f>
        <v xml:space="preserve"> - Выбрать и протестировать решения RA VPN;
 - Выполнить проектирование;
 - Провести закупку и внедрение.</v>
      </c>
      <c r="P107" s="155" t="s">
        <v>97</v>
      </c>
      <c r="Q107" s="156" t="s">
        <v>114</v>
      </c>
      <c r="R107" s="153"/>
      <c r="S107" s="157"/>
      <c r="T107" s="151" t="s">
        <v>99</v>
      </c>
      <c r="U107" s="158">
        <v>0</v>
      </c>
      <c r="V107" s="158">
        <v>0</v>
      </c>
      <c r="W107" s="158">
        <v>0</v>
      </c>
      <c r="X107" s="158">
        <f t="shared" si="10"/>
        <v>0</v>
      </c>
      <c r="Y107" s="159"/>
      <c r="Z107" s="160"/>
      <c r="AA107" s="160"/>
      <c r="AB107" s="160"/>
      <c r="AC107" s="160"/>
      <c r="AD107" s="160"/>
      <c r="AE107" s="160"/>
    </row>
    <row r="108" spans="1:31" ht="409.6">
      <c r="A108" s="151" t="s">
        <v>44</v>
      </c>
      <c r="B108" s="152" t="s">
        <v>113</v>
      </c>
      <c r="C108" s="153" t="str">
        <f>СЗИ!B65</f>
        <v>Покрытие инфраструктуры средствами защищенного удаленного доступа</v>
      </c>
      <c r="D108" s="153" t="str">
        <f>СЗИ!C65</f>
        <v>СЗИ.RA-VPN.2</v>
      </c>
      <c r="E108" s="153">
        <f>СЗИ!D65</f>
        <v>5</v>
      </c>
      <c r="F108" s="153">
        <f>СЗИ!E65</f>
        <v>5</v>
      </c>
      <c r="G108" s="153">
        <f>СЗИ!F65</f>
        <v>5</v>
      </c>
      <c r="H108" s="153">
        <f>СЗИ!S65</f>
        <v>4.0199999999999996</v>
      </c>
      <c r="I108" s="154" t="str">
        <f t="shared" si="14"/>
        <v>КБ1</v>
      </c>
      <c r="J108" s="154">
        <f>СЗИ!K65</f>
        <v>5</v>
      </c>
      <c r="K108" s="153">
        <f>СЗИ!I65</f>
        <v>0</v>
      </c>
      <c r="L108" s="153">
        <f>СЗИ!L65</f>
        <v>0</v>
      </c>
      <c r="M108" s="153">
        <f t="shared" si="13"/>
        <v>0</v>
      </c>
      <c r="N108" s="153">
        <f t="shared" si="15"/>
        <v>5</v>
      </c>
      <c r="O108" s="153" t="str">
        <f>СЗИ!T65</f>
        <v xml:space="preserve"> - Обеспечить возможность удаленного подключения к инфраструктуре Общества только с использованием RA VPN;
 - VPN должны требовать двухфакторной аутентификации 
- Контролировать и осуществлять мониторинг удаленных подключений;
 - Определить разрешения для удаленных подключений;
 - Определить требования по обеспечению  безопасности удаленных рабочих мест и обеспечить их выполнение;
 - Обеспечить обновление ПО и антивируса на удаленных устройствах.</v>
      </c>
      <c r="P108" s="155" t="s">
        <v>97</v>
      </c>
      <c r="Q108" s="156" t="s">
        <v>115</v>
      </c>
      <c r="R108" s="153"/>
      <c r="S108" s="157"/>
      <c r="T108" s="151" t="s">
        <v>99</v>
      </c>
      <c r="U108" s="158">
        <v>0</v>
      </c>
      <c r="V108" s="158">
        <v>0</v>
      </c>
      <c r="W108" s="158">
        <v>0</v>
      </c>
      <c r="X108" s="158">
        <f t="shared" si="10"/>
        <v>0</v>
      </c>
      <c r="Y108" s="159"/>
      <c r="Z108" s="160"/>
      <c r="AA108" s="160"/>
      <c r="AB108" s="160"/>
      <c r="AC108" s="160"/>
      <c r="AD108" s="160"/>
      <c r="AE108" s="160"/>
    </row>
    <row r="109" spans="1:31" s="171" customFormat="1" ht="117">
      <c r="A109" s="151" t="s">
        <v>44</v>
      </c>
      <c r="B109" s="152" t="s">
        <v>113</v>
      </c>
      <c r="C109" s="153" t="str">
        <f>СЗИ!B66</f>
        <v>Осуществляется централизованное управление удаленным доступом</v>
      </c>
      <c r="D109" s="153" t="str">
        <f>СЗИ!C66</f>
        <v>СЗИ.RA-VPN.3</v>
      </c>
      <c r="E109" s="153">
        <f>СЗИ!D66</f>
        <v>5</v>
      </c>
      <c r="F109" s="153">
        <f>СЗИ!E66</f>
        <v>5</v>
      </c>
      <c r="G109" s="153">
        <f>СЗИ!F66</f>
        <v>3.2</v>
      </c>
      <c r="H109" s="153">
        <f>СЗИ!S66</f>
        <v>4.0299999999999994</v>
      </c>
      <c r="I109" s="154" t="str">
        <f t="shared" si="14"/>
        <v>КБ1</v>
      </c>
      <c r="J109" s="154">
        <f>СЗИ!K66</f>
        <v>5</v>
      </c>
      <c r="K109" s="153">
        <f>СЗИ!I66</f>
        <v>0</v>
      </c>
      <c r="L109" s="153">
        <f>СЗИ!L66</f>
        <v>0</v>
      </c>
      <c r="M109" s="153">
        <f t="shared" si="13"/>
        <v>0</v>
      </c>
      <c r="N109" s="153">
        <f t="shared" si="15"/>
        <v>5</v>
      </c>
      <c r="O109" s="153" t="str">
        <f>СЗИ!T66</f>
        <v xml:space="preserve"> - Создать систему централизованного управления средствами VPN и обеспечить подключение к ней всех средств VPN</v>
      </c>
      <c r="P109" s="155" t="s">
        <v>97</v>
      </c>
      <c r="Q109" s="156" t="s">
        <v>116</v>
      </c>
      <c r="R109" s="153"/>
      <c r="S109" s="157"/>
      <c r="T109" s="151" t="s">
        <v>99</v>
      </c>
      <c r="U109" s="158">
        <v>0</v>
      </c>
      <c r="V109" s="158">
        <v>0</v>
      </c>
      <c r="W109" s="158">
        <v>0</v>
      </c>
      <c r="X109" s="158">
        <f t="shared" si="10"/>
        <v>0</v>
      </c>
      <c r="Y109" s="172"/>
      <c r="Z109" s="128"/>
      <c r="AA109" s="128"/>
      <c r="AB109" s="128"/>
      <c r="AC109" s="128"/>
      <c r="AD109" s="128"/>
      <c r="AE109" s="128"/>
    </row>
    <row r="110" spans="1:31" ht="70.2">
      <c r="A110" s="151" t="s">
        <v>44</v>
      </c>
      <c r="B110" s="152" t="s">
        <v>113</v>
      </c>
      <c r="C110" s="153" t="str">
        <f>СЗИ!B67</f>
        <v>Наличие действующего сертификата ФСБ России на этапе проведения аудита</v>
      </c>
      <c r="D110" s="153" t="str">
        <f>СЗИ!C67</f>
        <v>СЗИ.RA-VPN.4</v>
      </c>
      <c r="E110" s="153">
        <f>СЗИ!D67</f>
        <v>5</v>
      </c>
      <c r="F110" s="153">
        <f>СЗИ!E67</f>
        <v>5</v>
      </c>
      <c r="G110" s="153">
        <f>СЗИ!F67</f>
        <v>5</v>
      </c>
      <c r="H110" s="161">
        <f>СЗИ!S67</f>
        <v>4.0399999999999991</v>
      </c>
      <c r="I110" s="154" t="str">
        <f t="shared" si="14"/>
        <v>КБ1</v>
      </c>
      <c r="J110" s="154">
        <f>СЗИ!K67</f>
        <v>5</v>
      </c>
      <c r="K110" s="153">
        <f>СЗИ!I67</f>
        <v>0</v>
      </c>
      <c r="L110" s="153">
        <f>СЗИ!L67</f>
        <v>0</v>
      </c>
      <c r="M110" s="153">
        <f t="shared" si="13"/>
        <v>0</v>
      </c>
      <c r="N110" s="153">
        <f t="shared" si="15"/>
        <v>5</v>
      </c>
      <c r="O110" s="153" t="str">
        <f>СЗИ!T67</f>
        <v xml:space="preserve"> - Необходимо внедрить и использовать сертифицированные VPN</v>
      </c>
      <c r="P110" s="155" t="s">
        <v>97</v>
      </c>
      <c r="Q110" s="156" t="s">
        <v>118</v>
      </c>
      <c r="R110" s="153"/>
      <c r="S110" s="157"/>
      <c r="T110" s="151" t="s">
        <v>99</v>
      </c>
      <c r="U110" s="158">
        <v>0</v>
      </c>
      <c r="V110" s="158">
        <v>0</v>
      </c>
      <c r="W110" s="158">
        <v>0</v>
      </c>
      <c r="X110" s="158">
        <f t="shared" si="10"/>
        <v>0</v>
      </c>
      <c r="Y110" s="159"/>
      <c r="Z110" s="160"/>
      <c r="AA110" s="160"/>
      <c r="AB110" s="160"/>
      <c r="AC110" s="160"/>
      <c r="AD110" s="160"/>
      <c r="AE110" s="160"/>
    </row>
    <row r="111" spans="1:31" ht="117">
      <c r="A111" s="151" t="s">
        <v>44</v>
      </c>
      <c r="B111" s="152" t="s">
        <v>234</v>
      </c>
      <c r="C111" s="153" t="str">
        <f>'Управление ИБ'!B116</f>
        <v xml:space="preserve">Процедура публикации внешних ресурсов описана и контролируется службой ИБ </v>
      </c>
      <c r="D111" s="153" t="str">
        <f>'Управление ИБ'!C116</f>
        <v>СЗИ.WAF.2</v>
      </c>
      <c r="E111" s="153">
        <f>'Управление ИБ'!D116</f>
        <v>4</v>
      </c>
      <c r="F111" s="153">
        <f>'Управление ИБ'!E116</f>
        <v>3</v>
      </c>
      <c r="G111" s="153">
        <f>'Управление ИБ'!F116</f>
        <v>1</v>
      </c>
      <c r="H111" s="153">
        <f>'Управление ИБ'!S116</f>
        <v>15.069999999999999</v>
      </c>
      <c r="I111" s="154" t="str">
        <f t="shared" ref="I111:I127" si="16">IF(H111&lt;=200,"КБ1",IF(H111&lt;=300,"КБ2","КБ3"))</f>
        <v>КБ1</v>
      </c>
      <c r="J111" s="154">
        <f>'Управление ИБ'!K116</f>
        <v>4</v>
      </c>
      <c r="K111" s="153">
        <f>СЗИ!I102</f>
        <v>0</v>
      </c>
      <c r="L111" s="153">
        <f>'Управление ИБ'!L116</f>
        <v>0</v>
      </c>
      <c r="M111" s="153">
        <f t="shared" si="13"/>
        <v>0</v>
      </c>
      <c r="N111" s="153">
        <f t="shared" ref="N111:N127" si="17">IF(H111&lt;100,IF(L111&gt;=G111,0,J111-L111),IF(H111&lt;300,IF(L111&gt;=F111,0,J111-L111),IF(L111&gt;=E111,0,J111-L111)))</f>
        <v>4</v>
      </c>
      <c r="O111" s="153" t="str">
        <f>'Управление ИБ'!T116</f>
        <v>- Разработать или Получить в Блоке ИБ ПАО Ростелеком типовое описание процесса публикации сервиса в интернете</v>
      </c>
      <c r="P111" s="155" t="s">
        <v>97</v>
      </c>
      <c r="Q111" s="156" t="s">
        <v>122</v>
      </c>
      <c r="R111" s="153"/>
      <c r="S111" s="157"/>
      <c r="T111" s="151" t="s">
        <v>99</v>
      </c>
      <c r="U111" s="158">
        <v>0</v>
      </c>
      <c r="V111" s="158">
        <v>0</v>
      </c>
      <c r="W111" s="158">
        <v>0</v>
      </c>
      <c r="X111" s="158">
        <f t="shared" si="10"/>
        <v>0</v>
      </c>
      <c r="Y111" s="159"/>
      <c r="Z111" s="160"/>
      <c r="AA111" s="160"/>
      <c r="AB111" s="160"/>
      <c r="AC111" s="160"/>
      <c r="AD111" s="160"/>
      <c r="AE111" s="160"/>
    </row>
    <row r="112" spans="1:31" ht="93.6">
      <c r="A112" s="151" t="s">
        <v>44</v>
      </c>
      <c r="B112" s="152" t="s">
        <v>236</v>
      </c>
      <c r="C112" s="153" t="str">
        <f>СЗИ!B46</f>
        <v>Процент покрытия инфраструктуры лицензиями на антивирусное ПО</v>
      </c>
      <c r="D112" s="153" t="str">
        <f>СЗИ!C46</f>
        <v>СЗИ.ВПО.1</v>
      </c>
      <c r="E112" s="153">
        <f>СЗИ!D46</f>
        <v>5</v>
      </c>
      <c r="F112" s="153">
        <f>СЗИ!E46</f>
        <v>5</v>
      </c>
      <c r="G112" s="153">
        <f>СЗИ!F46</f>
        <v>5</v>
      </c>
      <c r="H112" s="153">
        <f>СЗИ!S46</f>
        <v>1.01</v>
      </c>
      <c r="I112" s="154" t="str">
        <f t="shared" si="16"/>
        <v>КБ1</v>
      </c>
      <c r="J112" s="154">
        <f>СЗИ!K46</f>
        <v>5</v>
      </c>
      <c r="K112" s="163">
        <f>СЗИ!I46</f>
        <v>0</v>
      </c>
      <c r="L112" s="153">
        <f>СЗИ!L46</f>
        <v>0</v>
      </c>
      <c r="M112" s="153">
        <f t="shared" si="13"/>
        <v>0</v>
      </c>
      <c r="N112" s="153">
        <f t="shared" si="17"/>
        <v>5</v>
      </c>
      <c r="O112" s="153" t="str">
        <f>СЗИ!T46</f>
        <v xml:space="preserve"> - Закупить средства АВЗ в объеме, достаточном для охвата инфраструктуры Общества</v>
      </c>
      <c r="P112" s="155" t="s">
        <v>97</v>
      </c>
      <c r="Q112" s="156" t="s">
        <v>237</v>
      </c>
      <c r="R112" s="153"/>
      <c r="S112" s="157"/>
      <c r="T112" s="151" t="s">
        <v>99</v>
      </c>
      <c r="U112" s="158">
        <v>0</v>
      </c>
      <c r="V112" s="158">
        <v>0</v>
      </c>
      <c r="W112" s="158">
        <v>0</v>
      </c>
      <c r="X112" s="158">
        <f t="shared" si="10"/>
        <v>0</v>
      </c>
      <c r="Y112" s="159"/>
      <c r="Z112" s="160"/>
      <c r="AA112" s="160"/>
      <c r="AB112" s="160"/>
      <c r="AC112" s="160"/>
      <c r="AD112" s="160"/>
      <c r="AE112" s="160"/>
    </row>
    <row r="113" spans="1:31" ht="70.2">
      <c r="A113" s="151" t="s">
        <v>44</v>
      </c>
      <c r="B113" s="152" t="s">
        <v>236</v>
      </c>
      <c r="C113" s="153" t="str">
        <f>СЗИ!B47</f>
        <v>Процент покрытия инфраструктуры средствами антивирусного ПО</v>
      </c>
      <c r="D113" s="153" t="str">
        <f>СЗИ!C47</f>
        <v>СЗИ.ВПО.2</v>
      </c>
      <c r="E113" s="153">
        <f>СЗИ!D47</f>
        <v>4.75</v>
      </c>
      <c r="F113" s="153">
        <f>СЗИ!E47</f>
        <v>4.5</v>
      </c>
      <c r="G113" s="153">
        <f>СЗИ!F47</f>
        <v>3.75</v>
      </c>
      <c r="H113" s="153">
        <f>СЗИ!S47</f>
        <v>1.02</v>
      </c>
      <c r="I113" s="154" t="str">
        <f t="shared" si="16"/>
        <v>КБ1</v>
      </c>
      <c r="J113" s="154">
        <f>СЗИ!K47</f>
        <v>4.75</v>
      </c>
      <c r="K113" s="163">
        <f>СЗИ!I47</f>
        <v>0</v>
      </c>
      <c r="L113" s="163">
        <f>СЗИ!L47</f>
        <v>0</v>
      </c>
      <c r="M113" s="153">
        <f t="shared" si="13"/>
        <v>0</v>
      </c>
      <c r="N113" s="153">
        <f t="shared" si="17"/>
        <v>4.75</v>
      </c>
      <c r="O113" s="153" t="str">
        <f>СЗИ!T47</f>
        <v>- Обеспечить установку средств АВЗ не менее чем на 75% хостов инфраструктуры Общества</v>
      </c>
      <c r="P113" s="155" t="s">
        <v>97</v>
      </c>
      <c r="Q113" s="156" t="s">
        <v>238</v>
      </c>
      <c r="R113" s="153"/>
      <c r="S113" s="157"/>
      <c r="T113" s="151" t="s">
        <v>99</v>
      </c>
      <c r="U113" s="158">
        <v>0</v>
      </c>
      <c r="V113" s="158">
        <v>0</v>
      </c>
      <c r="W113" s="158">
        <v>0</v>
      </c>
      <c r="X113" s="158">
        <f t="shared" si="10"/>
        <v>0</v>
      </c>
      <c r="Y113" s="159"/>
      <c r="Z113" s="160"/>
      <c r="AA113" s="160"/>
      <c r="AB113" s="160"/>
      <c r="AC113" s="160"/>
      <c r="AD113" s="160"/>
      <c r="AE113" s="160"/>
    </row>
    <row r="114" spans="1:31" ht="117">
      <c r="A114" s="151" t="s">
        <v>44</v>
      </c>
      <c r="B114" s="152" t="s">
        <v>236</v>
      </c>
      <c r="C114" s="153" t="str">
        <f>СЗИ!B48</f>
        <v>Осуществляется централизованное управление средствами антивирусной защиты (САВЗ)</v>
      </c>
      <c r="D114" s="153" t="str">
        <f>СЗИ!C48</f>
        <v>СЗИ.ВПО.3</v>
      </c>
      <c r="E114" s="153">
        <f>СЗИ!D48</f>
        <v>5</v>
      </c>
      <c r="F114" s="153">
        <f>СЗИ!E48</f>
        <v>5</v>
      </c>
      <c r="G114" s="153">
        <f>СЗИ!F48</f>
        <v>3.2</v>
      </c>
      <c r="H114" s="153">
        <f>СЗИ!S48</f>
        <v>1.03</v>
      </c>
      <c r="I114" s="154" t="str">
        <f t="shared" si="16"/>
        <v>КБ1</v>
      </c>
      <c r="J114" s="154">
        <f>СЗИ!K48</f>
        <v>5</v>
      </c>
      <c r="K114" s="153">
        <f>СЗИ!I48</f>
        <v>0</v>
      </c>
      <c r="L114" s="153">
        <f>СЗИ!L48</f>
        <v>0</v>
      </c>
      <c r="M114" s="153">
        <f t="shared" si="13"/>
        <v>0</v>
      </c>
      <c r="N114" s="153">
        <f t="shared" si="17"/>
        <v>5</v>
      </c>
      <c r="O114" s="153" t="str">
        <f>СЗИ!T48</f>
        <v>- Создать систему централизованного управления средствами АВЗ и обеспечить подключение к ней основных элементов инфраструктуры</v>
      </c>
      <c r="P114" s="155" t="s">
        <v>97</v>
      </c>
      <c r="Q114" s="156" t="s">
        <v>238</v>
      </c>
      <c r="R114" s="153"/>
      <c r="S114" s="157"/>
      <c r="T114" s="151" t="s">
        <v>99</v>
      </c>
      <c r="U114" s="158">
        <v>0</v>
      </c>
      <c r="V114" s="158">
        <v>0</v>
      </c>
      <c r="W114" s="158">
        <v>0</v>
      </c>
      <c r="X114" s="158">
        <f t="shared" si="10"/>
        <v>0</v>
      </c>
      <c r="Y114" s="159"/>
      <c r="Z114" s="160"/>
      <c r="AA114" s="160"/>
      <c r="AB114" s="160"/>
      <c r="AC114" s="160"/>
      <c r="AD114" s="160"/>
      <c r="AE114" s="160"/>
    </row>
    <row r="115" spans="1:31" ht="234">
      <c r="A115" s="151" t="s">
        <v>44</v>
      </c>
      <c r="B115" s="152" t="s">
        <v>236</v>
      </c>
      <c r="C115" s="153" t="str">
        <f>СЗИ!B49</f>
        <v>Настроены и применены централизованные политики АВЗ, рекомендованые ПАО "Ростелеком"</v>
      </c>
      <c r="D115" s="153" t="str">
        <f>СЗИ!C49</f>
        <v>СЗИ.ВПО.4</v>
      </c>
      <c r="E115" s="153">
        <f>СЗИ!D49</f>
        <v>5</v>
      </c>
      <c r="F115" s="153">
        <f>СЗИ!E49</f>
        <v>5</v>
      </c>
      <c r="G115" s="153">
        <f>СЗИ!F49</f>
        <v>3.2</v>
      </c>
      <c r="H115" s="153">
        <f>СЗИ!S49</f>
        <v>1.04</v>
      </c>
      <c r="I115" s="154" t="str">
        <f t="shared" si="16"/>
        <v>КБ1</v>
      </c>
      <c r="J115" s="154">
        <f>СЗИ!K49</f>
        <v>5</v>
      </c>
      <c r="K115" s="153">
        <f>СЗИ!I49</f>
        <v>0</v>
      </c>
      <c r="L115" s="153">
        <f>СЗИ!L49</f>
        <v>0</v>
      </c>
      <c r="M115" s="153">
        <f t="shared" si="13"/>
        <v>0</v>
      </c>
      <c r="N115" s="153">
        <f t="shared" si="17"/>
        <v>5</v>
      </c>
      <c r="O115" s="153" t="str">
        <f>СЗИ!T49</f>
        <v>- Получить в Блоке ИБ ПАО Ростелеком конфигурационные решения (КР) по настройке средств АВЗ
_x000D_- Применить настройки средств АВЗ для рабочих станций
_x000D_- Применить настройки средств АВЗ для серверов
_x000D_- Применить настройки средств АВЗ для почтовых серверов</v>
      </c>
      <c r="P115" s="155" t="s">
        <v>97</v>
      </c>
      <c r="Q115" s="156" t="s">
        <v>238</v>
      </c>
      <c r="R115" s="153"/>
      <c r="S115" s="157"/>
      <c r="T115" s="151" t="s">
        <v>99</v>
      </c>
      <c r="U115" s="158">
        <v>0</v>
      </c>
      <c r="V115" s="158">
        <v>0</v>
      </c>
      <c r="W115" s="158">
        <v>0</v>
      </c>
      <c r="X115" s="158">
        <f t="shared" si="10"/>
        <v>0</v>
      </c>
      <c r="Y115" s="159"/>
      <c r="Z115" s="160"/>
      <c r="AA115" s="160"/>
      <c r="AB115" s="160"/>
      <c r="AC115" s="160"/>
      <c r="AD115" s="160"/>
      <c r="AE115" s="160"/>
    </row>
    <row r="116" spans="1:31" ht="187.2">
      <c r="A116" s="151" t="s">
        <v>44</v>
      </c>
      <c r="B116" s="152" t="s">
        <v>236</v>
      </c>
      <c r="C116" s="153" t="str">
        <f>СЗИ!B50</f>
        <v>Архитектура решения соответствует ТТР Блока ИБ</v>
      </c>
      <c r="D116" s="153" t="str">
        <f>СЗИ!C50</f>
        <v>СЗИ.ВПО.5</v>
      </c>
      <c r="E116" s="153">
        <f>СЗИ!D50</f>
        <v>5</v>
      </c>
      <c r="F116" s="153">
        <f>СЗИ!E50</f>
        <v>5</v>
      </c>
      <c r="G116" s="153">
        <f>СЗИ!F50</f>
        <v>3.2</v>
      </c>
      <c r="H116" s="153">
        <f>СЗИ!S50</f>
        <v>1.05</v>
      </c>
      <c r="I116" s="154" t="str">
        <f t="shared" si="16"/>
        <v>КБ1</v>
      </c>
      <c r="J116" s="154">
        <f>СЗИ!K50</f>
        <v>5</v>
      </c>
      <c r="K116" s="153">
        <f>СЗИ!I50</f>
        <v>0</v>
      </c>
      <c r="L116" s="153">
        <f>СЗИ!L50</f>
        <v>0</v>
      </c>
      <c r="M116" s="153">
        <f t="shared" si="13"/>
        <v>0</v>
      </c>
      <c r="N116" s="153">
        <f t="shared" si="17"/>
        <v>5</v>
      </c>
      <c r="O116" s="153" t="str">
        <f>СЗИ!T50</f>
        <v>- Получить в Блоке ИБ ПАО Ростелеком конфигурационные решения (КР) по архитектуре средств АВЗ
_x000D_- Настроить средства  АВЗ  для рабочих станций, серверов, почтовых серверов в соответствии с КР</v>
      </c>
      <c r="P116" s="155" t="s">
        <v>97</v>
      </c>
      <c r="Q116" s="156" t="s">
        <v>238</v>
      </c>
      <c r="R116" s="153"/>
      <c r="S116" s="157"/>
      <c r="T116" s="151" t="s">
        <v>99</v>
      </c>
      <c r="U116" s="158">
        <v>0</v>
      </c>
      <c r="V116" s="158">
        <v>0</v>
      </c>
      <c r="W116" s="158">
        <v>0</v>
      </c>
      <c r="X116" s="158">
        <f t="shared" si="10"/>
        <v>0</v>
      </c>
      <c r="Y116" s="159"/>
      <c r="Z116" s="160"/>
      <c r="AA116" s="160"/>
      <c r="AB116" s="160"/>
      <c r="AC116" s="160"/>
      <c r="AD116" s="160"/>
      <c r="AE116" s="160"/>
    </row>
    <row r="117" spans="1:31" ht="210.6">
      <c r="A117" s="151" t="s">
        <v>44</v>
      </c>
      <c r="B117" s="152" t="s">
        <v>236</v>
      </c>
      <c r="C117" s="153" t="str">
        <f>СЗИ!B51</f>
        <v>Процесс контроля работоспособности САВЗ</v>
      </c>
      <c r="D117" s="153" t="str">
        <f>СЗИ!C51</f>
        <v>СЗИ.ВПО.6</v>
      </c>
      <c r="E117" s="153">
        <f>СЗИ!D51</f>
        <v>4</v>
      </c>
      <c r="F117" s="153">
        <f>СЗИ!E51</f>
        <v>3</v>
      </c>
      <c r="G117" s="153">
        <f>СЗИ!F51</f>
        <v>2</v>
      </c>
      <c r="H117" s="153">
        <f>СЗИ!S51</f>
        <v>1.06</v>
      </c>
      <c r="I117" s="154" t="str">
        <f t="shared" si="16"/>
        <v>КБ1</v>
      </c>
      <c r="J117" s="154">
        <f>СЗИ!K51</f>
        <v>4</v>
      </c>
      <c r="K117" s="153">
        <f>СЗИ!I51</f>
        <v>0</v>
      </c>
      <c r="L117" s="153">
        <f>СЗИ!L51</f>
        <v>0</v>
      </c>
      <c r="M117" s="153">
        <f t="shared" si="13"/>
        <v>0</v>
      </c>
      <c r="N117" s="153">
        <f t="shared" si="17"/>
        <v>4</v>
      </c>
      <c r="O117" s="153" t="str">
        <f>СЗИ!T51</f>
        <v>- Разработать или Получить в Блоке ИБ ПАО Ростелеком типовое описание процесса контроля рабоспособности средств АВЗ
_x000D_- Утвердить в Обществе ВНД, описывающий процесс контроля рабоспособности средств АВЗ</v>
      </c>
      <c r="P117" s="155" t="s">
        <v>97</v>
      </c>
      <c r="Q117" s="156" t="s">
        <v>249</v>
      </c>
      <c r="R117" s="153"/>
      <c r="S117" s="157"/>
      <c r="T117" s="151" t="s">
        <v>99</v>
      </c>
      <c r="U117" s="158">
        <v>0</v>
      </c>
      <c r="V117" s="158">
        <v>0</v>
      </c>
      <c r="W117" s="158">
        <v>0</v>
      </c>
      <c r="X117" s="158">
        <f t="shared" si="10"/>
        <v>0</v>
      </c>
      <c r="Y117" s="159"/>
      <c r="Z117" s="160"/>
      <c r="AA117" s="160"/>
      <c r="AB117" s="160"/>
      <c r="AC117" s="160"/>
      <c r="AD117" s="160"/>
      <c r="AE117" s="160"/>
    </row>
    <row r="118" spans="1:31" ht="163.80000000000001">
      <c r="A118" s="151" t="s">
        <v>44</v>
      </c>
      <c r="B118" s="152" t="s">
        <v>236</v>
      </c>
      <c r="C118" s="153" t="str">
        <f>СЗИ!B52</f>
        <v>Процесс обновления антивирусных средств</v>
      </c>
      <c r="D118" s="153" t="str">
        <f>СЗИ!C52</f>
        <v>СЗИ.ВПО.7</v>
      </c>
      <c r="E118" s="153">
        <f>СЗИ!D52</f>
        <v>4</v>
      </c>
      <c r="F118" s="153">
        <f>СЗИ!E52</f>
        <v>3</v>
      </c>
      <c r="G118" s="153">
        <f>СЗИ!F52</f>
        <v>2</v>
      </c>
      <c r="H118" s="153">
        <f>СЗИ!S52</f>
        <v>1.07</v>
      </c>
      <c r="I118" s="154" t="str">
        <f t="shared" si="16"/>
        <v>КБ1</v>
      </c>
      <c r="J118" s="154">
        <f>СЗИ!K52</f>
        <v>4</v>
      </c>
      <c r="K118" s="153">
        <f>СЗИ!I52</f>
        <v>0</v>
      </c>
      <c r="L118" s="153">
        <f>СЗИ!L52</f>
        <v>0</v>
      </c>
      <c r="M118" s="153">
        <f t="shared" si="13"/>
        <v>0</v>
      </c>
      <c r="N118" s="153">
        <f t="shared" si="17"/>
        <v>4</v>
      </c>
      <c r="O118" s="153" t="str">
        <f>СЗИ!T52</f>
        <v>- Разработать или Получить в Блоке ИБ ПАО Ростелеком типовое описание процесса обновления средств АВЗ
_x000D_- Утвердить в Обществе ВНД, описывающий процесс обновления средств АВЗ</v>
      </c>
      <c r="P118" s="155" t="s">
        <v>97</v>
      </c>
      <c r="Q118" s="156" t="s">
        <v>250</v>
      </c>
      <c r="R118" s="153"/>
      <c r="S118" s="157"/>
      <c r="T118" s="151" t="s">
        <v>99</v>
      </c>
      <c r="U118" s="158">
        <v>0</v>
      </c>
      <c r="V118" s="158">
        <v>0</v>
      </c>
      <c r="W118" s="158">
        <v>0</v>
      </c>
      <c r="X118" s="158">
        <f t="shared" si="10"/>
        <v>0</v>
      </c>
      <c r="Y118" s="159"/>
      <c r="Z118" s="160"/>
      <c r="AA118" s="160"/>
      <c r="AB118" s="160"/>
      <c r="AC118" s="160"/>
      <c r="AD118" s="160"/>
      <c r="AE118" s="160"/>
    </row>
    <row r="119" spans="1:31" ht="210.6">
      <c r="A119" s="151" t="s">
        <v>44</v>
      </c>
      <c r="B119" s="152" t="s">
        <v>236</v>
      </c>
      <c r="C119" s="153" t="str">
        <f>СЗИ!B53</f>
        <v>Процесс реагирования на события САВЗ</v>
      </c>
      <c r="D119" s="153" t="str">
        <f>СЗИ!C53</f>
        <v>СЗИ.ВПО.8</v>
      </c>
      <c r="E119" s="153">
        <f>СЗИ!D53</f>
        <v>4</v>
      </c>
      <c r="F119" s="153">
        <f>СЗИ!E53</f>
        <v>3</v>
      </c>
      <c r="G119" s="153">
        <f>СЗИ!F53</f>
        <v>2</v>
      </c>
      <c r="H119" s="153">
        <f>СЗИ!S53</f>
        <v>1.08</v>
      </c>
      <c r="I119" s="154" t="str">
        <f t="shared" si="16"/>
        <v>КБ1</v>
      </c>
      <c r="J119" s="154">
        <f>СЗИ!K53</f>
        <v>4</v>
      </c>
      <c r="K119" s="153">
        <f>СЗИ!I53</f>
        <v>0</v>
      </c>
      <c r="L119" s="153">
        <f>СЗИ!L53</f>
        <v>0</v>
      </c>
      <c r="M119" s="153">
        <f t="shared" si="13"/>
        <v>0</v>
      </c>
      <c r="N119" s="153">
        <f t="shared" si="17"/>
        <v>4</v>
      </c>
      <c r="O119" s="153" t="str">
        <f>СЗИ!T53</f>
        <v>- Разработать или Получить в Блоке ИБ ПАО Ростелеком типовое описание процесса реагирования на события средств АВЗ
_x000D_- Утвердить в Обществе ВНД, описывающий процесс реагирования на события средств АВЗ</v>
      </c>
      <c r="P119" s="155" t="s">
        <v>97</v>
      </c>
      <c r="Q119" s="156" t="s">
        <v>251</v>
      </c>
      <c r="R119" s="153"/>
      <c r="S119" s="157"/>
      <c r="T119" s="151" t="s">
        <v>99</v>
      </c>
      <c r="U119" s="158">
        <v>0</v>
      </c>
      <c r="V119" s="158">
        <v>0</v>
      </c>
      <c r="W119" s="158">
        <v>0</v>
      </c>
      <c r="X119" s="158">
        <f t="shared" si="10"/>
        <v>0</v>
      </c>
      <c r="Y119" s="159"/>
      <c r="Z119" s="160"/>
      <c r="AA119" s="160"/>
      <c r="AB119" s="160"/>
      <c r="AC119" s="160"/>
      <c r="AD119" s="160"/>
      <c r="AE119" s="160"/>
    </row>
    <row r="120" spans="1:31" ht="257.39999999999998">
      <c r="A120" s="151" t="s">
        <v>44</v>
      </c>
      <c r="B120" s="152" t="s">
        <v>24</v>
      </c>
      <c r="C120" s="153" t="str">
        <f>СЗИ!B69</f>
        <v>Защищены взаимодействия между площадками и ЦОД</v>
      </c>
      <c r="D120" s="153" t="str">
        <f>СЗИ!C69</f>
        <v>СЗИ.СКЗИ.1</v>
      </c>
      <c r="E120" s="153">
        <f>СЗИ!D69</f>
        <v>5</v>
      </c>
      <c r="F120" s="153">
        <f>СЗИ!E69</f>
        <v>5</v>
      </c>
      <c r="G120" s="153">
        <f>СЗИ!F69</f>
        <v>5</v>
      </c>
      <c r="H120" s="153">
        <f>СЗИ!S69</f>
        <v>5.01</v>
      </c>
      <c r="I120" s="154" t="str">
        <f t="shared" si="16"/>
        <v>КБ1</v>
      </c>
      <c r="J120" s="154">
        <f>СЗИ!K69</f>
        <v>5</v>
      </c>
      <c r="K120" s="153">
        <f>СЗИ!I69</f>
        <v>0</v>
      </c>
      <c r="L120" s="153">
        <f>СЗИ!L69</f>
        <v>0</v>
      </c>
      <c r="M120" s="153">
        <f t="shared" si="13"/>
        <v>0</v>
      </c>
      <c r="N120" s="153">
        <f t="shared" si="17"/>
        <v>5</v>
      </c>
      <c r="O120" s="153" t="str">
        <f>СЗИ!T69</f>
        <v xml:space="preserve"> - Инвентаризовать все каналы связи между площадками и ЦОДами;
 - Спроектировать систему защиты каналов связи;
 - Закупить необходимое количество СКЗИ;
 -  Реализовать систему защиты;
 -  Обеспечить управление системой защиты и ее бесперебойную работу. </v>
      </c>
      <c r="P120" s="155" t="s">
        <v>97</v>
      </c>
      <c r="Q120" s="156" t="s">
        <v>257</v>
      </c>
      <c r="R120" s="153"/>
      <c r="S120" s="157"/>
      <c r="T120" s="151" t="s">
        <v>99</v>
      </c>
      <c r="U120" s="158">
        <v>0</v>
      </c>
      <c r="V120" s="158">
        <v>0</v>
      </c>
      <c r="W120" s="158">
        <v>0</v>
      </c>
      <c r="X120" s="158">
        <f t="shared" si="10"/>
        <v>0</v>
      </c>
      <c r="Y120" s="159"/>
      <c r="Z120" s="160"/>
      <c r="AA120" s="160"/>
      <c r="AB120" s="160"/>
      <c r="AC120" s="160"/>
      <c r="AD120" s="160"/>
      <c r="AE120" s="160"/>
    </row>
    <row r="121" spans="1:31" ht="117">
      <c r="A121" s="151" t="s">
        <v>44</v>
      </c>
      <c r="B121" s="152" t="s">
        <v>24</v>
      </c>
      <c r="C121" s="153" t="str">
        <f>СЗИ!B70</f>
        <v>Осуществляется централизованное управление СКЗИ</v>
      </c>
      <c r="D121" s="153" t="str">
        <f>СЗИ!C70</f>
        <v>СЗИ.СКЗИ.2</v>
      </c>
      <c r="E121" s="153">
        <f>СЗИ!D70</f>
        <v>5</v>
      </c>
      <c r="F121" s="153">
        <f>СЗИ!E70</f>
        <v>5</v>
      </c>
      <c r="G121" s="153">
        <f>СЗИ!F70</f>
        <v>3.2</v>
      </c>
      <c r="H121" s="153">
        <f>СЗИ!S70</f>
        <v>5.0199999999999996</v>
      </c>
      <c r="I121" s="154" t="str">
        <f t="shared" si="16"/>
        <v>КБ1</v>
      </c>
      <c r="J121" s="154">
        <f>СЗИ!K70</f>
        <v>5</v>
      </c>
      <c r="K121" s="153">
        <f>СЗИ!I70</f>
        <v>0</v>
      </c>
      <c r="L121" s="153">
        <f>СЗИ!L70</f>
        <v>0</v>
      </c>
      <c r="M121" s="153">
        <f t="shared" si="13"/>
        <v>0</v>
      </c>
      <c r="N121" s="153">
        <f t="shared" si="17"/>
        <v>5</v>
      </c>
      <c r="O121" s="153" t="str">
        <f>СЗИ!T70</f>
        <v xml:space="preserve"> - Создать систему централизованного управления СКЗИ и обеспечить подключение к ней основных элементов инфраструктуры</v>
      </c>
      <c r="P121" s="155" t="s">
        <v>97</v>
      </c>
      <c r="Q121" s="156" t="s">
        <v>258</v>
      </c>
      <c r="R121" s="153"/>
      <c r="S121" s="157"/>
      <c r="T121" s="151" t="s">
        <v>99</v>
      </c>
      <c r="U121" s="158">
        <v>0</v>
      </c>
      <c r="V121" s="158">
        <v>0</v>
      </c>
      <c r="W121" s="158">
        <v>0</v>
      </c>
      <c r="X121" s="158">
        <f t="shared" si="10"/>
        <v>0</v>
      </c>
      <c r="Y121" s="159"/>
      <c r="Z121" s="160"/>
      <c r="AA121" s="160"/>
      <c r="AB121" s="160"/>
      <c r="AC121" s="160"/>
      <c r="AD121" s="160"/>
      <c r="AE121" s="160"/>
    </row>
    <row r="122" spans="1:31" ht="70.2">
      <c r="A122" s="151" t="s">
        <v>44</v>
      </c>
      <c r="B122" s="152" t="s">
        <v>24</v>
      </c>
      <c r="C122" s="153" t="str">
        <f>СЗИ!B72</f>
        <v>Наличие действующего сертификата ФСБ на этапе проведения аудита</v>
      </c>
      <c r="D122" s="153" t="str">
        <f>СЗИ!C72</f>
        <v>СЗИ.СКЗИ.4</v>
      </c>
      <c r="E122" s="153">
        <f>СЗИ!D72</f>
        <v>5</v>
      </c>
      <c r="F122" s="153">
        <f>СЗИ!E72</f>
        <v>5</v>
      </c>
      <c r="G122" s="153">
        <f>СЗИ!F72</f>
        <v>5</v>
      </c>
      <c r="H122" s="153">
        <f>СЗИ!S72</f>
        <v>5.0399999999999991</v>
      </c>
      <c r="I122" s="154" t="str">
        <f t="shared" si="16"/>
        <v>КБ1</v>
      </c>
      <c r="J122" s="154">
        <f>СЗИ!K72</f>
        <v>5</v>
      </c>
      <c r="K122" s="153">
        <f>СЗИ!I72</f>
        <v>0</v>
      </c>
      <c r="L122" s="153">
        <f>СЗИ!L72</f>
        <v>0</v>
      </c>
      <c r="M122" s="153">
        <f t="shared" si="13"/>
        <v>0</v>
      </c>
      <c r="N122" s="153">
        <f t="shared" si="17"/>
        <v>5</v>
      </c>
      <c r="O122" s="153" t="str">
        <f>СЗИ!T72</f>
        <v xml:space="preserve"> - Необходимо внедрить и использовать сертифицированные СКЗИ</v>
      </c>
      <c r="P122" s="155" t="s">
        <v>97</v>
      </c>
      <c r="Q122" s="156" t="s">
        <v>259</v>
      </c>
      <c r="R122" s="153"/>
      <c r="S122" s="157"/>
      <c r="T122" s="151" t="s">
        <v>99</v>
      </c>
      <c r="U122" s="158">
        <v>0</v>
      </c>
      <c r="V122" s="158">
        <v>0</v>
      </c>
      <c r="W122" s="158">
        <v>0</v>
      </c>
      <c r="X122" s="158">
        <f t="shared" ref="X122:X182" si="18">SUM(U122:W122)</f>
        <v>0</v>
      </c>
      <c r="Y122" s="159"/>
      <c r="Z122" s="160"/>
      <c r="AA122" s="160"/>
      <c r="AB122" s="160"/>
      <c r="AC122" s="160"/>
      <c r="AD122" s="160"/>
      <c r="AE122" s="160"/>
    </row>
    <row r="123" spans="1:31" ht="117" hidden="1">
      <c r="A123" s="151" t="s">
        <v>156</v>
      </c>
      <c r="B123" s="152" t="s">
        <v>157</v>
      </c>
      <c r="C123" s="153" t="str">
        <f>'Управление ИБ'!B61</f>
        <v>Утверждена Политика информационной безопасности Общества</v>
      </c>
      <c r="D123" s="153" t="str">
        <f>'Управление ИБ'!C61</f>
        <v>СУИБ.УР.1</v>
      </c>
      <c r="E123" s="153">
        <f>'Управление ИБ'!D61</f>
        <v>5</v>
      </c>
      <c r="F123" s="153">
        <f>'Управление ИБ'!E61</f>
        <v>5</v>
      </c>
      <c r="G123" s="153">
        <f>'Управление ИБ'!F61</f>
        <v>5</v>
      </c>
      <c r="H123" s="153">
        <f>'Управление ИБ'!S61</f>
        <v>14.01</v>
      </c>
      <c r="I123" s="154" t="str">
        <f t="shared" si="16"/>
        <v>КБ1</v>
      </c>
      <c r="J123" s="154">
        <f>'Управление ИБ'!K61</f>
        <v>5</v>
      </c>
      <c r="K123" s="153">
        <f>'Управление ИБ'!I61</f>
        <v>0</v>
      </c>
      <c r="L123" s="153">
        <f>'Управление ИБ'!L61</f>
        <v>0</v>
      </c>
      <c r="M123" s="153">
        <f t="shared" si="13"/>
        <v>0</v>
      </c>
      <c r="N123" s="153">
        <f t="shared" si="17"/>
        <v>5</v>
      </c>
      <c r="O123" s="153" t="str">
        <f>'Управление ИБ'!T61</f>
        <v>- Разработать или Получить в Блоке ИБ ПАО Ростелеком типовую политику  ИБ;
- Утвердить в Обществе Политику ИБ</v>
      </c>
      <c r="P123" s="155" t="s">
        <v>97</v>
      </c>
      <c r="Q123" s="156" t="s">
        <v>158</v>
      </c>
      <c r="R123" s="153"/>
      <c r="S123" s="157"/>
      <c r="T123" s="151" t="s">
        <v>99</v>
      </c>
      <c r="U123" s="158">
        <v>0</v>
      </c>
      <c r="V123" s="158">
        <v>0</v>
      </c>
      <c r="W123" s="158">
        <v>0</v>
      </c>
      <c r="X123" s="158">
        <f t="shared" si="18"/>
        <v>0</v>
      </c>
      <c r="Y123" s="159"/>
      <c r="Z123" s="160"/>
      <c r="AA123" s="160"/>
      <c r="AB123" s="160"/>
      <c r="AC123" s="160"/>
      <c r="AD123" s="160"/>
      <c r="AE123" s="160"/>
    </row>
    <row r="124" spans="1:31" ht="140.4" hidden="1">
      <c r="A124" s="151" t="s">
        <v>156</v>
      </c>
      <c r="B124" s="152" t="s">
        <v>157</v>
      </c>
      <c r="C124" s="153" t="str">
        <f>'Управление ИБ'!B62</f>
        <v>Назначено лицо, ответственное за обеспечение информационной безопасности</v>
      </c>
      <c r="D124" s="153" t="str">
        <f>'Управление ИБ'!C62</f>
        <v>СУИБ.УР.2</v>
      </c>
      <c r="E124" s="153">
        <f>'Управление ИБ'!D62</f>
        <v>5</v>
      </c>
      <c r="F124" s="153">
        <f>'Управление ИБ'!E62</f>
        <v>5</v>
      </c>
      <c r="G124" s="153">
        <f>'Управление ИБ'!F62</f>
        <v>5</v>
      </c>
      <c r="H124" s="153">
        <f>'Управление ИБ'!S62</f>
        <v>14.02</v>
      </c>
      <c r="I124" s="154" t="str">
        <f t="shared" si="16"/>
        <v>КБ1</v>
      </c>
      <c r="J124" s="154">
        <f>'Управление ИБ'!K62</f>
        <v>5</v>
      </c>
      <c r="K124" s="153">
        <f>'Управление ИБ'!I62</f>
        <v>0</v>
      </c>
      <c r="L124" s="153">
        <f>'Управление ИБ'!L62</f>
        <v>0</v>
      </c>
      <c r="M124" s="153">
        <f t="shared" si="13"/>
        <v>0</v>
      </c>
      <c r="N124" s="153">
        <f t="shared" si="17"/>
        <v>5</v>
      </c>
      <c r="O124" s="153" t="str">
        <f>'Управление ИБ'!T62</f>
        <v>- Определить полномочия ответственного за обеспечение ИБ в Обществе.
- Подготовить и утвердить приказ об ответственном за обеспечение ИБ в Обществе</v>
      </c>
      <c r="P124" s="155" t="s">
        <v>97</v>
      </c>
      <c r="Q124" s="156" t="s">
        <v>159</v>
      </c>
      <c r="R124" s="153"/>
      <c r="S124" s="157"/>
      <c r="T124" s="151" t="s">
        <v>99</v>
      </c>
      <c r="U124" s="158">
        <v>0</v>
      </c>
      <c r="V124" s="158">
        <v>0</v>
      </c>
      <c r="W124" s="158">
        <v>0</v>
      </c>
      <c r="X124" s="158">
        <f t="shared" si="18"/>
        <v>0</v>
      </c>
      <c r="Y124" s="159"/>
      <c r="Z124" s="160"/>
      <c r="AA124" s="160"/>
      <c r="AB124" s="160"/>
      <c r="AC124" s="160"/>
      <c r="AD124" s="160"/>
      <c r="AE124" s="160"/>
    </row>
    <row r="125" spans="1:31" ht="409.6" hidden="1">
      <c r="A125" s="151" t="s">
        <v>156</v>
      </c>
      <c r="B125" s="152" t="s">
        <v>157</v>
      </c>
      <c r="C125" s="153" t="str">
        <f>'Управление ИБ'!B63</f>
        <v>Создано подразделение по ИБ или задачи возложены на другое подразделение</v>
      </c>
      <c r="D125" s="153" t="str">
        <f>'Управление ИБ'!C63</f>
        <v>СУИБ.УР.3</v>
      </c>
      <c r="E125" s="153">
        <f>'Управление ИБ'!D63</f>
        <v>5</v>
      </c>
      <c r="F125" s="153">
        <f>'Управление ИБ'!E63</f>
        <v>5</v>
      </c>
      <c r="G125" s="153">
        <f>'Управление ИБ'!F63</f>
        <v>5</v>
      </c>
      <c r="H125" s="153">
        <f>'Управление ИБ'!S63</f>
        <v>14.03</v>
      </c>
      <c r="I125" s="154" t="str">
        <f t="shared" si="16"/>
        <v>КБ1</v>
      </c>
      <c r="J125" s="154">
        <f>'Управление ИБ'!K63</f>
        <v>5</v>
      </c>
      <c r="K125" s="153">
        <f>'Управление ИБ'!I63</f>
        <v>0</v>
      </c>
      <c r="L125" s="153">
        <f>'Управление ИБ'!L63</f>
        <v>0</v>
      </c>
      <c r="M125" s="153">
        <f t="shared" si="13"/>
        <v>0</v>
      </c>
      <c r="N125" s="153">
        <f t="shared" si="17"/>
        <v>5</v>
      </c>
      <c r="O125" s="153" t="str">
        <f>'Управление ИБ'!T63</f>
        <v xml:space="preserve"> -  Определить полномочия для подразделения, ответственное за ИБ (как минимум уровня отдела ИБ).
 -  Подготовить положение  о подразделении, обеспечивающим ИБ в Обществе.
 -  Создать выделенное подразделение, ответственное за ИБ (как минимум уровня отдела ИБ):
- Утвердить приказом по орг. структуре создание подразделения ИБ.
- Утвердить положение  о подразделении, обеспечивающим ИБ в Обществе.
 -  Распоряжением/приказом определили подразделение ИБ, как подразделение Общества, ответственное за обеспечение ИБ</v>
      </c>
      <c r="P125" s="155" t="s">
        <v>97</v>
      </c>
      <c r="Q125" s="156" t="s">
        <v>160</v>
      </c>
      <c r="R125" s="153"/>
      <c r="S125" s="157"/>
      <c r="T125" s="151" t="s">
        <v>99</v>
      </c>
      <c r="U125" s="158">
        <v>0</v>
      </c>
      <c r="V125" s="158">
        <v>0</v>
      </c>
      <c r="W125" s="158">
        <v>0</v>
      </c>
      <c r="X125" s="158">
        <f t="shared" si="18"/>
        <v>0</v>
      </c>
      <c r="Y125" s="159"/>
      <c r="Z125" s="160"/>
      <c r="AA125" s="160"/>
      <c r="AB125" s="160"/>
      <c r="AC125" s="160"/>
      <c r="AD125" s="160"/>
      <c r="AE125" s="160"/>
    </row>
    <row r="126" spans="1:31" ht="117" hidden="1">
      <c r="A126" s="151" t="s">
        <v>156</v>
      </c>
      <c r="B126" s="152" t="s">
        <v>157</v>
      </c>
      <c r="C126" s="153" t="str">
        <f>'Управление ИБ'!B64</f>
        <v>Определены цели обеспечения ИБ</v>
      </c>
      <c r="D126" s="153" t="str">
        <f>'Управление ИБ'!C64</f>
        <v>СУИБ.УР.4</v>
      </c>
      <c r="E126" s="153">
        <f>'Управление ИБ'!D64</f>
        <v>5</v>
      </c>
      <c r="F126" s="153">
        <f>'Управление ИБ'!E64</f>
        <v>5</v>
      </c>
      <c r="G126" s="153">
        <f>'Управление ИБ'!F64</f>
        <v>5</v>
      </c>
      <c r="H126" s="153">
        <f>'Управление ИБ'!S64</f>
        <v>14.04</v>
      </c>
      <c r="I126" s="154" t="str">
        <f t="shared" si="16"/>
        <v>КБ1</v>
      </c>
      <c r="J126" s="154">
        <f>'Управление ИБ'!K64</f>
        <v>5</v>
      </c>
      <c r="K126" s="153">
        <f>'Управление ИБ'!I64</f>
        <v>0</v>
      </c>
      <c r="L126" s="153">
        <f>'Управление ИБ'!L64</f>
        <v>0</v>
      </c>
      <c r="M126" s="153">
        <f t="shared" si="13"/>
        <v>0</v>
      </c>
      <c r="N126" s="153">
        <f t="shared" si="17"/>
        <v>5</v>
      </c>
      <c r="O126" s="153" t="str">
        <f>'Управление ИБ'!T64</f>
        <v>- Провести анализ целей Общества в области ИБ и отразить в Политике ИБ, стратегии развития или планах развития</v>
      </c>
      <c r="P126" s="155" t="s">
        <v>97</v>
      </c>
      <c r="Q126" s="156" t="s">
        <v>161</v>
      </c>
      <c r="R126" s="153"/>
      <c r="S126" s="157"/>
      <c r="T126" s="151" t="s">
        <v>99</v>
      </c>
      <c r="U126" s="158">
        <v>0</v>
      </c>
      <c r="V126" s="158">
        <v>0</v>
      </c>
      <c r="W126" s="158">
        <v>0</v>
      </c>
      <c r="X126" s="158">
        <f t="shared" si="18"/>
        <v>0</v>
      </c>
      <c r="Y126" s="159"/>
      <c r="Z126" s="160"/>
      <c r="AA126" s="160"/>
      <c r="AB126" s="160"/>
      <c r="AC126" s="160"/>
      <c r="AD126" s="160"/>
      <c r="AE126" s="160"/>
    </row>
    <row r="127" spans="1:31" ht="93.6" hidden="1">
      <c r="A127" s="151" t="s">
        <v>156</v>
      </c>
      <c r="B127" s="152" t="s">
        <v>157</v>
      </c>
      <c r="C127" s="153" t="str">
        <f>'Управление ИБ'!B65</f>
        <v>Наличие планов развития ИБ</v>
      </c>
      <c r="D127" s="153" t="str">
        <f>'Управление ИБ'!C65</f>
        <v>СУИБ.УР.5</v>
      </c>
      <c r="E127" s="153">
        <f>'Управление ИБ'!D65</f>
        <v>5</v>
      </c>
      <c r="F127" s="153">
        <f>'Управление ИБ'!E65</f>
        <v>5</v>
      </c>
      <c r="G127" s="153">
        <f>'Управление ИБ'!F65</f>
        <v>5</v>
      </c>
      <c r="H127" s="153">
        <f>'Управление ИБ'!S65</f>
        <v>14.049999999999999</v>
      </c>
      <c r="I127" s="154" t="str">
        <f t="shared" si="16"/>
        <v>КБ1</v>
      </c>
      <c r="J127" s="154">
        <f>'Управление ИБ'!K65</f>
        <v>5</v>
      </c>
      <c r="K127" s="153">
        <f>'Управление ИБ'!I65</f>
        <v>0</v>
      </c>
      <c r="L127" s="153">
        <f>'Управление ИБ'!L65</f>
        <v>0</v>
      </c>
      <c r="M127" s="153">
        <f t="shared" si="13"/>
        <v>0</v>
      </c>
      <c r="N127" s="153">
        <f t="shared" si="17"/>
        <v>5</v>
      </c>
      <c r="O127" s="153" t="str">
        <f>'Управление ИБ'!T65</f>
        <v>- Разработать планы развития ИБ или адаптировать типовые планы, предоставленные ПАО Ростелеком</v>
      </c>
      <c r="P127" s="155" t="s">
        <v>97</v>
      </c>
      <c r="Q127" s="156" t="s">
        <v>162</v>
      </c>
      <c r="R127" s="153"/>
      <c r="S127" s="157"/>
      <c r="T127" s="151" t="s">
        <v>99</v>
      </c>
      <c r="U127" s="158">
        <v>0</v>
      </c>
      <c r="V127" s="158">
        <v>0</v>
      </c>
      <c r="W127" s="158">
        <v>0</v>
      </c>
      <c r="X127" s="158">
        <f t="shared" si="18"/>
        <v>0</v>
      </c>
      <c r="Y127" s="159"/>
      <c r="Z127" s="160"/>
      <c r="AA127" s="160"/>
      <c r="AB127" s="160"/>
      <c r="AC127" s="160"/>
      <c r="AD127" s="160"/>
      <c r="AE127" s="160"/>
    </row>
    <row r="128" spans="1:31" ht="93.6" hidden="1">
      <c r="A128" s="151" t="s">
        <v>156</v>
      </c>
      <c r="B128" s="152" t="s">
        <v>205</v>
      </c>
      <c r="C128" s="153" t="str">
        <f>'Управление ИБ'!B153</f>
        <v>Проводится регулярное профессиональное обучение и повышение квалификации работников ИБ</v>
      </c>
      <c r="D128" s="153" t="str">
        <f>'Управление ИБ'!C153</f>
        <v>УИБ.AW.1</v>
      </c>
      <c r="E128" s="153">
        <f>'Управление ИБ'!D153</f>
        <v>5</v>
      </c>
      <c r="F128" s="153">
        <f>'Управление ИБ'!E153</f>
        <v>3.2</v>
      </c>
      <c r="G128" s="153">
        <f>'Управление ИБ'!F153</f>
        <v>1.6</v>
      </c>
      <c r="H128" s="170">
        <f>'Управление ИБ'!S153</f>
        <v>31.01</v>
      </c>
      <c r="I128" s="154" t="str">
        <f t="shared" ref="I128:I138" si="19">IF(H128&lt;=200, "КБ1", IF(H128&lt;=300, "КБ2", "КБ3"))</f>
        <v>КБ1</v>
      </c>
      <c r="J128" s="154">
        <f>'Управление ИБ'!K153</f>
        <v>5</v>
      </c>
      <c r="K128" s="153">
        <f>'Управление ИБ'!I153</f>
        <v>0</v>
      </c>
      <c r="L128" s="153">
        <f>'Управление ИБ'!L153</f>
        <v>0</v>
      </c>
      <c r="M128" s="153">
        <f t="shared" si="13"/>
        <v>0</v>
      </c>
      <c r="N128" s="153">
        <f t="shared" ref="N128:N138" si="20">IF(H128&lt;100,    IF(L128&gt;=G128,0,J128-L128),       IF(H128&lt;300,     IF(L128&gt;=F128,0,J128-L128),                  IF(L128&gt;=E128,0,J128-L128)))</f>
        <v>5</v>
      </c>
      <c r="O128" s="153" t="str">
        <f>'Управление ИБ'!T153</f>
        <v xml:space="preserve"> - Проводить профессиональное обучение и повышение квалификации работников ИБ по запросу</v>
      </c>
      <c r="P128" s="155" t="s">
        <v>97</v>
      </c>
      <c r="Q128" s="156" t="s">
        <v>1192</v>
      </c>
      <c r="R128" s="153"/>
      <c r="S128" s="157"/>
      <c r="T128" s="151" t="s">
        <v>99</v>
      </c>
      <c r="U128" s="158">
        <v>0</v>
      </c>
      <c r="V128" s="158">
        <v>0</v>
      </c>
      <c r="W128" s="158">
        <v>0</v>
      </c>
      <c r="X128" s="158">
        <f t="shared" si="18"/>
        <v>0</v>
      </c>
      <c r="Y128" s="159"/>
      <c r="Z128" s="160"/>
      <c r="AA128" s="160"/>
      <c r="AB128" s="160"/>
      <c r="AC128" s="160"/>
      <c r="AD128" s="160"/>
      <c r="AE128" s="160"/>
    </row>
    <row r="129" spans="1:31" ht="210.6" hidden="1">
      <c r="A129" s="151" t="s">
        <v>156</v>
      </c>
      <c r="B129" s="152" t="s">
        <v>205</v>
      </c>
      <c r="C129" s="153" t="str">
        <f>'Управление ИБ'!B162</f>
        <v>Осуществляется обучение привелигированных пользователей приемам безопасной работы</v>
      </c>
      <c r="D129" s="153" t="str">
        <f>'Управление ИБ'!C162</f>
        <v>УИБ.AW.10</v>
      </c>
      <c r="E129" s="153">
        <f>'Управление ИБ'!D162</f>
        <v>5</v>
      </c>
      <c r="F129" s="153">
        <f>'Управление ИБ'!E162</f>
        <v>3.2</v>
      </c>
      <c r="G129" s="153">
        <f>'Управление ИБ'!F162</f>
        <v>1.6</v>
      </c>
      <c r="H129" s="170">
        <f>'Управление ИБ'!S162</f>
        <v>31.100000000000016</v>
      </c>
      <c r="I129" s="154" t="str">
        <f t="shared" si="19"/>
        <v>КБ1</v>
      </c>
      <c r="J129" s="154">
        <f>'Управление ИБ'!K162</f>
        <v>5</v>
      </c>
      <c r="K129" s="153">
        <f>'Управление ИБ'!I162</f>
        <v>0</v>
      </c>
      <c r="L129" s="153">
        <f>'Управление ИБ'!L162</f>
        <v>0</v>
      </c>
      <c r="M129" s="153">
        <f t="shared" si="13"/>
        <v>0</v>
      </c>
      <c r="N129" s="153">
        <f t="shared" si="20"/>
        <v>5</v>
      </c>
      <c r="O129" s="153" t="str">
        <f>'Управление ИБ'!T162</f>
        <v xml:space="preserve"> - Разработать образовательный курс для привелигированных пользователей о приемах безопасной работы. Разместить его в общем доступе для самостоятельного изучения сотрудниками без возможности отслеживания прогресса обучения</v>
      </c>
      <c r="P129" s="155" t="s">
        <v>97</v>
      </c>
      <c r="Q129" s="156" t="s">
        <v>1194</v>
      </c>
      <c r="R129" s="153"/>
      <c r="S129" s="157"/>
      <c r="T129" s="151" t="s">
        <v>99</v>
      </c>
      <c r="U129" s="158">
        <v>0</v>
      </c>
      <c r="V129" s="158">
        <v>0</v>
      </c>
      <c r="W129" s="158">
        <v>0</v>
      </c>
      <c r="X129" s="158">
        <f t="shared" si="18"/>
        <v>0</v>
      </c>
      <c r="Y129" s="159"/>
      <c r="Z129" s="160"/>
      <c r="AA129" s="160"/>
      <c r="AB129" s="160"/>
      <c r="AC129" s="160"/>
      <c r="AD129" s="160"/>
      <c r="AE129" s="160"/>
    </row>
    <row r="130" spans="1:31" ht="117" hidden="1">
      <c r="A130" s="151" t="s">
        <v>156</v>
      </c>
      <c r="B130" s="152" t="s">
        <v>205</v>
      </c>
      <c r="C130" s="153" t="str">
        <f>'Управление ИБ'!B154</f>
        <v>Проводится регулярное повышение осведомленности работников Общества</v>
      </c>
      <c r="D130" s="153" t="str">
        <f>'Управление ИБ'!C154</f>
        <v>УИБ.AW.2</v>
      </c>
      <c r="E130" s="153">
        <f>'Управление ИБ'!D154</f>
        <v>5</v>
      </c>
      <c r="F130" s="153">
        <f>'Управление ИБ'!E154</f>
        <v>3.2</v>
      </c>
      <c r="G130" s="153">
        <f>'Управление ИБ'!F154</f>
        <v>1.6</v>
      </c>
      <c r="H130" s="170">
        <f>'Управление ИБ'!S154</f>
        <v>31.020000000000003</v>
      </c>
      <c r="I130" s="154" t="str">
        <f t="shared" si="19"/>
        <v>КБ1</v>
      </c>
      <c r="J130" s="154">
        <f>'Управление ИБ'!K154</f>
        <v>5</v>
      </c>
      <c r="K130" s="153">
        <f>'Управление ИБ'!I154</f>
        <v>0</v>
      </c>
      <c r="L130" s="153">
        <f>'Управление ИБ'!L154</f>
        <v>0</v>
      </c>
      <c r="M130" s="153">
        <f t="shared" si="13"/>
        <v>0</v>
      </c>
      <c r="N130" s="153">
        <f t="shared" si="20"/>
        <v>5</v>
      </c>
      <c r="O130" s="153" t="str">
        <f>'Управление ИБ'!T154</f>
        <v xml:space="preserve"> - Проводить регулярное повышение осведемленности по вопросам ИБ (рассылки в почте, тг, внутренние порталы и т.д)</v>
      </c>
      <c r="P130" s="155" t="s">
        <v>97</v>
      </c>
      <c r="Q130" s="156" t="s">
        <v>1196</v>
      </c>
      <c r="R130" s="153"/>
      <c r="S130" s="157"/>
      <c r="T130" s="151" t="s">
        <v>99</v>
      </c>
      <c r="U130" s="158">
        <v>0</v>
      </c>
      <c r="V130" s="158">
        <v>0</v>
      </c>
      <c r="W130" s="158">
        <v>0</v>
      </c>
      <c r="X130" s="158">
        <f t="shared" si="18"/>
        <v>0</v>
      </c>
      <c r="Y130" s="159"/>
      <c r="Z130" s="160"/>
      <c r="AA130" s="160"/>
      <c r="AB130" s="160"/>
      <c r="AC130" s="160"/>
      <c r="AD130" s="160"/>
      <c r="AE130" s="160"/>
    </row>
    <row r="131" spans="1:31" ht="117" hidden="1">
      <c r="A131" s="151" t="s">
        <v>156</v>
      </c>
      <c r="B131" s="152" t="s">
        <v>205</v>
      </c>
      <c r="C131" s="153" t="str">
        <f>'Управление ИБ'!B155</f>
        <v xml:space="preserve">При приеме на работу проводится инструктаж по информационной безопасности  и повторяется раз в год или чаще. </v>
      </c>
      <c r="D131" s="153" t="str">
        <f>'Управление ИБ'!C155</f>
        <v>УИБ.AW.3</v>
      </c>
      <c r="E131" s="153">
        <f>'Управление ИБ'!D155</f>
        <v>5</v>
      </c>
      <c r="F131" s="153">
        <f>'Управление ИБ'!E155</f>
        <v>3.2</v>
      </c>
      <c r="G131" s="153">
        <f>'Управление ИБ'!F155</f>
        <v>1.6</v>
      </c>
      <c r="H131" s="170">
        <f>'Управление ИБ'!S155</f>
        <v>31.030000000000005</v>
      </c>
      <c r="I131" s="154" t="str">
        <f t="shared" si="19"/>
        <v>КБ1</v>
      </c>
      <c r="J131" s="154">
        <f>'Управление ИБ'!K155</f>
        <v>5</v>
      </c>
      <c r="K131" s="153">
        <f>'Управление ИБ'!I155</f>
        <v>0</v>
      </c>
      <c r="L131" s="153">
        <f>'Управление ИБ'!L155</f>
        <v>0</v>
      </c>
      <c r="M131" s="153">
        <f t="shared" si="13"/>
        <v>0</v>
      </c>
      <c r="N131" s="153">
        <f t="shared" si="20"/>
        <v>5</v>
      </c>
      <c r="O131" s="153" t="str">
        <f>'Управление ИБ'!T155</f>
        <v xml:space="preserve"> - Проводить инструктаж по ИБ при приеме на работу и повторять раз в год или в случае обновления/актуализации учебных материалов</v>
      </c>
      <c r="P131" s="155" t="s">
        <v>97</v>
      </c>
      <c r="Q131" s="156" t="s">
        <v>1198</v>
      </c>
      <c r="R131" s="153"/>
      <c r="S131" s="157"/>
      <c r="T131" s="151" t="s">
        <v>99</v>
      </c>
      <c r="U131" s="158">
        <v>0</v>
      </c>
      <c r="V131" s="158">
        <v>0</v>
      </c>
      <c r="W131" s="158">
        <v>0</v>
      </c>
      <c r="X131" s="158">
        <f t="shared" si="18"/>
        <v>0</v>
      </c>
      <c r="Y131" s="159"/>
      <c r="Z131" s="160"/>
      <c r="AA131" s="160"/>
      <c r="AB131" s="160"/>
      <c r="AC131" s="160"/>
      <c r="AD131" s="160"/>
      <c r="AE131" s="160"/>
    </row>
    <row r="132" spans="1:31" ht="93.6" hidden="1">
      <c r="A132" s="151" t="s">
        <v>156</v>
      </c>
      <c r="B132" s="152" t="s">
        <v>205</v>
      </c>
      <c r="C132" s="153" t="str">
        <f>'Управление ИБ'!B156</f>
        <v>Учебные материалы пересматриваются раз в год или чаще.</v>
      </c>
      <c r="D132" s="153" t="str">
        <f>'Управление ИБ'!C156</f>
        <v>УИБ.AW.4</v>
      </c>
      <c r="E132" s="153">
        <f>'Управление ИБ'!D156</f>
        <v>5</v>
      </c>
      <c r="F132" s="153">
        <f>'Управление ИБ'!E156</f>
        <v>3.2</v>
      </c>
      <c r="G132" s="153">
        <f>'Управление ИБ'!F156</f>
        <v>1.6</v>
      </c>
      <c r="H132" s="170">
        <f>'Управление ИБ'!S156</f>
        <v>31.040000000000006</v>
      </c>
      <c r="I132" s="154" t="str">
        <f t="shared" si="19"/>
        <v>КБ1</v>
      </c>
      <c r="J132" s="154">
        <f>'Управление ИБ'!K156</f>
        <v>5</v>
      </c>
      <c r="K132" s="153">
        <f>'Управление ИБ'!I156</f>
        <v>0</v>
      </c>
      <c r="L132" s="153">
        <f>'Управление ИБ'!L156</f>
        <v>0</v>
      </c>
      <c r="M132" s="153">
        <f t="shared" si="13"/>
        <v>0</v>
      </c>
      <c r="N132" s="153">
        <f t="shared" si="20"/>
        <v>5</v>
      </c>
      <c r="O132" s="153" t="str">
        <f>'Управление ИБ'!T156</f>
        <v xml:space="preserve"> - Раз в год пересматривать учебные материалы и при необходимости актуализировать</v>
      </c>
      <c r="P132" s="155" t="s">
        <v>97</v>
      </c>
      <c r="Q132" s="156" t="s">
        <v>204</v>
      </c>
      <c r="R132" s="153"/>
      <c r="S132" s="157"/>
      <c r="T132" s="151" t="s">
        <v>99</v>
      </c>
      <c r="U132" s="158">
        <v>0</v>
      </c>
      <c r="V132" s="158">
        <v>0</v>
      </c>
      <c r="W132" s="158">
        <v>0</v>
      </c>
      <c r="X132" s="158">
        <f t="shared" si="18"/>
        <v>0</v>
      </c>
      <c r="Y132" s="159"/>
      <c r="Z132" s="160"/>
      <c r="AA132" s="160"/>
      <c r="AB132" s="160"/>
      <c r="AC132" s="160"/>
      <c r="AD132" s="160"/>
      <c r="AE132" s="160"/>
    </row>
    <row r="133" spans="1:31" ht="210.6" hidden="1">
      <c r="A133" s="151" t="s">
        <v>156</v>
      </c>
      <c r="B133" s="152" t="s">
        <v>205</v>
      </c>
      <c r="C133" s="153" t="str">
        <f>'Управление ИБ'!B157</f>
        <v>Осуществляется обучение работников распознавать атаки с использованием социальной инженерии</v>
      </c>
      <c r="D133" s="153" t="str">
        <f>'Управление ИБ'!C157</f>
        <v>УИБ.AW.5</v>
      </c>
      <c r="E133" s="153">
        <f>'Управление ИБ'!D157</f>
        <v>5</v>
      </c>
      <c r="F133" s="153">
        <f>'Управление ИБ'!E157</f>
        <v>3.2</v>
      </c>
      <c r="G133" s="153">
        <f>'Управление ИБ'!F157</f>
        <v>1.6</v>
      </c>
      <c r="H133" s="170">
        <f>'Управление ИБ'!S157</f>
        <v>31.050000000000008</v>
      </c>
      <c r="I133" s="154" t="str">
        <f t="shared" si="19"/>
        <v>КБ1</v>
      </c>
      <c r="J133" s="154">
        <f>'Управление ИБ'!K157</f>
        <v>5</v>
      </c>
      <c r="K133" s="153">
        <f>'Управление ИБ'!I157</f>
        <v>0</v>
      </c>
      <c r="L133" s="153">
        <f>'Управление ИБ'!L157</f>
        <v>0</v>
      </c>
      <c r="M133" s="153">
        <f t="shared" si="13"/>
        <v>0</v>
      </c>
      <c r="N133" s="153">
        <f t="shared" si="20"/>
        <v>5</v>
      </c>
      <c r="O133" s="153" t="str">
        <f>'Управление ИБ'!T157</f>
        <v xml:space="preserve"> - Разработать образовательный курс о распознавании атаки с использованием социальной инженерии. Разместить его в общем доступе для самостоятельного изучения сотрудниками без возможности отслеживания прогресса обучения</v>
      </c>
      <c r="P133" s="155" t="s">
        <v>97</v>
      </c>
      <c r="Q133" s="156" t="s">
        <v>1194</v>
      </c>
      <c r="R133" s="153"/>
      <c r="S133" s="157"/>
      <c r="T133" s="151" t="s">
        <v>99</v>
      </c>
      <c r="U133" s="158">
        <v>0</v>
      </c>
      <c r="V133" s="158">
        <v>0</v>
      </c>
      <c r="W133" s="158">
        <v>0</v>
      </c>
      <c r="X133" s="158">
        <f t="shared" si="18"/>
        <v>0</v>
      </c>
      <c r="Y133" s="159"/>
      <c r="Z133" s="160"/>
      <c r="AA133" s="160"/>
      <c r="AB133" s="160"/>
      <c r="AC133" s="160"/>
      <c r="AD133" s="160"/>
      <c r="AE133" s="160"/>
    </row>
    <row r="134" spans="1:31" ht="234" hidden="1">
      <c r="A134" s="151" t="s">
        <v>156</v>
      </c>
      <c r="B134" s="152" t="s">
        <v>205</v>
      </c>
      <c r="C134" s="153" t="str">
        <f>'Управление ИБ'!B158</f>
        <v>Осуществляется обучение работников по теме многофакторной аутентификации, создании сильных паролей и управлении учетными записями.</v>
      </c>
      <c r="D134" s="153" t="str">
        <f>'Управление ИБ'!C158</f>
        <v>УИБ.AW.6</v>
      </c>
      <c r="E134" s="153">
        <f>'Управление ИБ'!D158</f>
        <v>5</v>
      </c>
      <c r="F134" s="153">
        <f>'Управление ИБ'!E158</f>
        <v>3.2</v>
      </c>
      <c r="G134" s="153">
        <f>'Управление ИБ'!F158</f>
        <v>1.6</v>
      </c>
      <c r="H134" s="170">
        <f>'Управление ИБ'!S158</f>
        <v>31.060000000000009</v>
      </c>
      <c r="I134" s="154" t="str">
        <f t="shared" si="19"/>
        <v>КБ1</v>
      </c>
      <c r="J134" s="154">
        <f>'Управление ИБ'!K158</f>
        <v>5</v>
      </c>
      <c r="K134" s="153">
        <f>'Управление ИБ'!I158</f>
        <v>0</v>
      </c>
      <c r="L134" s="153">
        <f>'Управление ИБ'!L158</f>
        <v>0</v>
      </c>
      <c r="M134" s="153">
        <f t="shared" si="13"/>
        <v>0</v>
      </c>
      <c r="N134" s="153">
        <f t="shared" si="20"/>
        <v>5</v>
      </c>
      <c r="O134" s="153" t="str">
        <f>'Управление ИБ'!T158</f>
        <v xml:space="preserve"> - Разработать образовательный курс по теме многофакторной аутентификации, создании сильных паролей и управлении учетными записями. Разместить его в общем доступе для самостоятельного изучения сотрудниками без возможности отслеживания прогресса обучения</v>
      </c>
      <c r="P134" s="155" t="s">
        <v>97</v>
      </c>
      <c r="Q134" s="156" t="s">
        <v>1194</v>
      </c>
      <c r="R134" s="153"/>
      <c r="S134" s="157"/>
      <c r="T134" s="151" t="s">
        <v>99</v>
      </c>
      <c r="U134" s="158">
        <v>0</v>
      </c>
      <c r="V134" s="158">
        <v>0</v>
      </c>
      <c r="W134" s="158">
        <v>0</v>
      </c>
      <c r="X134" s="158">
        <f t="shared" si="18"/>
        <v>0</v>
      </c>
      <c r="Y134" s="159"/>
      <c r="Z134" s="160"/>
      <c r="AA134" s="160"/>
      <c r="AB134" s="160"/>
      <c r="AC134" s="160"/>
      <c r="AD134" s="160"/>
      <c r="AE134" s="160"/>
    </row>
    <row r="135" spans="1:31" ht="280.8" hidden="1">
      <c r="A135" s="151" t="s">
        <v>156</v>
      </c>
      <c r="B135" s="152" t="s">
        <v>205</v>
      </c>
      <c r="C135" s="153" t="str">
        <f>'Управление ИБ'!B159</f>
        <v>Осуществляется обучение работников о необходимости блокировать рабочие станции, стирать информацию с флипчартов и виртуальных досок после совещаний и хранить данные в защищенном месте.</v>
      </c>
      <c r="D135" s="153" t="str">
        <f>'Управление ИБ'!C159</f>
        <v>УИБ.AW.7</v>
      </c>
      <c r="E135" s="153">
        <f>'Управление ИБ'!D159</f>
        <v>5</v>
      </c>
      <c r="F135" s="153">
        <f>'Управление ИБ'!E159</f>
        <v>3.2</v>
      </c>
      <c r="G135" s="153">
        <f>'Управление ИБ'!F159</f>
        <v>1.6</v>
      </c>
      <c r="H135" s="170">
        <f>'Управление ИБ'!S159</f>
        <v>31.070000000000011</v>
      </c>
      <c r="I135" s="154" t="str">
        <f t="shared" si="19"/>
        <v>КБ1</v>
      </c>
      <c r="J135" s="154">
        <f>'Управление ИБ'!K159</f>
        <v>5</v>
      </c>
      <c r="K135" s="153">
        <f>'Управление ИБ'!I159</f>
        <v>0</v>
      </c>
      <c r="L135" s="153">
        <f>'Управление ИБ'!L159</f>
        <v>0</v>
      </c>
      <c r="M135" s="153">
        <f t="shared" si="13"/>
        <v>0</v>
      </c>
      <c r="N135" s="153">
        <f t="shared" si="20"/>
        <v>5</v>
      </c>
      <c r="O135" s="153" t="str">
        <f>'Управление ИБ'!T159</f>
        <v xml:space="preserve"> - Разработать образовательный курс о необходимости блокировать рабочие станции, стирать информацию с флипчартов и виртуальных досок после совещаний и хранить данные в защищенном месте. Разместить его в общем доступе для самостоятельного изучения сотрудниками без возможности отслеживания прогресса обучения</v>
      </c>
      <c r="P135" s="155" t="s">
        <v>97</v>
      </c>
      <c r="Q135" s="156" t="s">
        <v>1194</v>
      </c>
      <c r="R135" s="153"/>
      <c r="S135" s="157"/>
      <c r="T135" s="151" t="s">
        <v>99</v>
      </c>
      <c r="U135" s="158">
        <v>0</v>
      </c>
      <c r="V135" s="158">
        <v>0</v>
      </c>
      <c r="W135" s="158">
        <v>0</v>
      </c>
      <c r="X135" s="158">
        <f t="shared" si="18"/>
        <v>0</v>
      </c>
      <c r="Y135" s="159"/>
      <c r="Z135" s="160"/>
      <c r="AA135" s="160"/>
      <c r="AB135" s="160"/>
      <c r="AC135" s="160"/>
      <c r="AD135" s="160"/>
      <c r="AE135" s="160"/>
    </row>
    <row r="136" spans="1:31" ht="257.39999999999998" hidden="1">
      <c r="A136" s="151" t="s">
        <v>156</v>
      </c>
      <c r="B136" s="152" t="s">
        <v>205</v>
      </c>
      <c r="C136" s="153" t="str">
        <f>'Управление ИБ'!B160</f>
        <v>Осуществляется обучение работников по теме ошибочной отправки и публикации конфиденциальных данных, потери рабочих устройств и съемных носителей. </v>
      </c>
      <c r="D136" s="153" t="str">
        <f>'Управление ИБ'!C160</f>
        <v>УИБ.AW.8</v>
      </c>
      <c r="E136" s="153">
        <f>'Управление ИБ'!D160</f>
        <v>5</v>
      </c>
      <c r="F136" s="153">
        <f>'Управление ИБ'!E160</f>
        <v>3.2</v>
      </c>
      <c r="G136" s="153">
        <f>'Управление ИБ'!F160</f>
        <v>1.6</v>
      </c>
      <c r="H136" s="170">
        <f>'Управление ИБ'!S160</f>
        <v>31.080000000000013</v>
      </c>
      <c r="I136" s="154" t="str">
        <f t="shared" si="19"/>
        <v>КБ1</v>
      </c>
      <c r="J136" s="154">
        <f>'Управление ИБ'!K160</f>
        <v>5</v>
      </c>
      <c r="K136" s="153">
        <f>'Управление ИБ'!I160</f>
        <v>0</v>
      </c>
      <c r="L136" s="153">
        <f>'Управление ИБ'!L160</f>
        <v>0</v>
      </c>
      <c r="M136" s="153">
        <f t="shared" si="13"/>
        <v>0</v>
      </c>
      <c r="N136" s="153">
        <f t="shared" si="20"/>
        <v>5</v>
      </c>
      <c r="O136" s="153" t="str">
        <f>'Управление ИБ'!T160</f>
        <v xml:space="preserve"> - Разработать образовательный курс по теме ошибочной отправки и публикации конфиденциальных данных, потери рабочих устройств и съемных носителей.Разместить его в общем доступе для самостоятельного изучения сотрудниками без возможности отслеживания прогресса обучения</v>
      </c>
      <c r="P136" s="155" t="s">
        <v>97</v>
      </c>
      <c r="Q136" s="156" t="s">
        <v>1194</v>
      </c>
      <c r="R136" s="153"/>
      <c r="S136" s="157"/>
      <c r="T136" s="151" t="s">
        <v>99</v>
      </c>
      <c r="U136" s="158">
        <v>0</v>
      </c>
      <c r="V136" s="158">
        <v>0</v>
      </c>
      <c r="W136" s="158">
        <v>0</v>
      </c>
      <c r="X136" s="158">
        <f t="shared" si="18"/>
        <v>0</v>
      </c>
      <c r="Y136" s="159"/>
      <c r="Z136" s="160"/>
      <c r="AA136" s="160"/>
      <c r="AB136" s="160"/>
      <c r="AC136" s="160"/>
      <c r="AD136" s="160"/>
      <c r="AE136" s="160"/>
    </row>
    <row r="137" spans="1:31" ht="163.80000000000001" hidden="1">
      <c r="A137" s="151" t="s">
        <v>156</v>
      </c>
      <c r="B137" s="152" t="s">
        <v>205</v>
      </c>
      <c r="C137" s="153" t="str">
        <f>'Управление ИБ'!B160</f>
        <v>Осуществляется обучение работников по теме ошибочной отправки и публикации конфиденциальных данных, потери рабочих устройств и съемных носителей. </v>
      </c>
      <c r="D137" s="153" t="str">
        <f>'Управление ИБ'!C160</f>
        <v>УИБ.AW.8</v>
      </c>
      <c r="E137" s="153">
        <f>'Управление ИБ'!D160</f>
        <v>5</v>
      </c>
      <c r="F137" s="153">
        <f>'Управление ИБ'!E160</f>
        <v>3.2</v>
      </c>
      <c r="G137" s="153">
        <f>'Управление ИБ'!F160</f>
        <v>1.6</v>
      </c>
      <c r="H137" s="153">
        <f>'Управление ИБ'!S160</f>
        <v>31.080000000000013</v>
      </c>
      <c r="I137" s="154" t="str">
        <f t="shared" si="19"/>
        <v>КБ1</v>
      </c>
      <c r="J137" s="154">
        <f>'Управление ИБ'!K160</f>
        <v>5</v>
      </c>
      <c r="K137" s="153">
        <f>'Управление ИБ'!I160</f>
        <v>0</v>
      </c>
      <c r="L137" s="153">
        <f>'Управление ИБ'!L160</f>
        <v>0</v>
      </c>
      <c r="M137" s="153">
        <f t="shared" si="13"/>
        <v>0</v>
      </c>
      <c r="N137" s="153">
        <f t="shared" si="20"/>
        <v>5</v>
      </c>
      <c r="O137" s="153" t="str">
        <f>'Управление ИБ'!Z160</f>
        <v xml:space="preserve"> - Осуществлять регулярный мониторинг и отслеживание динамики обучения. Выработать показатели эффективности обучения</v>
      </c>
      <c r="P137" s="155" t="s">
        <v>97</v>
      </c>
      <c r="Q137" s="156" t="s">
        <v>1195</v>
      </c>
      <c r="R137" s="153"/>
      <c r="S137" s="157"/>
      <c r="T137" s="151" t="s">
        <v>99</v>
      </c>
      <c r="U137" s="158">
        <v>0</v>
      </c>
      <c r="V137" s="158">
        <v>0</v>
      </c>
      <c r="W137" s="158">
        <v>0</v>
      </c>
      <c r="X137" s="158">
        <f t="shared" si="18"/>
        <v>0</v>
      </c>
      <c r="Y137" s="159"/>
      <c r="Z137" s="160"/>
      <c r="AA137" s="160"/>
      <c r="AB137" s="160"/>
      <c r="AC137" s="160"/>
      <c r="AD137" s="160"/>
      <c r="AE137" s="160"/>
    </row>
    <row r="138" spans="1:31" ht="210.6" hidden="1">
      <c r="A138" s="151" t="s">
        <v>156</v>
      </c>
      <c r="B138" s="152" t="s">
        <v>205</v>
      </c>
      <c r="C138" s="153" t="str">
        <f>'Управление ИБ'!B161</f>
        <v>Осуществляется обучение работников распознавать инциденты безопасности и сообщать о них</v>
      </c>
      <c r="D138" s="153" t="str">
        <f>'Управление ИБ'!C161</f>
        <v>УИБ.AW.9</v>
      </c>
      <c r="E138" s="153">
        <f>'Управление ИБ'!D161</f>
        <v>5</v>
      </c>
      <c r="F138" s="153">
        <f>'Управление ИБ'!E161</f>
        <v>3.2</v>
      </c>
      <c r="G138" s="153">
        <f>'Управление ИБ'!F161</f>
        <v>1.6</v>
      </c>
      <c r="H138" s="170">
        <f>'Управление ИБ'!S161</f>
        <v>31.090000000000014</v>
      </c>
      <c r="I138" s="154" t="str">
        <f t="shared" si="19"/>
        <v>КБ1</v>
      </c>
      <c r="J138" s="154">
        <f>'Управление ИБ'!K161</f>
        <v>5</v>
      </c>
      <c r="K138" s="153">
        <f>'Управление ИБ'!I161</f>
        <v>0</v>
      </c>
      <c r="L138" s="153">
        <f>'Управление ИБ'!L161</f>
        <v>0</v>
      </c>
      <c r="M138" s="153">
        <f t="shared" ref="M138:M201" si="21">IF(K138=J138," ",L138-K138)</f>
        <v>0</v>
      </c>
      <c r="N138" s="153">
        <f t="shared" si="20"/>
        <v>5</v>
      </c>
      <c r="O138" s="153" t="str">
        <f>'Управление ИБ'!T161</f>
        <v xml:space="preserve"> - Разработать образовательный курс о том, как распознавать инциденты безопасности и сообщать о них. Разместить его в общем доступе для самостоятельного изучения сотрудниками без возможности отслеживания прогресса обучения</v>
      </c>
      <c r="P138" s="155" t="s">
        <v>97</v>
      </c>
      <c r="Q138" s="156" t="s">
        <v>1194</v>
      </c>
      <c r="R138" s="153"/>
      <c r="S138" s="157"/>
      <c r="T138" s="151" t="s">
        <v>99</v>
      </c>
      <c r="U138" s="158">
        <v>0</v>
      </c>
      <c r="V138" s="158">
        <v>0</v>
      </c>
      <c r="W138" s="158">
        <v>0</v>
      </c>
      <c r="X138" s="158">
        <f t="shared" si="18"/>
        <v>0</v>
      </c>
      <c r="Y138" s="159"/>
      <c r="Z138" s="160"/>
      <c r="AA138" s="160"/>
      <c r="AB138" s="160"/>
      <c r="AC138" s="160"/>
      <c r="AD138" s="160"/>
      <c r="AE138" s="160"/>
    </row>
    <row r="139" spans="1:31" ht="140.4" hidden="1">
      <c r="A139" s="151" t="s">
        <v>156</v>
      </c>
      <c r="B139" s="152" t="s">
        <v>232</v>
      </c>
      <c r="C139" s="153" t="str">
        <f>'Управление ИБ'!B186</f>
        <v>Данные на носимых устройствах хранятся в зашифрованном виде</v>
      </c>
      <c r="D139" s="153" t="str">
        <f>'Управление ИБ'!C186</f>
        <v>УИБ.Д.2</v>
      </c>
      <c r="E139" s="153">
        <f>'Управление ИБ'!D186</f>
        <v>5</v>
      </c>
      <c r="F139" s="153">
        <f>'Управление ИБ'!E186</f>
        <v>3.2</v>
      </c>
      <c r="G139" s="153">
        <f>'Управление ИБ'!F186</f>
        <v>1.6</v>
      </c>
      <c r="H139" s="153">
        <f>'Управление ИБ'!S186</f>
        <v>42.019999999999996</v>
      </c>
      <c r="I139" s="154" t="str">
        <f t="shared" ref="I139:I155" si="22">IF(H139&lt;=200,"КБ1",IF(H139&lt;=300,"КБ2","КБ3"))</f>
        <v>КБ1</v>
      </c>
      <c r="J139" s="154">
        <f>'Управление ИБ'!K186</f>
        <v>5</v>
      </c>
      <c r="K139" s="153">
        <f>'Управление ИБ'!I186</f>
        <v>0</v>
      </c>
      <c r="L139" s="153">
        <f>'Управление ИБ'!L186</f>
        <v>0</v>
      </c>
      <c r="M139" s="153">
        <f t="shared" si="21"/>
        <v>0</v>
      </c>
      <c r="N139" s="153">
        <f t="shared" ref="N139:N155" si="23">IF(H139&lt;100,IF(L139&gt;=G139,0,J139-L139),IF(H139&lt;300,IF(L139&gt;=F139,0,J139-L139),IF(L139&gt;=E139,0,J139-L139)))</f>
        <v>5</v>
      </c>
      <c r="O139" s="153" t="str">
        <f>'Управление ИБ'!T186</f>
        <v xml:space="preserve"> - Приобрести и установить средства шифрования данных на носимых устройствах (ноутбуки, планшеты, телефоны): не менее чем на 25% устройств</v>
      </c>
      <c r="P139" s="155" t="s">
        <v>97</v>
      </c>
      <c r="Q139" s="156" t="s">
        <v>1202</v>
      </c>
      <c r="R139" s="153"/>
      <c r="S139" s="157"/>
      <c r="T139" s="151" t="s">
        <v>99</v>
      </c>
      <c r="U139" s="158">
        <v>0</v>
      </c>
      <c r="V139" s="158">
        <v>0</v>
      </c>
      <c r="W139" s="158">
        <v>0</v>
      </c>
      <c r="X139" s="158">
        <f t="shared" si="18"/>
        <v>0</v>
      </c>
      <c r="Y139" s="159"/>
      <c r="Z139" s="160"/>
      <c r="AA139" s="160"/>
      <c r="AB139" s="160"/>
      <c r="AC139" s="160"/>
      <c r="AD139" s="160"/>
      <c r="AE139" s="160"/>
    </row>
    <row r="140" spans="1:31" ht="140.4" hidden="1">
      <c r="A140" s="151" t="s">
        <v>156</v>
      </c>
      <c r="B140" s="152" t="s">
        <v>232</v>
      </c>
      <c r="C140" s="153" t="str">
        <f>'Управление ИБ'!B187</f>
        <v>Передаваемые между сегментами, сетями за пределами контролируемой зоны данные защищены (сетевые протоколы шифрования и VPN)</v>
      </c>
      <c r="D140" s="153" t="str">
        <f>'Управление ИБ'!C187</f>
        <v>УИБ.Д.3</v>
      </c>
      <c r="E140" s="153">
        <f>'Управление ИБ'!D187</f>
        <v>5</v>
      </c>
      <c r="F140" s="153">
        <f>'Управление ИБ'!E187</f>
        <v>5</v>
      </c>
      <c r="G140" s="153">
        <f>'Управление ИБ'!F187</f>
        <v>3.2</v>
      </c>
      <c r="H140" s="153">
        <f>'Управление ИБ'!S187</f>
        <v>42.029999999999994</v>
      </c>
      <c r="I140" s="154" t="str">
        <f t="shared" si="22"/>
        <v>КБ1</v>
      </c>
      <c r="J140" s="154">
        <f>'Управление ИБ'!K187</f>
        <v>5</v>
      </c>
      <c r="K140" s="153">
        <f>'Управление ИБ'!I187</f>
        <v>0</v>
      </c>
      <c r="L140" s="153">
        <f>'Управление ИБ'!L187</f>
        <v>0</v>
      </c>
      <c r="M140" s="153">
        <f t="shared" si="21"/>
        <v>0</v>
      </c>
      <c r="N140" s="153">
        <f t="shared" si="23"/>
        <v>5</v>
      </c>
      <c r="O140" s="153" t="str">
        <f>'Управление ИБ'!T187</f>
        <v>Разработать правила защищенного информационного взаимодействия между сегментами сети и внешними сетями</v>
      </c>
      <c r="P140" s="155" t="s">
        <v>97</v>
      </c>
      <c r="Q140" s="156" t="s">
        <v>1204</v>
      </c>
      <c r="R140" s="153"/>
      <c r="S140" s="157"/>
      <c r="T140" s="151" t="s">
        <v>99</v>
      </c>
      <c r="U140" s="158">
        <v>0</v>
      </c>
      <c r="V140" s="158">
        <v>0</v>
      </c>
      <c r="W140" s="158">
        <v>0</v>
      </c>
      <c r="X140" s="158">
        <f t="shared" si="18"/>
        <v>0</v>
      </c>
      <c r="Y140" s="159"/>
      <c r="Z140" s="160"/>
      <c r="AA140" s="160"/>
      <c r="AB140" s="160"/>
      <c r="AC140" s="160"/>
      <c r="AD140" s="160"/>
      <c r="AE140" s="160"/>
    </row>
    <row r="141" spans="1:31" ht="163.80000000000001" hidden="1">
      <c r="A141" s="151" t="s">
        <v>156</v>
      </c>
      <c r="B141" s="152" t="s">
        <v>167</v>
      </c>
      <c r="C141" s="153" t="str">
        <f>'Управление ИБ'!B175</f>
        <v>Парольная политика соответствуют требованиям ПАО "Ростелеком"</v>
      </c>
      <c r="D141" s="153" t="str">
        <f>'Управление ИБ'!C175</f>
        <v>УИБ.ИА.1</v>
      </c>
      <c r="E141" s="153">
        <f>'Управление ИБ'!D175</f>
        <v>5</v>
      </c>
      <c r="F141" s="153">
        <f>'Управление ИБ'!E175</f>
        <v>5</v>
      </c>
      <c r="G141" s="153">
        <f>'Управление ИБ'!F175</f>
        <v>5</v>
      </c>
      <c r="H141" s="153">
        <f>'Управление ИБ'!S175</f>
        <v>17.010000000000002</v>
      </c>
      <c r="I141" s="154" t="str">
        <f t="shared" si="22"/>
        <v>КБ1</v>
      </c>
      <c r="J141" s="154">
        <f>'Управление ИБ'!K175</f>
        <v>5</v>
      </c>
      <c r="K141" s="153">
        <f>'Управление ИБ'!I175</f>
        <v>0</v>
      </c>
      <c r="L141" s="153">
        <f>'Управление ИБ'!L175</f>
        <v>0</v>
      </c>
      <c r="M141" s="153">
        <f t="shared" si="21"/>
        <v>0</v>
      </c>
      <c r="N141" s="153">
        <f t="shared" si="23"/>
        <v>5</v>
      </c>
      <c r="O141" s="153" t="str">
        <f>'Управление ИБ'!T175</f>
        <v xml:space="preserve"> - Получить в Блоке ИБ ПАО Ростелеком требования парольной политики и применить во всех ИС парольные политики, соответствуюещие требованиям.</v>
      </c>
      <c r="P141" s="155" t="s">
        <v>97</v>
      </c>
      <c r="Q141" s="156" t="s">
        <v>1208</v>
      </c>
      <c r="R141" s="153"/>
      <c r="S141" s="157"/>
      <c r="T141" s="151" t="s">
        <v>99</v>
      </c>
      <c r="U141" s="158">
        <v>0</v>
      </c>
      <c r="V141" s="158">
        <v>0</v>
      </c>
      <c r="W141" s="158">
        <v>0</v>
      </c>
      <c r="X141" s="158">
        <f t="shared" si="18"/>
        <v>0</v>
      </c>
      <c r="Y141" s="159"/>
      <c r="Z141" s="160"/>
      <c r="AA141" s="160"/>
      <c r="AB141" s="160"/>
      <c r="AC141" s="160"/>
      <c r="AD141" s="160"/>
      <c r="AE141" s="160"/>
    </row>
    <row r="142" spans="1:31" ht="304.2" hidden="1">
      <c r="A142" s="151" t="s">
        <v>156</v>
      </c>
      <c r="B142" s="152" t="s">
        <v>167</v>
      </c>
      <c r="C142" s="153" t="str">
        <f>'Управление ИБ'!B176</f>
        <v>Доступ пользователей осуществляется под уникальными и персонифицированными учетными записями</v>
      </c>
      <c r="D142" s="153" t="str">
        <f>'Управление ИБ'!C176</f>
        <v>УИБ.ИА.2</v>
      </c>
      <c r="E142" s="153">
        <f>'Управление ИБ'!D176</f>
        <v>5</v>
      </c>
      <c r="F142" s="153">
        <f>'Управление ИБ'!E176</f>
        <v>5</v>
      </c>
      <c r="G142" s="153">
        <f>'Управление ИБ'!F176</f>
        <v>3.2</v>
      </c>
      <c r="H142" s="153">
        <f>'Управление ИБ'!S176</f>
        <v>17.020000000000003</v>
      </c>
      <c r="I142" s="154" t="str">
        <f t="shared" si="22"/>
        <v>КБ1</v>
      </c>
      <c r="J142" s="154">
        <f>'Управление ИБ'!K176</f>
        <v>5</v>
      </c>
      <c r="K142" s="153">
        <f>'Управление ИБ'!I176</f>
        <v>0</v>
      </c>
      <c r="L142" s="153">
        <f>'Управление ИБ'!L176</f>
        <v>0</v>
      </c>
      <c r="M142" s="153">
        <f t="shared" si="21"/>
        <v>0</v>
      </c>
      <c r="N142" s="153">
        <f t="shared" si="23"/>
        <v>5</v>
      </c>
      <c r="O142" s="153" t="str">
        <f>'Управление ИБ'!T176</f>
        <v xml:space="preserve"> - Реализовать процесс создания уникальных персонифицированных учетных записей для пользователей;
  - Определить требования к наименованию учетных записей;
  - Определить требования к назначению и использованию учетных записей (пользовательские, привилегированные, технологические)</v>
      </c>
      <c r="P142" s="155" t="s">
        <v>97</v>
      </c>
      <c r="Q142" s="156" t="s">
        <v>168</v>
      </c>
      <c r="R142" s="153"/>
      <c r="S142" s="157"/>
      <c r="T142" s="151" t="s">
        <v>99</v>
      </c>
      <c r="U142" s="158">
        <v>0</v>
      </c>
      <c r="V142" s="158">
        <v>0</v>
      </c>
      <c r="W142" s="158">
        <v>0</v>
      </c>
      <c r="X142" s="158">
        <f t="shared" si="18"/>
        <v>0</v>
      </c>
      <c r="Y142" s="159"/>
      <c r="Z142" s="160"/>
      <c r="AA142" s="160"/>
      <c r="AB142" s="160"/>
      <c r="AC142" s="160"/>
      <c r="AD142" s="160"/>
      <c r="AE142" s="160"/>
    </row>
    <row r="143" spans="1:31" ht="163.80000000000001" hidden="1">
      <c r="A143" s="151" t="s">
        <v>156</v>
      </c>
      <c r="B143" s="152" t="s">
        <v>167</v>
      </c>
      <c r="C143" s="153" t="str">
        <f>'Управление ИБ'!B177</f>
        <v>Аутентификация программных сервисов, устройств и т.п. осуществляется с использованием технологических учетных записей</v>
      </c>
      <c r="D143" s="153" t="str">
        <f>'Управление ИБ'!C177</f>
        <v>УИБ.ИА.3</v>
      </c>
      <c r="E143" s="153">
        <f>'Управление ИБ'!D177</f>
        <v>5</v>
      </c>
      <c r="F143" s="153">
        <f>'Управление ИБ'!E177</f>
        <v>5</v>
      </c>
      <c r="G143" s="153">
        <f>'Управление ИБ'!F177</f>
        <v>5</v>
      </c>
      <c r="H143" s="153">
        <f>'Управление ИБ'!S177</f>
        <v>17.030000000000005</v>
      </c>
      <c r="I143" s="154" t="str">
        <f t="shared" si="22"/>
        <v>КБ1</v>
      </c>
      <c r="J143" s="154">
        <f>'Управление ИБ'!K177</f>
        <v>5</v>
      </c>
      <c r="K143" s="153">
        <f>'Управление ИБ'!I177</f>
        <v>0</v>
      </c>
      <c r="L143" s="153">
        <f>'Управление ИБ'!L177</f>
        <v>0</v>
      </c>
      <c r="M143" s="153">
        <f t="shared" si="21"/>
        <v>0</v>
      </c>
      <c r="N143" s="153">
        <f t="shared" si="23"/>
        <v>5</v>
      </c>
      <c r="O143" s="153" t="str">
        <f>'Управление ИБ'!T177</f>
        <v xml:space="preserve"> - Обеспечить применение технологических учетных записей для всех программных сервисов;
  - Установить запрет на запуск сервисов с использованием учетных записей пользователей.</v>
      </c>
      <c r="P143" s="155" t="s">
        <v>97</v>
      </c>
      <c r="Q143" s="156" t="s">
        <v>1151</v>
      </c>
      <c r="R143" s="153"/>
      <c r="S143" s="157"/>
      <c r="T143" s="151" t="s">
        <v>99</v>
      </c>
      <c r="U143" s="158">
        <v>0</v>
      </c>
      <c r="V143" s="158">
        <v>0</v>
      </c>
      <c r="W143" s="158">
        <v>0</v>
      </c>
      <c r="X143" s="158">
        <f t="shared" si="18"/>
        <v>0</v>
      </c>
      <c r="Y143" s="159"/>
      <c r="Z143" s="160"/>
      <c r="AA143" s="160"/>
      <c r="AB143" s="160"/>
      <c r="AC143" s="160"/>
      <c r="AD143" s="160"/>
      <c r="AE143" s="160"/>
    </row>
    <row r="144" spans="1:31" ht="280.8" hidden="1">
      <c r="A144" s="151" t="s">
        <v>156</v>
      </c>
      <c r="B144" s="152" t="s">
        <v>167</v>
      </c>
      <c r="C144" s="153" t="str">
        <f>'Управление ИБ'!B178</f>
        <v>Запрещено использование предустановленных аутентификационных данных, создание учетных записей с пустыми паролями и предоставление доступа без идентификации</v>
      </c>
      <c r="D144" s="153" t="str">
        <f>'Управление ИБ'!C178</f>
        <v>УИБ.ИА.4</v>
      </c>
      <c r="E144" s="153">
        <f>'Управление ИБ'!D178</f>
        <v>5</v>
      </c>
      <c r="F144" s="153">
        <f>'Управление ИБ'!E178</f>
        <v>5</v>
      </c>
      <c r="G144" s="153">
        <f>'Управление ИБ'!F178</f>
        <v>5</v>
      </c>
      <c r="H144" s="153">
        <f>'Управление ИБ'!S178</f>
        <v>17.040000000000006</v>
      </c>
      <c r="I144" s="154" t="str">
        <f t="shared" si="22"/>
        <v>КБ1</v>
      </c>
      <c r="J144" s="154">
        <f>'Управление ИБ'!K178</f>
        <v>5</v>
      </c>
      <c r="K144" s="153">
        <f>'Управление ИБ'!I178</f>
        <v>0</v>
      </c>
      <c r="L144" s="153">
        <f>'Управление ИБ'!L178</f>
        <v>0</v>
      </c>
      <c r="M144" s="153">
        <f t="shared" si="21"/>
        <v>0</v>
      </c>
      <c r="N144" s="153">
        <f t="shared" si="23"/>
        <v>5</v>
      </c>
      <c r="O144" s="153" t="str">
        <f>'Управление ИБ'!T178</f>
        <v xml:space="preserve"> - Выполнить блокировку или смену пароля для всех встроенных учетных записей во всех ИС и устройствах, учетных записей без паролей; 
  - Обеспечить выполнение аутентификации при доступе во всех ИС;
  - Вывести из эксплуатации все ИС, не требующие аутентификации (кроме общедоступных веб-сайтов)</v>
      </c>
      <c r="P144" s="155" t="s">
        <v>97</v>
      </c>
      <c r="Q144" s="156" t="s">
        <v>1209</v>
      </c>
      <c r="R144" s="153"/>
      <c r="S144" s="157"/>
      <c r="T144" s="151" t="s">
        <v>99</v>
      </c>
      <c r="U144" s="158">
        <v>0</v>
      </c>
      <c r="V144" s="158">
        <v>0</v>
      </c>
      <c r="W144" s="158">
        <v>0</v>
      </c>
      <c r="X144" s="158">
        <f t="shared" si="18"/>
        <v>0</v>
      </c>
      <c r="Y144" s="159"/>
      <c r="Z144" s="160"/>
      <c r="AA144" s="160"/>
      <c r="AB144" s="160"/>
      <c r="AC144" s="160"/>
      <c r="AD144" s="160"/>
      <c r="AE144" s="160"/>
    </row>
    <row r="145" spans="1:31" ht="140.4" hidden="1">
      <c r="A145" s="151" t="s">
        <v>156</v>
      </c>
      <c r="B145" s="152" t="s">
        <v>167</v>
      </c>
      <c r="C145" s="153" t="str">
        <f>'Управление ИБ'!B180</f>
        <v>Внедрены политики и механизмы безопасности блокирования УЗ при неправильном вводе пароля, рекомендованые ПАО Ростелеком</v>
      </c>
      <c r="D145" s="153" t="str">
        <f>'Управление ИБ'!C180</f>
        <v>УИБ.ИА.6</v>
      </c>
      <c r="E145" s="153">
        <f>'Управление ИБ'!D180</f>
        <v>5</v>
      </c>
      <c r="F145" s="153">
        <f>'Управление ИБ'!E180</f>
        <v>5</v>
      </c>
      <c r="G145" s="153">
        <f>'Управление ИБ'!F180</f>
        <v>5</v>
      </c>
      <c r="H145" s="153">
        <f>'Управление ИБ'!S180</f>
        <v>17.060000000000009</v>
      </c>
      <c r="I145" s="154" t="str">
        <f t="shared" si="22"/>
        <v>КБ1</v>
      </c>
      <c r="J145" s="154">
        <f>'Управление ИБ'!K180</f>
        <v>5</v>
      </c>
      <c r="K145" s="153">
        <f>'Управление ИБ'!I180</f>
        <v>0</v>
      </c>
      <c r="L145" s="153">
        <f>'Управление ИБ'!L180</f>
        <v>0</v>
      </c>
      <c r="M145" s="153">
        <f t="shared" si="21"/>
        <v>0</v>
      </c>
      <c r="N145" s="153">
        <f t="shared" si="23"/>
        <v>5</v>
      </c>
      <c r="O145" s="153" t="str">
        <f>'Управление ИБ'!T180</f>
        <v xml:space="preserve"> - Во всех ИС применить политики пароля для противодействия атакам подбора</v>
      </c>
      <c r="P145" s="155" t="s">
        <v>97</v>
      </c>
      <c r="Q145" s="156" t="s">
        <v>1171</v>
      </c>
      <c r="R145" s="153"/>
      <c r="S145" s="157"/>
      <c r="T145" s="151" t="s">
        <v>99</v>
      </c>
      <c r="U145" s="158">
        <v>0</v>
      </c>
      <c r="V145" s="158">
        <v>0</v>
      </c>
      <c r="W145" s="158">
        <v>0</v>
      </c>
      <c r="X145" s="158">
        <f t="shared" si="18"/>
        <v>0</v>
      </c>
      <c r="Y145" s="159"/>
      <c r="Z145" s="160"/>
      <c r="AA145" s="160"/>
      <c r="AB145" s="160"/>
      <c r="AC145" s="160"/>
      <c r="AD145" s="160"/>
      <c r="AE145" s="160"/>
    </row>
    <row r="146" spans="1:31" ht="163.80000000000001" hidden="1">
      <c r="A146" s="151" t="s">
        <v>156</v>
      </c>
      <c r="B146" s="152" t="s">
        <v>167</v>
      </c>
      <c r="C146" s="153" t="str">
        <f>'Управление ИБ'!B181</f>
        <v xml:space="preserve">Наличие ограничения количества параллельных сессий удаленного доступа у одной учетной записи (пользователя, администратора, технической). </v>
      </c>
      <c r="D146" s="153" t="str">
        <f>'Управление ИБ'!C181</f>
        <v>УИБ.ИА.7</v>
      </c>
      <c r="E146" s="153">
        <f>'Управление ИБ'!D181</f>
        <v>5</v>
      </c>
      <c r="F146" s="153">
        <f>'Управление ИБ'!E181</f>
        <v>5</v>
      </c>
      <c r="G146" s="153">
        <f>'Управление ИБ'!F181</f>
        <v>5</v>
      </c>
      <c r="H146" s="153">
        <f>'Управление ИБ'!S181</f>
        <v>17.070000000000011</v>
      </c>
      <c r="I146" s="154" t="str">
        <f t="shared" si="22"/>
        <v>КБ1</v>
      </c>
      <c r="J146" s="154">
        <f>'Управление ИБ'!K181</f>
        <v>5</v>
      </c>
      <c r="K146" s="153">
        <f>'Управление ИБ'!I181</f>
        <v>0</v>
      </c>
      <c r="L146" s="153">
        <f>'Управление ИБ'!L181</f>
        <v>0</v>
      </c>
      <c r="M146" s="153">
        <f t="shared" si="21"/>
        <v>0</v>
      </c>
      <c r="N146" s="153">
        <f t="shared" si="23"/>
        <v>5</v>
      </c>
      <c r="O146" s="153" t="str">
        <f>'Управление ИБ'!T181</f>
        <v>Обеспечить применение политики по ограничению параллельных сессий, при удаленном подключении</v>
      </c>
      <c r="P146" s="155" t="s">
        <v>97</v>
      </c>
      <c r="Q146" s="156" t="s">
        <v>1216</v>
      </c>
      <c r="R146" s="153"/>
      <c r="S146" s="157"/>
      <c r="T146" s="151" t="s">
        <v>99</v>
      </c>
      <c r="U146" s="158">
        <v>0</v>
      </c>
      <c r="V146" s="158">
        <v>0</v>
      </c>
      <c r="W146" s="158">
        <v>0</v>
      </c>
      <c r="X146" s="158">
        <f t="shared" si="18"/>
        <v>0</v>
      </c>
      <c r="Y146" s="159"/>
      <c r="Z146" s="160"/>
      <c r="AA146" s="160"/>
      <c r="AB146" s="160"/>
      <c r="AC146" s="160"/>
      <c r="AD146" s="160"/>
      <c r="AE146" s="160"/>
    </row>
    <row r="147" spans="1:31" ht="163.80000000000001" hidden="1">
      <c r="A147" s="151" t="s">
        <v>156</v>
      </c>
      <c r="B147" s="152" t="s">
        <v>167</v>
      </c>
      <c r="C147" s="153" t="str">
        <f>'Управление ИБ'!B182</f>
        <v>Осуществляется запрет на хранение, использование и передачу аутентификационных данных в открытом виде</v>
      </c>
      <c r="D147" s="153" t="str">
        <f>'Управление ИБ'!C182</f>
        <v>УИБ.ИА.8</v>
      </c>
      <c r="E147" s="153">
        <f>'Управление ИБ'!D182</f>
        <v>5</v>
      </c>
      <c r="F147" s="153">
        <f>'Управление ИБ'!E182</f>
        <v>5</v>
      </c>
      <c r="G147" s="153">
        <f>'Управление ИБ'!F182</f>
        <v>1.6</v>
      </c>
      <c r="H147" s="153">
        <f>'Управление ИБ'!S182</f>
        <v>17.080000000000013</v>
      </c>
      <c r="I147" s="154" t="str">
        <f t="shared" si="22"/>
        <v>КБ1</v>
      </c>
      <c r="J147" s="154">
        <f>'Управление ИБ'!K182</f>
        <v>5</v>
      </c>
      <c r="K147" s="153">
        <f>'Управление ИБ'!I182</f>
        <v>0</v>
      </c>
      <c r="L147" s="153">
        <f>'Управление ИБ'!L182</f>
        <v>0</v>
      </c>
      <c r="M147" s="153">
        <f t="shared" si="21"/>
        <v>0</v>
      </c>
      <c r="N147" s="153">
        <f t="shared" si="23"/>
        <v>5</v>
      </c>
      <c r="O147" s="153" t="str">
        <f>'Управление ИБ'!T182</f>
        <v xml:space="preserve"> - Внести в ВНД Общества  запрет на пересылку паролей пользователями в открытом виде;
  - Определить порядок защищенной передачи паролей пользователями.</v>
      </c>
      <c r="P147" s="155" t="s">
        <v>97</v>
      </c>
      <c r="Q147" s="156" t="s">
        <v>1213</v>
      </c>
      <c r="R147" s="153"/>
      <c r="S147" s="157"/>
      <c r="T147" s="151" t="s">
        <v>99</v>
      </c>
      <c r="U147" s="158">
        <v>0</v>
      </c>
      <c r="V147" s="158">
        <v>0</v>
      </c>
      <c r="W147" s="158">
        <v>0</v>
      </c>
      <c r="X147" s="158">
        <f t="shared" si="18"/>
        <v>0</v>
      </c>
      <c r="Y147" s="159"/>
      <c r="Z147" s="160"/>
      <c r="AA147" s="160"/>
      <c r="AB147" s="160"/>
      <c r="AC147" s="160"/>
      <c r="AD147" s="160"/>
      <c r="AE147" s="160"/>
    </row>
    <row r="148" spans="1:31" ht="351" hidden="1">
      <c r="A148" s="151" t="s">
        <v>156</v>
      </c>
      <c r="B148" s="167" t="s">
        <v>163</v>
      </c>
      <c r="C148" s="161" t="str">
        <f>'Управление ИБ'!B110</f>
        <v>Ведется учет используемых и (или) эксплуатируемых физических устройств (АРМ, сервера, принтеры, коммутационное оборудование и т.п.)</v>
      </c>
      <c r="D148" s="161" t="str">
        <f>'Управление ИБ'!C110</f>
        <v>УИБ.ИН.1</v>
      </c>
      <c r="E148" s="161">
        <f>'Управление ИБ'!D110</f>
        <v>5</v>
      </c>
      <c r="F148" s="161">
        <f>'Управление ИБ'!E110</f>
        <v>3.2</v>
      </c>
      <c r="G148" s="161">
        <f>'Управление ИБ'!F110</f>
        <v>1.6</v>
      </c>
      <c r="H148" s="168">
        <f>'Управление ИБ'!S110</f>
        <v>15.01</v>
      </c>
      <c r="I148" s="154" t="str">
        <f t="shared" si="22"/>
        <v>КБ1</v>
      </c>
      <c r="J148" s="169">
        <f>'Управление ИБ'!K110</f>
        <v>5</v>
      </c>
      <c r="K148" s="161">
        <f>'Управление ИБ'!I110</f>
        <v>0</v>
      </c>
      <c r="L148" s="153">
        <f>'Управление ИБ'!L110</f>
        <v>0</v>
      </c>
      <c r="M148" s="153">
        <f t="shared" si="21"/>
        <v>0</v>
      </c>
      <c r="N148" s="153">
        <f t="shared" si="23"/>
        <v>5</v>
      </c>
      <c r="O148" s="153" t="str">
        <f>'Управление ИБ'!T110</f>
        <v xml:space="preserve"> - Разработать и поддерживать детальный реестр эксплуатируемых АРМ и серверов;
  - Записи реестра должны содержать сетевой адрес (если он статический), аппаратный адрес, имя машины, ее владельца, подразделение и разрешение на подключение к сети;
 - Реестр должен пересматриваться и обновляться не реже одного раза в полугодие.</v>
      </c>
      <c r="P148" s="155" t="s">
        <v>97</v>
      </c>
      <c r="Q148" s="156" t="s">
        <v>1147</v>
      </c>
      <c r="R148" s="153"/>
      <c r="S148" s="157"/>
      <c r="T148" s="151" t="s">
        <v>99</v>
      </c>
      <c r="U148" s="158">
        <v>0</v>
      </c>
      <c r="V148" s="158">
        <v>0</v>
      </c>
      <c r="W148" s="158">
        <v>0</v>
      </c>
      <c r="X148" s="158">
        <f t="shared" si="18"/>
        <v>0</v>
      </c>
      <c r="Y148" s="159"/>
      <c r="Z148" s="160"/>
      <c r="AA148" s="160"/>
      <c r="AB148" s="160"/>
      <c r="AC148" s="160"/>
      <c r="AD148" s="160"/>
      <c r="AE148" s="160"/>
    </row>
    <row r="149" spans="1:31" ht="409.6" hidden="1">
      <c r="A149" s="151" t="s">
        <v>156</v>
      </c>
      <c r="B149" s="167" t="s">
        <v>163</v>
      </c>
      <c r="C149" s="161" t="str">
        <f>'Управление ИБ'!B111</f>
        <v>Ведется учет имеющегося и используемого ПО</v>
      </c>
      <c r="D149" s="161" t="str">
        <f>'Управление ИБ'!C111</f>
        <v>УИБ.ИН.2</v>
      </c>
      <c r="E149" s="161">
        <f>'Управление ИБ'!D111</f>
        <v>5</v>
      </c>
      <c r="F149" s="161">
        <f>'Управление ИБ'!E111</f>
        <v>3.2</v>
      </c>
      <c r="G149" s="161">
        <f>'Управление ИБ'!F111</f>
        <v>1.6</v>
      </c>
      <c r="H149" s="168">
        <f>'Управление ИБ'!S111</f>
        <v>15.02</v>
      </c>
      <c r="I149" s="154" t="str">
        <f t="shared" si="22"/>
        <v>КБ1</v>
      </c>
      <c r="J149" s="169">
        <f>'Управление ИБ'!K111</f>
        <v>5</v>
      </c>
      <c r="K149" s="161">
        <f>'Управление ИБ'!I111</f>
        <v>0</v>
      </c>
      <c r="L149" s="153">
        <f>'Управление ИБ'!L111</f>
        <v>0</v>
      </c>
      <c r="M149" s="153">
        <f t="shared" si="21"/>
        <v>0</v>
      </c>
      <c r="N149" s="153">
        <f t="shared" si="23"/>
        <v>5</v>
      </c>
      <c r="O149" s="153" t="str">
        <f>'Управление ИБ'!T111</f>
        <v xml:space="preserve"> - Разработать и поддерживать реестр используемого ПО:
 - Реестр должен содержать название ПО, разработчика, дату установки/начала использования и бизнес-задачу ПО;
 - При необходимости указаны версия, механизм развертывания и дата вывода из эксплуатации;  
  - Для программ с веб- и мобильным доступом должны быть указаны их URL, магазин приложений;
 - Реестр должен пересматриваться и обновляться не реже одного раза в полугодие;
 - Для ведения учета имеющегося и используемого ПО применять средства автоматизации. </v>
      </c>
      <c r="P149" s="155" t="s">
        <v>97</v>
      </c>
      <c r="Q149" s="156" t="s">
        <v>1157</v>
      </c>
      <c r="R149" s="153"/>
      <c r="S149" s="157"/>
      <c r="T149" s="151" t="s">
        <v>99</v>
      </c>
      <c r="U149" s="158">
        <v>0</v>
      </c>
      <c r="V149" s="158">
        <v>0</v>
      </c>
      <c r="W149" s="158">
        <v>0</v>
      </c>
      <c r="X149" s="158">
        <f t="shared" si="18"/>
        <v>0</v>
      </c>
      <c r="Y149" s="159"/>
      <c r="Z149" s="160"/>
      <c r="AA149" s="160"/>
      <c r="AB149" s="160"/>
      <c r="AC149" s="160"/>
      <c r="AD149" s="160"/>
      <c r="AE149" s="160"/>
    </row>
    <row r="150" spans="1:31" ht="409.6" hidden="1">
      <c r="A150" s="151" t="s">
        <v>156</v>
      </c>
      <c r="B150" s="167" t="s">
        <v>163</v>
      </c>
      <c r="C150" s="161" t="str">
        <f>'Управление ИБ'!B112</f>
        <v>Ведется персонифицированный учет учетных записей (УЗ), технологических УЗ, привилегированных УЗ и УЗ групповых почтовых ящиков</v>
      </c>
      <c r="D150" s="161" t="str">
        <f>'Управление ИБ'!C112</f>
        <v>УИБ.ИН.3</v>
      </c>
      <c r="E150" s="161">
        <f>'Управление ИБ'!D112</f>
        <v>5</v>
      </c>
      <c r="F150" s="161">
        <f>'Управление ИБ'!E112</f>
        <v>3.2</v>
      </c>
      <c r="G150" s="161">
        <f>'Управление ИБ'!F112</f>
        <v>1.6</v>
      </c>
      <c r="H150" s="168">
        <f>'Управление ИБ'!S112</f>
        <v>15.03</v>
      </c>
      <c r="I150" s="154" t="str">
        <f t="shared" si="22"/>
        <v>КБ1</v>
      </c>
      <c r="J150" s="169">
        <f>'Управление ИБ'!K112</f>
        <v>5</v>
      </c>
      <c r="K150" s="161">
        <f>'Управление ИБ'!I112</f>
        <v>0</v>
      </c>
      <c r="L150" s="153">
        <f>'Управление ИБ'!L112</f>
        <v>0</v>
      </c>
      <c r="M150" s="153">
        <f t="shared" si="21"/>
        <v>0</v>
      </c>
      <c r="N150" s="153">
        <f t="shared" si="23"/>
        <v>5</v>
      </c>
      <c r="O150" s="153" t="str">
        <f>'Управление ИБ'!T112</f>
        <v xml:space="preserve"> - Разработать или Получить в Блоке ИБ ПАО Ростелеком типовое описание процесса управления учетными записями.
 - Внедрить централизованное управление учетными записями: для централизации должна использоваться служба каталогов или служба идентификации;
Создать и поддерживать реестр учетных записей:
 - Реестр должен включать учетные данные рядовых пользователей и администраторов; 
 - Реестр должен содержать имя, фамилию, подразделение, дату создания/закрытия учетной записи;
 - Проверка учетных записей должна осуществляться  не реже одного раза в квартал. Учетные записи уволенных работников должны быть заблокированы.</v>
      </c>
      <c r="P150" s="155" t="s">
        <v>97</v>
      </c>
      <c r="Q150" s="156" t="s">
        <v>1154</v>
      </c>
      <c r="R150" s="153"/>
      <c r="S150" s="157"/>
      <c r="T150" s="151" t="s">
        <v>99</v>
      </c>
      <c r="U150" s="158">
        <v>0</v>
      </c>
      <c r="V150" s="158">
        <v>0</v>
      </c>
      <c r="W150" s="158">
        <v>0</v>
      </c>
      <c r="X150" s="158">
        <f t="shared" si="18"/>
        <v>0</v>
      </c>
      <c r="Y150" s="159"/>
      <c r="Z150" s="160"/>
      <c r="AA150" s="160"/>
      <c r="AB150" s="160"/>
      <c r="AC150" s="160"/>
      <c r="AD150" s="160"/>
      <c r="AE150" s="160"/>
    </row>
    <row r="151" spans="1:31" ht="409.6" hidden="1">
      <c r="A151" s="151" t="s">
        <v>156</v>
      </c>
      <c r="B151" s="167" t="s">
        <v>163</v>
      </c>
      <c r="C151" s="161" t="str">
        <f>'Управление ИБ'!B113</f>
        <v>Контроль белого (разрешенного) и черного (неразрешенного) списка программного обеспечения.</v>
      </c>
      <c r="D151" s="161" t="str">
        <f>'Управление ИБ'!C113</f>
        <v>УИБ.ИН.4</v>
      </c>
      <c r="E151" s="161">
        <f>'Управление ИБ'!D113</f>
        <v>5</v>
      </c>
      <c r="F151" s="161">
        <f>'Управление ИБ'!E113</f>
        <v>3.2</v>
      </c>
      <c r="G151" s="161">
        <f>'Управление ИБ'!F113</f>
        <v>1.6</v>
      </c>
      <c r="H151" s="168">
        <f>'Управление ИБ'!S113</f>
        <v>15.04</v>
      </c>
      <c r="I151" s="154" t="str">
        <f t="shared" si="22"/>
        <v>КБ1</v>
      </c>
      <c r="J151" s="169">
        <f>'Управление ИБ'!K113</f>
        <v>5</v>
      </c>
      <c r="K151" s="161">
        <f>'Управление ИБ'!I113</f>
        <v>0</v>
      </c>
      <c r="L151" s="153">
        <f>'Управление ИБ'!L113</f>
        <v>0</v>
      </c>
      <c r="M151" s="153">
        <f t="shared" si="21"/>
        <v>0</v>
      </c>
      <c r="N151" s="153">
        <f t="shared" si="23"/>
        <v>5</v>
      </c>
      <c r="O151" s="153" t="str">
        <f>'Управление ИБ'!T113</f>
        <v xml:space="preserve">    - Разработать и поддерживать реестр разрешенного и запрещенного ПО:
   - Реестр должен содержать название ПО, разработчика, дату установки/начала использования и бизнес-задачу ПО. При необходимости должны быть указаны версия, механизм развертывания и дата вывода из эксплуатации;
 - Для программ с веб- и мобильным доступом должны быть указаны их URL, магазин приложений;
 - Реестр должен пересматриваться и обновляться не реже одного раза в полугодие;
- Ограничить возможность установки ПО пользователям
- Администраторам при установке ПО руководствоваться реестром</v>
      </c>
      <c r="P151" s="155" t="s">
        <v>97</v>
      </c>
      <c r="Q151" s="156" t="s">
        <v>1248</v>
      </c>
      <c r="R151" s="153"/>
      <c r="S151" s="157"/>
      <c r="T151" s="151" t="s">
        <v>99</v>
      </c>
      <c r="U151" s="158">
        <v>0</v>
      </c>
      <c r="V151" s="158">
        <v>0</v>
      </c>
      <c r="W151" s="158">
        <v>0</v>
      </c>
      <c r="X151" s="158">
        <f t="shared" si="18"/>
        <v>0</v>
      </c>
      <c r="Y151" s="159"/>
      <c r="Z151" s="160"/>
      <c r="AA151" s="160"/>
      <c r="AB151" s="160"/>
      <c r="AC151" s="160"/>
      <c r="AD151" s="160"/>
      <c r="AE151" s="160"/>
    </row>
    <row r="152" spans="1:31" ht="163.80000000000001" hidden="1">
      <c r="A152" s="151" t="s">
        <v>156</v>
      </c>
      <c r="B152" s="167" t="s">
        <v>163</v>
      </c>
      <c r="C152" s="161" t="str">
        <f>'Управление ИБ'!B114</f>
        <v>Ведется учет использования адресных пространств (IP)</v>
      </c>
      <c r="D152" s="161" t="str">
        <f>'Управление ИБ'!C114</f>
        <v>УИБ.ИН.5</v>
      </c>
      <c r="E152" s="161">
        <f>'Управление ИБ'!D114</f>
        <v>5</v>
      </c>
      <c r="F152" s="161">
        <f>'Управление ИБ'!E114</f>
        <v>3.2</v>
      </c>
      <c r="G152" s="161">
        <f>'Управление ИБ'!F114</f>
        <v>1.6</v>
      </c>
      <c r="H152" s="168">
        <f>'Управление ИБ'!S114</f>
        <v>15.049999999999999</v>
      </c>
      <c r="I152" s="154" t="str">
        <f t="shared" si="22"/>
        <v>КБ1</v>
      </c>
      <c r="J152" s="169">
        <f>'Управление ИБ'!K114</f>
        <v>5</v>
      </c>
      <c r="K152" s="161">
        <f>'Управление ИБ'!I114</f>
        <v>0</v>
      </c>
      <c r="L152" s="153">
        <f>'Управление ИБ'!L114</f>
        <v>0</v>
      </c>
      <c r="M152" s="153">
        <f t="shared" si="21"/>
        <v>0</v>
      </c>
      <c r="N152" s="153">
        <f t="shared" si="23"/>
        <v>5</v>
      </c>
      <c r="O152" s="153" t="str">
        <f>'Управление ИБ'!T114</f>
        <v xml:space="preserve"> - Разработать и поддерживать  реестр адресных пространств (IP);
   - Реестр должен пересматриваться и обновляться не реже одного раза в полугодие</v>
      </c>
      <c r="P152" s="155" t="s">
        <v>97</v>
      </c>
      <c r="Q152" s="156" t="s">
        <v>1159</v>
      </c>
      <c r="R152" s="153"/>
      <c r="S152" s="157"/>
      <c r="T152" s="151" t="s">
        <v>99</v>
      </c>
      <c r="U152" s="158">
        <v>0</v>
      </c>
      <c r="V152" s="158">
        <v>0</v>
      </c>
      <c r="W152" s="158">
        <v>0</v>
      </c>
      <c r="X152" s="158">
        <f t="shared" si="18"/>
        <v>0</v>
      </c>
      <c r="Y152" s="159"/>
      <c r="Z152" s="160"/>
      <c r="AA152" s="160"/>
      <c r="AB152" s="160"/>
      <c r="AC152" s="160"/>
      <c r="AD152" s="160"/>
      <c r="AE152" s="160"/>
    </row>
    <row r="153" spans="1:31" ht="163.80000000000001" hidden="1">
      <c r="A153" s="151" t="s">
        <v>156</v>
      </c>
      <c r="B153" s="167" t="s">
        <v>163</v>
      </c>
      <c r="C153" s="161" t="str">
        <f>'Управление ИБ'!B115</f>
        <v>Ведется учет созданных, используемых и (или) эксплуатируемых ИС</v>
      </c>
      <c r="D153" s="161" t="str">
        <f>'Управление ИБ'!C115</f>
        <v>УИБ.ИН.6</v>
      </c>
      <c r="E153" s="161">
        <f>'Управление ИБ'!D115</f>
        <v>5</v>
      </c>
      <c r="F153" s="161">
        <f>'Управление ИБ'!E115</f>
        <v>3.2</v>
      </c>
      <c r="G153" s="161">
        <f>'Управление ИБ'!F115</f>
        <v>1.6</v>
      </c>
      <c r="H153" s="168">
        <f>'Управление ИБ'!S115</f>
        <v>15.059999999999999</v>
      </c>
      <c r="I153" s="154" t="str">
        <f t="shared" si="22"/>
        <v>КБ1</v>
      </c>
      <c r="J153" s="169">
        <f>'Управление ИБ'!K115</f>
        <v>5</v>
      </c>
      <c r="K153" s="161">
        <f>'Управление ИБ'!I115</f>
        <v>0</v>
      </c>
      <c r="L153" s="153">
        <f>'Управление ИБ'!L115</f>
        <v>0</v>
      </c>
      <c r="M153" s="153">
        <f t="shared" si="21"/>
        <v>0</v>
      </c>
      <c r="N153" s="153">
        <f t="shared" si="23"/>
        <v>5</v>
      </c>
      <c r="O153" s="153" t="str">
        <f>'Управление ИБ'!T115</f>
        <v xml:space="preserve"> - Разработать и поддерживать  реестр информационных систем;
   - Реестр должен пересматриваться и обновляться не реже одного раза в полугодие</v>
      </c>
      <c r="P153" s="155" t="s">
        <v>97</v>
      </c>
      <c r="Q153" s="156" t="s">
        <v>1164</v>
      </c>
      <c r="R153" s="153"/>
      <c r="S153" s="157"/>
      <c r="T153" s="151" t="s">
        <v>99</v>
      </c>
      <c r="U153" s="158">
        <v>0</v>
      </c>
      <c r="V153" s="158">
        <v>0</v>
      </c>
      <c r="W153" s="158">
        <v>0</v>
      </c>
      <c r="X153" s="158">
        <f t="shared" si="18"/>
        <v>0</v>
      </c>
      <c r="Y153" s="159"/>
      <c r="Z153" s="160"/>
      <c r="AA153" s="160"/>
      <c r="AB153" s="160"/>
      <c r="AC153" s="160"/>
      <c r="AD153" s="160"/>
      <c r="AE153" s="160"/>
    </row>
    <row r="154" spans="1:31" ht="187.2" hidden="1">
      <c r="A154" s="151" t="s">
        <v>156</v>
      </c>
      <c r="B154" s="167" t="s">
        <v>163</v>
      </c>
      <c r="C154" s="161" t="str">
        <f>'Управление ИБ'!B117</f>
        <v>Ведется учет опубликованных на внешнем периметре информационные систем, доменов</v>
      </c>
      <c r="D154" s="161" t="str">
        <f>'Управление ИБ'!C117</f>
        <v>УИБ.ИН.7</v>
      </c>
      <c r="E154" s="161">
        <f>'Управление ИБ'!D117</f>
        <v>5</v>
      </c>
      <c r="F154" s="161">
        <f>'Управление ИБ'!E117</f>
        <v>3.2</v>
      </c>
      <c r="G154" s="161">
        <f>'Управление ИБ'!F117</f>
        <v>3.2</v>
      </c>
      <c r="H154" s="168">
        <f>'Управление ИБ'!S117</f>
        <v>15.079999999999998</v>
      </c>
      <c r="I154" s="154" t="str">
        <f t="shared" si="22"/>
        <v>КБ1</v>
      </c>
      <c r="J154" s="169">
        <f>'Управление ИБ'!K117</f>
        <v>5</v>
      </c>
      <c r="K154" s="161">
        <f>'Управление ИБ'!I117</f>
        <v>0</v>
      </c>
      <c r="L154" s="153">
        <f>'Управление ИБ'!L117</f>
        <v>0</v>
      </c>
      <c r="M154" s="153">
        <f t="shared" si="21"/>
        <v>0</v>
      </c>
      <c r="N154" s="153">
        <f t="shared" si="23"/>
        <v>5</v>
      </c>
      <c r="O154" s="153" t="str">
        <f>'Управление ИБ'!T117</f>
        <v xml:space="preserve"> - Разработать и поддерживать  реестр информационных систем и доменов, опубликованных на внешнем периметре;
  - Реестр должен пересматриваться и обновляться не реже одного раза в полугодие</v>
      </c>
      <c r="P154" s="155" t="s">
        <v>97</v>
      </c>
      <c r="Q154" s="156" t="s">
        <v>1162</v>
      </c>
      <c r="R154" s="153"/>
      <c r="S154" s="157"/>
      <c r="T154" s="151" t="s">
        <v>99</v>
      </c>
      <c r="U154" s="158">
        <v>0</v>
      </c>
      <c r="V154" s="158">
        <v>0</v>
      </c>
      <c r="W154" s="158">
        <v>0</v>
      </c>
      <c r="X154" s="158">
        <f t="shared" si="18"/>
        <v>0</v>
      </c>
      <c r="Y154" s="159"/>
      <c r="Z154" s="160"/>
      <c r="AA154" s="160"/>
      <c r="AB154" s="160"/>
      <c r="AC154" s="160"/>
      <c r="AD154" s="160"/>
      <c r="AE154" s="160"/>
    </row>
    <row r="155" spans="1:31" ht="93.6" hidden="1">
      <c r="A155" s="151" t="s">
        <v>156</v>
      </c>
      <c r="B155" s="167" t="s">
        <v>163</v>
      </c>
      <c r="C155" s="161" t="str">
        <f>'Управление ИБ'!B118</f>
        <v>За информационными активами закреплены ответственные</v>
      </c>
      <c r="D155" s="161" t="str">
        <f>'Управление ИБ'!C118</f>
        <v>УИБ.ИН.8</v>
      </c>
      <c r="E155" s="161">
        <f>'Управление ИБ'!D118</f>
        <v>5</v>
      </c>
      <c r="F155" s="161">
        <f>'Управление ИБ'!E118</f>
        <v>3.2</v>
      </c>
      <c r="G155" s="161">
        <f>'Управление ИБ'!F118</f>
        <v>3.2</v>
      </c>
      <c r="H155" s="168">
        <f>'Управление ИБ'!S118</f>
        <v>15.089999999999998</v>
      </c>
      <c r="I155" s="154" t="str">
        <f t="shared" si="22"/>
        <v>КБ1</v>
      </c>
      <c r="J155" s="169">
        <f>'Управление ИБ'!K118</f>
        <v>5</v>
      </c>
      <c r="K155" s="161">
        <f>'Управление ИБ'!I118</f>
        <v>0</v>
      </c>
      <c r="L155" s="153">
        <f>'Управление ИБ'!L118</f>
        <v>0</v>
      </c>
      <c r="M155" s="153">
        <f t="shared" si="21"/>
        <v>0</v>
      </c>
      <c r="N155" s="153">
        <f t="shared" si="23"/>
        <v>5</v>
      </c>
      <c r="O155" s="153" t="str">
        <f>'Управление ИБ'!T118</f>
        <v>Формально закрепить ответственных за информационными системами МС и ВС</v>
      </c>
      <c r="P155" s="155" t="s">
        <v>97</v>
      </c>
      <c r="Q155" s="156" t="s">
        <v>1237</v>
      </c>
      <c r="R155" s="153"/>
      <c r="S155" s="157"/>
      <c r="T155" s="151" t="s">
        <v>99</v>
      </c>
      <c r="U155" s="158">
        <v>0</v>
      </c>
      <c r="V155" s="158">
        <v>0</v>
      </c>
      <c r="W155" s="158">
        <v>0</v>
      </c>
      <c r="X155" s="158">
        <f t="shared" si="18"/>
        <v>0</v>
      </c>
      <c r="Y155" s="159"/>
      <c r="Z155" s="160"/>
      <c r="AA155" s="160"/>
      <c r="AB155" s="160"/>
      <c r="AC155" s="160"/>
      <c r="AD155" s="160"/>
      <c r="AE155" s="160"/>
    </row>
    <row r="156" spans="1:31" ht="409.6" hidden="1">
      <c r="A156" s="151" t="s">
        <v>156</v>
      </c>
      <c r="B156" s="152" t="s">
        <v>221</v>
      </c>
      <c r="C156" s="153" t="str">
        <f>'Управление ИБ'!B143</f>
        <v>При приеме на работу проверка всех кандидатов должна соответствовать законам, регламентам, этическим нормам и быть соразмерной бизнес-требованиям, уровню доступа к информации и предполагаемым рискам.</v>
      </c>
      <c r="D156" s="153" t="str">
        <f>'Управление ИБ'!C143</f>
        <v>УИБ.Л.1</v>
      </c>
      <c r="E156" s="153">
        <f>'Управление ИБ'!D143</f>
        <v>5</v>
      </c>
      <c r="F156" s="153">
        <f>'Управление ИБ'!E143</f>
        <v>5</v>
      </c>
      <c r="G156" s="153">
        <f>'Управление ИБ'!F143</f>
        <v>5</v>
      </c>
      <c r="H156" s="170">
        <f>'Управление ИБ'!S143</f>
        <v>38.01</v>
      </c>
      <c r="I156" s="154" t="str">
        <f t="shared" ref="I156:I167" si="24">IF(H156&lt;=200, "КБ1", IF(H156&lt;=300, "КБ2", "КБ3"))</f>
        <v>КБ1</v>
      </c>
      <c r="J156" s="154">
        <f>'Управление ИБ'!K143</f>
        <v>5</v>
      </c>
      <c r="K156" s="153">
        <f>'Управление ИБ'!I143</f>
        <v>0</v>
      </c>
      <c r="L156" s="153">
        <f>'Управление ИБ'!L147</f>
        <v>0</v>
      </c>
      <c r="M156" s="153">
        <f t="shared" si="21"/>
        <v>0</v>
      </c>
      <c r="N156" s="153">
        <f t="shared" ref="N156:N167" si="25">IF(H156&lt;100,    IF(L156&gt;=G156,0,J156-L156),       IF(H156&lt;300,     IF(L156&gt;=F156,0,J156-L156),                  IF(L156&gt;=E156,0,J156-L156)))</f>
        <v>5</v>
      </c>
      <c r="O156" s="153" t="str">
        <f>'Управление ИБ'!T143</f>
        <v xml:space="preserve"> - Проанализировать анкеты, собираемые от кандидатов со стороны HR и/или службы безопасности, на предмет законности и неизбыточности собираемых данных и проводимых дополнительных проверок;
В случае выявления их избыточности провести работу по корректировке и/или сбору дополнительных согласий на обработку данных сведений от кандидата;
- Закрепить в ВНД процедуры проверки кандидатов, с отсылками на законные основания для их проведения;
- Проводить регулярную актуализацию ВНД с отслеживанием изменений правовых норм</v>
      </c>
      <c r="P156" s="155" t="s">
        <v>97</v>
      </c>
      <c r="Q156" s="156" t="s">
        <v>1225</v>
      </c>
      <c r="R156" s="153"/>
      <c r="S156" s="157"/>
      <c r="T156" s="151" t="s">
        <v>99</v>
      </c>
      <c r="U156" s="158">
        <v>0</v>
      </c>
      <c r="V156" s="158">
        <v>0</v>
      </c>
      <c r="W156" s="158">
        <v>0</v>
      </c>
      <c r="X156" s="158">
        <f t="shared" si="18"/>
        <v>0</v>
      </c>
      <c r="Y156" s="159"/>
      <c r="Z156" s="160"/>
      <c r="AA156" s="160"/>
      <c r="AB156" s="160"/>
      <c r="AC156" s="160"/>
      <c r="AD156" s="160"/>
      <c r="AE156" s="160"/>
    </row>
    <row r="157" spans="1:31" ht="409.6" hidden="1">
      <c r="A157" s="151" t="s">
        <v>156</v>
      </c>
      <c r="B157" s="152" t="s">
        <v>221</v>
      </c>
      <c r="C157" s="153" t="str">
        <f>'Управление ИБ'!B144</f>
        <v>Соглашения о конфиденциальности или неразглашении, отражающие потребности Общества в защите информации, должны быть определены, документированы, регулярно пересматриваться и быть подписанными работниками и иными заинтересованными сторонами.</v>
      </c>
      <c r="D157" s="153" t="str">
        <f>'Управление ИБ'!C144</f>
        <v>УИБ.Л.2</v>
      </c>
      <c r="E157" s="153">
        <f>'Управление ИБ'!D144</f>
        <v>5</v>
      </c>
      <c r="F157" s="153">
        <f>'Управление ИБ'!E144</f>
        <v>5</v>
      </c>
      <c r="G157" s="153">
        <f>'Управление ИБ'!F144</f>
        <v>5</v>
      </c>
      <c r="H157" s="170">
        <f>'Управление ИБ'!S144</f>
        <v>38.019999999999996</v>
      </c>
      <c r="I157" s="154" t="str">
        <f t="shared" si="24"/>
        <v>КБ1</v>
      </c>
      <c r="J157" s="154">
        <f>'Управление ИБ'!K144</f>
        <v>5</v>
      </c>
      <c r="K157" s="153">
        <f>'Управление ИБ'!I144</f>
        <v>0</v>
      </c>
      <c r="L157" s="153">
        <f>'Управление ИБ'!L144</f>
        <v>0</v>
      </c>
      <c r="M157" s="153">
        <f t="shared" si="21"/>
        <v>0</v>
      </c>
      <c r="N157" s="153">
        <f t="shared" si="25"/>
        <v>5</v>
      </c>
      <c r="O157" s="153" t="str">
        <f>'Управление ИБ'!T144</f>
        <v xml:space="preserve"> - Разработать или актуализировать форму соглашения о конфиденциальности работников;
  - Разработать или актуализировать форму соглашения о конфиденциальности для договоров с третьими лицами;
  - Сверить с существующим перечнем конфиденциальной информации организации, убедиться, что все виды информации учтены;
   - Закрепить в ВНД формы соглашений о конфиденциальности и процедуры их сбора и хранения;
   - Проводить регулярную актуализацию ВНД с отслеживанием изменений правовых норм;
   - Разработать и довести до сведения персонала процесс для принятия мер к тем сотрудникам и иным заинтересованным сторонам, которые допустили нарушение требований информационной безопасности.</v>
      </c>
      <c r="P157" s="155" t="s">
        <v>97</v>
      </c>
      <c r="Q157" s="156" t="s">
        <v>1226</v>
      </c>
      <c r="R157" s="153"/>
      <c r="S157" s="157"/>
      <c r="T157" s="151" t="s">
        <v>99</v>
      </c>
      <c r="U157" s="158">
        <v>0</v>
      </c>
      <c r="V157" s="158">
        <v>0</v>
      </c>
      <c r="W157" s="158">
        <v>0</v>
      </c>
      <c r="X157" s="158">
        <f t="shared" si="18"/>
        <v>0</v>
      </c>
      <c r="Y157" s="159"/>
      <c r="Z157" s="160"/>
      <c r="AA157" s="160"/>
      <c r="AB157" s="160"/>
      <c r="AC157" s="160"/>
      <c r="AD157" s="160"/>
      <c r="AE157" s="160"/>
    </row>
    <row r="158" spans="1:31" ht="409.6" hidden="1">
      <c r="A158" s="151" t="s">
        <v>156</v>
      </c>
      <c r="B158" s="152" t="s">
        <v>221</v>
      </c>
      <c r="C158" s="153" t="str">
        <f>'Управление ИБ'!B145</f>
        <v>Ответственность и обязанности по соблюдению информационной безопасности, которые остаются в силе после прекращения или изменения трудовых отношений, должны быть определены и сообщены соответствующему работникиу и иным заинтересованным сторонам, а также обеспечено их выполнение.</v>
      </c>
      <c r="D158" s="153" t="str">
        <f>'Управление ИБ'!C145</f>
        <v>УИБ.Л.3</v>
      </c>
      <c r="E158" s="153">
        <f>'Управление ИБ'!D145</f>
        <v>5</v>
      </c>
      <c r="F158" s="153">
        <f>'Управление ИБ'!E145</f>
        <v>5</v>
      </c>
      <c r="G158" s="153">
        <f>'Управление ИБ'!F145</f>
        <v>5</v>
      </c>
      <c r="H158" s="170">
        <f>'Управление ИБ'!S145</f>
        <v>38.029999999999994</v>
      </c>
      <c r="I158" s="154" t="str">
        <f t="shared" si="24"/>
        <v>КБ1</v>
      </c>
      <c r="J158" s="154">
        <f>'Управление ИБ'!K145</f>
        <v>5</v>
      </c>
      <c r="K158" s="153">
        <f>'Управление ИБ'!I145</f>
        <v>0</v>
      </c>
      <c r="L158" s="153">
        <f>'Управление ИБ'!L145</f>
        <v>0</v>
      </c>
      <c r="M158" s="153">
        <f t="shared" si="21"/>
        <v>0</v>
      </c>
      <c r="N158" s="153">
        <f t="shared" si="25"/>
        <v>5</v>
      </c>
      <c r="O158" s="153" t="str">
        <f>'Управление ИБ'!T145</f>
        <v xml:space="preserve"> - Разработать или актуализировать форму соглашения о конфиденциальности, включив требование о неразглашении в течение зафиксированного срока после прекращения отношений (трудовых или договорных), сдаче всех имеющихся на руках носителей конфиденциальной информации;
 - Закрепить в ВНД формы соглашений о конфиденциальности и процедуры их сбора и хранения;
 - Проводить регулярную актуализацию ВНД с отслеживанием изменений правовых норм</v>
      </c>
      <c r="P158" s="155" t="s">
        <v>97</v>
      </c>
      <c r="Q158" s="156" t="s">
        <v>1227</v>
      </c>
      <c r="R158" s="153"/>
      <c r="S158" s="157"/>
      <c r="T158" s="151" t="s">
        <v>99</v>
      </c>
      <c r="U158" s="158">
        <v>0</v>
      </c>
      <c r="V158" s="158">
        <v>0</v>
      </c>
      <c r="W158" s="158">
        <v>0</v>
      </c>
      <c r="X158" s="158">
        <f t="shared" si="18"/>
        <v>0</v>
      </c>
      <c r="Y158" s="159"/>
      <c r="Z158" s="160"/>
      <c r="AA158" s="160"/>
      <c r="AB158" s="160"/>
      <c r="AC158" s="160"/>
      <c r="AD158" s="160"/>
      <c r="AE158" s="160"/>
    </row>
    <row r="159" spans="1:31" ht="409.6" hidden="1">
      <c r="A159" s="151" t="s">
        <v>156</v>
      </c>
      <c r="B159" s="167" t="s">
        <v>1236</v>
      </c>
      <c r="C159" s="161" t="str">
        <f>'Управление ИБ'!B131</f>
        <v>Требования ИБ формируются на этапе разработки требований к ПО</v>
      </c>
      <c r="D159" s="161" t="str">
        <f>'Управление ИБ'!C131</f>
        <v>УИБ.ПРС.1</v>
      </c>
      <c r="E159" s="161">
        <f>'Управление ИБ'!D131</f>
        <v>5</v>
      </c>
      <c r="F159" s="161">
        <f>'Управление ИБ'!E131</f>
        <v>3.2</v>
      </c>
      <c r="G159" s="161">
        <f>'Управление ИБ'!F131</f>
        <v>1.6</v>
      </c>
      <c r="H159" s="168">
        <f>'Управление ИБ'!S131</f>
        <v>33.01</v>
      </c>
      <c r="I159" s="154" t="str">
        <f t="shared" si="24"/>
        <v>КБ1</v>
      </c>
      <c r="J159" s="169">
        <f>'Управление ИБ'!K131</f>
        <v>5</v>
      </c>
      <c r="K159" s="161">
        <f>'Управление ИБ'!I131</f>
        <v>0</v>
      </c>
      <c r="L159" s="153">
        <f>'Управление ИБ'!L131</f>
        <v>0</v>
      </c>
      <c r="M159" s="153">
        <f t="shared" si="21"/>
        <v>0</v>
      </c>
      <c r="N159" s="153">
        <f t="shared" si="25"/>
        <v>5</v>
      </c>
      <c r="O159" s="153" t="str">
        <f>'Управление ИБ'!T131</f>
        <v xml:space="preserve"> Для систем Mission Critical определить:
-требования безопасности ПО; 
-типовой набор требований безопасности ПО.</v>
      </c>
      <c r="P159" s="155" t="s">
        <v>97</v>
      </c>
      <c r="Q159" s="156" t="s">
        <v>1272</v>
      </c>
      <c r="R159" s="153"/>
      <c r="S159" s="157"/>
      <c r="T159" s="151" t="s">
        <v>99</v>
      </c>
      <c r="U159" s="158">
        <v>0</v>
      </c>
      <c r="V159" s="158">
        <v>0</v>
      </c>
      <c r="W159" s="158">
        <v>0</v>
      </c>
      <c r="X159" s="158">
        <f t="shared" si="18"/>
        <v>0</v>
      </c>
      <c r="Y159" s="159"/>
      <c r="Z159" s="160"/>
      <c r="AA159" s="160"/>
      <c r="AB159" s="160"/>
      <c r="AC159" s="160"/>
      <c r="AD159" s="160"/>
      <c r="AE159" s="160"/>
    </row>
    <row r="160" spans="1:31" ht="409.6" hidden="1">
      <c r="A160" s="151" t="s">
        <v>156</v>
      </c>
      <c r="B160" s="167" t="s">
        <v>1236</v>
      </c>
      <c r="C160" s="161" t="str">
        <f>'Управление ИБ'!B133</f>
        <v>Организован процесс приемки и инсталляции ПО: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v>
      </c>
      <c r="D160" s="153" t="str">
        <f>'Управление ИБ'!C133</f>
        <v>УИБ.ПРС.3</v>
      </c>
      <c r="E160" s="161">
        <f>'Управление ИБ'!D133</f>
        <v>5</v>
      </c>
      <c r="F160" s="161">
        <f>'Управление ИБ'!E133</f>
        <v>3.2</v>
      </c>
      <c r="G160" s="161">
        <f>'Управление ИБ'!F133</f>
        <v>1.6</v>
      </c>
      <c r="H160" s="168">
        <f>'Управление ИБ'!S133</f>
        <v>33.029999999999994</v>
      </c>
      <c r="I160" s="154" t="str">
        <f t="shared" si="24"/>
        <v>КБ1</v>
      </c>
      <c r="J160" s="169">
        <f>'Управление ИБ'!K133</f>
        <v>5</v>
      </c>
      <c r="K160" s="161">
        <f>'Управление ИБ'!I133</f>
        <v>0</v>
      </c>
      <c r="L160" s="153">
        <f>'Управление ИБ'!L133</f>
        <v>0</v>
      </c>
      <c r="M160" s="153">
        <f t="shared" si="21"/>
        <v>0</v>
      </c>
      <c r="N160" s="153">
        <f t="shared" si="25"/>
        <v>5</v>
      </c>
      <c r="O160" s="153" t="str">
        <f>'Управление ИБ'!T133</f>
        <v xml:space="preserve"> Для систем Mission Critical определить:
-порядок приемки ПО перед его запуском в продуктивной среде;
- порядок передачи ПО в продуктивную среду;
-состав и содержание эксплуатационных документов на ПО.</v>
      </c>
      <c r="P160" s="155" t="s">
        <v>97</v>
      </c>
      <c r="Q160" s="156" t="s">
        <v>1280</v>
      </c>
      <c r="R160" s="153"/>
      <c r="S160" s="157"/>
      <c r="T160" s="151" t="s">
        <v>99</v>
      </c>
      <c r="U160" s="158">
        <v>0</v>
      </c>
      <c r="V160" s="158">
        <v>0</v>
      </c>
      <c r="W160" s="158">
        <v>0</v>
      </c>
      <c r="X160" s="158">
        <f t="shared" si="18"/>
        <v>0</v>
      </c>
      <c r="Y160" s="159"/>
      <c r="Z160" s="160"/>
      <c r="AA160" s="160"/>
      <c r="AB160" s="160"/>
      <c r="AC160" s="160"/>
      <c r="AD160" s="160"/>
      <c r="AE160" s="160"/>
    </row>
    <row r="161" spans="1:31" ht="409.6" hidden="1">
      <c r="A161" s="151" t="s">
        <v>156</v>
      </c>
      <c r="B161" s="167" t="s">
        <v>1236</v>
      </c>
      <c r="C161" s="161" t="str">
        <f>'Управление ИБ'!B134</f>
        <v>Организован процесс эксплуатации ПО:
- назначены ответственные за техническую поддержку пользователей ПО
- сформирован порядок информирования пользователей об обновлениях ПО, обнаруженных уязвимостях и окончании технической поддержки
- назначены ответственные за поиск уязвимостей ПО и их устранение</v>
      </c>
      <c r="D161" s="161" t="str">
        <f>'Управление ИБ'!C134</f>
        <v>УИБ.ПРС.4</v>
      </c>
      <c r="E161" s="161">
        <f>'Управление ИБ'!D134</f>
        <v>5</v>
      </c>
      <c r="F161" s="161">
        <f>'Управление ИБ'!E134</f>
        <v>3.2</v>
      </c>
      <c r="G161" s="161">
        <f>'Управление ИБ'!F134</f>
        <v>1.6</v>
      </c>
      <c r="H161" s="168">
        <f>'Управление ИБ'!S134</f>
        <v>33.039999999999992</v>
      </c>
      <c r="I161" s="154" t="str">
        <f t="shared" si="24"/>
        <v>КБ1</v>
      </c>
      <c r="J161" s="169">
        <f>'Управление ИБ'!K134</f>
        <v>5</v>
      </c>
      <c r="K161" s="161">
        <f>'Управление ИБ'!I134</f>
        <v>0</v>
      </c>
      <c r="L161" s="153">
        <f>'Управление ИБ'!L134</f>
        <v>0</v>
      </c>
      <c r="M161" s="153">
        <f t="shared" si="21"/>
        <v>0</v>
      </c>
      <c r="N161" s="153">
        <f t="shared" si="25"/>
        <v>5</v>
      </c>
      <c r="O161" s="153" t="str">
        <f>'Управление ИБ'!T134</f>
        <v>Для систем Mission Critical определить:
- ответственных за техническую поддержку пользователей ПО;
- порядок информирования пользователей об обновлениях ПО,обнаруженных уязвимостях и окончании технической поддержки
- ответственных за поиск уязвимостей ПО и их устранение.</v>
      </c>
      <c r="P161" s="155" t="s">
        <v>97</v>
      </c>
      <c r="Q161" s="156" t="s">
        <v>1281</v>
      </c>
      <c r="R161" s="153"/>
      <c r="S161" s="157"/>
      <c r="T161" s="151" t="s">
        <v>99</v>
      </c>
      <c r="U161" s="158">
        <v>0</v>
      </c>
      <c r="V161" s="158">
        <v>0</v>
      </c>
      <c r="W161" s="158">
        <v>0</v>
      </c>
      <c r="X161" s="158">
        <f t="shared" si="18"/>
        <v>0</v>
      </c>
      <c r="Y161" s="159"/>
      <c r="Z161" s="160"/>
      <c r="AA161" s="160"/>
      <c r="AB161" s="160"/>
      <c r="AC161" s="160"/>
      <c r="AD161" s="160"/>
      <c r="AE161" s="160"/>
    </row>
    <row r="162" spans="1:31" ht="257.39999999999998" hidden="1">
      <c r="A162" s="151" t="s">
        <v>156</v>
      </c>
      <c r="B162" s="167" t="s">
        <v>1236</v>
      </c>
      <c r="C162" s="161" t="str">
        <f>'Управление ИБ'!B136</f>
        <v>Формализованы и определены процедуры контроля сторонней разработки.
Заказчиком осуществляется контроль безопасности ПО при заказе разработки ПО</v>
      </c>
      <c r="D162" s="161" t="str">
        <f>'Управление ИБ'!C136</f>
        <v>УИБ.ПРС.6</v>
      </c>
      <c r="E162" s="161">
        <f>'Управление ИБ'!D136</f>
        <v>5</v>
      </c>
      <c r="F162" s="161">
        <f>'Управление ИБ'!E136</f>
        <v>3.2</v>
      </c>
      <c r="G162" s="161">
        <f>'Управление ИБ'!F136</f>
        <v>1.6</v>
      </c>
      <c r="H162" s="168">
        <f>'Управление ИБ'!S136</f>
        <v>33.059999999999988</v>
      </c>
      <c r="I162" s="154" t="str">
        <f t="shared" si="24"/>
        <v>КБ1</v>
      </c>
      <c r="J162" s="169">
        <f>'Управление ИБ'!K136</f>
        <v>5</v>
      </c>
      <c r="K162" s="161">
        <f>'Управление ИБ'!I136</f>
        <v>0</v>
      </c>
      <c r="L162" s="153">
        <f>'Управление ИБ'!L136</f>
        <v>0</v>
      </c>
      <c r="M162" s="153">
        <f t="shared" si="21"/>
        <v>0</v>
      </c>
      <c r="N162" s="153">
        <f t="shared" si="25"/>
        <v>5</v>
      </c>
      <c r="O162" s="153" t="str">
        <f>'Управление ИБ'!T136</f>
        <v>1.Разработать и утвердить документы:
лицензионный договор;
акт приема-передачи.
2.Вести отчетность по анализу кода ПО, полученного через цепочки поставок, на предмет внедрения вредоносного программного обеспечения для систем Mission Critical.</v>
      </c>
      <c r="P162" s="155" t="s">
        <v>97</v>
      </c>
      <c r="Q162" s="156" t="s">
        <v>1283</v>
      </c>
      <c r="R162" s="153"/>
      <c r="S162" s="157"/>
      <c r="T162" s="151" t="s">
        <v>99</v>
      </c>
      <c r="U162" s="158">
        <v>0</v>
      </c>
      <c r="V162" s="158">
        <v>0</v>
      </c>
      <c r="W162" s="158">
        <v>0</v>
      </c>
      <c r="X162" s="158">
        <f t="shared" si="18"/>
        <v>0</v>
      </c>
      <c r="Y162" s="159"/>
      <c r="Z162" s="160"/>
      <c r="AA162" s="160"/>
      <c r="AB162" s="160"/>
      <c r="AC162" s="160"/>
      <c r="AD162" s="160"/>
      <c r="AE162" s="160"/>
    </row>
    <row r="163" spans="1:31" ht="374.4" hidden="1">
      <c r="A163" s="151" t="s">
        <v>156</v>
      </c>
      <c r="B163" s="167" t="s">
        <v>1236</v>
      </c>
      <c r="C163" s="161" t="str">
        <f>'Управление ИБ'!B137</f>
        <v>Создан и актуален реестр одобренных компонентов ПО, принадлежащих сторонним производителям. 
Отслеживаются  обновления и свежие версии компонентов не реже раз в месяц.</v>
      </c>
      <c r="D163" s="161" t="str">
        <f>'Управление ИБ'!C137</f>
        <v>УИБ.ПРС.7</v>
      </c>
      <c r="E163" s="161">
        <f>'Управление ИБ'!D137</f>
        <v>5</v>
      </c>
      <c r="F163" s="161">
        <f>'Управление ИБ'!E137</f>
        <v>3.2</v>
      </c>
      <c r="G163" s="161">
        <f>'Управление ИБ'!F137</f>
        <v>1.6</v>
      </c>
      <c r="H163" s="168">
        <f>'Управление ИБ'!S137</f>
        <v>33.069999999999986</v>
      </c>
      <c r="I163" s="154" t="str">
        <f t="shared" si="24"/>
        <v>КБ1</v>
      </c>
      <c r="J163" s="169">
        <f>'Управление ИБ'!K137</f>
        <v>5</v>
      </c>
      <c r="K163" s="161">
        <f>'Управление ИБ'!I137</f>
        <v>0</v>
      </c>
      <c r="L163" s="153">
        <f>'Управление ИБ'!L137</f>
        <v>0</v>
      </c>
      <c r="M163" s="153">
        <f t="shared" si="21"/>
        <v>0</v>
      </c>
      <c r="N163" s="153">
        <f t="shared" si="25"/>
        <v>5</v>
      </c>
      <c r="O163" s="153" t="str">
        <f>'Управление ИБ'!T137</f>
        <v>1.Задокументировать порядок формирования списка доверенных компонентов, критерии доверия и правила использования. 
2.Создать реестр одобренных компонентов ПО;</v>
      </c>
      <c r="P163" s="155" t="s">
        <v>97</v>
      </c>
      <c r="Q163" s="156" t="s">
        <v>1285</v>
      </c>
      <c r="R163" s="153"/>
      <c r="S163" s="157"/>
      <c r="T163" s="151" t="s">
        <v>99</v>
      </c>
      <c r="U163" s="158">
        <v>0</v>
      </c>
      <c r="V163" s="158">
        <v>0</v>
      </c>
      <c r="W163" s="158">
        <v>0</v>
      </c>
      <c r="X163" s="158">
        <f t="shared" si="18"/>
        <v>0</v>
      </c>
      <c r="Y163" s="159"/>
      <c r="Z163" s="160"/>
      <c r="AA163" s="160"/>
      <c r="AB163" s="160"/>
      <c r="AC163" s="160"/>
      <c r="AD163" s="160"/>
      <c r="AE163" s="160"/>
    </row>
    <row r="164" spans="1:31" ht="397.8" hidden="1">
      <c r="A164" s="151" t="s">
        <v>156</v>
      </c>
      <c r="B164" s="167" t="s">
        <v>1236</v>
      </c>
      <c r="C164" s="161" t="str">
        <f>'Управление ИБ'!B138</f>
        <v>Компоненты Реестра ПО скачиваются из проверенных источников и проверяются на безопасность перед установкой</v>
      </c>
      <c r="D164" s="161" t="str">
        <f>'Управление ИБ'!C138</f>
        <v>УИБ.ПРС.8</v>
      </c>
      <c r="E164" s="161">
        <f>'Управление ИБ'!D138</f>
        <v>5</v>
      </c>
      <c r="F164" s="161">
        <f>'Управление ИБ'!E138</f>
        <v>3.2</v>
      </c>
      <c r="G164" s="161">
        <f>'Управление ИБ'!F138</f>
        <v>1.6</v>
      </c>
      <c r="H164" s="168">
        <f>'Управление ИБ'!S138</f>
        <v>33.079999999999984</v>
      </c>
      <c r="I164" s="154" t="str">
        <f t="shared" si="24"/>
        <v>КБ1</v>
      </c>
      <c r="J164" s="169">
        <f>'Управление ИБ'!K138</f>
        <v>5</v>
      </c>
      <c r="K164" s="161">
        <f>'Управление ИБ'!I138</f>
        <v>0</v>
      </c>
      <c r="L164" s="153">
        <f>'Управление ИБ'!L138</f>
        <v>0</v>
      </c>
      <c r="M164" s="153">
        <f t="shared" si="21"/>
        <v>0</v>
      </c>
      <c r="N164" s="153">
        <f t="shared" si="25"/>
        <v>5</v>
      </c>
      <c r="O164" s="153" t="str">
        <f>'Управление ИБ'!T138</f>
        <v>1.Определить порядок скачивания компонентов ПО из проверенных источников;
2.Определить критериии доверия к компонентам ПО.</v>
      </c>
      <c r="P164" s="155" t="s">
        <v>97</v>
      </c>
      <c r="Q164" s="156" t="s">
        <v>1288</v>
      </c>
      <c r="R164" s="153"/>
      <c r="S164" s="157"/>
      <c r="T164" s="151" t="s">
        <v>99</v>
      </c>
      <c r="U164" s="158">
        <v>0</v>
      </c>
      <c r="V164" s="158">
        <v>0</v>
      </c>
      <c r="W164" s="158">
        <v>0</v>
      </c>
      <c r="X164" s="158">
        <f t="shared" si="18"/>
        <v>0</v>
      </c>
      <c r="Y164" s="159"/>
      <c r="Z164" s="160"/>
      <c r="AA164" s="160"/>
      <c r="AB164" s="160"/>
      <c r="AC164" s="160"/>
      <c r="AD164" s="160"/>
      <c r="AE164" s="160"/>
    </row>
    <row r="165" spans="1:31" ht="140.4" hidden="1">
      <c r="A165" s="151" t="s">
        <v>156</v>
      </c>
      <c r="B165" s="167" t="s">
        <v>1236</v>
      </c>
      <c r="C165" s="161" t="str">
        <f>'Управление ИБ'!B139</f>
        <v>Для обеспечения безопасности критичных компонентов ПО используются механизмы безопасности системного уровня</v>
      </c>
      <c r="D165" s="161" t="str">
        <f>'Управление ИБ'!C139</f>
        <v>УИБ.ПРС.9</v>
      </c>
      <c r="E165" s="161">
        <f>'Управление ИБ'!D139</f>
        <v>5</v>
      </c>
      <c r="F165" s="161">
        <f>'Управление ИБ'!E139</f>
        <v>3.2</v>
      </c>
      <c r="G165" s="161">
        <f>'Управление ИБ'!F139</f>
        <v>1.6</v>
      </c>
      <c r="H165" s="168">
        <f>'Управление ИБ'!S139</f>
        <v>33.089999999999982</v>
      </c>
      <c r="I165" s="154" t="str">
        <f t="shared" si="24"/>
        <v>КБ1</v>
      </c>
      <c r="J165" s="169">
        <f>'Управление ИБ'!K139</f>
        <v>5</v>
      </c>
      <c r="K165" s="161">
        <f>'Управление ИБ'!I139</f>
        <v>0</v>
      </c>
      <c r="L165" s="153">
        <f>'Управление ИБ'!L139</f>
        <v>0</v>
      </c>
      <c r="M165" s="153">
        <f t="shared" si="21"/>
        <v>0</v>
      </c>
      <c r="N165" s="153">
        <f t="shared" si="25"/>
        <v>5</v>
      </c>
      <c r="O165" s="153" t="str">
        <f>'Управление ИБ'!T139</f>
        <v>Для систем Mission Critical  определить механизмы безопасности системного уровня для обеспечения безопасности критичных компонентов ПО</v>
      </c>
      <c r="P165" s="155" t="s">
        <v>97</v>
      </c>
      <c r="Q165" s="156" t="s">
        <v>1275</v>
      </c>
      <c r="R165" s="153"/>
      <c r="S165" s="157"/>
      <c r="T165" s="151" t="s">
        <v>99</v>
      </c>
      <c r="U165" s="158">
        <v>0</v>
      </c>
      <c r="V165" s="158">
        <v>0</v>
      </c>
      <c r="W165" s="158">
        <v>0</v>
      </c>
      <c r="X165" s="158">
        <f t="shared" si="18"/>
        <v>0</v>
      </c>
      <c r="Y165" s="159"/>
      <c r="Z165" s="160"/>
      <c r="AA165" s="160"/>
      <c r="AB165" s="160"/>
      <c r="AC165" s="160"/>
      <c r="AD165" s="160"/>
      <c r="AE165" s="160"/>
    </row>
    <row r="166" spans="1:31" ht="163.80000000000001" hidden="1">
      <c r="A166" s="151" t="s">
        <v>156</v>
      </c>
      <c r="B166" s="152" t="s">
        <v>201</v>
      </c>
      <c r="C166" s="153" t="str">
        <f>'Управление ИБ'!B100</f>
        <v>Информационные системы Общества соотнесены с ИТ-инфраструктурой, на которой они функциониуют, а также с информационными ресурсами, относящимися к данным ИС</v>
      </c>
      <c r="D166" s="153" t="str">
        <f>'Управление ИБ'!C100</f>
        <v>УИБ.УА.1</v>
      </c>
      <c r="E166" s="153">
        <f>'Управление ИБ'!D100</f>
        <v>5</v>
      </c>
      <c r="F166" s="153">
        <f>'Управление ИБ'!E100</f>
        <v>3.2</v>
      </c>
      <c r="G166" s="153">
        <f>'Управление ИБ'!F100</f>
        <v>1.6</v>
      </c>
      <c r="H166" s="153">
        <f>'Управление ИБ'!S100</f>
        <v>29.01</v>
      </c>
      <c r="I166" s="154" t="str">
        <f t="shared" si="24"/>
        <v>КБ1</v>
      </c>
      <c r="J166" s="154">
        <f>'Управление ИБ'!K100</f>
        <v>5</v>
      </c>
      <c r="K166" s="153">
        <f>'Управление ИБ'!I100</f>
        <v>0</v>
      </c>
      <c r="L166" s="153">
        <f>'Управление ИБ'!L100</f>
        <v>0</v>
      </c>
      <c r="M166" s="153">
        <f t="shared" si="21"/>
        <v>0</v>
      </c>
      <c r="N166" s="153">
        <f t="shared" si="25"/>
        <v>5</v>
      </c>
      <c r="O166" s="153" t="str">
        <f>'Управление ИБ'!T100</f>
        <v xml:space="preserve"> - Выполнить инвентаризацию ИС и информационных ресурсов. 
- Установить принадлежность ресурсов к ИС
- Установить принадлежность ИС к инфраструктуре</v>
      </c>
      <c r="P166" s="155" t="s">
        <v>97</v>
      </c>
      <c r="Q166" s="156" t="s">
        <v>1241</v>
      </c>
      <c r="R166" s="153"/>
      <c r="S166" s="157"/>
      <c r="T166" s="151" t="s">
        <v>99</v>
      </c>
      <c r="U166" s="158">
        <v>0</v>
      </c>
      <c r="V166" s="158">
        <v>0</v>
      </c>
      <c r="W166" s="158">
        <v>0</v>
      </c>
      <c r="X166" s="158">
        <f t="shared" si="18"/>
        <v>0</v>
      </c>
      <c r="Y166" s="159"/>
      <c r="Z166" s="160"/>
      <c r="AA166" s="160"/>
      <c r="AB166" s="160"/>
      <c r="AC166" s="160"/>
      <c r="AD166" s="160"/>
      <c r="AE166" s="160"/>
    </row>
    <row r="167" spans="1:31" ht="117" hidden="1">
      <c r="A167" s="151" t="s">
        <v>156</v>
      </c>
      <c r="B167" s="152" t="s">
        <v>201</v>
      </c>
      <c r="C167" s="153" t="str">
        <f>'Управление ИБ'!B101</f>
        <v>Внедрен процесс инвентаризации и категорирования информационных активов</v>
      </c>
      <c r="D167" s="153" t="str">
        <f>'Управление ИБ'!C101</f>
        <v>УИБ.УА.2</v>
      </c>
      <c r="E167" s="153">
        <f>'Управление ИБ'!D101</f>
        <v>4</v>
      </c>
      <c r="F167" s="153">
        <f>'Управление ИБ'!E101</f>
        <v>3</v>
      </c>
      <c r="G167" s="153">
        <f>'Управление ИБ'!F101</f>
        <v>1</v>
      </c>
      <c r="H167" s="153">
        <f>'Управление ИБ'!S101</f>
        <v>29.020000000000003</v>
      </c>
      <c r="I167" s="154" t="str">
        <f t="shared" si="24"/>
        <v>КБ1</v>
      </c>
      <c r="J167" s="154">
        <f>'Управление ИБ'!K101</f>
        <v>4</v>
      </c>
      <c r="K167" s="153">
        <f>'Управление ИБ'!I101</f>
        <v>0</v>
      </c>
      <c r="L167" s="153">
        <f>'Управление ИБ'!L101</f>
        <v>0</v>
      </c>
      <c r="M167" s="153">
        <f t="shared" si="21"/>
        <v>0</v>
      </c>
      <c r="N167" s="153">
        <f t="shared" si="25"/>
        <v>4</v>
      </c>
      <c r="O167" s="153" t="str">
        <f>'Управление ИБ'!T101</f>
        <v xml:space="preserve">- Ведется реестр информационных активов с определением уровней критичности 
</v>
      </c>
      <c r="P167" s="155" t="s">
        <v>97</v>
      </c>
      <c r="Q167" s="156" t="s">
        <v>1167</v>
      </c>
      <c r="R167" s="153"/>
      <c r="S167" s="157"/>
      <c r="T167" s="151" t="s">
        <v>99</v>
      </c>
      <c r="U167" s="158">
        <v>0</v>
      </c>
      <c r="V167" s="158">
        <v>0</v>
      </c>
      <c r="W167" s="158">
        <v>0</v>
      </c>
      <c r="X167" s="158">
        <f t="shared" si="18"/>
        <v>0</v>
      </c>
      <c r="Y167" s="159"/>
      <c r="Z167" s="160"/>
      <c r="AA167" s="160"/>
      <c r="AB167" s="160"/>
      <c r="AC167" s="160"/>
      <c r="AD167" s="160"/>
      <c r="AE167" s="160"/>
    </row>
    <row r="168" spans="1:31" ht="409.6" hidden="1">
      <c r="A168" s="151" t="s">
        <v>156</v>
      </c>
      <c r="B168" s="152" t="s">
        <v>165</v>
      </c>
      <c r="C168" s="153" t="str">
        <f>'Управление ИБ'!B173</f>
        <v xml:space="preserve">При организации доступа к сети Интернет осуществляется контроль сетевых  протоколов и портов, URL адресов </v>
      </c>
      <c r="D168" s="153" t="str">
        <f>'Управление ИБ'!C173</f>
        <v>УИБ.УД.10</v>
      </c>
      <c r="E168" s="153">
        <f>'Управление ИБ'!D173</f>
        <v>5</v>
      </c>
      <c r="F168" s="153">
        <f>'Управление ИБ'!E173</f>
        <v>3.2</v>
      </c>
      <c r="G168" s="153">
        <f>'Управление ИБ'!F173</f>
        <v>1.6</v>
      </c>
      <c r="H168" s="170">
        <f>'Управление ИБ'!S173</f>
        <v>16.100000000000016</v>
      </c>
      <c r="I168" s="154" t="str">
        <f t="shared" ref="I168:I175" si="26">IF(H168&lt;=200,"КБ1",IF(H168&lt;=300,"КБ2","КБ3"))</f>
        <v>КБ1</v>
      </c>
      <c r="J168" s="154">
        <f>'Управление ИБ'!K173</f>
        <v>5</v>
      </c>
      <c r="K168" s="153">
        <f>'Управление ИБ'!I173</f>
        <v>0</v>
      </c>
      <c r="L168" s="153">
        <f>'Управление ИБ'!L173</f>
        <v>0</v>
      </c>
      <c r="M168" s="153">
        <f t="shared" si="21"/>
        <v>0</v>
      </c>
      <c r="N168" s="153">
        <f t="shared" ref="N168:N175" si="27">IF(H168&lt;100,IF(L168&gt;=G168,0,J168-L168),IF(H168&lt;300,IF(L168&gt;=F168,0,J168-L168),IF(L168&gt;=E168,0,J168-L168)))</f>
        <v>5</v>
      </c>
      <c r="O168" s="153" t="str">
        <f>'Управление ИБ'!T173</f>
        <v xml:space="preserve"> - Разработать или Получить в Блоке ИБ ПАО Ростелеком перечень сетевых протоколов и портов, используемых при взаимодействии с сетью интернет;
  - Ограничить использование небезопасных протоколов;
  - Реализовать процесс согласования при организации взаимодействия ИС с сетью интернет;
  - Обеспечить учет всех ИС, взаимодействующих с интернетом;
  - Обеспечить блокировку доступа в интернет всех неучтенных ИС.</v>
      </c>
      <c r="P168" s="155" t="s">
        <v>97</v>
      </c>
      <c r="Q168" s="156" t="s">
        <v>1257</v>
      </c>
      <c r="R168" s="153"/>
      <c r="S168" s="157"/>
      <c r="T168" s="151" t="s">
        <v>99</v>
      </c>
      <c r="U168" s="158">
        <v>0</v>
      </c>
      <c r="V168" s="158">
        <v>0</v>
      </c>
      <c r="W168" s="158">
        <v>0</v>
      </c>
      <c r="X168" s="158">
        <f t="shared" si="18"/>
        <v>0</v>
      </c>
      <c r="Y168" s="159"/>
      <c r="Z168" s="160"/>
      <c r="AA168" s="160"/>
      <c r="AB168" s="160"/>
      <c r="AC168" s="160"/>
      <c r="AD168" s="160"/>
      <c r="AE168" s="160"/>
    </row>
    <row r="169" spans="1:31" ht="163.80000000000001" hidden="1">
      <c r="A169" s="151" t="s">
        <v>156</v>
      </c>
      <c r="B169" s="152" t="s">
        <v>165</v>
      </c>
      <c r="C169" s="153" t="str">
        <f>'Управление ИБ'!B165</f>
        <v>Доступ к ИА Осуществляется на основе согласованных с ИБ ролевых моделей (исключение SoD-конфликтов)</v>
      </c>
      <c r="D169" s="153" t="str">
        <f>'Управление ИБ'!C165</f>
        <v>УИБ.УД.2</v>
      </c>
      <c r="E169" s="153">
        <f>'Управление ИБ'!D165</f>
        <v>5</v>
      </c>
      <c r="F169" s="153">
        <f>'Управление ИБ'!E165</f>
        <v>3.2</v>
      </c>
      <c r="G169" s="153">
        <f>'Управление ИБ'!F165</f>
        <v>1.6</v>
      </c>
      <c r="H169" s="170">
        <f>'Управление ИБ'!S165</f>
        <v>16.020000000000003</v>
      </c>
      <c r="I169" s="154" t="str">
        <f t="shared" si="26"/>
        <v>КБ1</v>
      </c>
      <c r="J169" s="154">
        <f>'Управление ИБ'!K165</f>
        <v>5</v>
      </c>
      <c r="K169" s="153">
        <f>'Управление ИБ'!I165</f>
        <v>0</v>
      </c>
      <c r="L169" s="153">
        <f>'Управление ИБ'!L165</f>
        <v>0</v>
      </c>
      <c r="M169" s="153">
        <f t="shared" si="21"/>
        <v>0</v>
      </c>
      <c r="N169" s="153">
        <f t="shared" si="27"/>
        <v>5</v>
      </c>
      <c r="O169" s="153" t="str">
        <f>'Управление ИБ'!T165</f>
        <v xml:space="preserve"> - Определить порядок формирования ролевых моделей;
  - Разработать ролевые модели для информационных систем и согласовать с подразделением ИБ. </v>
      </c>
      <c r="P169" s="155" t="s">
        <v>97</v>
      </c>
      <c r="Q169" s="156" t="s">
        <v>1260</v>
      </c>
      <c r="R169" s="153"/>
      <c r="S169" s="157"/>
      <c r="T169" s="151" t="s">
        <v>99</v>
      </c>
      <c r="U169" s="158">
        <v>0</v>
      </c>
      <c r="V169" s="158">
        <v>0</v>
      </c>
      <c r="W169" s="158">
        <v>0</v>
      </c>
      <c r="X169" s="158">
        <f t="shared" si="18"/>
        <v>0</v>
      </c>
      <c r="Y169" s="159"/>
      <c r="Z169" s="160"/>
      <c r="AA169" s="160"/>
      <c r="AB169" s="160"/>
      <c r="AC169" s="160"/>
      <c r="AD169" s="160"/>
      <c r="AE169" s="160"/>
    </row>
    <row r="170" spans="1:31" ht="140.4" hidden="1">
      <c r="A170" s="151" t="s">
        <v>156</v>
      </c>
      <c r="B170" s="152" t="s">
        <v>165</v>
      </c>
      <c r="C170" s="153" t="str">
        <f>'Управление ИБ'!B166</f>
        <v>ИБ участвует в согласовании и предоставлении доступа</v>
      </c>
      <c r="D170" s="153" t="str">
        <f>'Управление ИБ'!C166</f>
        <v>УИБ.УД.3</v>
      </c>
      <c r="E170" s="153">
        <f>'Управление ИБ'!D166</f>
        <v>5</v>
      </c>
      <c r="F170" s="153">
        <f>'Управление ИБ'!E166</f>
        <v>3.2</v>
      </c>
      <c r="G170" s="153">
        <f>'Управление ИБ'!F166</f>
        <v>1.6</v>
      </c>
      <c r="H170" s="170">
        <f>'Управление ИБ'!S166</f>
        <v>16.030000000000005</v>
      </c>
      <c r="I170" s="154" t="str">
        <f t="shared" si="26"/>
        <v>КБ1</v>
      </c>
      <c r="J170" s="154">
        <f>'Управление ИБ'!K166</f>
        <v>5</v>
      </c>
      <c r="K170" s="153">
        <f>'Управление ИБ'!I166</f>
        <v>0</v>
      </c>
      <c r="L170" s="153">
        <f>'Управление ИБ'!L166</f>
        <v>0</v>
      </c>
      <c r="M170" s="153">
        <f t="shared" si="21"/>
        <v>0</v>
      </c>
      <c r="N170" s="153">
        <f t="shared" si="27"/>
        <v>5</v>
      </c>
      <c r="O170" s="153" t="str">
        <f>'Управление ИБ'!T166</f>
        <v xml:space="preserve"> - Регламентировать процесс согласования прав доступа для ИС, находящихся в промышленной эксплуатации;
   - Включить подразделение ИБ в цепочку согласования. </v>
      </c>
      <c r="P170" s="155" t="s">
        <v>97</v>
      </c>
      <c r="Q170" s="156" t="s">
        <v>1263</v>
      </c>
      <c r="R170" s="153"/>
      <c r="S170" s="157"/>
      <c r="T170" s="151" t="s">
        <v>99</v>
      </c>
      <c r="U170" s="158">
        <v>0</v>
      </c>
      <c r="V170" s="158">
        <v>0</v>
      </c>
      <c r="W170" s="158">
        <v>0</v>
      </c>
      <c r="X170" s="158">
        <f t="shared" si="18"/>
        <v>0</v>
      </c>
      <c r="Y170" s="159"/>
      <c r="Z170" s="160"/>
      <c r="AA170" s="160"/>
      <c r="AB170" s="160"/>
      <c r="AC170" s="160"/>
      <c r="AD170" s="160"/>
      <c r="AE170" s="160"/>
    </row>
    <row r="171" spans="1:31" ht="187.2" hidden="1">
      <c r="A171" s="151" t="s">
        <v>156</v>
      </c>
      <c r="B171" s="152" t="s">
        <v>165</v>
      </c>
      <c r="C171" s="153" t="str">
        <f>'Управление ИБ'!B169</f>
        <v>Проводится регулярный аудит УЗ и доступов не реже одного раза в год</v>
      </c>
      <c r="D171" s="153" t="str">
        <f>'Управление ИБ'!C169</f>
        <v>УИБ.УД.6</v>
      </c>
      <c r="E171" s="153">
        <f>'Управление ИБ'!D169</f>
        <v>5</v>
      </c>
      <c r="F171" s="153">
        <f>'Управление ИБ'!E169</f>
        <v>3.2</v>
      </c>
      <c r="G171" s="153">
        <f>'Управление ИБ'!F169</f>
        <v>1.6</v>
      </c>
      <c r="H171" s="170">
        <f>'Управление ИБ'!S169</f>
        <v>16.060000000000009</v>
      </c>
      <c r="I171" s="154" t="str">
        <f t="shared" si="26"/>
        <v>КБ1</v>
      </c>
      <c r="J171" s="154">
        <f>'Управление ИБ'!K169</f>
        <v>5</v>
      </c>
      <c r="K171" s="153">
        <f>'Управление ИБ'!I169</f>
        <v>0</v>
      </c>
      <c r="L171" s="153">
        <f>'Управление ИБ'!L169</f>
        <v>0</v>
      </c>
      <c r="M171" s="153">
        <f t="shared" si="21"/>
        <v>0</v>
      </c>
      <c r="N171" s="153">
        <f t="shared" si="27"/>
        <v>5</v>
      </c>
      <c r="O171" s="153" t="str">
        <f>'Управление ИБ'!T169</f>
        <v xml:space="preserve"> - Реализовать процесс регулярного аудита административных учетных записей и других привилегированных учетных записей;
  - Обеспечить проведение аудита не реже чем раз в 1 год.</v>
      </c>
      <c r="P171" s="155" t="s">
        <v>97</v>
      </c>
      <c r="Q171" s="156" t="s">
        <v>1156</v>
      </c>
      <c r="R171" s="153"/>
      <c r="S171" s="157"/>
      <c r="T171" s="151" t="s">
        <v>99</v>
      </c>
      <c r="U171" s="158">
        <v>0</v>
      </c>
      <c r="V171" s="158">
        <v>0</v>
      </c>
      <c r="W171" s="158">
        <v>0</v>
      </c>
      <c r="X171" s="158">
        <f t="shared" si="18"/>
        <v>0</v>
      </c>
      <c r="Y171" s="159"/>
      <c r="Z171" s="160"/>
      <c r="AA171" s="160"/>
      <c r="AB171" s="160"/>
      <c r="AC171" s="160"/>
      <c r="AD171" s="160"/>
      <c r="AE171" s="160"/>
    </row>
    <row r="172" spans="1:31" ht="210.6" hidden="1">
      <c r="A172" s="151" t="s">
        <v>156</v>
      </c>
      <c r="B172" s="152" t="s">
        <v>165</v>
      </c>
      <c r="C172" s="153" t="str">
        <f>'Управление ИБ'!B170</f>
        <v>Привелигированные пользователи для администрирования используют дополнительные учетные записи</v>
      </c>
      <c r="D172" s="153" t="str">
        <f>'Управление ИБ'!C170</f>
        <v>УИБ.УД.7</v>
      </c>
      <c r="E172" s="153">
        <f>'Управление ИБ'!D170</f>
        <v>5</v>
      </c>
      <c r="F172" s="153">
        <f>'Управление ИБ'!E170</f>
        <v>5</v>
      </c>
      <c r="G172" s="153">
        <f>'Управление ИБ'!F170</f>
        <v>5</v>
      </c>
      <c r="H172" s="170">
        <f>'Управление ИБ'!S170</f>
        <v>16.070000000000011</v>
      </c>
      <c r="I172" s="154" t="str">
        <f t="shared" si="26"/>
        <v>КБ1</v>
      </c>
      <c r="J172" s="154">
        <f>'Управление ИБ'!K170</f>
        <v>5</v>
      </c>
      <c r="K172" s="153">
        <f>'Управление ИБ'!I170</f>
        <v>0</v>
      </c>
      <c r="L172" s="153">
        <f>'Управление ИБ'!L170</f>
        <v>0</v>
      </c>
      <c r="M172" s="153">
        <f t="shared" si="21"/>
        <v>0</v>
      </c>
      <c r="N172" s="153">
        <f t="shared" si="27"/>
        <v>5</v>
      </c>
      <c r="O172" s="153" t="str">
        <f>'Управление ИБ'!T170</f>
        <v xml:space="preserve"> - Создать для администраторов ИС раздельные учетные записи - привилегированная УЗ для задач администрирования и непривилегированная УЗ для других задач;
   - Запретить использовать административную учетную запись не по назначению.</v>
      </c>
      <c r="P172" s="155" t="s">
        <v>97</v>
      </c>
      <c r="Q172" s="156" t="s">
        <v>166</v>
      </c>
      <c r="R172" s="153"/>
      <c r="S172" s="157"/>
      <c r="T172" s="151" t="s">
        <v>99</v>
      </c>
      <c r="U172" s="158">
        <v>0</v>
      </c>
      <c r="V172" s="158">
        <v>0</v>
      </c>
      <c r="W172" s="158">
        <v>0</v>
      </c>
      <c r="X172" s="158">
        <f t="shared" si="18"/>
        <v>0</v>
      </c>
      <c r="Y172" s="159"/>
      <c r="Z172" s="160"/>
      <c r="AA172" s="160"/>
      <c r="AB172" s="160"/>
      <c r="AC172" s="160"/>
      <c r="AD172" s="160"/>
      <c r="AE172" s="160"/>
    </row>
    <row r="173" spans="1:31" ht="210.6" hidden="1">
      <c r="A173" s="151" t="s">
        <v>156</v>
      </c>
      <c r="B173" s="152" t="s">
        <v>165</v>
      </c>
      <c r="C173" s="153" t="str">
        <f>'Управление ИБ'!B171</f>
        <v>Существует возможность быстрого отзыва прав доступа</v>
      </c>
      <c r="D173" s="153" t="str">
        <f>'Управление ИБ'!C171</f>
        <v>УИБ.УД.8</v>
      </c>
      <c r="E173" s="153">
        <f>'Управление ИБ'!D171</f>
        <v>5</v>
      </c>
      <c r="F173" s="153">
        <f>'Управление ИБ'!E171</f>
        <v>5</v>
      </c>
      <c r="G173" s="153">
        <f>'Управление ИБ'!F171</f>
        <v>5</v>
      </c>
      <c r="H173" s="170">
        <f>'Управление ИБ'!S171</f>
        <v>16.080000000000013</v>
      </c>
      <c r="I173" s="154" t="str">
        <f t="shared" si="26"/>
        <v>КБ1</v>
      </c>
      <c r="J173" s="154">
        <f>'Управление ИБ'!K171</f>
        <v>5</v>
      </c>
      <c r="K173" s="153">
        <f>'Управление ИБ'!I171</f>
        <v>0</v>
      </c>
      <c r="L173" s="153">
        <f>'Управление ИБ'!L171</f>
        <v>0</v>
      </c>
      <c r="M173" s="153">
        <f t="shared" si="21"/>
        <v>0</v>
      </c>
      <c r="N173" s="153">
        <f t="shared" si="27"/>
        <v>5</v>
      </c>
      <c r="O173" s="153" t="str">
        <f>'Управление ИБ'!T171</f>
        <v xml:space="preserve"> - Разработать процедуру быстрой блокировки учетной записи и отзыва прав при инцидентах информационной безопасности;
  - Довести до исполнителей порядок выполнения процедуры/Протестировать выполнение.</v>
      </c>
      <c r="P173" s="155" t="s">
        <v>97</v>
      </c>
      <c r="Q173" s="156" t="s">
        <v>1270</v>
      </c>
      <c r="R173" s="153"/>
      <c r="S173" s="157"/>
      <c r="T173" s="151" t="s">
        <v>99</v>
      </c>
      <c r="U173" s="158">
        <v>0</v>
      </c>
      <c r="V173" s="158">
        <v>0</v>
      </c>
      <c r="W173" s="158">
        <v>0</v>
      </c>
      <c r="X173" s="158">
        <f t="shared" si="18"/>
        <v>0</v>
      </c>
      <c r="Y173" s="159"/>
      <c r="Z173" s="160"/>
      <c r="AA173" s="160"/>
      <c r="AB173" s="160"/>
      <c r="AC173" s="160"/>
      <c r="AD173" s="160"/>
      <c r="AE173" s="160"/>
    </row>
    <row r="174" spans="1:31" ht="409.6" hidden="1">
      <c r="A174" s="151" t="s">
        <v>156</v>
      </c>
      <c r="B174" s="152" t="s">
        <v>165</v>
      </c>
      <c r="C174" s="153" t="str">
        <f>'Управление ИБ'!B172</f>
        <v>Обеспечиваются возможности принудительного прерывания сессии доступа пользователем, а также прохождение процедуры повторной аутентификации после прерывания сессии</v>
      </c>
      <c r="D174" s="153" t="str">
        <f>'Управление ИБ'!C172</f>
        <v>УИБ.УД.9</v>
      </c>
      <c r="E174" s="153">
        <f>'Управление ИБ'!D172</f>
        <v>5</v>
      </c>
      <c r="F174" s="153">
        <f>'Управление ИБ'!E172</f>
        <v>5</v>
      </c>
      <c r="G174" s="153">
        <f>'Управление ИБ'!F172</f>
        <v>5</v>
      </c>
      <c r="H174" s="170">
        <f>'Управление ИБ'!S172</f>
        <v>16.090000000000014</v>
      </c>
      <c r="I174" s="154" t="str">
        <f t="shared" si="26"/>
        <v>КБ1</v>
      </c>
      <c r="J174" s="154">
        <f>'Управление ИБ'!K172</f>
        <v>5</v>
      </c>
      <c r="K174" s="153">
        <f>'Управление ИБ'!I172</f>
        <v>0</v>
      </c>
      <c r="L174" s="153">
        <f>'Управление ИБ'!L172</f>
        <v>0</v>
      </c>
      <c r="M174" s="153">
        <f t="shared" si="21"/>
        <v>0</v>
      </c>
      <c r="N174" s="153">
        <f t="shared" si="27"/>
        <v>5</v>
      </c>
      <c r="O174" s="153" t="str">
        <f>'Управление ИБ'!T172</f>
        <v>-Обеспечить автоматическое прерывание сессии логического доступа  по истечении установленного времени бездействия (неактивности) субъекта доступа
-Обеспечить возможность принудительного прерывания сессии и (или) приостановки осуществления логического доступа (с прекращением отображения информации, доступ к которой получен в рамках сессии) пользователем
- После прерывания логического доступа обеспечить автоматический принудительный возврат к функции аутентификации</v>
      </c>
      <c r="P174" s="155" t="s">
        <v>97</v>
      </c>
      <c r="Q174" s="156" t="s">
        <v>1254</v>
      </c>
      <c r="R174" s="153"/>
      <c r="S174" s="157"/>
      <c r="T174" s="151" t="s">
        <v>99</v>
      </c>
      <c r="U174" s="158">
        <v>0</v>
      </c>
      <c r="V174" s="158">
        <v>0</v>
      </c>
      <c r="W174" s="158">
        <v>0</v>
      </c>
      <c r="X174" s="158">
        <f t="shared" si="18"/>
        <v>0</v>
      </c>
      <c r="Y174" s="159"/>
      <c r="Z174" s="160"/>
      <c r="AA174" s="160"/>
      <c r="AB174" s="160"/>
      <c r="AC174" s="160"/>
      <c r="AD174" s="160"/>
      <c r="AE174" s="160"/>
    </row>
    <row r="175" spans="1:31" ht="163.80000000000001" hidden="1">
      <c r="A175" s="151" t="s">
        <v>156</v>
      </c>
      <c r="B175" s="152" t="s">
        <v>231</v>
      </c>
      <c r="C175" s="153" t="str">
        <f>'Управление ИБ'!B72</f>
        <v>Определены основные нежелательные события ИБ</v>
      </c>
      <c r="D175" s="153" t="str">
        <f>'Управление ИБ'!C72</f>
        <v>УИБ.УР.1</v>
      </c>
      <c r="E175" s="153">
        <f>'Управление ИБ'!D72</f>
        <v>5</v>
      </c>
      <c r="F175" s="153">
        <f>'Управление ИБ'!E72</f>
        <v>5</v>
      </c>
      <c r="G175" s="153">
        <f>'Управление ИБ'!F72</f>
        <v>5</v>
      </c>
      <c r="H175" s="153">
        <f>'Управление ИБ'!S72</f>
        <v>41.01</v>
      </c>
      <c r="I175" s="154" t="str">
        <f t="shared" si="26"/>
        <v>КБ1</v>
      </c>
      <c r="J175" s="154">
        <f>'Управление ИБ'!K72</f>
        <v>5</v>
      </c>
      <c r="K175" s="153">
        <f>'Управление ИБ'!I72</f>
        <v>0</v>
      </c>
      <c r="L175" s="153">
        <f>'Управление ИБ'!L72</f>
        <v>0</v>
      </c>
      <c r="M175" s="153">
        <f t="shared" si="21"/>
        <v>0</v>
      </c>
      <c r="N175" s="153">
        <f t="shared" si="27"/>
        <v>5</v>
      </c>
      <c r="O175" s="153" t="str">
        <f>'Управление ИБ'!T72</f>
        <v xml:space="preserve">- Составить перечень нежелательныхх событий в ИБ. Согласовать перечень с руководством Общества и со всеми заинтересованными подразделениями. Утвердить перечень </v>
      </c>
      <c r="P175" s="155" t="s">
        <v>97</v>
      </c>
      <c r="Q175" s="156" t="s">
        <v>1244</v>
      </c>
      <c r="R175" s="153"/>
      <c r="S175" s="157"/>
      <c r="T175" s="151" t="s">
        <v>99</v>
      </c>
      <c r="U175" s="158">
        <v>0</v>
      </c>
      <c r="V175" s="158">
        <v>0</v>
      </c>
      <c r="W175" s="158">
        <v>0</v>
      </c>
      <c r="X175" s="158">
        <f t="shared" si="18"/>
        <v>0</v>
      </c>
      <c r="Y175" s="159"/>
      <c r="Z175" s="160"/>
      <c r="AA175" s="160"/>
      <c r="AB175" s="160"/>
      <c r="AC175" s="160"/>
      <c r="AD175" s="160"/>
      <c r="AE175" s="160"/>
    </row>
    <row r="176" spans="1:31" ht="117" hidden="1">
      <c r="A176" s="151" t="s">
        <v>156</v>
      </c>
      <c r="B176" s="152" t="s">
        <v>206</v>
      </c>
      <c r="C176" s="153" t="str">
        <f>'Управление ИБ'!B147</f>
        <v>Зоны безопасности, порядок доступа и требования к их защите должны быть определены и документированы</v>
      </c>
      <c r="D176" s="153" t="str">
        <f>'Управление ИБ'!C147</f>
        <v>УИБ.ФД.1</v>
      </c>
      <c r="E176" s="153">
        <f>'Управление ИБ'!D147</f>
        <v>5</v>
      </c>
      <c r="F176" s="153">
        <f>'Управление ИБ'!E147</f>
        <v>5</v>
      </c>
      <c r="G176" s="153">
        <f>'Управление ИБ'!F147</f>
        <v>5</v>
      </c>
      <c r="H176" s="170">
        <f>'Управление ИБ'!S147</f>
        <v>34.01</v>
      </c>
      <c r="I176" s="154" t="str">
        <f t="shared" ref="I176:I183" si="28">IF(H176&lt;=200, "КБ1", IF(H176&lt;=300, "КБ2", "КБ3"))</f>
        <v>КБ1</v>
      </c>
      <c r="J176" s="154">
        <f>'Управление ИБ'!K147</f>
        <v>5</v>
      </c>
      <c r="K176" s="153">
        <f>'Управление ИБ'!I147</f>
        <v>0</v>
      </c>
      <c r="L176" s="153">
        <f>'Управление ИБ'!L147</f>
        <v>0</v>
      </c>
      <c r="M176" s="153">
        <f t="shared" si="21"/>
        <v>0</v>
      </c>
      <c r="N176" s="153">
        <f t="shared" ref="N176:N183" si="29">IF(H176&lt;100,    IF(L176&gt;=G176,0,J176-L176),       IF(H176&lt;300,     IF(L176&gt;=F176,0,J176-L176),                  IF(L176&gt;=E176,0,J176-L176)))</f>
        <v>5</v>
      </c>
      <c r="O176" s="153" t="str">
        <f>'Управление ИБ'!T147</f>
        <v xml:space="preserve"> Определить порядок доступа в зоны безопасности и требования к их защите </v>
      </c>
      <c r="P176" s="155" t="s">
        <v>97</v>
      </c>
      <c r="Q176" s="156" t="s">
        <v>1246</v>
      </c>
      <c r="R176" s="153"/>
      <c r="S176" s="157"/>
      <c r="T176" s="151" t="s">
        <v>99</v>
      </c>
      <c r="U176" s="158">
        <v>0</v>
      </c>
      <c r="V176" s="158">
        <v>0</v>
      </c>
      <c r="W176" s="158">
        <v>0</v>
      </c>
      <c r="X176" s="158">
        <f t="shared" si="18"/>
        <v>0</v>
      </c>
      <c r="Y176" s="159"/>
      <c r="Z176" s="160"/>
      <c r="AA176" s="160"/>
      <c r="AB176" s="160"/>
      <c r="AC176" s="160"/>
      <c r="AD176" s="160"/>
      <c r="AE176" s="160"/>
    </row>
    <row r="177" spans="1:31" ht="409.6" hidden="1">
      <c r="A177" s="151" t="s">
        <v>156</v>
      </c>
      <c r="B177" s="152" t="s">
        <v>206</v>
      </c>
      <c r="C177" s="153" t="str">
        <f>'Управление ИБ'!B148</f>
        <v>Зоны безопасности с ограниченным доступом должны быть защищены с использованием СКУД</v>
      </c>
      <c r="D177" s="153" t="str">
        <f>'Управление ИБ'!C148</f>
        <v>УИБ.ФД.2</v>
      </c>
      <c r="E177" s="153">
        <f>'Управление ИБ'!D148</f>
        <v>5</v>
      </c>
      <c r="F177" s="153">
        <f>'Управление ИБ'!E148</f>
        <v>5</v>
      </c>
      <c r="G177" s="153">
        <f>'Управление ИБ'!F148</f>
        <v>5</v>
      </c>
      <c r="H177" s="170">
        <f>'Управление ИБ'!S148</f>
        <v>34.019999999999996</v>
      </c>
      <c r="I177" s="154" t="str">
        <f t="shared" si="28"/>
        <v>КБ1</v>
      </c>
      <c r="J177" s="154">
        <f>'Управление ИБ'!K148</f>
        <v>5</v>
      </c>
      <c r="K177" s="153">
        <f>'Управление ИБ'!I148</f>
        <v>0</v>
      </c>
      <c r="L177" s="153">
        <f>'Управление ИБ'!L148</f>
        <v>0</v>
      </c>
      <c r="M177" s="153">
        <f t="shared" si="21"/>
        <v>0</v>
      </c>
      <c r="N177" s="153">
        <f t="shared" si="29"/>
        <v>5</v>
      </c>
      <c r="O177" s="153" t="str">
        <f>'Управление ИБ'!T148</f>
        <v xml:space="preserve"> - Оборудовать СКУД серверные помещения и другие помещения, не предназначенные для свободного доступа посетителей; 
   - Определить порядок доступа к серверному и сетевому оборудованию;
   - Регламентировать использование СКУД в Обществе;
   - Легитимизировать применение СКУД (биометрия, персональные данные);
   - Проводить проверки с целью исключения некорректной работы СКУД.</v>
      </c>
      <c r="P177" s="155" t="s">
        <v>97</v>
      </c>
      <c r="Q177" s="156" t="s">
        <v>1245</v>
      </c>
      <c r="R177" s="153"/>
      <c r="S177" s="157"/>
      <c r="T177" s="151" t="s">
        <v>99</v>
      </c>
      <c r="U177" s="158">
        <v>0</v>
      </c>
      <c r="V177" s="158">
        <v>0</v>
      </c>
      <c r="W177" s="158">
        <v>0</v>
      </c>
      <c r="X177" s="158">
        <f t="shared" si="18"/>
        <v>0</v>
      </c>
      <c r="Y177" s="159"/>
      <c r="Z177" s="160"/>
      <c r="AA177" s="160"/>
      <c r="AB177" s="160"/>
      <c r="AC177" s="160"/>
      <c r="AD177" s="160"/>
      <c r="AE177" s="160"/>
    </row>
    <row r="178" spans="1:31" ht="374.4" hidden="1">
      <c r="A178" s="151" t="s">
        <v>156</v>
      </c>
      <c r="B178" s="152" t="s">
        <v>206</v>
      </c>
      <c r="C178" s="153" t="str">
        <f>'Управление ИБ'!B149</f>
        <v>Определены требования к защите информационных активов (в части элементов инфраструктуры (серверное, телекоммуникационное оборудование и т.д.)), размещенных вне Общества</v>
      </c>
      <c r="D178" s="153" t="str">
        <f>'Управление ИБ'!C149</f>
        <v>УИБ.ФД.3</v>
      </c>
      <c r="E178" s="153">
        <f>'Управление ИБ'!D149</f>
        <v>5</v>
      </c>
      <c r="F178" s="153">
        <f>'Управление ИБ'!E149</f>
        <v>5</v>
      </c>
      <c r="G178" s="153">
        <f>'Управление ИБ'!F149</f>
        <v>5</v>
      </c>
      <c r="H178" s="170">
        <f>'Управление ИБ'!S149</f>
        <v>34.029999999999994</v>
      </c>
      <c r="I178" s="154" t="str">
        <f t="shared" si="28"/>
        <v>КБ1</v>
      </c>
      <c r="J178" s="154">
        <f>'Управление ИБ'!K149</f>
        <v>5</v>
      </c>
      <c r="K178" s="153">
        <f>'Управление ИБ'!I149</f>
        <v>0</v>
      </c>
      <c r="L178" s="153">
        <f>'Управление ИБ'!L149</f>
        <v>0</v>
      </c>
      <c r="M178" s="153">
        <f t="shared" si="21"/>
        <v>0</v>
      </c>
      <c r="N178" s="153">
        <f t="shared" si="29"/>
        <v>5</v>
      </c>
      <c r="O178" s="153" t="str">
        <f>'Управление ИБ'!T149</f>
        <v xml:space="preserve"> - Разработать и утвердить процедуру размещения активов, находящихся вне террритории Общества, зафиксировав требование обязательной защиты таких активов; 
  - Контроль заключаемых договоров по продаже/модернизации, сдачи в аренду/субаренду объектов недвижимости на соблюдение требований ИБ;
  - Проведение выборочных проверок по факту обеспечения активов.</v>
      </c>
      <c r="P178" s="155" t="s">
        <v>97</v>
      </c>
      <c r="Q178" s="156" t="s">
        <v>1247</v>
      </c>
      <c r="R178" s="153"/>
      <c r="S178" s="157"/>
      <c r="T178" s="151" t="s">
        <v>99</v>
      </c>
      <c r="U178" s="158">
        <v>0</v>
      </c>
      <c r="V178" s="158">
        <v>0</v>
      </c>
      <c r="W178" s="158">
        <v>0</v>
      </c>
      <c r="X178" s="158">
        <f t="shared" si="18"/>
        <v>0</v>
      </c>
      <c r="Y178" s="159"/>
      <c r="Z178" s="160"/>
      <c r="AA178" s="160"/>
      <c r="AB178" s="160"/>
      <c r="AC178" s="160"/>
      <c r="AD178" s="160"/>
      <c r="AE178" s="160"/>
    </row>
    <row r="179" spans="1:31" ht="280.8" hidden="1">
      <c r="A179" s="151" t="s">
        <v>156</v>
      </c>
      <c r="B179" s="152" t="s">
        <v>206</v>
      </c>
      <c r="C179" s="153" t="str">
        <f>'Управление ИБ'!B150</f>
        <v>Управление устройствами хранения информации должно осуществляться на всем протяжении их жизненного цикла, включающего приобретение, использование, транспортировку и уничтожение, в соответствии с классификационной схемой Общества и требованиями к обращению.</v>
      </c>
      <c r="D179" s="153" t="str">
        <f>'Управление ИБ'!C150</f>
        <v>УИБ.ФД.4</v>
      </c>
      <c r="E179" s="153">
        <f>'Управление ИБ'!D150</f>
        <v>5</v>
      </c>
      <c r="F179" s="153">
        <f>'Управление ИБ'!E150</f>
        <v>3.2</v>
      </c>
      <c r="G179" s="153">
        <f>'Управление ИБ'!F150</f>
        <v>1.6</v>
      </c>
      <c r="H179" s="170">
        <f>'Управление ИБ'!S150</f>
        <v>34.039999999999992</v>
      </c>
      <c r="I179" s="154" t="str">
        <f t="shared" si="28"/>
        <v>КБ1</v>
      </c>
      <c r="J179" s="154">
        <f>'Управление ИБ'!K150</f>
        <v>5</v>
      </c>
      <c r="K179" s="153">
        <f>'Управление ИБ'!I150</f>
        <v>0</v>
      </c>
      <c r="L179" s="153">
        <f>'Управление ИБ'!L150</f>
        <v>0</v>
      </c>
      <c r="M179" s="153">
        <f t="shared" si="21"/>
        <v>0</v>
      </c>
      <c r="N179" s="153">
        <f t="shared" si="29"/>
        <v>5</v>
      </c>
      <c r="O179" s="153" t="str">
        <f>'Управление ИБ'!T150</f>
        <v xml:space="preserve"> - Определить требования к процессу управления устройствами хранения информации;
   - Регламентировать процесс защиты машинных носителей информации на всем протяжении их жизненного цикла;
   - Ознакомить работников с установленными правилами и процедурами</v>
      </c>
      <c r="P179" s="155" t="s">
        <v>97</v>
      </c>
      <c r="Q179" s="156" t="s">
        <v>1304</v>
      </c>
      <c r="R179" s="153"/>
      <c r="S179" s="157"/>
      <c r="T179" s="151" t="s">
        <v>99</v>
      </c>
      <c r="U179" s="158">
        <v>0</v>
      </c>
      <c r="V179" s="158">
        <v>0</v>
      </c>
      <c r="W179" s="158">
        <v>0</v>
      </c>
      <c r="X179" s="158">
        <f t="shared" si="18"/>
        <v>0</v>
      </c>
      <c r="Y179" s="159"/>
      <c r="Z179" s="160"/>
      <c r="AA179" s="160"/>
      <c r="AB179" s="160"/>
      <c r="AC179" s="160"/>
      <c r="AD179" s="160"/>
      <c r="AE179" s="160"/>
    </row>
    <row r="180" spans="1:31" ht="409.6" hidden="1">
      <c r="A180" s="151" t="s">
        <v>156</v>
      </c>
      <c r="B180" s="152" t="s">
        <v>206</v>
      </c>
      <c r="C180" s="153" t="str">
        <f>'Управление ИБ'!B151</f>
        <v>Конфиденциальная информация гарантированно удалятся с машинных носителей перед их утилизацией либо повторным использованием</v>
      </c>
      <c r="D180" s="153" t="str">
        <f>'Управление ИБ'!C151</f>
        <v>УИБ.ФД.5</v>
      </c>
      <c r="E180" s="153">
        <f>'Управление ИБ'!D151</f>
        <v>5</v>
      </c>
      <c r="F180" s="153">
        <f>'Управление ИБ'!E151</f>
        <v>5</v>
      </c>
      <c r="G180" s="153">
        <f>'Управление ИБ'!F151</f>
        <v>5</v>
      </c>
      <c r="H180" s="170">
        <f>'Управление ИБ'!S151</f>
        <v>34.04999999999999</v>
      </c>
      <c r="I180" s="154" t="str">
        <f t="shared" si="28"/>
        <v>КБ1</v>
      </c>
      <c r="J180" s="154">
        <f>'Управление ИБ'!K151</f>
        <v>5</v>
      </c>
      <c r="K180" s="153">
        <f>'Управление ИБ'!I151</f>
        <v>0</v>
      </c>
      <c r="L180" s="153">
        <f>'Управление ИБ'!L151</f>
        <v>0</v>
      </c>
      <c r="M180" s="153">
        <f t="shared" si="21"/>
        <v>0</v>
      </c>
      <c r="N180" s="153">
        <f t="shared" si="29"/>
        <v>5</v>
      </c>
      <c r="O180" s="153" t="str">
        <f>'Управление ИБ'!T151</f>
        <v xml:space="preserve"> - Реализовать в Обществе процесс удаления данных при утилизации накопителей информации;
   - Регламентировать процедуры уничтожения/стирания информации на машинных носителях, а также контроля уничтожения /стирания информации;
   - Проводить регулярные проверки реального соблюдения регламента, фактов уничтожения информации с носителей при их передаче третьим лицам (на ремонт, утилизацию и т.д.).</v>
      </c>
      <c r="P180" s="155" t="s">
        <v>97</v>
      </c>
      <c r="Q180" s="156" t="s">
        <v>1271</v>
      </c>
      <c r="R180" s="153"/>
      <c r="S180" s="157"/>
      <c r="T180" s="151" t="s">
        <v>99</v>
      </c>
      <c r="U180" s="158">
        <v>0</v>
      </c>
      <c r="V180" s="158">
        <v>0</v>
      </c>
      <c r="W180" s="158">
        <v>0</v>
      </c>
      <c r="X180" s="158">
        <f t="shared" si="18"/>
        <v>0</v>
      </c>
      <c r="Y180" s="159"/>
      <c r="Z180" s="160"/>
      <c r="AA180" s="160"/>
      <c r="AB180" s="160"/>
      <c r="AC180" s="160"/>
      <c r="AD180" s="160"/>
      <c r="AE180" s="160"/>
    </row>
    <row r="181" spans="1:31" ht="163.80000000000001" hidden="1">
      <c r="A181" s="151" t="s">
        <v>156</v>
      </c>
      <c r="B181" s="152" t="s">
        <v>207</v>
      </c>
      <c r="C181" s="153" t="str">
        <f>'Управление ИБ'!B106</f>
        <v>Процессы взаимодействия в ИТ цепочке c участниками цепочки поставок определены, управляются и согласовываются заинтересованными сторонами Общества</v>
      </c>
      <c r="D181" s="153" t="str">
        <f>'Управление ИБ'!C106</f>
        <v>УИБ.ЦП.1</v>
      </c>
      <c r="E181" s="153">
        <f>'Управление ИБ'!D106</f>
        <v>5</v>
      </c>
      <c r="F181" s="153">
        <f>'Управление ИБ'!E106</f>
        <v>3.2</v>
      </c>
      <c r="G181" s="153">
        <f>'Управление ИБ'!F106</f>
        <v>1.6</v>
      </c>
      <c r="H181" s="153">
        <f>'Управление ИБ'!S106</f>
        <v>35.01</v>
      </c>
      <c r="I181" s="154" t="str">
        <f t="shared" si="28"/>
        <v>КБ1</v>
      </c>
      <c r="J181" s="154">
        <f>'Управление ИБ'!K106</f>
        <v>5</v>
      </c>
      <c r="K181" s="153">
        <f>'Управление ИБ'!I106</f>
        <v>0</v>
      </c>
      <c r="L181" s="153">
        <f>'Управление ИБ'!L106</f>
        <v>0</v>
      </c>
      <c r="M181" s="153">
        <f t="shared" si="21"/>
        <v>0</v>
      </c>
      <c r="N181" s="628">
        <f t="shared" si="29"/>
        <v>5</v>
      </c>
      <c r="O181" s="153" t="str">
        <f>'Управление ИБ'!T106</f>
        <v xml:space="preserve"> -  Включить подразделение ИБ в согласование договоров с ИТ/ИБ составляющей.</v>
      </c>
      <c r="P181" s="155" t="s">
        <v>97</v>
      </c>
      <c r="Q181" s="156" t="s">
        <v>1306</v>
      </c>
      <c r="R181" s="153"/>
      <c r="S181" s="157"/>
      <c r="T181" s="151" t="s">
        <v>99</v>
      </c>
      <c r="U181" s="158">
        <v>0</v>
      </c>
      <c r="V181" s="158">
        <v>0</v>
      </c>
      <c r="W181" s="158">
        <v>0</v>
      </c>
      <c r="X181" s="158">
        <f t="shared" si="18"/>
        <v>0</v>
      </c>
      <c r="Y181" s="159"/>
      <c r="Z181" s="160"/>
      <c r="AA181" s="160"/>
      <c r="AB181" s="160"/>
      <c r="AC181" s="160"/>
      <c r="AD181" s="160"/>
      <c r="AE181" s="160"/>
    </row>
    <row r="182" spans="1:31" ht="280.8" hidden="1">
      <c r="A182" s="151" t="s">
        <v>156</v>
      </c>
      <c r="B182" s="152" t="s">
        <v>207</v>
      </c>
      <c r="C182" s="153" t="str">
        <f>'Управление ИБ'!B107</f>
        <v>В договорах со всеми подрядчиками, имеющими доступ к ИБ инфраструктуре Общества, прописана необходимость соблюдения мер информационной безопасности</v>
      </c>
      <c r="D182" s="153" t="str">
        <f>'Управление ИБ'!C107</f>
        <v>УИБ.ЦП.2</v>
      </c>
      <c r="E182" s="153">
        <f>'Управление ИБ'!D107</f>
        <v>5</v>
      </c>
      <c r="F182" s="153">
        <f>'Управление ИБ'!E107</f>
        <v>5</v>
      </c>
      <c r="G182" s="153">
        <f>'Управление ИБ'!F107</f>
        <v>5</v>
      </c>
      <c r="H182" s="153">
        <f>'Управление ИБ'!S107</f>
        <v>35.019999999999996</v>
      </c>
      <c r="I182" s="154" t="str">
        <f t="shared" si="28"/>
        <v>КБ1</v>
      </c>
      <c r="J182" s="154">
        <f>'Управление ИБ'!K107</f>
        <v>5</v>
      </c>
      <c r="K182" s="153">
        <f>'Управление ИБ'!I107</f>
        <v>0</v>
      </c>
      <c r="L182" s="153">
        <f>'Управление ИБ'!L107</f>
        <v>0</v>
      </c>
      <c r="M182" s="153">
        <f t="shared" si="21"/>
        <v>0</v>
      </c>
      <c r="N182" s="153">
        <f t="shared" si="29"/>
        <v>5</v>
      </c>
      <c r="O182" s="153" t="str">
        <f>'Управление ИБ'!T107</f>
        <v xml:space="preserve"> - Сформировать или получить в ПАО Ростелеком типовые требования к контрагентам по принятию мер информационной безопасности;
  - Обеспечить включение в договоры требований и ответственности контрагента за их неисполнение
- соглашения о ИБ актуализируются не реже 1-го раза в год </v>
      </c>
      <c r="P182" s="155" t="s">
        <v>97</v>
      </c>
      <c r="Q182" s="156" t="s">
        <v>1153</v>
      </c>
      <c r="R182" s="153"/>
      <c r="S182" s="157"/>
      <c r="T182" s="151" t="s">
        <v>99</v>
      </c>
      <c r="U182" s="158">
        <v>0</v>
      </c>
      <c r="V182" s="158">
        <v>0</v>
      </c>
      <c r="W182" s="158">
        <v>0</v>
      </c>
      <c r="X182" s="158">
        <f t="shared" si="18"/>
        <v>0</v>
      </c>
      <c r="Y182" s="159"/>
      <c r="Z182" s="160"/>
      <c r="AA182" s="160"/>
      <c r="AB182" s="160"/>
      <c r="AC182" s="160"/>
      <c r="AD182" s="160"/>
      <c r="AE182" s="160"/>
    </row>
    <row r="183" spans="1:31" ht="257.39999999999998" hidden="1">
      <c r="A183" s="151" t="s">
        <v>156</v>
      </c>
      <c r="B183" s="152" t="s">
        <v>207</v>
      </c>
      <c r="C183" s="153" t="str">
        <f>'Управление ИБ'!B108</f>
        <v>Поставщики и сторонние партнеры (имеющие доступ в инфраструктуру Общества) регулярно проходят оценку, чтобы подтвердить, что они выполняют свои договорные обязательства. Проводятся обзоры аудитов, резюме результатов испытаний или другие эквивалентные оценки поставщиков</v>
      </c>
      <c r="D183" s="153" t="str">
        <f>'Управление ИБ'!C108</f>
        <v>УИБ.ЦП.3</v>
      </c>
      <c r="E183" s="153">
        <f>'Управление ИБ'!D108</f>
        <v>5</v>
      </c>
      <c r="F183" s="153">
        <f>'Управление ИБ'!E108</f>
        <v>3.2</v>
      </c>
      <c r="G183" s="153">
        <f>'Управление ИБ'!F108</f>
        <v>1.6</v>
      </c>
      <c r="H183" s="153">
        <f>'Управление ИБ'!S108</f>
        <v>35.029999999999994</v>
      </c>
      <c r="I183" s="154" t="str">
        <f t="shared" si="28"/>
        <v>КБ1</v>
      </c>
      <c r="J183" s="154">
        <f>'Управление ИБ'!K108</f>
        <v>5</v>
      </c>
      <c r="K183" s="153">
        <f>'Управление ИБ'!I108</f>
        <v>0</v>
      </c>
      <c r="L183" s="153">
        <f>'Управление ИБ'!L108</f>
        <v>0</v>
      </c>
      <c r="M183" s="153">
        <f t="shared" si="21"/>
        <v>0</v>
      </c>
      <c r="N183" s="153">
        <f t="shared" si="29"/>
        <v>5</v>
      </c>
      <c r="O183" s="153" t="str">
        <f>'Управление ИБ'!T108</f>
        <v>Проводить контроль договорных обязательств подрядчиков</v>
      </c>
      <c r="P183" s="155" t="s">
        <v>97</v>
      </c>
      <c r="Q183" s="156" t="s">
        <v>1173</v>
      </c>
      <c r="R183" s="153"/>
      <c r="S183" s="157"/>
      <c r="T183" s="151" t="s">
        <v>99</v>
      </c>
      <c r="U183" s="158">
        <v>0</v>
      </c>
      <c r="V183" s="158">
        <v>0</v>
      </c>
      <c r="W183" s="158">
        <v>0</v>
      </c>
      <c r="X183" s="158">
        <f t="shared" ref="X183:X245" si="30">SUM(U183:W183)</f>
        <v>0</v>
      </c>
      <c r="Y183" s="159"/>
      <c r="Z183" s="160"/>
      <c r="AA183" s="160"/>
      <c r="AB183" s="160"/>
      <c r="AC183" s="160"/>
      <c r="AD183" s="160"/>
      <c r="AE183" s="160"/>
    </row>
    <row r="184" spans="1:31" ht="117" hidden="1">
      <c r="A184" s="151" t="s">
        <v>58</v>
      </c>
      <c r="B184" s="152" t="s">
        <v>279</v>
      </c>
      <c r="C184" s="153" t="str">
        <f>Восстановление!B42</f>
        <v>Подготовлены планы коммуникаций на случай сбоев в планах по восстановлению</v>
      </c>
      <c r="D184" s="153" t="str">
        <f>Восстановление!C42</f>
        <v>ВССТ.КМНК.1</v>
      </c>
      <c r="E184" s="153">
        <f>Восстановление!D42</f>
        <v>5</v>
      </c>
      <c r="F184" s="153">
        <f>Восстановление!E42</f>
        <v>3.2</v>
      </c>
      <c r="G184" s="153">
        <f>Восстановление!F42</f>
        <v>0</v>
      </c>
      <c r="H184" s="153">
        <f>Восстановление!V42</f>
        <v>232.01</v>
      </c>
      <c r="I184" s="154" t="str">
        <f t="shared" ref="I184:I211" si="31">IF(H184&lt;=200,"КБ1",IF(H184&lt;=300,"КБ2","КБ3"))</f>
        <v>КБ2</v>
      </c>
      <c r="J184" s="154">
        <f>Восстановление!K42</f>
        <v>5</v>
      </c>
      <c r="K184" s="153">
        <f>Восстановление!L42</f>
        <v>0</v>
      </c>
      <c r="L184" s="153">
        <f>Восстановление!L42</f>
        <v>0</v>
      </c>
      <c r="M184" s="153">
        <f t="shared" si="21"/>
        <v>0</v>
      </c>
      <c r="N184" s="153">
        <f t="shared" ref="N184:N211" si="32">IF(H184&lt;100,IF(L184&gt;=G184,0,J184-L184),IF(H184&lt;300,IF(L184&gt;=F184,0,J184-L184),IF(L184&gt;=E184,0,J184-L184)))</f>
        <v>5</v>
      </c>
      <c r="O184" s="153" t="str">
        <f>Восстановление!W42</f>
        <v xml:space="preserve"> - Подготовить планы коммуникаций на случай сбоев в планах по восстановлению</v>
      </c>
      <c r="P184" s="155" t="s">
        <v>97</v>
      </c>
      <c r="Q184" s="156" t="s">
        <v>280</v>
      </c>
      <c r="R184" s="153"/>
      <c r="S184" s="157"/>
      <c r="T184" s="151" t="s">
        <v>99</v>
      </c>
      <c r="U184" s="158">
        <v>0</v>
      </c>
      <c r="V184" s="158">
        <v>0</v>
      </c>
      <c r="W184" s="158">
        <v>0</v>
      </c>
      <c r="X184" s="158">
        <f t="shared" si="30"/>
        <v>0</v>
      </c>
      <c r="Y184" s="159"/>
      <c r="Z184" s="160"/>
      <c r="AA184" s="160"/>
      <c r="AB184" s="160"/>
      <c r="AC184" s="160"/>
      <c r="AD184" s="160"/>
      <c r="AE184" s="160"/>
    </row>
    <row r="185" spans="1:31" ht="93.6" hidden="1">
      <c r="A185" s="151" t="s">
        <v>58</v>
      </c>
      <c r="B185" s="152" t="s">
        <v>169</v>
      </c>
      <c r="C185" s="153" t="str">
        <f>Восстановление!B32</f>
        <v>Разработана политика обеспечения непрерывности и восстановления деятельности (ОНИВД)</v>
      </c>
      <c r="D185" s="153" t="str">
        <f>Восстановление!C32</f>
        <v>ВССТ.ПЛН.1</v>
      </c>
      <c r="E185" s="153">
        <f>Восстановление!D32</f>
        <v>5</v>
      </c>
      <c r="F185" s="153">
        <f>Восстановление!E32</f>
        <v>5</v>
      </c>
      <c r="G185" s="153">
        <f>Восстановление!F32</f>
        <v>0</v>
      </c>
      <c r="H185" s="153">
        <f>Восстановление!V32</f>
        <v>222.01</v>
      </c>
      <c r="I185" s="154" t="str">
        <f t="shared" si="31"/>
        <v>КБ2</v>
      </c>
      <c r="J185" s="154">
        <f>Восстановление!K32</f>
        <v>5</v>
      </c>
      <c r="K185" s="153">
        <f>Восстановление!I32</f>
        <v>0</v>
      </c>
      <c r="L185" s="153">
        <f>Восстановление!L32</f>
        <v>0</v>
      </c>
      <c r="M185" s="153">
        <f t="shared" si="21"/>
        <v>0</v>
      </c>
      <c r="N185" s="153">
        <f t="shared" si="32"/>
        <v>5</v>
      </c>
      <c r="O185" s="153" t="str">
        <f>Восстановление!W32</f>
        <v xml:space="preserve"> - Разработать политику обеспечения непрерывности и восстановления деятельности</v>
      </c>
      <c r="P185" s="155" t="s">
        <v>97</v>
      </c>
      <c r="Q185" s="156" t="s">
        <v>268</v>
      </c>
      <c r="R185" s="153"/>
      <c r="S185" s="157"/>
      <c r="T185" s="151" t="s">
        <v>99</v>
      </c>
      <c r="U185" s="158">
        <v>0</v>
      </c>
      <c r="V185" s="158">
        <v>0</v>
      </c>
      <c r="W185" s="158">
        <v>0</v>
      </c>
      <c r="X185" s="158">
        <f t="shared" si="30"/>
        <v>0</v>
      </c>
      <c r="Y185" s="159"/>
      <c r="Z185" s="160"/>
      <c r="AA185" s="160"/>
      <c r="AB185" s="160"/>
      <c r="AC185" s="160"/>
      <c r="AD185" s="160"/>
      <c r="AE185" s="160"/>
    </row>
    <row r="186" spans="1:31" ht="163.80000000000001" hidden="1">
      <c r="A186" s="151" t="s">
        <v>58</v>
      </c>
      <c r="B186" s="152" t="s">
        <v>169</v>
      </c>
      <c r="C186" s="153" t="str">
        <f>Восстановление!B33</f>
        <v>Определены уровни и сроки восстановления систем в зависимости от критичности ИА</v>
      </c>
      <c r="D186" s="153" t="str">
        <f>Восстановление!C33</f>
        <v>ВССТ.ПЛН.2</v>
      </c>
      <c r="E186" s="153">
        <f>Восстановление!D33</f>
        <v>5</v>
      </c>
      <c r="F186" s="153">
        <f>Восстановление!E33</f>
        <v>5</v>
      </c>
      <c r="G186" s="153">
        <f>Восстановление!F33</f>
        <v>0</v>
      </c>
      <c r="H186" s="153">
        <f>Восстановление!V33</f>
        <v>222.01999999999998</v>
      </c>
      <c r="I186" s="154" t="str">
        <f t="shared" si="31"/>
        <v>КБ2</v>
      </c>
      <c r="J186" s="154">
        <f>Восстановление!K33</f>
        <v>5</v>
      </c>
      <c r="K186" s="153">
        <f>Восстановление!I33</f>
        <v>0</v>
      </c>
      <c r="L186" s="153">
        <f>Восстановление!L33</f>
        <v>0</v>
      </c>
      <c r="M186" s="153">
        <f t="shared" si="21"/>
        <v>0</v>
      </c>
      <c r="N186" s="153">
        <f t="shared" si="32"/>
        <v>5</v>
      </c>
      <c r="O186" s="153" t="str">
        <f>Восстановление!W33</f>
        <v xml:space="preserve"> - Определить критерии для уровней и сроков восстановления в зависимости от критичности ИА;
   - Категорировать ИА по уровням критичности в соответствии с критериями</v>
      </c>
      <c r="P186" s="155" t="s">
        <v>97</v>
      </c>
      <c r="Q186" s="156" t="s">
        <v>269</v>
      </c>
      <c r="R186" s="153"/>
      <c r="S186" s="157"/>
      <c r="T186" s="151" t="s">
        <v>99</v>
      </c>
      <c r="U186" s="158">
        <v>0</v>
      </c>
      <c r="V186" s="158">
        <v>0</v>
      </c>
      <c r="W186" s="158">
        <v>0</v>
      </c>
      <c r="X186" s="158">
        <f t="shared" si="30"/>
        <v>0</v>
      </c>
      <c r="Y186" s="159"/>
      <c r="Z186" s="160"/>
      <c r="AA186" s="160"/>
      <c r="AB186" s="160"/>
      <c r="AC186" s="160"/>
      <c r="AD186" s="160"/>
      <c r="AE186" s="160"/>
    </row>
    <row r="187" spans="1:31" ht="70.2" hidden="1">
      <c r="A187" s="151" t="s">
        <v>58</v>
      </c>
      <c r="B187" s="152" t="s">
        <v>169</v>
      </c>
      <c r="C187" s="153" t="str">
        <f>Восстановление!B34</f>
        <v>Планы ОНИВД разработаны</v>
      </c>
      <c r="D187" s="153" t="str">
        <f>Восстановление!C34</f>
        <v>ВССТ.ПЛН.3</v>
      </c>
      <c r="E187" s="153">
        <f>Восстановление!D34</f>
        <v>5</v>
      </c>
      <c r="F187" s="153">
        <f>Восстановление!E34</f>
        <v>3.2</v>
      </c>
      <c r="G187" s="153">
        <f>Восстановление!F34</f>
        <v>0</v>
      </c>
      <c r="H187" s="153">
        <f>Восстановление!V34</f>
        <v>222.02999999999997</v>
      </c>
      <c r="I187" s="154" t="str">
        <f t="shared" si="31"/>
        <v>КБ2</v>
      </c>
      <c r="J187" s="154">
        <f>Восстановление!K34</f>
        <v>5</v>
      </c>
      <c r="K187" s="153">
        <f>Восстановление!I34</f>
        <v>0</v>
      </c>
      <c r="L187" s="153">
        <f>Восстановление!L34</f>
        <v>0</v>
      </c>
      <c r="M187" s="153">
        <f t="shared" si="21"/>
        <v>0</v>
      </c>
      <c r="N187" s="153">
        <f t="shared" si="32"/>
        <v>5</v>
      </c>
      <c r="O187" s="153" t="str">
        <f>Восстановление!W34</f>
        <v xml:space="preserve"> - Разработать план обеспечения непрерывности и восстановления деятельности </v>
      </c>
      <c r="P187" s="155" t="s">
        <v>97</v>
      </c>
      <c r="Q187" s="156" t="s">
        <v>270</v>
      </c>
      <c r="R187" s="153"/>
      <c r="S187" s="154"/>
      <c r="T187" s="151" t="s">
        <v>99</v>
      </c>
      <c r="U187" s="173">
        <v>0</v>
      </c>
      <c r="V187" s="173">
        <v>0</v>
      </c>
      <c r="W187" s="173">
        <v>0</v>
      </c>
      <c r="X187" s="158">
        <f t="shared" si="30"/>
        <v>0</v>
      </c>
      <c r="Y187" s="159"/>
      <c r="Z187" s="160"/>
      <c r="AA187" s="160"/>
      <c r="AB187" s="160"/>
      <c r="AC187" s="160"/>
      <c r="AD187" s="160"/>
      <c r="AE187" s="160"/>
    </row>
    <row r="188" spans="1:31" ht="117" hidden="1">
      <c r="A188" s="151" t="s">
        <v>58</v>
      </c>
      <c r="B188" s="152" t="s">
        <v>169</v>
      </c>
      <c r="C188" s="153" t="str">
        <f>Восстановление!B35</f>
        <v>Разработан регламент резервного копирования</v>
      </c>
      <c r="D188" s="153" t="str">
        <f>Восстановление!C35</f>
        <v>ВССТ.ПЛН.4</v>
      </c>
      <c r="E188" s="153">
        <f>Восстановление!D35</f>
        <v>5</v>
      </c>
      <c r="F188" s="153">
        <f>Восстановление!E35</f>
        <v>3.2</v>
      </c>
      <c r="G188" s="153">
        <f>Восстановление!F35</f>
        <v>0</v>
      </c>
      <c r="H188" s="153">
        <f>Восстановление!V35</f>
        <v>222.03999999999996</v>
      </c>
      <c r="I188" s="154" t="str">
        <f t="shared" si="31"/>
        <v>КБ2</v>
      </c>
      <c r="J188" s="154">
        <f>Восстановление!K35</f>
        <v>5</v>
      </c>
      <c r="K188" s="153">
        <f>Восстановление!I35</f>
        <v>0</v>
      </c>
      <c r="L188" s="153">
        <f>Восстановление!L35</f>
        <v>0</v>
      </c>
      <c r="M188" s="153">
        <f t="shared" si="21"/>
        <v>0</v>
      </c>
      <c r="N188" s="153">
        <f t="shared" si="32"/>
        <v>5</v>
      </c>
      <c r="O188" s="153" t="str">
        <f>Восстановление!W35</f>
        <v xml:space="preserve"> - Разработать регламент резервного копирования. Определить порядок резервного копирования в соответствии с критичностью ИА</v>
      </c>
      <c r="P188" s="155" t="s">
        <v>97</v>
      </c>
      <c r="Q188" s="156" t="s">
        <v>271</v>
      </c>
      <c r="R188" s="153"/>
      <c r="S188" s="157"/>
      <c r="T188" s="151" t="s">
        <v>99</v>
      </c>
      <c r="U188" s="158">
        <v>0</v>
      </c>
      <c r="V188" s="158">
        <v>0</v>
      </c>
      <c r="W188" s="158">
        <v>0</v>
      </c>
      <c r="X188" s="158">
        <f t="shared" si="30"/>
        <v>0</v>
      </c>
      <c r="Y188" s="159"/>
      <c r="Z188" s="160"/>
      <c r="AA188" s="160"/>
      <c r="AB188" s="160"/>
      <c r="AC188" s="160"/>
      <c r="AD188" s="160"/>
      <c r="AE188" s="160"/>
    </row>
    <row r="189" spans="1:31" ht="93.6" hidden="1">
      <c r="A189" s="151" t="s">
        <v>58</v>
      </c>
      <c r="B189" s="152" t="s">
        <v>169</v>
      </c>
      <c r="C189" s="153" t="str">
        <f>Восстановление!B37</f>
        <v>Резервные копии хранятся на сторонних площадках</v>
      </c>
      <c r="D189" s="153" t="str">
        <f>Восстановление!C37</f>
        <v>ВССТ.ПЛН.6</v>
      </c>
      <c r="E189" s="153">
        <f>Восстановление!D37</f>
        <v>5</v>
      </c>
      <c r="F189" s="153">
        <f>Восстановление!E37</f>
        <v>3.2</v>
      </c>
      <c r="G189" s="153">
        <f>Восстановление!F37</f>
        <v>1.6</v>
      </c>
      <c r="H189" s="153">
        <f>Восстановление!V37</f>
        <v>222.05999999999995</v>
      </c>
      <c r="I189" s="154" t="str">
        <f t="shared" si="31"/>
        <v>КБ2</v>
      </c>
      <c r="J189" s="154">
        <f>Восстановление!K37</f>
        <v>5</v>
      </c>
      <c r="K189" s="153">
        <f>Восстановление!I37</f>
        <v>0</v>
      </c>
      <c r="L189" s="153">
        <f>Восстановление!L37</f>
        <v>0</v>
      </c>
      <c r="M189" s="153">
        <f t="shared" si="21"/>
        <v>0</v>
      </c>
      <c r="N189" s="153">
        <f t="shared" si="32"/>
        <v>5</v>
      </c>
      <c r="O189" s="153" t="str">
        <f>Восстановление!W37</f>
        <v xml:space="preserve"> - Обеспечить хранение резервных копий на географически удаленных площадках.</v>
      </c>
      <c r="P189" s="155" t="s">
        <v>97</v>
      </c>
      <c r="Q189" s="156" t="s">
        <v>272</v>
      </c>
      <c r="R189" s="153"/>
      <c r="S189" s="157"/>
      <c r="T189" s="151" t="s">
        <v>99</v>
      </c>
      <c r="U189" s="158">
        <v>0</v>
      </c>
      <c r="V189" s="158">
        <v>0</v>
      </c>
      <c r="W189" s="158">
        <v>0</v>
      </c>
      <c r="X189" s="158">
        <f t="shared" si="30"/>
        <v>0</v>
      </c>
      <c r="Y189" s="159"/>
      <c r="Z189" s="160"/>
      <c r="AA189" s="160"/>
      <c r="AB189" s="160"/>
      <c r="AC189" s="160"/>
      <c r="AD189" s="160"/>
      <c r="AE189" s="160"/>
    </row>
    <row r="190" spans="1:31" ht="70.2" hidden="1">
      <c r="A190" s="151" t="s">
        <v>58</v>
      </c>
      <c r="B190" s="152" t="s">
        <v>169</v>
      </c>
      <c r="C190" s="153" t="str">
        <f>Восстановление!B38</f>
        <v>Определены требования восстановления и проводятся тестирования</v>
      </c>
      <c r="D190" s="153" t="str">
        <f>Восстановление!C38</f>
        <v>ВССТ.ПЛН.7</v>
      </c>
      <c r="E190" s="153">
        <f>Восстановление!D38</f>
        <v>5</v>
      </c>
      <c r="F190" s="153">
        <f>Восстановление!E38</f>
        <v>3.2</v>
      </c>
      <c r="G190" s="153">
        <f>Восстановление!F38</f>
        <v>1.6</v>
      </c>
      <c r="H190" s="153">
        <f>Восстановление!V38</f>
        <v>222.06999999999994</v>
      </c>
      <c r="I190" s="154" t="str">
        <f t="shared" si="31"/>
        <v>КБ2</v>
      </c>
      <c r="J190" s="154">
        <f>Восстановление!K38</f>
        <v>5</v>
      </c>
      <c r="K190" s="153">
        <f>Восстановление!I38</f>
        <v>0</v>
      </c>
      <c r="L190" s="153">
        <f>Восстановление!L38</f>
        <v>0</v>
      </c>
      <c r="M190" s="153">
        <f t="shared" si="21"/>
        <v>0</v>
      </c>
      <c r="N190" s="153">
        <f t="shared" si="32"/>
        <v>5</v>
      </c>
      <c r="O190" s="153" t="str">
        <f>Восстановление!W38</f>
        <v xml:space="preserve"> - Регулярно тестировать планы восстановления в тестовой и промышленной среде.</v>
      </c>
      <c r="P190" s="155" t="s">
        <v>97</v>
      </c>
      <c r="Q190" s="156" t="s">
        <v>172</v>
      </c>
      <c r="R190" s="153"/>
      <c r="S190" s="157"/>
      <c r="T190" s="151" t="s">
        <v>99</v>
      </c>
      <c r="U190" s="158">
        <v>0</v>
      </c>
      <c r="V190" s="158">
        <v>0</v>
      </c>
      <c r="W190" s="158">
        <v>0</v>
      </c>
      <c r="X190" s="158">
        <f t="shared" si="30"/>
        <v>0</v>
      </c>
      <c r="Y190" s="159"/>
      <c r="Z190" s="160"/>
      <c r="AA190" s="160"/>
      <c r="AB190" s="160"/>
      <c r="AC190" s="160"/>
      <c r="AD190" s="160"/>
      <c r="AE190" s="160"/>
    </row>
    <row r="191" spans="1:31" ht="163.80000000000001" hidden="1">
      <c r="A191" s="151" t="s">
        <v>58</v>
      </c>
      <c r="B191" s="152" t="s">
        <v>169</v>
      </c>
      <c r="C191" s="153" t="str">
        <f>Восстановление!B39</f>
        <v>Тестирование планов по реагированию и восстановлению проводятся совместно с поставщиками и сторонними провайдерами (имеющими доступ в инфраструктуру Общества)</v>
      </c>
      <c r="D191" s="153" t="str">
        <f>Восстановление!C39</f>
        <v>ВССТ.ПЛН.8</v>
      </c>
      <c r="E191" s="153">
        <f>Восстановление!D39</f>
        <v>5</v>
      </c>
      <c r="F191" s="153">
        <f>Восстановление!E39</f>
        <v>3.2</v>
      </c>
      <c r="G191" s="153">
        <f>Восстановление!F39</f>
        <v>1.6</v>
      </c>
      <c r="H191" s="153">
        <f>Восстановление!V39</f>
        <v>222.07999999999993</v>
      </c>
      <c r="I191" s="154" t="str">
        <f t="shared" si="31"/>
        <v>КБ2</v>
      </c>
      <c r="J191" s="154">
        <f>Восстановление!K39</f>
        <v>5</v>
      </c>
      <c r="K191" s="153">
        <f>Восстановление!I39</f>
        <v>0</v>
      </c>
      <c r="L191" s="153">
        <f>Восстановление!L39</f>
        <v>0</v>
      </c>
      <c r="M191" s="153">
        <f t="shared" si="21"/>
        <v>0</v>
      </c>
      <c r="N191" s="153">
        <f t="shared" si="32"/>
        <v>5</v>
      </c>
      <c r="O191" s="153" t="str">
        <f>Восстановление!W39</f>
        <v xml:space="preserve"> - Совместно с поставщиками составить и протестировать планы восстановления</v>
      </c>
      <c r="P191" s="155" t="s">
        <v>97</v>
      </c>
      <c r="Q191" s="156" t="s">
        <v>172</v>
      </c>
      <c r="R191" s="153"/>
      <c r="S191" s="157"/>
      <c r="T191" s="151" t="s">
        <v>99</v>
      </c>
      <c r="U191" s="158">
        <v>0</v>
      </c>
      <c r="V191" s="158">
        <v>0</v>
      </c>
      <c r="W191" s="158">
        <v>0</v>
      </c>
      <c r="X191" s="158">
        <f t="shared" si="30"/>
        <v>0</v>
      </c>
      <c r="Y191" s="159"/>
      <c r="Z191" s="160"/>
      <c r="AA191" s="160"/>
      <c r="AB191" s="160"/>
      <c r="AC191" s="160"/>
      <c r="AD191" s="160"/>
      <c r="AE191" s="160"/>
    </row>
    <row r="192" spans="1:31" ht="93.6" hidden="1">
      <c r="A192" s="151" t="s">
        <v>58</v>
      </c>
      <c r="B192" s="152" t="s">
        <v>169</v>
      </c>
      <c r="C192" s="153" t="str">
        <f>Восстановление!B40</f>
        <v>Планы восстановления совершенствуются по результатам тестирования и реагирования</v>
      </c>
      <c r="D192" s="153" t="str">
        <f>Восстановление!C40</f>
        <v>ВССТ.ПЛН.9</v>
      </c>
      <c r="E192" s="153">
        <f>Восстановление!D40</f>
        <v>5</v>
      </c>
      <c r="F192" s="153">
        <f>Восстановление!E40</f>
        <v>3.2</v>
      </c>
      <c r="G192" s="153">
        <f>Восстановление!F40</f>
        <v>1.6</v>
      </c>
      <c r="H192" s="153">
        <f>Восстановление!V40</f>
        <v>222.08999999999992</v>
      </c>
      <c r="I192" s="154" t="str">
        <f t="shared" si="31"/>
        <v>КБ2</v>
      </c>
      <c r="J192" s="154">
        <f>Восстановление!K40</f>
        <v>5</v>
      </c>
      <c r="K192" s="153">
        <f>Восстановление!I40</f>
        <v>0</v>
      </c>
      <c r="L192" s="153">
        <f>Восстановление!L40</f>
        <v>0</v>
      </c>
      <c r="M192" s="153">
        <f t="shared" si="21"/>
        <v>0</v>
      </c>
      <c r="N192" s="153">
        <f t="shared" si="32"/>
        <v>5</v>
      </c>
      <c r="O192" s="153" t="str">
        <f>Восстановление!W40</f>
        <v xml:space="preserve"> - Дорабатывать планы с учетом выявленных недостатков.</v>
      </c>
      <c r="P192" s="155" t="s">
        <v>97</v>
      </c>
      <c r="Q192" s="156" t="s">
        <v>273</v>
      </c>
      <c r="R192" s="153"/>
      <c r="S192" s="157"/>
      <c r="T192" s="151" t="s">
        <v>99</v>
      </c>
      <c r="U192" s="158">
        <v>0</v>
      </c>
      <c r="V192" s="158">
        <v>0</v>
      </c>
      <c r="W192" s="158">
        <v>0</v>
      </c>
      <c r="X192" s="158">
        <f t="shared" si="30"/>
        <v>0</v>
      </c>
      <c r="Y192" s="159"/>
      <c r="Z192" s="160"/>
      <c r="AA192" s="160"/>
      <c r="AB192" s="160"/>
      <c r="AC192" s="160"/>
      <c r="AD192" s="160"/>
      <c r="AE192" s="160"/>
    </row>
    <row r="193" spans="1:31" ht="187.2" hidden="1">
      <c r="A193" s="151" t="s">
        <v>64</v>
      </c>
      <c r="B193" s="152" t="s">
        <v>261</v>
      </c>
      <c r="C193" s="153" t="str">
        <f>Мониторинг!B60</f>
        <v>Обеспечено хранение событий ИБ минимум в течении 6 месяцев</v>
      </c>
      <c r="D193" s="153" t="str">
        <f>Мониторинг!C60</f>
        <v>МНТ.A.3</v>
      </c>
      <c r="E193" s="153">
        <f>Мониторинг!D60</f>
        <v>5</v>
      </c>
      <c r="F193" s="153">
        <f>Мониторинг!E60</f>
        <v>5</v>
      </c>
      <c r="G193" s="153">
        <f>Мониторинг!F60</f>
        <v>0</v>
      </c>
      <c r="H193" s="153">
        <f>Мониторинг!V60</f>
        <v>220.01</v>
      </c>
      <c r="I193" s="154" t="str">
        <f t="shared" si="31"/>
        <v>КБ2</v>
      </c>
      <c r="J193" s="154">
        <f>Мониторинг!K60</f>
        <v>5</v>
      </c>
      <c r="K193" s="153">
        <f>Мониторинг!I60</f>
        <v>0</v>
      </c>
      <c r="L193" s="153">
        <f>Мониторинг!L60</f>
        <v>0</v>
      </c>
      <c r="M193" s="153">
        <f t="shared" si="21"/>
        <v>0</v>
      </c>
      <c r="N193" s="153">
        <f t="shared" si="32"/>
        <v>5</v>
      </c>
      <c r="O193" s="153" t="str">
        <f>Мониторинг!W60</f>
        <v xml:space="preserve"> - Настроить БД SIEM для хранения информации о событиях не менее 6 месяцев. Выделить ресурсы, достаточные для хранения. Проконтролировать хранение событий не менее указанного срока.</v>
      </c>
      <c r="P193" s="155" t="s">
        <v>97</v>
      </c>
      <c r="Q193" s="156" t="s">
        <v>262</v>
      </c>
      <c r="R193" s="153"/>
      <c r="S193" s="157"/>
      <c r="T193" s="151" t="s">
        <v>99</v>
      </c>
      <c r="U193" s="158">
        <v>0</v>
      </c>
      <c r="V193" s="158">
        <v>0</v>
      </c>
      <c r="W193" s="158">
        <v>0</v>
      </c>
      <c r="X193" s="158">
        <f t="shared" si="30"/>
        <v>0</v>
      </c>
      <c r="Y193" s="159"/>
      <c r="Z193" s="160"/>
      <c r="AA193" s="160"/>
      <c r="AB193" s="160"/>
      <c r="AC193" s="160"/>
      <c r="AD193" s="160"/>
      <c r="AE193" s="160"/>
    </row>
    <row r="194" spans="1:31" ht="210.6" hidden="1">
      <c r="A194" s="151" t="s">
        <v>64</v>
      </c>
      <c r="B194" s="152" t="s">
        <v>239</v>
      </c>
      <c r="C194" s="153" t="str">
        <f>Мониторинг!B46</f>
        <v>Процент покрытия инфраструктуры лицензиями на мониторинг</v>
      </c>
      <c r="D194" s="153" t="str">
        <f>Мониторинг!C46</f>
        <v>МНТ.SIEM.1</v>
      </c>
      <c r="E194" s="153">
        <f>Мониторинг!D46</f>
        <v>5</v>
      </c>
      <c r="F194" s="153">
        <f>Мониторинг!E46</f>
        <v>4.5</v>
      </c>
      <c r="G194" s="153">
        <f>Мониторинг!F46</f>
        <v>0</v>
      </c>
      <c r="H194" s="170">
        <f>Мониторинг!V46</f>
        <v>206.01</v>
      </c>
      <c r="I194" s="154" t="str">
        <f t="shared" si="31"/>
        <v>КБ2</v>
      </c>
      <c r="J194" s="154">
        <f>Мониторинг!K46</f>
        <v>5</v>
      </c>
      <c r="K194" s="163">
        <f>Мониторинг!I46</f>
        <v>0</v>
      </c>
      <c r="L194" s="153">
        <f>Мониторинг!L46</f>
        <v>0</v>
      </c>
      <c r="M194" s="153">
        <f t="shared" si="21"/>
        <v>0</v>
      </c>
      <c r="N194" s="153">
        <f t="shared" si="32"/>
        <v>5</v>
      </c>
      <c r="O194" s="153" t="str">
        <f>Мониторинг!W46</f>
        <v xml:space="preserve"> - Создать подразделение мониторинга (SOC);
  - Приобрести лицензии SIEM не менее чем на 50% парка серверов, сетевого оборудования и не менее 10% АРМ;
  - Создать инфраструктуру мониторинга</v>
      </c>
      <c r="P194" s="155" t="s">
        <v>97</v>
      </c>
      <c r="Q194" s="156" t="s">
        <v>240</v>
      </c>
      <c r="R194" s="153"/>
      <c r="S194" s="157"/>
      <c r="T194" s="151" t="s">
        <v>99</v>
      </c>
      <c r="U194" s="158">
        <v>0</v>
      </c>
      <c r="V194" s="158">
        <v>0</v>
      </c>
      <c r="W194" s="158">
        <v>0</v>
      </c>
      <c r="X194" s="158">
        <f t="shared" si="30"/>
        <v>0</v>
      </c>
      <c r="Y194" s="159"/>
      <c r="Z194" s="160"/>
      <c r="AA194" s="160"/>
      <c r="AB194" s="160"/>
      <c r="AC194" s="160"/>
      <c r="AD194" s="160"/>
      <c r="AE194" s="160"/>
    </row>
    <row r="195" spans="1:31" ht="70.2" hidden="1">
      <c r="A195" s="151" t="s">
        <v>64</v>
      </c>
      <c r="B195" s="152" t="s">
        <v>239</v>
      </c>
      <c r="C195" s="153" t="str">
        <f>Мониторинг!B55</f>
        <v>Контроль событий СЗИ</v>
      </c>
      <c r="D195" s="153" t="str">
        <f>Мониторинг!C55</f>
        <v>МНТ.SIEM.10</v>
      </c>
      <c r="E195" s="153">
        <f>Мониторинг!D55</f>
        <v>5</v>
      </c>
      <c r="F195" s="153">
        <f>Мониторинг!E55</f>
        <v>3.2</v>
      </c>
      <c r="G195" s="153">
        <f>Мониторинг!F55</f>
        <v>0</v>
      </c>
      <c r="H195" s="168">
        <f>Мониторинг!V55</f>
        <v>206.09999999999991</v>
      </c>
      <c r="I195" s="154" t="str">
        <f t="shared" si="31"/>
        <v>КБ2</v>
      </c>
      <c r="J195" s="154">
        <f>Мониторинг!K55</f>
        <v>5</v>
      </c>
      <c r="K195" s="153">
        <f>Мониторинг!I55</f>
        <v>0</v>
      </c>
      <c r="L195" s="153">
        <f>Мониторинг!L55</f>
        <v>0</v>
      </c>
      <c r="M195" s="153">
        <f t="shared" si="21"/>
        <v>0</v>
      </c>
      <c r="N195" s="153">
        <f t="shared" si="32"/>
        <v>5</v>
      </c>
      <c r="O195" s="153" t="str">
        <f>Мониторинг!W55</f>
        <v xml:space="preserve"> - Подключить к SIEM СЗИ: не менее 50%. Разработать решающие правила для СЗИ</v>
      </c>
      <c r="P195" s="155" t="s">
        <v>97</v>
      </c>
      <c r="Q195" s="156" t="s">
        <v>242</v>
      </c>
      <c r="R195" s="153"/>
      <c r="S195" s="157"/>
      <c r="T195" s="151" t="s">
        <v>99</v>
      </c>
      <c r="U195" s="158">
        <v>0</v>
      </c>
      <c r="V195" s="158">
        <v>0</v>
      </c>
      <c r="W195" s="158">
        <v>0</v>
      </c>
      <c r="X195" s="158">
        <f t="shared" si="30"/>
        <v>0</v>
      </c>
      <c r="Y195" s="159"/>
      <c r="Z195" s="160"/>
      <c r="AA195" s="160"/>
      <c r="AB195" s="160"/>
      <c r="AC195" s="160"/>
      <c r="AD195" s="160"/>
      <c r="AE195" s="160"/>
    </row>
    <row r="196" spans="1:31" ht="257.39999999999998" hidden="1">
      <c r="A196" s="151" t="s">
        <v>64</v>
      </c>
      <c r="B196" s="152" t="s">
        <v>239</v>
      </c>
      <c r="C196" s="153" t="str">
        <f>Мониторинг!B56</f>
        <v>Контроль событий о действиях привелигированных пользователей</v>
      </c>
      <c r="D196" s="153" t="str">
        <f>Мониторинг!C56</f>
        <v>МНТ.SIEM.11</v>
      </c>
      <c r="E196" s="153">
        <f>Мониторинг!D56</f>
        <v>5</v>
      </c>
      <c r="F196" s="153">
        <f>Мониторинг!E56</f>
        <v>3.2</v>
      </c>
      <c r="G196" s="153">
        <f>Мониторинг!F56</f>
        <v>0</v>
      </c>
      <c r="H196" s="170">
        <f>Мониторинг!V56</f>
        <v>206.1099999999999</v>
      </c>
      <c r="I196" s="154" t="str">
        <f t="shared" si="31"/>
        <v>КБ2</v>
      </c>
      <c r="J196" s="154">
        <f>Мониторинг!K56</f>
        <v>5</v>
      </c>
      <c r="K196" s="153">
        <f>Мониторинг!I56</f>
        <v>0</v>
      </c>
      <c r="L196" s="153">
        <f>Мониторинг!L56</f>
        <v>0</v>
      </c>
      <c r="M196" s="153">
        <f t="shared" si="21"/>
        <v>0</v>
      </c>
      <c r="N196" s="153">
        <f t="shared" si="32"/>
        <v>5</v>
      </c>
      <c r="O196" s="153" t="str">
        <f>Мониторинг!W56</f>
        <v xml:space="preserve">  - Составить перчень привилегированных пользователей и групп;
  -  Разработать решающие правила SIEM для выявления действий привилегированных пользователей;
  -  Контролировать действия привилегированных пользователей в критичных ИС
</v>
      </c>
      <c r="P196" s="155" t="s">
        <v>97</v>
      </c>
      <c r="Q196" s="156" t="s">
        <v>242</v>
      </c>
      <c r="R196" s="153"/>
      <c r="S196" s="157"/>
      <c r="T196" s="151" t="s">
        <v>99</v>
      </c>
      <c r="U196" s="158">
        <v>0</v>
      </c>
      <c r="V196" s="158">
        <v>0</v>
      </c>
      <c r="W196" s="158">
        <v>0</v>
      </c>
      <c r="X196" s="158">
        <f t="shared" si="30"/>
        <v>0</v>
      </c>
      <c r="Y196" s="159"/>
      <c r="Z196" s="160"/>
      <c r="AA196" s="160"/>
      <c r="AB196" s="160"/>
      <c r="AC196" s="160"/>
      <c r="AD196" s="160"/>
      <c r="AE196" s="160"/>
    </row>
    <row r="197" spans="1:31" ht="210.6" hidden="1">
      <c r="A197" s="151" t="s">
        <v>64</v>
      </c>
      <c r="B197" s="152" t="s">
        <v>239</v>
      </c>
      <c r="C197" s="153" t="str">
        <f>Мониторинг!B57</f>
        <v>Внедрен процесс управления сбоями и мониторинга работоспособности SIEM</v>
      </c>
      <c r="D197" s="153" t="str">
        <f>Мониторинг!C57</f>
        <v>МНТ.SIEM.12</v>
      </c>
      <c r="E197" s="153">
        <f>Мониторинг!D57</f>
        <v>4</v>
      </c>
      <c r="F197" s="153">
        <f>Мониторинг!E57</f>
        <v>3</v>
      </c>
      <c r="G197" s="153">
        <f>Мониторинг!F57</f>
        <v>0</v>
      </c>
      <c r="H197" s="170">
        <f>Мониторинг!V57</f>
        <v>206.11999999999989</v>
      </c>
      <c r="I197" s="154" t="str">
        <f t="shared" si="31"/>
        <v>КБ2</v>
      </c>
      <c r="J197" s="154">
        <f>Мониторинг!K57</f>
        <v>4</v>
      </c>
      <c r="K197" s="153">
        <f>Мониторинг!I57</f>
        <v>0</v>
      </c>
      <c r="L197" s="153">
        <f>Мониторинг!L57</f>
        <v>0</v>
      </c>
      <c r="M197" s="153">
        <f t="shared" si="21"/>
        <v>0</v>
      </c>
      <c r="N197" s="153">
        <f t="shared" si="32"/>
        <v>4</v>
      </c>
      <c r="O197" s="153" t="str">
        <f>Мониторинг!W57</f>
        <v xml:space="preserve"> - Организовать контроль непрерывности мониторинга;
  -  Обеспечить восстановление мониторинга при сбоях в срок не более чем 6 часов;
  -  Обеспечить сохранность данных об инцидентах в случае сбоев;
</v>
      </c>
      <c r="P197" s="155" t="s">
        <v>97</v>
      </c>
      <c r="Q197" s="156" t="s">
        <v>243</v>
      </c>
      <c r="R197" s="153"/>
      <c r="S197" s="157"/>
      <c r="T197" s="151" t="s">
        <v>99</v>
      </c>
      <c r="U197" s="158">
        <v>0</v>
      </c>
      <c r="V197" s="158">
        <v>0</v>
      </c>
      <c r="W197" s="158">
        <v>0</v>
      </c>
      <c r="X197" s="158">
        <f t="shared" si="30"/>
        <v>0</v>
      </c>
      <c r="Y197" s="159"/>
      <c r="Z197" s="160"/>
      <c r="AA197" s="160"/>
      <c r="AB197" s="160"/>
      <c r="AC197" s="160"/>
      <c r="AD197" s="160"/>
      <c r="AE197" s="160"/>
    </row>
    <row r="198" spans="1:31" ht="409.6" hidden="1">
      <c r="A198" s="151" t="s">
        <v>64</v>
      </c>
      <c r="B198" s="152" t="s">
        <v>239</v>
      </c>
      <c r="C198" s="153" t="str">
        <f>Мониторинг!B58</f>
        <v>Осуществляется контроль событий о действиях внешних поставщиков ИТ услуг, имеющих доступ к инфраструктуре Общества</v>
      </c>
      <c r="D198" s="153" t="str">
        <f>Мониторинг!C58</f>
        <v>МНТ.SIEM.13</v>
      </c>
      <c r="E198" s="153">
        <f>Мониторинг!D58</f>
        <v>5</v>
      </c>
      <c r="F198" s="153">
        <f>Мониторинг!E58</f>
        <v>5</v>
      </c>
      <c r="G198" s="153">
        <f>Мониторинг!F58</f>
        <v>0</v>
      </c>
      <c r="H198" s="170">
        <f>Мониторинг!V58</f>
        <v>206.12999999999988</v>
      </c>
      <c r="I198" s="154" t="str">
        <f t="shared" si="31"/>
        <v>КБ2</v>
      </c>
      <c r="J198" s="154">
        <f>Мониторинг!K58</f>
        <v>5</v>
      </c>
      <c r="K198" s="153">
        <f>Мониторинг!I58</f>
        <v>0</v>
      </c>
      <c r="L198" s="153">
        <f>Мониторинг!L58</f>
        <v>0</v>
      </c>
      <c r="M198" s="153">
        <f t="shared" si="21"/>
        <v>0</v>
      </c>
      <c r="N198" s="153">
        <f t="shared" si="32"/>
        <v>5</v>
      </c>
      <c r="O198" s="153" t="str">
        <f>Мониторинг!W58</f>
        <v xml:space="preserve">   -  Определить порядок взаимодействия с поставщиком при мониторинге (если поставщик предоставляет услугу мониторинга или самостоятельно ведет такой мониторинг) и обмена информацией об инцидентах.
 - Разработать решающие правила  SIEM для контроля внешних услуг и подрядчиков;
   -  Поставить на мониторинг SIEM поставщиков, имеющих доступ к внутренней инфраструктуре (например, внешняя техподдержка) и используемые ими средства (удаленный доступ, административные учетные записи, обслуживаемые ИС)</v>
      </c>
      <c r="P198" s="155" t="s">
        <v>97</v>
      </c>
      <c r="Q198" s="156" t="s">
        <v>244</v>
      </c>
      <c r="R198" s="153"/>
      <c r="S198" s="157"/>
      <c r="T198" s="151" t="s">
        <v>99</v>
      </c>
      <c r="U198" s="158">
        <v>0</v>
      </c>
      <c r="V198" s="158">
        <v>0</v>
      </c>
      <c r="W198" s="158">
        <v>0</v>
      </c>
      <c r="X198" s="158">
        <f t="shared" si="30"/>
        <v>0</v>
      </c>
      <c r="Y198" s="159"/>
      <c r="Z198" s="160"/>
      <c r="AA198" s="160"/>
      <c r="AB198" s="160"/>
      <c r="AC198" s="160"/>
      <c r="AD198" s="160"/>
      <c r="AE198" s="160"/>
    </row>
    <row r="199" spans="1:31" ht="187.2" hidden="1">
      <c r="A199" s="151" t="s">
        <v>64</v>
      </c>
      <c r="B199" s="152" t="s">
        <v>239</v>
      </c>
      <c r="C199" s="153" t="str">
        <f>Мониторинг!B47</f>
        <v>Процент покрытия инфраструктуры мониторингом</v>
      </c>
      <c r="D199" s="153" t="str">
        <f>Мониторинг!C47</f>
        <v>МНТ.SIEM.2</v>
      </c>
      <c r="E199" s="153">
        <f>Мониторинг!D47</f>
        <v>4.75</v>
      </c>
      <c r="F199" s="153">
        <f>Мониторинг!E47</f>
        <v>4.5</v>
      </c>
      <c r="G199" s="153">
        <f>Мониторинг!F47</f>
        <v>0</v>
      </c>
      <c r="H199" s="170">
        <f>Мониторинг!V47</f>
        <v>206.01999999999998</v>
      </c>
      <c r="I199" s="154" t="str">
        <f t="shared" si="31"/>
        <v>КБ2</v>
      </c>
      <c r="J199" s="154">
        <f>Мониторинг!K47</f>
        <v>4.75</v>
      </c>
      <c r="K199" s="163">
        <f>Мониторинг!I47</f>
        <v>0</v>
      </c>
      <c r="L199" s="153">
        <f>Мониторинг!L47</f>
        <v>0</v>
      </c>
      <c r="M199" s="153">
        <f t="shared" si="21"/>
        <v>0</v>
      </c>
      <c r="N199" s="153">
        <f t="shared" si="32"/>
        <v>4.75</v>
      </c>
      <c r="O199" s="153" t="str">
        <f>Мониторинг!W47</f>
        <v xml:space="preserve"> - Подключить к SIEM все критичные ИС, публичные ИС, критичное сетевое оборудование;
   - Подключить к SIEM не менее 50% серверов, сетевого оборудования, не менее 10% АРМ</v>
      </c>
      <c r="P199" s="155" t="s">
        <v>97</v>
      </c>
      <c r="Q199" s="156" t="s">
        <v>241</v>
      </c>
      <c r="R199" s="153"/>
      <c r="S199" s="157"/>
      <c r="T199" s="151" t="s">
        <v>99</v>
      </c>
      <c r="U199" s="158">
        <v>0</v>
      </c>
      <c r="V199" s="158">
        <v>0</v>
      </c>
      <c r="W199" s="158">
        <v>0</v>
      </c>
      <c r="X199" s="158">
        <f t="shared" si="30"/>
        <v>0</v>
      </c>
      <c r="Y199" s="159"/>
      <c r="Z199" s="160"/>
      <c r="AA199" s="160"/>
      <c r="AB199" s="160"/>
      <c r="AC199" s="160"/>
      <c r="AD199" s="160"/>
      <c r="AE199" s="160"/>
    </row>
    <row r="200" spans="1:31" ht="93.6" hidden="1">
      <c r="A200" s="151" t="s">
        <v>64</v>
      </c>
      <c r="B200" s="152" t="s">
        <v>239</v>
      </c>
      <c r="C200" s="153" t="str">
        <f>Мониторинг!B48</f>
        <v>Определен набор решающих правил и пороги страбатывания</v>
      </c>
      <c r="D200" s="174" t="str">
        <f>Мониторинг!C48</f>
        <v>МНТ.SIEM.3</v>
      </c>
      <c r="E200" s="153">
        <f>Мониторинг!D48</f>
        <v>5</v>
      </c>
      <c r="F200" s="153">
        <f>Мониторинг!E48</f>
        <v>3.2</v>
      </c>
      <c r="G200" s="153">
        <f>Мониторинг!F48</f>
        <v>0</v>
      </c>
      <c r="H200" s="170">
        <f>Мониторинг!V48</f>
        <v>206.02999999999997</v>
      </c>
      <c r="I200" s="154" t="str">
        <f t="shared" si="31"/>
        <v>КБ2</v>
      </c>
      <c r="J200" s="154">
        <f>Мониторинг!K48</f>
        <v>5</v>
      </c>
      <c r="K200" s="153">
        <f>Мониторинг!I48</f>
        <v>0</v>
      </c>
      <c r="L200" s="153">
        <f>Мониторинг!L48</f>
        <v>0</v>
      </c>
      <c r="M200" s="153">
        <f t="shared" si="21"/>
        <v>0</v>
      </c>
      <c r="N200" s="153">
        <f t="shared" si="32"/>
        <v>5</v>
      </c>
      <c r="O200" s="153" t="str">
        <f>Мониторинг!W48</f>
        <v xml:space="preserve">  -  Разработать решающие правила, учитывающие особенности инфраструктуры Общества</v>
      </c>
      <c r="P200" s="155" t="s">
        <v>97</v>
      </c>
      <c r="Q200" s="156" t="s">
        <v>242</v>
      </c>
      <c r="R200" s="153"/>
      <c r="S200" s="157"/>
      <c r="T200" s="151" t="s">
        <v>99</v>
      </c>
      <c r="U200" s="158">
        <v>0</v>
      </c>
      <c r="V200" s="158">
        <v>0</v>
      </c>
      <c r="W200" s="158">
        <v>0</v>
      </c>
      <c r="X200" s="158">
        <f t="shared" si="30"/>
        <v>0</v>
      </c>
      <c r="Y200" s="159"/>
      <c r="Z200" s="160"/>
      <c r="AA200" s="160"/>
      <c r="AB200" s="160"/>
      <c r="AC200" s="160"/>
      <c r="AD200" s="160"/>
      <c r="AE200" s="160"/>
    </row>
    <row r="201" spans="1:31" ht="409.6" hidden="1">
      <c r="A201" s="151" t="s">
        <v>64</v>
      </c>
      <c r="B201" s="152" t="s">
        <v>239</v>
      </c>
      <c r="C201" s="153" t="str">
        <f>Мониторинг!B49</f>
        <v>Осуществляется сбор событий, необходимых для детекта и обогащения в объеме, достаточном для решения задач            
(- создания, изменения, удаления субъектов и объектов доступа;
- аутентификации (вход и выход субъектов);
- авторизации (доступа субъектов к объектам);
- запуска и остановки, удаления и остановки служб (ПО);
- изменения настроек ПО и средств защиты информации;
- обработки сетевого трафика (netflow))</v>
      </c>
      <c r="D201" s="174" t="str">
        <f>Мониторинг!C49</f>
        <v>МНТ.SIEM.4</v>
      </c>
      <c r="E201" s="153">
        <f>Мониторинг!D49</f>
        <v>5</v>
      </c>
      <c r="F201" s="153">
        <f>Мониторинг!E49</f>
        <v>3.2</v>
      </c>
      <c r="G201" s="153">
        <f>Мониторинг!F49</f>
        <v>0</v>
      </c>
      <c r="H201" s="170">
        <f>Мониторинг!V49</f>
        <v>206.03999999999996</v>
      </c>
      <c r="I201" s="154" t="str">
        <f t="shared" si="31"/>
        <v>КБ2</v>
      </c>
      <c r="J201" s="154">
        <f>Мониторинг!K49</f>
        <v>5</v>
      </c>
      <c r="K201" s="153">
        <f>Мониторинг!I49</f>
        <v>0</v>
      </c>
      <c r="L201" s="153">
        <f>Мониторинг!L49</f>
        <v>0</v>
      </c>
      <c r="M201" s="153">
        <f t="shared" si="21"/>
        <v>0</v>
      </c>
      <c r="N201" s="153">
        <f t="shared" si="32"/>
        <v>5</v>
      </c>
      <c r="O201" s="153" t="str">
        <f>Мониторинг!W49</f>
        <v>Определить источники SIEM для систем Mission Critical и Business Critical
Определен состав событий
Система логов подключена к SIEM
Для критичных событий определены правила кореляции
Проведена проверка подключения источников и сбора логов
Определена процедура действий в случае потери связи с источником либо отсутствия событий
Информация актуализируется не реже 1 раза в год</v>
      </c>
      <c r="P201" s="155" t="s">
        <v>97</v>
      </c>
      <c r="Q201" s="633" t="s">
        <v>1293</v>
      </c>
      <c r="R201" s="153"/>
      <c r="S201" s="157"/>
      <c r="T201" s="151" t="s">
        <v>99</v>
      </c>
      <c r="U201" s="158">
        <v>0</v>
      </c>
      <c r="V201" s="158">
        <v>0</v>
      </c>
      <c r="W201" s="158">
        <v>0</v>
      </c>
      <c r="X201" s="158">
        <f t="shared" si="30"/>
        <v>0</v>
      </c>
      <c r="Y201" s="159"/>
      <c r="Z201" s="160"/>
      <c r="AA201" s="160"/>
      <c r="AB201" s="160"/>
      <c r="AC201" s="160"/>
      <c r="AD201" s="160"/>
      <c r="AE201" s="160"/>
    </row>
    <row r="202" spans="1:31" ht="140.4" hidden="1">
      <c r="A202" s="151" t="s">
        <v>64</v>
      </c>
      <c r="B202" s="152" t="s">
        <v>239</v>
      </c>
      <c r="C202" s="153" t="str">
        <f>Мониторинг!B50</f>
        <v>Настроенные решающие правила соответствуют ТТР Блока ИБ</v>
      </c>
      <c r="D202" s="153" t="str">
        <f>Мониторинг!C50</f>
        <v>МНТ.SIEM.5</v>
      </c>
      <c r="E202" s="153">
        <f>Мониторинг!D50</f>
        <v>5</v>
      </c>
      <c r="F202" s="153">
        <f>Мониторинг!E50</f>
        <v>3.2</v>
      </c>
      <c r="G202" s="153">
        <f>Мониторинг!F50</f>
        <v>0</v>
      </c>
      <c r="H202" s="170">
        <f>Мониторинг!V50</f>
        <v>206.04999999999995</v>
      </c>
      <c r="I202" s="154" t="str">
        <f t="shared" si="31"/>
        <v>КБ2</v>
      </c>
      <c r="J202" s="154">
        <f>Мониторинг!K50</f>
        <v>5</v>
      </c>
      <c r="K202" s="153">
        <f>Мониторинг!I50</f>
        <v>0</v>
      </c>
      <c r="L202" s="153">
        <f>Мониторинг!L50</f>
        <v>0</v>
      </c>
      <c r="M202" s="153">
        <f t="shared" ref="M202:M253" si="33">IF(K202=J202," ",L202-K202)</f>
        <v>0</v>
      </c>
      <c r="N202" s="153">
        <f t="shared" si="32"/>
        <v>5</v>
      </c>
      <c r="O202" s="153" t="str">
        <f>Мониторинг!W50</f>
        <v xml:space="preserve"> - Получить в Блоке ИБ ПАО Ростелеком ТТР и реализовать рекомендуемые решения (в ограниченном объеме с учетом возможностей организации на уровне КБ2)</v>
      </c>
      <c r="P202" s="155" t="s">
        <v>97</v>
      </c>
      <c r="Q202" s="156" t="s">
        <v>242</v>
      </c>
      <c r="R202" s="153"/>
      <c r="S202" s="157"/>
      <c r="T202" s="151" t="s">
        <v>99</v>
      </c>
      <c r="U202" s="158">
        <v>0</v>
      </c>
      <c r="V202" s="158">
        <v>0</v>
      </c>
      <c r="W202" s="158">
        <v>0</v>
      </c>
      <c r="X202" s="158">
        <f t="shared" si="30"/>
        <v>0</v>
      </c>
      <c r="Y202" s="159"/>
      <c r="Z202" s="160"/>
      <c r="AA202" s="160"/>
      <c r="AB202" s="160"/>
      <c r="AC202" s="160"/>
      <c r="AD202" s="160"/>
      <c r="AE202" s="160"/>
    </row>
    <row r="203" spans="1:31" ht="93.6" hidden="1">
      <c r="A203" s="151" t="s">
        <v>64</v>
      </c>
      <c r="B203" s="152" t="s">
        <v>239</v>
      </c>
      <c r="C203" s="153" t="str">
        <f>Мониторинг!B51</f>
        <v>Контролируются сетевые события</v>
      </c>
      <c r="D203" s="153" t="str">
        <f>Мониторинг!C51</f>
        <v>МНТ.SIEM.6</v>
      </c>
      <c r="E203" s="153">
        <f>Мониторинг!D51</f>
        <v>5</v>
      </c>
      <c r="F203" s="153">
        <f>Мониторинг!E51</f>
        <v>3.2</v>
      </c>
      <c r="G203" s="153">
        <f>Мониторинг!F51</f>
        <v>0</v>
      </c>
      <c r="H203" s="170">
        <f>Мониторинг!V51</f>
        <v>206.05999999999995</v>
      </c>
      <c r="I203" s="154" t="str">
        <f t="shared" si="31"/>
        <v>КБ2</v>
      </c>
      <c r="J203" s="154">
        <f>Мониторинг!K51</f>
        <v>5</v>
      </c>
      <c r="K203" s="153">
        <f>Мониторинг!I51</f>
        <v>0</v>
      </c>
      <c r="L203" s="153">
        <f>Мониторинг!L51</f>
        <v>0</v>
      </c>
      <c r="M203" s="153">
        <f t="shared" si="33"/>
        <v>0</v>
      </c>
      <c r="N203" s="153">
        <f t="shared" si="32"/>
        <v>5</v>
      </c>
      <c r="O203" s="153" t="str">
        <f>Мониторинг!W51</f>
        <v xml:space="preserve"> - Подключить к SIEM сетевые устройства: не менее 50%. Разработать решающие правила для сетевых событий.</v>
      </c>
      <c r="P203" s="155" t="s">
        <v>97</v>
      </c>
      <c r="Q203" s="156" t="s">
        <v>242</v>
      </c>
      <c r="R203" s="153"/>
      <c r="S203" s="157"/>
      <c r="T203" s="151" t="s">
        <v>99</v>
      </c>
      <c r="U203" s="158">
        <v>0</v>
      </c>
      <c r="V203" s="158">
        <v>0</v>
      </c>
      <c r="W203" s="158">
        <v>0</v>
      </c>
      <c r="X203" s="158">
        <f t="shared" si="30"/>
        <v>0</v>
      </c>
      <c r="Y203" s="159"/>
      <c r="Z203" s="160"/>
      <c r="AA203" s="160"/>
      <c r="AB203" s="160"/>
      <c r="AC203" s="160"/>
      <c r="AD203" s="160"/>
      <c r="AE203" s="160"/>
    </row>
    <row r="204" spans="1:31" ht="93.6" hidden="1">
      <c r="A204" s="151" t="s">
        <v>64</v>
      </c>
      <c r="B204" s="152" t="s">
        <v>239</v>
      </c>
      <c r="C204" s="153" t="str">
        <f>Мониторинг!B52</f>
        <v>Контролируются  события ОС</v>
      </c>
      <c r="D204" s="153" t="str">
        <f>Мониторинг!C52</f>
        <v>МНТ.SIEM.7</v>
      </c>
      <c r="E204" s="153">
        <f>Мониторинг!D52</f>
        <v>5</v>
      </c>
      <c r="F204" s="153">
        <f>Мониторинг!E52</f>
        <v>3.2</v>
      </c>
      <c r="G204" s="153">
        <f>Мониторинг!F52</f>
        <v>0</v>
      </c>
      <c r="H204" s="170">
        <f>Мониторинг!V52</f>
        <v>206.06999999999994</v>
      </c>
      <c r="I204" s="154" t="str">
        <f t="shared" si="31"/>
        <v>КБ2</v>
      </c>
      <c r="J204" s="154">
        <f>Мониторинг!K52</f>
        <v>5</v>
      </c>
      <c r="K204" s="153">
        <f>Мониторинг!I52</f>
        <v>0</v>
      </c>
      <c r="L204" s="153">
        <f>Мониторинг!L52</f>
        <v>0</v>
      </c>
      <c r="M204" s="153">
        <f t="shared" si="33"/>
        <v>0</v>
      </c>
      <c r="N204" s="153">
        <f t="shared" si="32"/>
        <v>5</v>
      </c>
      <c r="O204" s="153" t="str">
        <f>Мониторинг!W52</f>
        <v xml:space="preserve"> - Подключить к SIEM операц.системы: не менее 50%. Разработать решающие правила для ОС</v>
      </c>
      <c r="P204" s="155" t="s">
        <v>97</v>
      </c>
      <c r="Q204" s="156" t="s">
        <v>242</v>
      </c>
      <c r="R204" s="153"/>
      <c r="S204" s="157"/>
      <c r="T204" s="151" t="s">
        <v>99</v>
      </c>
      <c r="U204" s="158">
        <v>0</v>
      </c>
      <c r="V204" s="158">
        <v>0</v>
      </c>
      <c r="W204" s="158">
        <v>0</v>
      </c>
      <c r="X204" s="158">
        <f t="shared" si="30"/>
        <v>0</v>
      </c>
      <c r="Y204" s="159"/>
      <c r="Z204" s="160"/>
      <c r="AA204" s="160"/>
      <c r="AB204" s="160"/>
      <c r="AC204" s="160"/>
      <c r="AD204" s="160"/>
      <c r="AE204" s="160"/>
    </row>
    <row r="205" spans="1:31" ht="70.2" hidden="1">
      <c r="A205" s="151" t="s">
        <v>64</v>
      </c>
      <c r="B205" s="152" t="s">
        <v>239</v>
      </c>
      <c r="C205" s="153" t="str">
        <f>Мониторинг!B53</f>
        <v>Контролируются события СУБД</v>
      </c>
      <c r="D205" s="153" t="str">
        <f>Мониторинг!C53</f>
        <v>МНТ.SIEM.8</v>
      </c>
      <c r="E205" s="153">
        <f>Мониторинг!D53</f>
        <v>5</v>
      </c>
      <c r="F205" s="153">
        <f>Мониторинг!E53</f>
        <v>3.2</v>
      </c>
      <c r="G205" s="153">
        <f>Мониторинг!F53</f>
        <v>0</v>
      </c>
      <c r="H205" s="168">
        <f>Мониторинг!V53</f>
        <v>206.07999999999993</v>
      </c>
      <c r="I205" s="154" t="str">
        <f t="shared" si="31"/>
        <v>КБ2</v>
      </c>
      <c r="J205" s="154">
        <f>Мониторинг!K53</f>
        <v>5</v>
      </c>
      <c r="K205" s="153">
        <f>Мониторинг!I53</f>
        <v>0</v>
      </c>
      <c r="L205" s="153">
        <f>Мониторинг!L53</f>
        <v>0</v>
      </c>
      <c r="M205" s="153">
        <f t="shared" si="33"/>
        <v>0</v>
      </c>
      <c r="N205" s="153">
        <f t="shared" si="32"/>
        <v>5</v>
      </c>
      <c r="O205" s="153" t="str">
        <f>Мониторинг!W53</f>
        <v xml:space="preserve"> - Подключить к SIEM СУБД: не менее 50%. Разработать решающие правила для СУБД</v>
      </c>
      <c r="P205" s="155" t="s">
        <v>97</v>
      </c>
      <c r="Q205" s="156" t="s">
        <v>242</v>
      </c>
      <c r="R205" s="153"/>
      <c r="S205" s="157"/>
      <c r="T205" s="151" t="s">
        <v>99</v>
      </c>
      <c r="U205" s="158">
        <v>0</v>
      </c>
      <c r="V205" s="158">
        <v>0</v>
      </c>
      <c r="W205" s="158">
        <v>0</v>
      </c>
      <c r="X205" s="158">
        <f t="shared" si="30"/>
        <v>0</v>
      </c>
      <c r="Y205" s="159"/>
      <c r="Z205" s="160"/>
      <c r="AA205" s="160"/>
      <c r="AB205" s="160"/>
      <c r="AC205" s="160"/>
      <c r="AD205" s="160"/>
      <c r="AE205" s="160"/>
    </row>
    <row r="206" spans="1:31" ht="93.6" hidden="1">
      <c r="A206" s="151" t="s">
        <v>64</v>
      </c>
      <c r="B206" s="152" t="s">
        <v>239</v>
      </c>
      <c r="C206" s="153" t="str">
        <f>Мониторинг!B54</f>
        <v>Контролируются события прикладных ИС</v>
      </c>
      <c r="D206" s="153" t="str">
        <f>Мониторинг!C54</f>
        <v>МНТ.SIEM.9</v>
      </c>
      <c r="E206" s="153">
        <f>Мониторинг!D54</f>
        <v>5</v>
      </c>
      <c r="F206" s="153">
        <f>Мониторинг!E54</f>
        <v>3.2</v>
      </c>
      <c r="G206" s="153">
        <f>Мониторинг!F54</f>
        <v>0</v>
      </c>
      <c r="H206" s="170">
        <f>Мониторинг!V54</f>
        <v>206.08999999999992</v>
      </c>
      <c r="I206" s="154" t="str">
        <f t="shared" si="31"/>
        <v>КБ2</v>
      </c>
      <c r="J206" s="154">
        <f>Мониторинг!K54</f>
        <v>5</v>
      </c>
      <c r="K206" s="153">
        <f>Мониторинг!I54</f>
        <v>0</v>
      </c>
      <c r="L206" s="153">
        <f>Мониторинг!L54</f>
        <v>0</v>
      </c>
      <c r="M206" s="153">
        <f t="shared" si="33"/>
        <v>0</v>
      </c>
      <c r="N206" s="153">
        <f t="shared" si="32"/>
        <v>5</v>
      </c>
      <c r="O206" s="153" t="str">
        <f>Мониторинг!W54</f>
        <v xml:space="preserve"> - Подключить к SIEM прикладные ИС: не менее 50%. Разработать решающие правила для прикладных ИС</v>
      </c>
      <c r="P206" s="155" t="s">
        <v>97</v>
      </c>
      <c r="Q206" s="156" t="s">
        <v>242</v>
      </c>
      <c r="R206" s="153"/>
      <c r="S206" s="157"/>
      <c r="T206" s="151" t="s">
        <v>99</v>
      </c>
      <c r="U206" s="158">
        <v>0</v>
      </c>
      <c r="V206" s="158">
        <v>0</v>
      </c>
      <c r="W206" s="158">
        <v>0</v>
      </c>
      <c r="X206" s="158">
        <f t="shared" si="30"/>
        <v>0</v>
      </c>
      <c r="Y206" s="159"/>
      <c r="Z206" s="160"/>
      <c r="AA206" s="160"/>
      <c r="AB206" s="160"/>
      <c r="AC206" s="160"/>
      <c r="AD206" s="160"/>
      <c r="AE206" s="160"/>
    </row>
    <row r="207" spans="1:31" ht="163.80000000000001" hidden="1">
      <c r="A207" s="151" t="s">
        <v>64</v>
      </c>
      <c r="B207" s="152" t="s">
        <v>263</v>
      </c>
      <c r="C207" s="153" t="str">
        <f>Мониторинг!B62</f>
        <v>Процесс анализа информации о киберугрозах</v>
      </c>
      <c r="D207" s="153" t="str">
        <f>Мониторинг!C62</f>
        <v>МНТ.ПР.1</v>
      </c>
      <c r="E207" s="153">
        <f>Мониторинг!D62</f>
        <v>4</v>
      </c>
      <c r="F207" s="153">
        <f>Мониторинг!E62</f>
        <v>1</v>
      </c>
      <c r="G207" s="153">
        <f>Мониторинг!F62</f>
        <v>0</v>
      </c>
      <c r="H207" s="153">
        <f>Мониторинг!V62</f>
        <v>221.01</v>
      </c>
      <c r="I207" s="154" t="str">
        <f t="shared" si="31"/>
        <v>КБ2</v>
      </c>
      <c r="J207" s="154">
        <f>Мониторинг!K62</f>
        <v>4</v>
      </c>
      <c r="K207" s="153">
        <f>Мониторинг!I62</f>
        <v>0</v>
      </c>
      <c r="L207" s="153">
        <f>Мониторинг!L62</f>
        <v>0</v>
      </c>
      <c r="M207" s="153">
        <f t="shared" si="33"/>
        <v>0</v>
      </c>
      <c r="N207" s="153">
        <f t="shared" si="32"/>
        <v>4</v>
      </c>
      <c r="O207" s="153" t="str">
        <f>Мониторинг!W62</f>
        <v xml:space="preserve"> - Организовать процесс анализа информации об угрозах, направленой РТК, ФСТЭК и НКЦКИ. Выполнять проверку применимости угроз и мер защиты в Обществе. Выполнять рекомендуемые меры.</v>
      </c>
      <c r="P207" s="155" t="s">
        <v>97</v>
      </c>
      <c r="Q207" s="156" t="s">
        <v>264</v>
      </c>
      <c r="R207" s="153"/>
      <c r="S207" s="157"/>
      <c r="T207" s="151" t="s">
        <v>99</v>
      </c>
      <c r="U207" s="158">
        <v>0</v>
      </c>
      <c r="V207" s="158">
        <v>0</v>
      </c>
      <c r="W207" s="158">
        <v>0</v>
      </c>
      <c r="X207" s="158">
        <f t="shared" si="30"/>
        <v>0</v>
      </c>
      <c r="Y207" s="159"/>
      <c r="Z207" s="160"/>
      <c r="AA207" s="160"/>
      <c r="AB207" s="160"/>
      <c r="AC207" s="160"/>
      <c r="AD207" s="160"/>
      <c r="AE207" s="160"/>
    </row>
    <row r="208" spans="1:31" ht="163.80000000000001" hidden="1">
      <c r="A208" s="151" t="s">
        <v>64</v>
      </c>
      <c r="B208" s="152" t="s">
        <v>263</v>
      </c>
      <c r="C208" s="153" t="str">
        <f>Мониторинг!B63</f>
        <v>Процесс мониторинга событий ИБ</v>
      </c>
      <c r="D208" s="153" t="str">
        <f>Мониторинг!C63</f>
        <v>МНТ.ПР.2</v>
      </c>
      <c r="E208" s="153">
        <f>Мониторинг!D63</f>
        <v>4</v>
      </c>
      <c r="F208" s="153">
        <f>Мониторинг!E63</f>
        <v>4</v>
      </c>
      <c r="G208" s="153">
        <f>Мониторинг!F63</f>
        <v>0</v>
      </c>
      <c r="H208" s="153">
        <f>Мониторинг!V63</f>
        <v>221.01999999999998</v>
      </c>
      <c r="I208" s="154" t="str">
        <f t="shared" si="31"/>
        <v>КБ2</v>
      </c>
      <c r="J208" s="154">
        <f>Мониторинг!K63</f>
        <v>4</v>
      </c>
      <c r="K208" s="153">
        <f>Мониторинг!I63</f>
        <v>0</v>
      </c>
      <c r="L208" s="153">
        <f>Мониторинг!L63</f>
        <v>0</v>
      </c>
      <c r="M208" s="153">
        <f t="shared" si="33"/>
        <v>0</v>
      </c>
      <c r="N208" s="153">
        <f t="shared" si="32"/>
        <v>4</v>
      </c>
      <c r="O208" s="153" t="str">
        <f>Мониторинг!W63</f>
        <v xml:space="preserve"> - Регламентировать процесс мониторинга событий ИБ, определить критерии определения и классификации инцидентов, Определить порядок инициации реагирования на инцидент.</v>
      </c>
      <c r="P208" s="155" t="s">
        <v>97</v>
      </c>
      <c r="Q208" s="156" t="s">
        <v>265</v>
      </c>
      <c r="R208" s="153"/>
      <c r="S208" s="157"/>
      <c r="T208" s="151" t="s">
        <v>99</v>
      </c>
      <c r="U208" s="158">
        <v>0</v>
      </c>
      <c r="V208" s="158">
        <v>0</v>
      </c>
      <c r="W208" s="158">
        <v>0</v>
      </c>
      <c r="X208" s="158">
        <f t="shared" si="30"/>
        <v>0</v>
      </c>
      <c r="Y208" s="159"/>
      <c r="Z208" s="160"/>
      <c r="AA208" s="160"/>
      <c r="AB208" s="160"/>
      <c r="AC208" s="160"/>
      <c r="AD208" s="160"/>
      <c r="AE208" s="160"/>
    </row>
    <row r="209" spans="1:31" ht="163.80000000000001" hidden="1">
      <c r="A209" s="151" t="s">
        <v>64</v>
      </c>
      <c r="B209" s="152" t="s">
        <v>263</v>
      </c>
      <c r="C209" s="153" t="str">
        <f>Мониторинг!B64</f>
        <v>Процесс создания решающих правил</v>
      </c>
      <c r="D209" s="153" t="str">
        <f>Мониторинг!C64</f>
        <v>МНТ.ПР.3</v>
      </c>
      <c r="E209" s="153">
        <f>Мониторинг!D64</f>
        <v>4</v>
      </c>
      <c r="F209" s="153">
        <f>Мониторинг!E64</f>
        <v>3</v>
      </c>
      <c r="G209" s="153">
        <f>Мониторинг!F64</f>
        <v>0</v>
      </c>
      <c r="H209" s="153">
        <f>Мониторинг!V64</f>
        <v>221.02999999999997</v>
      </c>
      <c r="I209" s="154" t="str">
        <f t="shared" si="31"/>
        <v>КБ2</v>
      </c>
      <c r="J209" s="154">
        <f>Мониторинг!K64</f>
        <v>4</v>
      </c>
      <c r="K209" s="153">
        <f>Мониторинг!I64</f>
        <v>0</v>
      </c>
      <c r="L209" s="153">
        <f>Мониторинг!L64</f>
        <v>0</v>
      </c>
      <c r="M209" s="153">
        <f t="shared" si="33"/>
        <v>0</v>
      </c>
      <c r="N209" s="153">
        <f t="shared" si="32"/>
        <v>4</v>
      </c>
      <c r="O209" s="153" t="str">
        <f>Мониторинг!W64</f>
        <v xml:space="preserve"> - Получить типовые решающие правила SIEM от разработчика SIEM и из других доступных источников. Адаптировать решающие правила для применения в инфрастурктуре организации.</v>
      </c>
      <c r="P209" s="155" t="s">
        <v>97</v>
      </c>
      <c r="Q209" s="156" t="s">
        <v>242</v>
      </c>
      <c r="R209" s="153"/>
      <c r="S209" s="157"/>
      <c r="T209" s="151" t="s">
        <v>99</v>
      </c>
      <c r="U209" s="158">
        <v>0</v>
      </c>
      <c r="V209" s="158">
        <v>0</v>
      </c>
      <c r="W209" s="158">
        <v>0</v>
      </c>
      <c r="X209" s="158">
        <f t="shared" si="30"/>
        <v>0</v>
      </c>
      <c r="Y209" s="159"/>
      <c r="Z209" s="160"/>
      <c r="AA209" s="160"/>
      <c r="AB209" s="160"/>
      <c r="AC209" s="160"/>
      <c r="AD209" s="160"/>
      <c r="AE209" s="160"/>
    </row>
    <row r="210" spans="1:31" ht="93.6" hidden="1">
      <c r="A210" s="151" t="s">
        <v>64</v>
      </c>
      <c r="B210" s="152" t="s">
        <v>263</v>
      </c>
      <c r="C210" s="153" t="str">
        <f>Мониторинг!B65</f>
        <v>Процесс подключения источников информации</v>
      </c>
      <c r="D210" s="153" t="str">
        <f>Мониторинг!C65</f>
        <v>МНТ.ПР.4</v>
      </c>
      <c r="E210" s="153">
        <f>Мониторинг!D65</f>
        <v>4</v>
      </c>
      <c r="F210" s="153">
        <f>Мониторинг!E65</f>
        <v>2</v>
      </c>
      <c r="G210" s="153">
        <f>Мониторинг!F65</f>
        <v>0</v>
      </c>
      <c r="H210" s="153">
        <f>Мониторинг!V65</f>
        <v>221.03999999999996</v>
      </c>
      <c r="I210" s="154" t="str">
        <f t="shared" si="31"/>
        <v>КБ2</v>
      </c>
      <c r="J210" s="154">
        <f>Мониторинг!K65</f>
        <v>4</v>
      </c>
      <c r="K210" s="153">
        <f>Мониторинг!I65</f>
        <v>0</v>
      </c>
      <c r="L210" s="153">
        <f>Мониторинг!L65</f>
        <v>0</v>
      </c>
      <c r="M210" s="153">
        <f t="shared" si="33"/>
        <v>0</v>
      </c>
      <c r="N210" s="153">
        <f t="shared" si="32"/>
        <v>4</v>
      </c>
      <c r="O210" s="153" t="str">
        <f>Мониторинг!W65</f>
        <v xml:space="preserve"> - Провести инвентаризацию источников событий и подключить их к SIEM</v>
      </c>
      <c r="P210" s="155" t="s">
        <v>97</v>
      </c>
      <c r="Q210" s="156" t="s">
        <v>266</v>
      </c>
      <c r="R210" s="153"/>
      <c r="S210" s="157"/>
      <c r="T210" s="151" t="s">
        <v>99</v>
      </c>
      <c r="U210" s="158">
        <v>0</v>
      </c>
      <c r="V210" s="158">
        <v>0</v>
      </c>
      <c r="W210" s="158">
        <v>0</v>
      </c>
      <c r="X210" s="158">
        <f t="shared" si="30"/>
        <v>0</v>
      </c>
      <c r="Y210" s="159"/>
      <c r="Z210" s="160"/>
      <c r="AA210" s="160"/>
      <c r="AB210" s="160"/>
      <c r="AC210" s="160"/>
      <c r="AD210" s="160"/>
      <c r="AE210" s="160"/>
    </row>
    <row r="211" spans="1:31" ht="70.2" hidden="1">
      <c r="A211" s="151" t="s">
        <v>64</v>
      </c>
      <c r="B211" s="152" t="s">
        <v>263</v>
      </c>
      <c r="C211" s="153" t="str">
        <f>Мониторинг!B66</f>
        <v>Процесс контроля источников информации</v>
      </c>
      <c r="D211" s="153" t="str">
        <f>Мониторинг!C66</f>
        <v>МНТ.ПР.5</v>
      </c>
      <c r="E211" s="153">
        <f>Мониторинг!D66</f>
        <v>4</v>
      </c>
      <c r="F211" s="153">
        <f>Мониторинг!E66</f>
        <v>3</v>
      </c>
      <c r="G211" s="153">
        <f>Мониторинг!F66</f>
        <v>0</v>
      </c>
      <c r="H211" s="153">
        <f>Мониторинг!V66</f>
        <v>221.04999999999995</v>
      </c>
      <c r="I211" s="154" t="str">
        <f t="shared" si="31"/>
        <v>КБ2</v>
      </c>
      <c r="J211" s="154">
        <f>Мониторинг!K66</f>
        <v>4</v>
      </c>
      <c r="K211" s="153">
        <f>Мониторинг!I66</f>
        <v>0</v>
      </c>
      <c r="L211" s="153">
        <f>Мониторинг!L66</f>
        <v>0</v>
      </c>
      <c r="M211" s="153">
        <f t="shared" si="33"/>
        <v>0</v>
      </c>
      <c r="N211" s="153">
        <f t="shared" si="32"/>
        <v>4</v>
      </c>
      <c r="O211" s="153" t="str">
        <f>Мониторинг!W66</f>
        <v xml:space="preserve"> - Регламентировать процесс контроля источников
</v>
      </c>
      <c r="P211" s="155" t="s">
        <v>97</v>
      </c>
      <c r="Q211" s="156" t="s">
        <v>267</v>
      </c>
      <c r="R211" s="153"/>
      <c r="S211" s="157"/>
      <c r="T211" s="151" t="s">
        <v>99</v>
      </c>
      <c r="U211" s="158">
        <v>0</v>
      </c>
      <c r="V211" s="158">
        <v>0</v>
      </c>
      <c r="W211" s="158">
        <v>0</v>
      </c>
      <c r="X211" s="158">
        <f t="shared" si="30"/>
        <v>0</v>
      </c>
      <c r="Y211" s="159"/>
      <c r="Z211" s="160"/>
      <c r="AA211" s="160"/>
      <c r="AB211" s="160"/>
      <c r="AC211" s="160"/>
      <c r="AD211" s="160"/>
      <c r="AE211" s="160"/>
    </row>
    <row r="212" spans="1:31" ht="409.6" hidden="1">
      <c r="A212" s="151" t="s">
        <v>61</v>
      </c>
      <c r="B212" s="152" t="s">
        <v>123</v>
      </c>
      <c r="C212" s="153" t="str">
        <f>'Нормативное соответствие'!B84</f>
        <v>Подготовка к импортозамещению (до 1 января 2025г.) иностранного ПО на значимых объектах КИИ: в части общесистемного (ОС) и прикладного ПО</v>
      </c>
      <c r="D212" s="153" t="str">
        <f>'Нормативное соответствие'!C84</f>
        <v>НС.КИИ.10</v>
      </c>
      <c r="E212" s="153">
        <f>'Нормативное соответствие'!D84</f>
        <v>5</v>
      </c>
      <c r="F212" s="153">
        <f>'Нормативное соответствие'!E84</f>
        <v>5</v>
      </c>
      <c r="G212" s="153">
        <f>'Нормативное соответствие'!F84</f>
        <v>0</v>
      </c>
      <c r="H212" s="163">
        <f>'Нормативное соответствие'!V84</f>
        <v>208.1</v>
      </c>
      <c r="I212" s="154" t="str">
        <f>IF(H212&lt;=200, "КБ1", IF(H212&lt;=300, "КБ2", "КБ3"))</f>
        <v>КБ2</v>
      </c>
      <c r="J212" s="154">
        <f>'Нормативное соответствие'!K84</f>
        <v>5</v>
      </c>
      <c r="K212" s="153">
        <f>'Нормативное соответствие'!I84</f>
        <v>0</v>
      </c>
      <c r="L212" s="153">
        <f>'Нормативное соответствие'!L84</f>
        <v>0</v>
      </c>
      <c r="M212" s="153">
        <f t="shared" si="33"/>
        <v>0</v>
      </c>
      <c r="N212" s="153">
        <f>IF(H212&lt;100,    IF(L212&gt;=G212,0,J212-L212),       IF(H212&lt;300,     IF(L212&gt;=F212,0,J212-L212),                  IF(L212&gt;=E212,0,J212-L212)))</f>
        <v>5</v>
      </c>
      <c r="O212" s="153" t="str">
        <f>'Нормативное соответствие'!W84</f>
        <v xml:space="preserve"> - В соотвествии с Указом Президента Российской Федерации от 30.03.2022 г. № 166 О мерах по обеспечению технологической независимости и безопасности критической информационной инфраструктуры Российской Федерации:
 - Провести анализ  и выявить иностранное ПО на значимых объектах КИИ: в части общесистемного (ОС) и прикладного ПО;
 - Разработать план перехода на использование российского ПО в соответствии с приказом Министерства цифрового развития, связи и массовых коммуникаций РФ от 1 - 0 - 2023 № 21 и отраслевым планом мероприятий по обеспечению готовности к преимущественному использованию российского ПО
 - Утвердить план и направить его в Минцифры России 
 - Использовать в работе утвержденный план от Минцифры России.
 - Обозначить сроки принятия мер по импортозамещению
 - В соотвествии с Постановлением Правительства Российской Федерации от 14 ноября 2023 года №1912  О порядке перехода субъектов критической информационной инфраструктуры Российской Федерации на преимущественное применение доверенных программно-аппаратных комплексов на принадлежащих им значимых объектах критической информационной инфраструктуры Российской Федерации:
 - Провести инвентаризацию используемых на ЗОКИИ ПАК;
 - Разработать и утвердить план перехода на преимущественное применение доверенных ПАК в срок до 0 - 0 - 2025;
 - Запретить покупку новых программно-аппаратных комплексов (ПАК) не у доверенных лиц.Срок 2024 (до начала сентября);
 - Уведомить ФСТЭК о планах применения доверенных ПАК .Срок 2024 (конец года);
 - Полностью отказаться от применения ПАК, не соответствующих требованиям импортозамещения. Срок 2029 (конец года);
 - Осуществить переход на преимущественное применение доверенных ПАК в соответствии с планом в срок до 0 - 0 - 2030.</v>
      </c>
      <c r="P212" s="155" t="s">
        <v>97</v>
      </c>
      <c r="Q212" s="162" t="s">
        <v>130</v>
      </c>
      <c r="R212" s="153"/>
      <c r="S212" s="157"/>
      <c r="T212" s="151" t="s">
        <v>99</v>
      </c>
      <c r="U212" s="158">
        <v>0</v>
      </c>
      <c r="V212" s="158">
        <v>0</v>
      </c>
      <c r="W212" s="158">
        <v>0</v>
      </c>
      <c r="X212" s="158">
        <f t="shared" si="30"/>
        <v>0</v>
      </c>
      <c r="Y212" s="159"/>
      <c r="Z212" s="160"/>
      <c r="AA212" s="160"/>
      <c r="AB212" s="160"/>
      <c r="AC212" s="160"/>
      <c r="AD212" s="160"/>
      <c r="AE212" s="160"/>
    </row>
    <row r="213" spans="1:31" ht="409.6" hidden="1">
      <c r="A213" s="151" t="s">
        <v>61</v>
      </c>
      <c r="B213" s="152" t="s">
        <v>123</v>
      </c>
      <c r="C213" s="153" t="str">
        <f>'Нормативное соответствие'!B85</f>
        <v>Подготовка к импортозамещению (до 1 января 2025г.) иностранного ПО на значимых объектах КИИ: в части ПО входящего в состав средств (систем) обеспечения ИБ</v>
      </c>
      <c r="D213" s="153" t="str">
        <f>'Нормативное соответствие'!C85</f>
        <v>НС.КИИ.11</v>
      </c>
      <c r="E213" s="153">
        <f>'Нормативное соответствие'!D85</f>
        <v>5</v>
      </c>
      <c r="F213" s="153">
        <f>'Нормативное соответствие'!E85</f>
        <v>5</v>
      </c>
      <c r="G213" s="153">
        <f>'Нормативное соответствие'!F85</f>
        <v>0</v>
      </c>
      <c r="H213" s="163">
        <f>'Нормативное соответствие'!V85</f>
        <v>208.10999999999999</v>
      </c>
      <c r="I213" s="154" t="str">
        <f>IF(H213&lt;=200, "КБ1", IF(H213&lt;=300, "КБ2", "КБ3"))</f>
        <v>КБ2</v>
      </c>
      <c r="J213" s="154">
        <f>'Нормативное соответствие'!K85</f>
        <v>5</v>
      </c>
      <c r="K213" s="153">
        <f>'Нормативное соответствие'!I85</f>
        <v>0</v>
      </c>
      <c r="L213" s="153">
        <f>'Нормативное соответствие'!L85</f>
        <v>0</v>
      </c>
      <c r="M213" s="153">
        <f t="shared" si="33"/>
        <v>0</v>
      </c>
      <c r="N213" s="153">
        <f>IF(H213&lt;100,    IF(L213&gt;=G213,0,J213-L213),       IF(H213&lt;300,     IF(L213&gt;=F213,0,J213-L213),                  IF(L213&gt;=E213,0,J213-L213)))</f>
        <v>5</v>
      </c>
      <c r="O213" s="153" t="str">
        <f>'Нормативное соответствие'!W85</f>
        <v>- В соотвествии с Указом Президента Российской Федерации от 30.0 - 2022 г. № 166  О мерах по обеспечению технологической независимости и безопасности критической информационной инфраструктуры Российской Федерации:
 - Провести инвентаризацию используемых импортных средств защиты информации (далее - СрЗИ);
 - Разработать и утвердить план перехода на преимущественное отечественные СрЗИ;
 - Осуществить пилотирование СрЗИ:
 - 1 Провести предварительные испытания СрЗИ отдельно или в составе значимого объекта;
 - 2  В случае самостоятельного проведения испытаний Программу и методику испытаний разработать и утвердить.В случае если проводится лицензиатом, то необходимо утвердить;
 - 3 Получить и утвердить протокол испытаний;
 - Осуществить переход на отечественные СрЗИ</v>
      </c>
      <c r="P213" s="155" t="s">
        <v>97</v>
      </c>
      <c r="Q213" s="162" t="s">
        <v>131</v>
      </c>
      <c r="R213" s="153"/>
      <c r="S213" s="157"/>
      <c r="T213" s="151" t="s">
        <v>99</v>
      </c>
      <c r="U213" s="158">
        <v>0</v>
      </c>
      <c r="V213" s="158">
        <v>0</v>
      </c>
      <c r="W213" s="158">
        <v>0</v>
      </c>
      <c r="X213" s="158">
        <f t="shared" si="30"/>
        <v>0</v>
      </c>
      <c r="Y213" s="159"/>
      <c r="Z213" s="160"/>
      <c r="AA213" s="160"/>
      <c r="AB213" s="160"/>
      <c r="AC213" s="160"/>
      <c r="AD213" s="160"/>
      <c r="AE213" s="160"/>
    </row>
    <row r="214" spans="1:31" ht="409.6" hidden="1">
      <c r="A214" s="151" t="s">
        <v>61</v>
      </c>
      <c r="B214" s="152" t="s">
        <v>123</v>
      </c>
      <c r="C214" s="153" t="str">
        <f>'Нормативное соответствие'!B86</f>
        <v xml:space="preserve">Подготовка к импортозамещению (до 1 января 2025г.) ПАК на значимых объектах КИИ </v>
      </c>
      <c r="D214" s="153" t="str">
        <f>'Нормативное соответствие'!C86</f>
        <v>НС.КИИ.12</v>
      </c>
      <c r="E214" s="153">
        <f>'Нормативное соответствие'!D86</f>
        <v>5</v>
      </c>
      <c r="F214" s="153">
        <f>'Нормативное соответствие'!E86</f>
        <v>5</v>
      </c>
      <c r="G214" s="153">
        <f>'Нормативное соответствие'!F86</f>
        <v>0</v>
      </c>
      <c r="H214" s="163">
        <f>'Нормативное соответствие'!V86</f>
        <v>208.12</v>
      </c>
      <c r="I214" s="154" t="str">
        <f>IF(H214&lt;=200, "КБ1", IF(H214&lt;=300, "КБ2", "КБ3"))</f>
        <v>КБ2</v>
      </c>
      <c r="J214" s="154">
        <f>'Нормативное соответствие'!K86</f>
        <v>5</v>
      </c>
      <c r="K214" s="153">
        <f>'Нормативное соответствие'!I86</f>
        <v>0</v>
      </c>
      <c r="L214" s="153">
        <f>'Нормативное соответствие'!L86</f>
        <v>0</v>
      </c>
      <c r="M214" s="153">
        <f t="shared" si="33"/>
        <v>0</v>
      </c>
      <c r="N214" s="153">
        <f>IF(H214&lt;100,    IF(L214&gt;=G214,0,J214-L214),       IF(H214&lt;300,     IF(L214&gt;=F214,0,J214-L214),                  IF(L214&gt;=E214,0,J214-L214)))</f>
        <v>5</v>
      </c>
      <c r="O214" s="153" t="str">
        <f>'Нормативное соответствие'!W86</f>
        <v xml:space="preserve"> - В соотвествии с Указом Президента Российской Федерации от 30.0 - 2022 г. № 166  О мерах по обеспечению технологической независимости и безопасности критической информационной инфраструктуры Российской Федерации:
 - Провести инвентаризацию используемых импортных средств защиты информации (далее - СрЗИ);
 - Разработать и утвердить план перехода на преимущественное отечественные СрЗИ;
 - Осуществить пилотирование СрЗИ:
 - 1 Провести предварительные испытания СрЗИ отдельно или в составе значимого объекта;
 - 2  В случае самостоятельного проведения испытаний Программу и методику испытаний разработать и утвердить.В случае если проводится лицензиатом, то необходимо утвердить;
 - 3 Получить и утвердить протокол испытаний;
 - Осуществить переход на отечественные СрЗИ</v>
      </c>
      <c r="P214" s="155" t="s">
        <v>97</v>
      </c>
      <c r="Q214" s="162" t="s">
        <v>131</v>
      </c>
      <c r="R214" s="153"/>
      <c r="S214" s="157"/>
      <c r="T214" s="151" t="s">
        <v>99</v>
      </c>
      <c r="U214" s="158">
        <v>0</v>
      </c>
      <c r="V214" s="158">
        <v>0</v>
      </c>
      <c r="W214" s="158">
        <v>0</v>
      </c>
      <c r="X214" s="158">
        <f t="shared" si="30"/>
        <v>0</v>
      </c>
      <c r="Y214" s="159"/>
      <c r="Z214" s="160"/>
      <c r="AA214" s="160"/>
      <c r="AB214" s="160"/>
      <c r="AC214" s="160"/>
      <c r="AD214" s="160"/>
      <c r="AE214" s="160"/>
    </row>
    <row r="215" spans="1:31" ht="409.6" hidden="1">
      <c r="A215" s="151" t="s">
        <v>61</v>
      </c>
      <c r="B215" s="152" t="s">
        <v>123</v>
      </c>
      <c r="C215" s="153" t="str">
        <f>'Нормативное соответствие'!B87</f>
        <v>Информирование и обучение персонала</v>
      </c>
      <c r="D215" s="153" t="str">
        <f>'Нормативное соответствие'!C87</f>
        <v>НС.КИИ.13</v>
      </c>
      <c r="E215" s="153">
        <f>'Нормативное соответствие'!D87</f>
        <v>5</v>
      </c>
      <c r="F215" s="153">
        <f>'Нормативное соответствие'!E87</f>
        <v>5</v>
      </c>
      <c r="G215" s="153">
        <f>'Нормативное соответствие'!F87</f>
        <v>0</v>
      </c>
      <c r="H215" s="163">
        <f>'Нормативное соответствие'!V87</f>
        <v>208.13</v>
      </c>
      <c r="I215" s="154" t="str">
        <f>IF(H215&lt;=200, "КБ1", IF(H215&lt;=300, "КБ2", "КБ3"))</f>
        <v>КБ2</v>
      </c>
      <c r="J215" s="154">
        <f>'Нормативное соответствие'!K87</f>
        <v>5</v>
      </c>
      <c r="K215" s="153">
        <f>'Нормативное соответствие'!I87</f>
        <v>0</v>
      </c>
      <c r="L215" s="153">
        <f>'Нормативное соответствие'!L87</f>
        <v>0</v>
      </c>
      <c r="M215" s="153">
        <f t="shared" si="33"/>
        <v>0</v>
      </c>
      <c r="N215" s="153">
        <f>IF(H215&lt;100,    IF(L215&gt;=G215,0,J215-L215),       IF(H215&lt;300,     IF(L215&gt;=F215,0,J215-L215),                  IF(L215&gt;=E215,0,J215-L215)))</f>
        <v>5</v>
      </c>
      <c r="O215" s="153" t="str">
        <f>'Нормативное соответствие'!W87</f>
        <v xml:space="preserve"> - Разработать и утвердить правила и процедуры информирования и обучения персонала;
 - Доводить до персонала требования по обеспечению информационной безопасности, а также положения организационно-распорядительных документов по информационной безопасности;
 - Проводить информирование персонала об угрозах безопасности информации, о правилах безопасной работы;
 - Ежегодно или при наступлении компьютерных инцидентов на ОКИИ проводить обучение персонала по вопросам информационной безопасности, включая проведение практических занятий с персоналом.</v>
      </c>
      <c r="P215" s="155" t="s">
        <v>97</v>
      </c>
      <c r="Q215" s="162" t="s">
        <v>132</v>
      </c>
      <c r="R215" s="153"/>
      <c r="S215" s="157"/>
      <c r="T215" s="151" t="s">
        <v>99</v>
      </c>
      <c r="U215" s="158">
        <v>0</v>
      </c>
      <c r="V215" s="158">
        <v>0</v>
      </c>
      <c r="W215" s="158">
        <v>0</v>
      </c>
      <c r="X215" s="158">
        <f t="shared" si="30"/>
        <v>0</v>
      </c>
      <c r="Y215" s="159"/>
      <c r="Z215" s="160"/>
      <c r="AA215" s="160"/>
      <c r="AB215" s="160"/>
      <c r="AC215" s="160"/>
      <c r="AD215" s="160"/>
      <c r="AE215" s="160"/>
    </row>
    <row r="216" spans="1:31" ht="210.6" hidden="1">
      <c r="A216" s="151" t="s">
        <v>61</v>
      </c>
      <c r="B216" s="152" t="s">
        <v>123</v>
      </c>
      <c r="C216" s="153" t="str">
        <f>'Нормативное соответствие'!B89</f>
        <v>Предоставлены своевременные ответы на запросы ФСТЭК России о выполнении мер по защите информации, рекомендованных к реализации (ответы предоставлены на более чем 95% запросов)</v>
      </c>
      <c r="D216" s="153" t="str">
        <f>'Нормативное соответствие'!C89</f>
        <v>НС.КИИ.15</v>
      </c>
      <c r="E216" s="153">
        <f>'Нормативное соответствие'!D89</f>
        <v>5</v>
      </c>
      <c r="F216" s="153">
        <f>'Нормативное соответствие'!E89</f>
        <v>5</v>
      </c>
      <c r="G216" s="153">
        <f>'Нормативное соответствие'!F89</f>
        <v>3.2</v>
      </c>
      <c r="H216" s="153">
        <f>'Нормативное соответствие'!V89</f>
        <v>208.15</v>
      </c>
      <c r="I216" s="154" t="str">
        <f>IF(H216&lt;=200,"КБ1",IF(H216&lt;=300,"КБ2","КБ3"))</f>
        <v>КБ2</v>
      </c>
      <c r="J216" s="154">
        <f>'Нормативное соответствие'!K89</f>
        <v>5</v>
      </c>
      <c r="K216" s="153">
        <f>'Нормативное соответствие'!L89</f>
        <v>0</v>
      </c>
      <c r="L216" s="153">
        <f>'Нормативное соответствие'!L89</f>
        <v>0</v>
      </c>
      <c r="M216" s="153">
        <f t="shared" si="33"/>
        <v>0</v>
      </c>
      <c r="N216" s="153">
        <f>IF(H216&lt;100,IF(L216&gt;=G216,0,J216-L216),IF(H216&lt;300,IF(L216&gt;=F216,0,J216-L216),IF(L216&gt;=E216,0,J216-L216)))</f>
        <v>5</v>
      </c>
      <c r="O216" s="153" t="str">
        <f>'Нормативное соответствие'!W89</f>
        <v xml:space="preserve"> - Предоставлены своевременные ответы на запросы ФСТЭК России о выполнении мер по защите информации, рекомендованных к реализации (ответы предоставлены на более чем 95% запросов)</v>
      </c>
      <c r="P216" s="155" t="s">
        <v>97</v>
      </c>
      <c r="Q216" s="162" t="s">
        <v>248</v>
      </c>
      <c r="R216" s="153"/>
      <c r="S216" s="157"/>
      <c r="T216" s="151" t="s">
        <v>99</v>
      </c>
      <c r="U216" s="158">
        <v>0</v>
      </c>
      <c r="V216" s="158">
        <v>0</v>
      </c>
      <c r="W216" s="158">
        <v>0</v>
      </c>
      <c r="X216" s="158">
        <f t="shared" si="30"/>
        <v>0</v>
      </c>
      <c r="Y216" s="159"/>
      <c r="Z216" s="160"/>
      <c r="AA216" s="160"/>
      <c r="AB216" s="160"/>
      <c r="AC216" s="160"/>
      <c r="AD216" s="160"/>
      <c r="AE216" s="160"/>
    </row>
    <row r="217" spans="1:31" ht="409.6" hidden="1">
      <c r="A217" s="151" t="s">
        <v>61</v>
      </c>
      <c r="B217" s="152" t="s">
        <v>123</v>
      </c>
      <c r="C217" s="153" t="str">
        <f>'Нормативное соответствие'!B81</f>
        <v xml:space="preserve">Реализованы организационные меры для обеспечения информационной безопаности значимых объектов КИИ (ЗОКИИ) </v>
      </c>
      <c r="D217" s="153" t="str">
        <f>'Нормативное соответствие'!C81</f>
        <v>НС.КИИ.7</v>
      </c>
      <c r="E217" s="153">
        <f>'Нормативное соответствие'!D81</f>
        <v>5</v>
      </c>
      <c r="F217" s="153">
        <f>'Нормативное соответствие'!E81</f>
        <v>5</v>
      </c>
      <c r="G217" s="153">
        <f>'Нормативное соответствие'!F81</f>
        <v>0</v>
      </c>
      <c r="H217" s="163">
        <f>'Нормативное соответствие'!V81</f>
        <v>208.07</v>
      </c>
      <c r="I217" s="154" t="str">
        <f>IF(H217&lt;=200, "КБ1", IF(H217&lt;=300, "КБ2", "КБ3"))</f>
        <v>КБ2</v>
      </c>
      <c r="J217" s="154">
        <f>'Нормативное соответствие'!K81</f>
        <v>5</v>
      </c>
      <c r="K217" s="153">
        <f>'Нормативное соответствие'!I81</f>
        <v>0</v>
      </c>
      <c r="L217" s="153">
        <f>'Нормативное соответствие'!L81</f>
        <v>0</v>
      </c>
      <c r="M217" s="153">
        <f t="shared" si="33"/>
        <v>0</v>
      </c>
      <c r="N217" s="153">
        <f>IF(H217&lt;100,    IF(L217&gt;=G217,0,J217-L217),       IF(H217&lt;300,     IF(L217&gt;=F217,0,J217-L217),                  IF(L217&gt;=E217,0,J217-L217)))</f>
        <v>5</v>
      </c>
      <c r="O217" s="153" t="str">
        <f>'Нормативное соответствие'!W81</f>
        <v xml:space="preserve"> - В соотвествии с Приказом Федеральной службы по техническому и экспортному контролю от 25 декабря 2017 г. N 239 Об утверждении Требований по обеспечению безопасности значимых объектов критической информационной инфраструктуры Российской Федерации:
1. Разработать и утвердить Модель угроз и нарушителей (МУиН):
- Провести анализ  угроз безопасности информации и разработка модели угроз безопасности информации или ее уточнение при ее наличии.
- Выявить источники угроз безопасности информации и оценить возможности (потенциал) внешних и внутренних нарушителей
- Проанализировать возможные уязвимости значимого объекта и его программных, программно-аппаратных средств
- Определить возможные способы (сценарии) реализации (возникновения) угроз безопасности информации
- Оценить возможные последствия от реализации (возникновения) угроз безопасности информации
- утвердить МУиН.
2. На основе МУиН:
- определить базовый набор  организационных и технических мер по обеспечению безопасности значимого объекта на основе установленной категории значимости значимого объекта;
- адаптировать базовый набор организационных и технических мер по обеспечению безопасности значимого объекта в соответствии с угрозами безопасности информации, применяемыми информационными технологиями и особенностями функционирования значимого объекта;
- разработать компенсирующие организационных и технические меры, обеспечивающие блокирование (нейтрализацию) угроз безопасности информации с необходимым уровнем защищенности значимого объекта (при необходимости);
- разработать и утвердить комплект ОРД и ВНД, регламентирующие процессы обеспечения безопасности ОКИИ.
3.На постоянной основе актуализировать ОРД и ВНД при изменении бизнес процессов и/или изменении в законодательсвте, регулирующем сферу КИИ</v>
      </c>
      <c r="P217" s="155" t="s">
        <v>97</v>
      </c>
      <c r="Q217" s="635" t="s">
        <v>1309</v>
      </c>
      <c r="R217" s="153"/>
      <c r="S217" s="157"/>
      <c r="T217" s="151" t="s">
        <v>99</v>
      </c>
      <c r="U217" s="158">
        <v>0</v>
      </c>
      <c r="V217" s="158">
        <v>0</v>
      </c>
      <c r="W217" s="158">
        <v>0</v>
      </c>
      <c r="X217" s="158">
        <f t="shared" si="30"/>
        <v>0</v>
      </c>
      <c r="Y217" s="159"/>
      <c r="Z217" s="160"/>
      <c r="AA217" s="160"/>
      <c r="AB217" s="160"/>
      <c r="AC217" s="160"/>
      <c r="AD217" s="160"/>
      <c r="AE217" s="160"/>
    </row>
    <row r="218" spans="1:31" ht="409.6" hidden="1">
      <c r="A218" s="151" t="s">
        <v>61</v>
      </c>
      <c r="B218" s="152" t="s">
        <v>123</v>
      </c>
      <c r="C218" s="153" t="str">
        <f>'Нормативное соответствие'!B82</f>
        <v xml:space="preserve">Реализованы технические меры для обеспечения информационной безопаности значимых объектов КИИ (ЗОКИИ) </v>
      </c>
      <c r="D218" s="153" t="str">
        <f>'Нормативное соответствие'!C82</f>
        <v>НС.КИИ.8</v>
      </c>
      <c r="E218" s="153">
        <f>'Нормативное соответствие'!D82</f>
        <v>5</v>
      </c>
      <c r="F218" s="153">
        <f>'Нормативное соответствие'!E82</f>
        <v>5</v>
      </c>
      <c r="G218" s="153">
        <f>'Нормативное соответствие'!F82</f>
        <v>0</v>
      </c>
      <c r="H218" s="163">
        <f>'Нормативное соответствие'!V82</f>
        <v>208.07999999999998</v>
      </c>
      <c r="I218" s="154" t="str">
        <f>IF(H218&lt;=200, "КБ1", IF(H218&lt;=300, "КБ2", "КБ3"))</f>
        <v>КБ2</v>
      </c>
      <c r="J218" s="154">
        <f>'Нормативное соответствие'!K82</f>
        <v>5</v>
      </c>
      <c r="K218" s="153">
        <f>'Нормативное соответствие'!I82</f>
        <v>0</v>
      </c>
      <c r="L218" s="153">
        <f>'Нормативное соответствие'!L82</f>
        <v>0</v>
      </c>
      <c r="M218" s="153">
        <f t="shared" si="33"/>
        <v>0</v>
      </c>
      <c r="N218" s="153">
        <f>IF(H218&lt;100,    IF(L218&gt;=G218,0,J218-L218),       IF(H218&lt;300,     IF(L218&gt;=F218,0,J218-L218),                  IF(L218&gt;=E218,0,J218-L218)))</f>
        <v>5</v>
      </c>
      <c r="O218" s="153" t="str">
        <f>'Нормативное соответствие'!W82</f>
        <v>- В соотвествии с Приказом Федеральной службы по техническому и экспортному контролю от 25 декабря 2017 г. N 239 Об утверждении Требований по обеспечению безопасности значимых объектов критической информационной инфраструктуры Российской Федерации:
Создать единую или пообъектную систему обеспечения информационной безопасности (СОИБ) ЗОКИИ:
 - На основе МУиН разработать ТЗ на создание системы обеспечения информационной СОИБ ЗОКИИ.
 - Имеется в наличии проектная документация на СОИБ ЗОКИИ (в т.ч. для программа и методика испытаний), проведены приемо-сдаточные мероприятия СОИБ ЗОКИИ. 
 - СОИБ ЗОКИИ ввести в промышленную эксплуатацию.
 - Обеспечить эксплуатацию СОИБ КИИ в течение всего периода функционирования ЗОКИИ</v>
      </c>
      <c r="P218" s="155" t="s">
        <v>97</v>
      </c>
      <c r="Q218" s="635" t="s">
        <v>1310</v>
      </c>
      <c r="R218" s="153"/>
      <c r="S218" s="157"/>
      <c r="T218" s="151" t="s">
        <v>99</v>
      </c>
      <c r="U218" s="158">
        <v>0</v>
      </c>
      <c r="V218" s="158">
        <v>0</v>
      </c>
      <c r="W218" s="158">
        <v>0</v>
      </c>
      <c r="X218" s="158">
        <f t="shared" si="30"/>
        <v>0</v>
      </c>
      <c r="Y218" s="159"/>
      <c r="Z218" s="160"/>
      <c r="AA218" s="160"/>
      <c r="AB218" s="160"/>
      <c r="AC218" s="160"/>
      <c r="AD218" s="160"/>
      <c r="AE218" s="160"/>
    </row>
    <row r="219" spans="1:31" ht="93.6" hidden="1">
      <c r="A219" s="151" t="s">
        <v>57</v>
      </c>
      <c r="B219" s="152" t="s">
        <v>198</v>
      </c>
      <c r="C219" s="153" t="str">
        <f>Реагирование!B60</f>
        <v>Наличие плейбука по реагированию на сработки (NGFW)</v>
      </c>
      <c r="D219" s="153" t="str">
        <f>Реагирование!C60</f>
        <v>РЕАГ.PB.5.9.3.5</v>
      </c>
      <c r="E219" s="153">
        <f>Реагирование!D60</f>
        <v>5</v>
      </c>
      <c r="F219" s="153">
        <f>Реагирование!E60</f>
        <v>5</v>
      </c>
      <c r="G219" s="153">
        <f>Реагирование!F60</f>
        <v>0</v>
      </c>
      <c r="H219" s="170">
        <f>Реагирование!V60</f>
        <v>227.04999999999995</v>
      </c>
      <c r="I219" s="154" t="str">
        <f t="shared" ref="I219:I236" si="34">IF(H219&lt;=200,"КБ1",IF(H219&lt;=300,"КБ2","КБ3"))</f>
        <v>КБ2</v>
      </c>
      <c r="J219" s="154">
        <f>Реагирование!K60</f>
        <v>5</v>
      </c>
      <c r="K219" s="153">
        <f>Реагирование!I60</f>
        <v>0</v>
      </c>
      <c r="L219" s="153">
        <f>Реагирование!L60</f>
        <v>0</v>
      </c>
      <c r="M219" s="153">
        <f t="shared" si="33"/>
        <v>0</v>
      </c>
      <c r="N219" s="153">
        <f t="shared" ref="N219:N236" si="35">IF(H219&lt;100,IF(L219&gt;=G219,0,J219-L219),IF(H219&lt;300,IF(L219&gt;=F219,0,J219-L219),IF(L219&gt;=E219,0,J219-L219)))</f>
        <v>5</v>
      </c>
      <c r="O219" s="153" t="str">
        <f>Реагирование!W60</f>
        <v xml:space="preserve"> - Разработать и простестировать плейбуки по реагированию на сработки NGFW.</v>
      </c>
      <c r="P219" s="155" t="s">
        <v>97</v>
      </c>
      <c r="Q219" s="156" t="s">
        <v>200</v>
      </c>
      <c r="R219" s="153"/>
      <c r="S219" s="157"/>
      <c r="T219" s="151" t="s">
        <v>99</v>
      </c>
      <c r="U219" s="158">
        <v>0</v>
      </c>
      <c r="V219" s="158">
        <v>0</v>
      </c>
      <c r="W219" s="158">
        <v>0</v>
      </c>
      <c r="X219" s="158">
        <f t="shared" si="30"/>
        <v>0</v>
      </c>
      <c r="Y219" s="159"/>
      <c r="Z219" s="160"/>
      <c r="AA219" s="160"/>
      <c r="AB219" s="160"/>
      <c r="AC219" s="160"/>
      <c r="AD219" s="160"/>
      <c r="AE219" s="160"/>
    </row>
    <row r="220" spans="1:31" ht="93.6" hidden="1">
      <c r="A220" s="151" t="s">
        <v>57</v>
      </c>
      <c r="B220" s="152" t="s">
        <v>198</v>
      </c>
      <c r="C220" s="153" t="str">
        <f>Реагирование!B61</f>
        <v>Наличие плейбука по реагированию на сработки (Прокси-сервер)</v>
      </c>
      <c r="D220" s="153" t="str">
        <f>Реагирование!C61</f>
        <v>РЕАГ.PB.5.9.3.6</v>
      </c>
      <c r="E220" s="153">
        <f>Реагирование!D61</f>
        <v>5</v>
      </c>
      <c r="F220" s="153">
        <f>Реагирование!E61</f>
        <v>5</v>
      </c>
      <c r="G220" s="153">
        <f>Реагирование!F61</f>
        <v>0</v>
      </c>
      <c r="H220" s="170">
        <f>Реагирование!V61</f>
        <v>227.05999999999995</v>
      </c>
      <c r="I220" s="154" t="str">
        <f t="shared" si="34"/>
        <v>КБ2</v>
      </c>
      <c r="J220" s="154">
        <f>Реагирование!K61</f>
        <v>5</v>
      </c>
      <c r="K220" s="153">
        <f>Реагирование!I61</f>
        <v>0</v>
      </c>
      <c r="L220" s="153">
        <f>Реагирование!L61</f>
        <v>0</v>
      </c>
      <c r="M220" s="153">
        <f t="shared" si="33"/>
        <v>0</v>
      </c>
      <c r="N220" s="153">
        <f t="shared" si="35"/>
        <v>5</v>
      </c>
      <c r="O220" s="153" t="str">
        <f>Реагирование!W61</f>
        <v xml:space="preserve"> - Разработать и простестировать плейбуки по реагированию на сработки Прокси-сервера.</v>
      </c>
      <c r="P220" s="155" t="s">
        <v>97</v>
      </c>
      <c r="Q220" s="156" t="s">
        <v>200</v>
      </c>
      <c r="R220" s="153"/>
      <c r="S220" s="157"/>
      <c r="T220" s="151" t="s">
        <v>99</v>
      </c>
      <c r="U220" s="158">
        <v>0</v>
      </c>
      <c r="V220" s="158">
        <v>0</v>
      </c>
      <c r="W220" s="158">
        <v>0</v>
      </c>
      <c r="X220" s="158">
        <f t="shared" si="30"/>
        <v>0</v>
      </c>
      <c r="Y220" s="159"/>
      <c r="Z220" s="160"/>
      <c r="AA220" s="160"/>
      <c r="AB220" s="160"/>
      <c r="AC220" s="160"/>
      <c r="AD220" s="160"/>
      <c r="AE220" s="160"/>
    </row>
    <row r="221" spans="1:31" ht="93.6" hidden="1">
      <c r="A221" s="151" t="s">
        <v>57</v>
      </c>
      <c r="B221" s="152" t="s">
        <v>198</v>
      </c>
      <c r="C221" s="153" t="str">
        <f>Реагирование!B62</f>
        <v>Наличие плейбука по реагированию на сработки (Anti-DDoS)</v>
      </c>
      <c r="D221" s="153" t="str">
        <f>Реагирование!C62</f>
        <v>РЕАГ.PB.5.9.3.7</v>
      </c>
      <c r="E221" s="153">
        <f>СЗИ!D91</f>
        <v>5</v>
      </c>
      <c r="F221" s="153">
        <f>СЗИ!E91</f>
        <v>5</v>
      </c>
      <c r="G221" s="153">
        <f>СЗИ!F91</f>
        <v>0</v>
      </c>
      <c r="H221" s="153">
        <f>Реагирование!V62</f>
        <v>227.06999999999994</v>
      </c>
      <c r="I221" s="154" t="str">
        <f t="shared" si="34"/>
        <v>КБ2</v>
      </c>
      <c r="J221" s="154">
        <f>СЗИ!K91</f>
        <v>5</v>
      </c>
      <c r="K221" s="153">
        <f>СЗИ!I91</f>
        <v>0</v>
      </c>
      <c r="L221" s="153">
        <f>СЗИ!L91</f>
        <v>0</v>
      </c>
      <c r="M221" s="153">
        <f t="shared" si="33"/>
        <v>0</v>
      </c>
      <c r="N221" s="153">
        <f t="shared" si="35"/>
        <v>5</v>
      </c>
      <c r="O221" s="153" t="str">
        <f>Реагирование!W62</f>
        <v xml:space="preserve"> - Разработать и простестировать плейбуки по реагированию на сработки Anti-DDoS.</v>
      </c>
      <c r="P221" s="155" t="s">
        <v>97</v>
      </c>
      <c r="Q221" s="156" t="s">
        <v>200</v>
      </c>
      <c r="R221" s="153"/>
      <c r="S221" s="157"/>
      <c r="T221" s="151" t="s">
        <v>99</v>
      </c>
      <c r="U221" s="158">
        <v>0</v>
      </c>
      <c r="V221" s="158">
        <v>0</v>
      </c>
      <c r="W221" s="158">
        <v>0</v>
      </c>
      <c r="X221" s="158">
        <f t="shared" si="30"/>
        <v>0</v>
      </c>
      <c r="Y221" s="159"/>
      <c r="Z221" s="160"/>
      <c r="AA221" s="160"/>
      <c r="AB221" s="160"/>
      <c r="AC221" s="160"/>
      <c r="AD221" s="160"/>
      <c r="AE221" s="160"/>
    </row>
    <row r="222" spans="1:31" ht="93.6" hidden="1">
      <c r="A222" s="151" t="s">
        <v>57</v>
      </c>
      <c r="B222" s="152" t="s">
        <v>198</v>
      </c>
      <c r="C222" s="153" t="str">
        <f>Реагирование!B63</f>
        <v>Наличие плейбука по реагированию на сработки (Антиспам)</v>
      </c>
      <c r="D222" s="153" t="str">
        <f>Реагирование!C63</f>
        <v>РЕАГ.PB.5.9.3.8</v>
      </c>
      <c r="E222" s="153">
        <f>Реагирование!D63</f>
        <v>5</v>
      </c>
      <c r="F222" s="153">
        <f>Реагирование!E63</f>
        <v>5</v>
      </c>
      <c r="G222" s="153">
        <f>Реагирование!F63</f>
        <v>0</v>
      </c>
      <c r="H222" s="170">
        <f>Реагирование!V63</f>
        <v>227.07999999999993</v>
      </c>
      <c r="I222" s="154" t="str">
        <f t="shared" si="34"/>
        <v>КБ2</v>
      </c>
      <c r="J222" s="154">
        <f>Реагирование!K63</f>
        <v>5</v>
      </c>
      <c r="K222" s="153">
        <f>Реагирование!I63</f>
        <v>0</v>
      </c>
      <c r="L222" s="153">
        <f>Реагирование!L63</f>
        <v>0</v>
      </c>
      <c r="M222" s="153">
        <f t="shared" si="33"/>
        <v>0</v>
      </c>
      <c r="N222" s="153">
        <f t="shared" si="35"/>
        <v>5</v>
      </c>
      <c r="O222" s="153" t="str">
        <f>Реагирование!W63</f>
        <v xml:space="preserve"> - Разработать и простестировать плейбуки по реагированию на сработки Антиспам</v>
      </c>
      <c r="P222" s="155" t="s">
        <v>97</v>
      </c>
      <c r="Q222" s="156" t="s">
        <v>200</v>
      </c>
      <c r="R222" s="153"/>
      <c r="S222" s="157"/>
      <c r="T222" s="151" t="s">
        <v>99</v>
      </c>
      <c r="U222" s="158">
        <v>0</v>
      </c>
      <c r="V222" s="158">
        <v>0</v>
      </c>
      <c r="W222" s="158">
        <v>0</v>
      </c>
      <c r="X222" s="158">
        <f t="shared" si="30"/>
        <v>0</v>
      </c>
      <c r="Y222" s="159"/>
      <c r="Z222" s="160"/>
      <c r="AA222" s="160"/>
      <c r="AB222" s="160"/>
      <c r="AC222" s="160"/>
      <c r="AD222" s="160"/>
      <c r="AE222" s="160"/>
    </row>
    <row r="223" spans="1:31" ht="117" hidden="1">
      <c r="A223" s="151" t="s">
        <v>57</v>
      </c>
      <c r="B223" s="152" t="s">
        <v>202</v>
      </c>
      <c r="C223" s="153" t="str">
        <f>Реагирование!B50</f>
        <v>Есть собственная команда или договор на расследование инцидентов ИБ</v>
      </c>
      <c r="D223" s="153" t="str">
        <f>Реагирование!C50</f>
        <v>РЕАГ.АНЛЗ.1</v>
      </c>
      <c r="E223" s="153">
        <f>Реагирование!D50</f>
        <v>5</v>
      </c>
      <c r="F223" s="153">
        <f>Реагирование!E50</f>
        <v>5</v>
      </c>
      <c r="G223" s="153">
        <f>Реагирование!F50</f>
        <v>0</v>
      </c>
      <c r="H223" s="153">
        <f>Реагирование!V50</f>
        <v>230.01</v>
      </c>
      <c r="I223" s="154" t="str">
        <f t="shared" si="34"/>
        <v>КБ2</v>
      </c>
      <c r="J223" s="154">
        <f>Реагирование!K50</f>
        <v>5</v>
      </c>
      <c r="K223" s="153">
        <f>Реагирование!I50</f>
        <v>0</v>
      </c>
      <c r="L223" s="153">
        <f>Реагирование!L50</f>
        <v>0</v>
      </c>
      <c r="M223" s="153">
        <f t="shared" si="33"/>
        <v>0</v>
      </c>
      <c r="N223" s="153">
        <f t="shared" si="35"/>
        <v>5</v>
      </c>
      <c r="O223" s="153" t="str">
        <f>Реагирование!W50</f>
        <v xml:space="preserve"> - Создать подразделение (выделить штатную должность), отвечающее за расследование инцидентов ИБ либо заключить сервисный договор.</v>
      </c>
      <c r="P223" s="155" t="s">
        <v>97</v>
      </c>
      <c r="Q223" s="156" t="s">
        <v>274</v>
      </c>
      <c r="R223" s="153"/>
      <c r="S223" s="157"/>
      <c r="T223" s="151" t="s">
        <v>99</v>
      </c>
      <c r="U223" s="158">
        <v>0</v>
      </c>
      <c r="V223" s="158">
        <v>0</v>
      </c>
      <c r="W223" s="158">
        <v>0</v>
      </c>
      <c r="X223" s="158">
        <f t="shared" si="30"/>
        <v>0</v>
      </c>
      <c r="Y223" s="159"/>
      <c r="Z223" s="160"/>
      <c r="AA223" s="160"/>
      <c r="AB223" s="160"/>
      <c r="AC223" s="160"/>
      <c r="AD223" s="160"/>
      <c r="AE223" s="160"/>
    </row>
    <row r="224" spans="1:31" ht="304.2" hidden="1">
      <c r="A224" s="151" t="s">
        <v>57</v>
      </c>
      <c r="B224" s="152" t="s">
        <v>202</v>
      </c>
      <c r="C224" s="153" t="str">
        <f>Реагирование!B51</f>
        <v>Процесс расследования инцидентов</v>
      </c>
      <c r="D224" s="153" t="str">
        <f>Реагирование!C51</f>
        <v>РЕАГ.АНЛЗ.2</v>
      </c>
      <c r="E224" s="153">
        <f>Реагирование!D51</f>
        <v>4</v>
      </c>
      <c r="F224" s="153">
        <f>Реагирование!E51</f>
        <v>3</v>
      </c>
      <c r="G224" s="153">
        <f>Реагирование!F51</f>
        <v>1</v>
      </c>
      <c r="H224" s="153">
        <f>Реагирование!V51</f>
        <v>230.01999999999998</v>
      </c>
      <c r="I224" s="154" t="str">
        <f t="shared" si="34"/>
        <v>КБ2</v>
      </c>
      <c r="J224" s="154">
        <f>Реагирование!K51</f>
        <v>4</v>
      </c>
      <c r="K224" s="153">
        <f>Реагирование!I51</f>
        <v>0</v>
      </c>
      <c r="L224" s="153">
        <f>Реагирование!L51</f>
        <v>0</v>
      </c>
      <c r="M224" s="153">
        <f t="shared" si="33"/>
        <v>0</v>
      </c>
      <c r="N224" s="153">
        <f t="shared" si="35"/>
        <v>4</v>
      </c>
      <c r="O224" s="153" t="str">
        <f>Реагирование!W51</f>
        <v xml:space="preserve"> - Разработать и задокументировать процесс расследования инцидентов, довести до сведения заинтересованных лиц;
  - Расследование инцидентов должно проводиться с использованием средств автоматизации;
 -  Создать единую базу знаний по расследованиям. Результаты расследований и артефакты хранить в единой базе знаний.</v>
      </c>
      <c r="P224" s="155" t="s">
        <v>97</v>
      </c>
      <c r="Q224" s="156" t="s">
        <v>275</v>
      </c>
      <c r="R224" s="153"/>
      <c r="S224" s="157"/>
      <c r="T224" s="151" t="s">
        <v>99</v>
      </c>
      <c r="U224" s="158">
        <v>0</v>
      </c>
      <c r="V224" s="158">
        <v>0</v>
      </c>
      <c r="W224" s="158">
        <v>0</v>
      </c>
      <c r="X224" s="158">
        <f t="shared" si="30"/>
        <v>0</v>
      </c>
      <c r="Y224" s="159"/>
      <c r="Z224" s="160"/>
      <c r="AA224" s="160"/>
      <c r="AB224" s="160"/>
      <c r="AC224" s="160"/>
      <c r="AD224" s="160"/>
      <c r="AE224" s="160"/>
    </row>
    <row r="225" spans="1:31" ht="409.6" hidden="1">
      <c r="A225" s="151" t="s">
        <v>57</v>
      </c>
      <c r="B225" s="152" t="s">
        <v>202</v>
      </c>
      <c r="C225" s="153" t="str">
        <f>Реагирование!B52</f>
        <v>Анализируются причины возникновения инцидентов</v>
      </c>
      <c r="D225" s="153" t="str">
        <f>Реагирование!C52</f>
        <v>РЕАГ.АНЛЗ.3</v>
      </c>
      <c r="E225" s="153">
        <f>Реагирование!D52</f>
        <v>5</v>
      </c>
      <c r="F225" s="153">
        <f>Реагирование!E52</f>
        <v>5</v>
      </c>
      <c r="G225" s="153">
        <f>Реагирование!F52</f>
        <v>3.2</v>
      </c>
      <c r="H225" s="153">
        <f>Реагирование!V52</f>
        <v>230.02999999999997</v>
      </c>
      <c r="I225" s="154" t="str">
        <f t="shared" si="34"/>
        <v>КБ2</v>
      </c>
      <c r="J225" s="154">
        <f>Реагирование!K52</f>
        <v>5</v>
      </c>
      <c r="K225" s="153">
        <f>Реагирование!I52</f>
        <v>0</v>
      </c>
      <c r="L225" s="153">
        <f>Реагирование!L52</f>
        <v>0</v>
      </c>
      <c r="M225" s="153">
        <f t="shared" si="33"/>
        <v>0</v>
      </c>
      <c r="N225" s="153">
        <f t="shared" si="35"/>
        <v>5</v>
      </c>
      <c r="O225" s="153" t="str">
        <f>Реагирование!W52</f>
        <v xml:space="preserve"> - Проводить анализ причин возникновения инцидентов уровня, 'высокий', 'критичный';
 -  Результаты анализа хранить в единой базе знаний;
 - По результатам анализа причин возникновения инцидентов разрабатывать рекомендации по устранению таких причин/ Рекомендации доводятся до ответственных подразделений/осуществляется контроль за выполнением рекомендаций;
 - Автоматизировать контроль и учет мероприятий по устранению причин инцидентов и выполнению рекомендаций;
 - Определить метрики процесса устранения причин инцидентов. На постоянной основе проводить мониторинг процесса по утвержденным метрикам и показателям.</v>
      </c>
      <c r="P225" s="155" t="s">
        <v>97</v>
      </c>
      <c r="Q225" s="156" t="s">
        <v>276</v>
      </c>
      <c r="R225" s="153"/>
      <c r="S225" s="157"/>
      <c r="T225" s="151" t="s">
        <v>99</v>
      </c>
      <c r="U225" s="158">
        <v>0</v>
      </c>
      <c r="V225" s="158">
        <v>0</v>
      </c>
      <c r="W225" s="158">
        <v>0</v>
      </c>
      <c r="X225" s="158">
        <f t="shared" si="30"/>
        <v>0</v>
      </c>
      <c r="Y225" s="159"/>
      <c r="Z225" s="160"/>
      <c r="AA225" s="160"/>
      <c r="AB225" s="160"/>
      <c r="AC225" s="160"/>
      <c r="AD225" s="160"/>
      <c r="AE225" s="160"/>
    </row>
    <row r="226" spans="1:31" ht="409.6" hidden="1">
      <c r="A226" s="151" t="s">
        <v>57</v>
      </c>
      <c r="B226" s="152" t="s">
        <v>202</v>
      </c>
      <c r="C226" s="153" t="str">
        <f>Реагирование!B53</f>
        <v>Процесс пост-анализа инцидентов</v>
      </c>
      <c r="D226" s="153" t="str">
        <f>Реагирование!C53</f>
        <v>РЕАГ.АНЛЗ.4</v>
      </c>
      <c r="E226" s="153">
        <f>Реагирование!D53</f>
        <v>4</v>
      </c>
      <c r="F226" s="153">
        <f>Реагирование!E53</f>
        <v>3</v>
      </c>
      <c r="G226" s="153">
        <f>Реагирование!F53</f>
        <v>1</v>
      </c>
      <c r="H226" s="153">
        <f>Реагирование!V53</f>
        <v>230.03999999999996</v>
      </c>
      <c r="I226" s="154" t="str">
        <f t="shared" si="34"/>
        <v>КБ2</v>
      </c>
      <c r="J226" s="154">
        <f>Реагирование!K53</f>
        <v>4</v>
      </c>
      <c r="K226" s="153">
        <f>Реагирование!I53</f>
        <v>0</v>
      </c>
      <c r="L226" s="153">
        <f>Реагирование!L53</f>
        <v>0</v>
      </c>
      <c r="M226" s="153">
        <f t="shared" si="33"/>
        <v>0</v>
      </c>
      <c r="N226" s="153">
        <f t="shared" si="35"/>
        <v>4</v>
      </c>
      <c r="O226" s="153" t="str">
        <f>Реагирование!W53</f>
        <v xml:space="preserve"> - Формализовать и утвердить процесс пост-анализа инцидентов ИБ;
  -  Довести процесс до заинтересованных лиц;
- Обеспечить проведение пост-анализа инцидентов ИБ с применением средств автоматизации;
 -  Создать единую базу знаний инцидентов ИБ;
 - Проводить оценку и анализ инцидентов ИБ;
 - По результатам расследования инцидентов разрабатывать рекомендации по устранению выявленных уязвимостей и предотвращению аналогичных инцидентов в будущем;
 - Разрабатывать рекомендации по улучшению применяемых методов и средств защиты информации
- Повышать эффективность решающих правил SIEM с учетом инцидентов</v>
      </c>
      <c r="P226" s="155" t="s">
        <v>97</v>
      </c>
      <c r="Q226" s="156" t="s">
        <v>277</v>
      </c>
      <c r="R226" s="153"/>
      <c r="S226" s="157"/>
      <c r="T226" s="151" t="s">
        <v>99</v>
      </c>
      <c r="U226" s="158">
        <v>0</v>
      </c>
      <c r="V226" s="158">
        <v>0</v>
      </c>
      <c r="W226" s="158">
        <v>0</v>
      </c>
      <c r="X226" s="158">
        <f t="shared" si="30"/>
        <v>0</v>
      </c>
      <c r="Y226" s="159"/>
      <c r="Z226" s="160"/>
      <c r="AA226" s="160"/>
      <c r="AB226" s="160"/>
      <c r="AC226" s="160"/>
      <c r="AD226" s="160"/>
      <c r="AE226" s="160"/>
    </row>
    <row r="227" spans="1:31" ht="327.60000000000002" hidden="1">
      <c r="A227" s="151" t="s">
        <v>57</v>
      </c>
      <c r="B227" s="152" t="s">
        <v>202</v>
      </c>
      <c r="C227" s="153" t="str">
        <f>Реагирование!B54</f>
        <v>Проводятся регулярные киберучения по реагированию на инциденты ИБ</v>
      </c>
      <c r="D227" s="153" t="str">
        <f>Реагирование!C54</f>
        <v>РЕАГ.АНЛЗ.5</v>
      </c>
      <c r="E227" s="153">
        <f>Реагирование!D54</f>
        <v>5</v>
      </c>
      <c r="F227" s="153">
        <f>Реагирование!E54</f>
        <v>3.2</v>
      </c>
      <c r="G227" s="153">
        <f>Реагирование!F54</f>
        <v>0</v>
      </c>
      <c r="H227" s="153">
        <f>Реагирование!V54</f>
        <v>230.04999999999995</v>
      </c>
      <c r="I227" s="154" t="str">
        <f t="shared" si="34"/>
        <v>КБ2</v>
      </c>
      <c r="J227" s="154">
        <f>Реагирование!K54</f>
        <v>5</v>
      </c>
      <c r="K227" s="153">
        <f>Реагирование!I54</f>
        <v>0</v>
      </c>
      <c r="L227" s="153">
        <f>Реагирование!L54</f>
        <v>0</v>
      </c>
      <c r="M227" s="153">
        <f t="shared" si="33"/>
        <v>0</v>
      </c>
      <c r="N227" s="153">
        <f t="shared" si="35"/>
        <v>5</v>
      </c>
      <c r="O227" s="153" t="str">
        <f>Реагирование!W54</f>
        <v xml:space="preserve"> - Разработать и утвердить методику и программу проведения киберучений по реагированию на инциденты;
 -  Учебные сценарии должны включать взаимодействие заинтересованных лиц и позволяют тестировать постановку задач, процессы коммуникации и принятия решений;
 -  Обеспечить ежегодное планирование и проведения киберучений</v>
      </c>
      <c r="P227" s="155" t="s">
        <v>97</v>
      </c>
      <c r="Q227" s="156" t="s">
        <v>278</v>
      </c>
      <c r="R227" s="153"/>
      <c r="S227" s="157"/>
      <c r="T227" s="151" t="s">
        <v>99</v>
      </c>
      <c r="U227" s="158">
        <v>0</v>
      </c>
      <c r="V227" s="158">
        <v>0</v>
      </c>
      <c r="W227" s="158">
        <v>0</v>
      </c>
      <c r="X227" s="158">
        <f t="shared" si="30"/>
        <v>0</v>
      </c>
      <c r="Y227" s="159"/>
      <c r="Z227" s="160"/>
      <c r="AA227" s="160"/>
      <c r="AB227" s="160"/>
      <c r="AC227" s="160"/>
      <c r="AD227" s="160"/>
      <c r="AE227" s="160"/>
    </row>
    <row r="228" spans="1:31" ht="280.8" hidden="1">
      <c r="A228" s="151" t="s">
        <v>57</v>
      </c>
      <c r="B228" s="152" t="s">
        <v>213</v>
      </c>
      <c r="C228" s="153" t="str">
        <f>Реагирование!B44</f>
        <v>Определен и обновляется список участников процессов реагирования (ИБ, ИТ, PR, HR, юристы, подрядчики)</v>
      </c>
      <c r="D228" s="153" t="str">
        <f>Реагирование!C44</f>
        <v>РЕАГ.КМНК.1</v>
      </c>
      <c r="E228" s="153">
        <f>Реагирование!D44</f>
        <v>5</v>
      </c>
      <c r="F228" s="153">
        <f>Реагирование!E44</f>
        <v>3.2</v>
      </c>
      <c r="G228" s="153">
        <f>Реагирование!F44</f>
        <v>0</v>
      </c>
      <c r="H228" s="153">
        <f>Реагирование!V44</f>
        <v>237.01</v>
      </c>
      <c r="I228" s="154" t="str">
        <f t="shared" si="34"/>
        <v>КБ2</v>
      </c>
      <c r="J228" s="154">
        <f>Реагирование!K44</f>
        <v>5</v>
      </c>
      <c r="K228" s="153">
        <f>Реагирование!I44</f>
        <v>0</v>
      </c>
      <c r="L228" s="153">
        <f>Реагирование!L44</f>
        <v>0</v>
      </c>
      <c r="M228" s="153">
        <f t="shared" si="33"/>
        <v>0</v>
      </c>
      <c r="N228" s="153">
        <f t="shared" si="35"/>
        <v>5</v>
      </c>
      <c r="O228" s="153" t="str">
        <f>Реагирование!W44</f>
        <v xml:space="preserve"> - Составить список участников процессов реагирования на инциденты;
  -  Определить зоны ответственности и полномочия при реагировании на инциденты, довести до участников и согласовать с ними;
  -  Составить список контактных данных и довести до всех участников.</v>
      </c>
      <c r="P228" s="155" t="s">
        <v>97</v>
      </c>
      <c r="Q228" s="156" t="s">
        <v>281</v>
      </c>
      <c r="R228" s="153"/>
      <c r="S228" s="157"/>
      <c r="T228" s="151" t="s">
        <v>99</v>
      </c>
      <c r="U228" s="158">
        <v>0</v>
      </c>
      <c r="V228" s="158">
        <v>0</v>
      </c>
      <c r="W228" s="158">
        <v>0</v>
      </c>
      <c r="X228" s="158">
        <f t="shared" si="30"/>
        <v>0</v>
      </c>
      <c r="Y228" s="159"/>
      <c r="Z228" s="160"/>
      <c r="AA228" s="160"/>
      <c r="AB228" s="160"/>
      <c r="AC228" s="160"/>
      <c r="AD228" s="160"/>
      <c r="AE228" s="160"/>
    </row>
    <row r="229" spans="1:31" ht="140.4" hidden="1">
      <c r="A229" s="151" t="s">
        <v>57</v>
      </c>
      <c r="B229" s="152" t="s">
        <v>213</v>
      </c>
      <c r="C229" s="153" t="str">
        <f>Реагирование!B45</f>
        <v>Определены средства и каналы коммуникации и приоритет их использования</v>
      </c>
      <c r="D229" s="153" t="str">
        <f>Реагирование!C45</f>
        <v>РЕАГ.КМНК.2</v>
      </c>
      <c r="E229" s="153">
        <f>Реагирование!D45</f>
        <v>5</v>
      </c>
      <c r="F229" s="153">
        <f>Реагирование!E45</f>
        <v>3.2</v>
      </c>
      <c r="G229" s="153">
        <f>Реагирование!F45</f>
        <v>0</v>
      </c>
      <c r="H229" s="153">
        <f>Реагирование!V45</f>
        <v>237.01999999999998</v>
      </c>
      <c r="I229" s="154" t="str">
        <f t="shared" si="34"/>
        <v>КБ2</v>
      </c>
      <c r="J229" s="154">
        <f>Реагирование!K45</f>
        <v>5</v>
      </c>
      <c r="K229" s="153">
        <f>Реагирование!I45</f>
        <v>0</v>
      </c>
      <c r="L229" s="153">
        <f>Реагирование!L45</f>
        <v>0</v>
      </c>
      <c r="M229" s="153">
        <f t="shared" si="33"/>
        <v>0</v>
      </c>
      <c r="N229" s="153">
        <f t="shared" si="35"/>
        <v>5</v>
      </c>
      <c r="O229" s="153" t="str">
        <f>Реагирование!W45</f>
        <v xml:space="preserve"> - Определить основные и резервные каналы коммуникации и приоритет их использования/Провести тестирование каналов коммуникации. </v>
      </c>
      <c r="P229" s="155" t="s">
        <v>97</v>
      </c>
      <c r="Q229" s="156" t="s">
        <v>281</v>
      </c>
      <c r="R229" s="153"/>
      <c r="S229" s="157"/>
      <c r="T229" s="151" t="s">
        <v>99</v>
      </c>
      <c r="U229" s="158">
        <v>0</v>
      </c>
      <c r="V229" s="158">
        <v>0</v>
      </c>
      <c r="W229" s="158">
        <v>0</v>
      </c>
      <c r="X229" s="158">
        <f t="shared" si="30"/>
        <v>0</v>
      </c>
      <c r="Y229" s="159"/>
      <c r="Z229" s="160"/>
      <c r="AA229" s="160"/>
      <c r="AB229" s="160"/>
      <c r="AC229" s="160"/>
      <c r="AD229" s="160"/>
      <c r="AE229" s="160"/>
    </row>
    <row r="230" spans="1:31" ht="140.4" hidden="1">
      <c r="A230" s="151" t="s">
        <v>57</v>
      </c>
      <c r="B230" s="152" t="s">
        <v>213</v>
      </c>
      <c r="C230" s="153" t="str">
        <f>Реагирование!B46</f>
        <v>Определен порядок эскалации инцидентов</v>
      </c>
      <c r="D230" s="153" t="str">
        <f>Реагирование!C46</f>
        <v>РЕАГ.КМНК.3</v>
      </c>
      <c r="E230" s="153">
        <f>Реагирование!D46</f>
        <v>5</v>
      </c>
      <c r="F230" s="153">
        <f>Реагирование!E46</f>
        <v>3.2</v>
      </c>
      <c r="G230" s="153">
        <f>Реагирование!F46</f>
        <v>0</v>
      </c>
      <c r="H230" s="153">
        <f>Реагирование!V46</f>
        <v>237.02999999999997</v>
      </c>
      <c r="I230" s="154" t="str">
        <f t="shared" si="34"/>
        <v>КБ2</v>
      </c>
      <c r="J230" s="154">
        <f>Реагирование!K46</f>
        <v>5</v>
      </c>
      <c r="K230" s="153">
        <f>Реагирование!I46</f>
        <v>0</v>
      </c>
      <c r="L230" s="153">
        <f>Реагирование!L46</f>
        <v>0</v>
      </c>
      <c r="M230" s="153">
        <f t="shared" si="33"/>
        <v>0</v>
      </c>
      <c r="N230" s="153">
        <f t="shared" si="35"/>
        <v>5</v>
      </c>
      <c r="O230" s="153" t="str">
        <f>Реагирование!W46</f>
        <v xml:space="preserve"> - Определить критерии и порядок эскалации инцидентов;
  -  Определить маршруты эскалации;
  - Регламентировать процесс эскалации.</v>
      </c>
      <c r="P230" s="155" t="s">
        <v>97</v>
      </c>
      <c r="Q230" s="156" t="s">
        <v>282</v>
      </c>
      <c r="R230" s="153"/>
      <c r="S230" s="157"/>
      <c r="T230" s="151" t="s">
        <v>99</v>
      </c>
      <c r="U230" s="158">
        <v>0</v>
      </c>
      <c r="V230" s="158">
        <v>0</v>
      </c>
      <c r="W230" s="158">
        <v>0</v>
      </c>
      <c r="X230" s="158">
        <f t="shared" si="30"/>
        <v>0</v>
      </c>
      <c r="Y230" s="159"/>
      <c r="Z230" s="160"/>
      <c r="AA230" s="160"/>
      <c r="AB230" s="160"/>
      <c r="AC230" s="160"/>
      <c r="AD230" s="160"/>
      <c r="AE230" s="160"/>
    </row>
    <row r="231" spans="1:31" ht="187.2" hidden="1">
      <c r="A231" s="151" t="s">
        <v>57</v>
      </c>
      <c r="B231" s="152" t="s">
        <v>213</v>
      </c>
      <c r="C231" s="153" t="str">
        <f>Реагирование!B47</f>
        <v>Определен порядок взаимодействия с регуляторами по инцидентам ИБ</v>
      </c>
      <c r="D231" s="153" t="str">
        <f>Реагирование!C47</f>
        <v>РЕАГ.КМНК.4</v>
      </c>
      <c r="E231" s="153">
        <f>Реагирование!D47</f>
        <v>5</v>
      </c>
      <c r="F231" s="153">
        <f>Реагирование!E47</f>
        <v>3.2</v>
      </c>
      <c r="G231" s="153">
        <f>Реагирование!F47</f>
        <v>1.6</v>
      </c>
      <c r="H231" s="153">
        <f>Реагирование!V47</f>
        <v>237.03999999999996</v>
      </c>
      <c r="I231" s="154" t="str">
        <f t="shared" si="34"/>
        <v>КБ2</v>
      </c>
      <c r="J231" s="154">
        <f>Реагирование!K47</f>
        <v>5</v>
      </c>
      <c r="K231" s="153">
        <f>Реагирование!I47</f>
        <v>0</v>
      </c>
      <c r="L231" s="153">
        <f>Реагирование!L47</f>
        <v>0</v>
      </c>
      <c r="M231" s="153">
        <f t="shared" si="33"/>
        <v>0</v>
      </c>
      <c r="N231" s="153">
        <f t="shared" si="35"/>
        <v>5</v>
      </c>
      <c r="O231" s="153" t="str">
        <f>Реагирование!W47</f>
        <v xml:space="preserve"> - Регламентировать процесс взаимодействия с регуляторами;
  -  Определить ответственных за взаимодействие;
 -  Определить состав и объем предоставляемой информации об инцидентах.</v>
      </c>
      <c r="P231" s="155" t="s">
        <v>97</v>
      </c>
      <c r="Q231" s="156" t="s">
        <v>283</v>
      </c>
      <c r="R231" s="153"/>
      <c r="S231" s="157"/>
      <c r="T231" s="151" t="s">
        <v>99</v>
      </c>
      <c r="U231" s="158">
        <v>0</v>
      </c>
      <c r="V231" s="158">
        <v>0</v>
      </c>
      <c r="W231" s="158">
        <v>0</v>
      </c>
      <c r="X231" s="158">
        <f t="shared" si="30"/>
        <v>0</v>
      </c>
      <c r="Y231" s="159"/>
      <c r="Z231" s="160"/>
      <c r="AA231" s="160"/>
      <c r="AB231" s="160"/>
      <c r="AC231" s="160"/>
      <c r="AD231" s="160"/>
      <c r="AE231" s="160"/>
    </row>
    <row r="232" spans="1:31" ht="93.6" hidden="1">
      <c r="A232" s="151" t="s">
        <v>57</v>
      </c>
      <c r="B232" s="152" t="s">
        <v>213</v>
      </c>
      <c r="C232" s="153" t="str">
        <f>Реагирование!B48</f>
        <v>Для значимых инцидентов подготовлены планы коммуникаций</v>
      </c>
      <c r="D232" s="153" t="str">
        <f>Реагирование!C48</f>
        <v>РЕАГ.КМНК.5</v>
      </c>
      <c r="E232" s="153">
        <f>Реагирование!D48</f>
        <v>5</v>
      </c>
      <c r="F232" s="153">
        <f>Реагирование!E48</f>
        <v>3.2</v>
      </c>
      <c r="G232" s="153">
        <f>Реагирование!F48</f>
        <v>1.6</v>
      </c>
      <c r="H232" s="153">
        <f>Реагирование!V48</f>
        <v>237.04999999999995</v>
      </c>
      <c r="I232" s="154" t="str">
        <f t="shared" si="34"/>
        <v>КБ2</v>
      </c>
      <c r="J232" s="154">
        <f>Реагирование!K48</f>
        <v>5</v>
      </c>
      <c r="K232" s="153">
        <f>Реагирование!I48</f>
        <v>0</v>
      </c>
      <c r="L232" s="153">
        <f>Реагирование!L48</f>
        <v>0</v>
      </c>
      <c r="M232" s="153">
        <f t="shared" si="33"/>
        <v>0</v>
      </c>
      <c r="N232" s="153">
        <f t="shared" si="35"/>
        <v>5</v>
      </c>
      <c r="O232" s="153" t="str">
        <f>Реагирование!W48</f>
        <v xml:space="preserve"> - Актуализировать план коммуникаций значимых инцидентов не реже чем раз в полгода.</v>
      </c>
      <c r="P232" s="155" t="s">
        <v>97</v>
      </c>
      <c r="Q232" s="156" t="s">
        <v>281</v>
      </c>
      <c r="R232" s="153"/>
      <c r="S232" s="157"/>
      <c r="T232" s="151" t="s">
        <v>99</v>
      </c>
      <c r="U232" s="158">
        <v>0</v>
      </c>
      <c r="V232" s="158">
        <v>0</v>
      </c>
      <c r="W232" s="158">
        <v>0</v>
      </c>
      <c r="X232" s="158">
        <f t="shared" si="30"/>
        <v>0</v>
      </c>
      <c r="Y232" s="159"/>
      <c r="Z232" s="160"/>
      <c r="AA232" s="160"/>
      <c r="AB232" s="160"/>
      <c r="AC232" s="160"/>
      <c r="AD232" s="160"/>
      <c r="AE232" s="160"/>
    </row>
    <row r="233" spans="1:31" ht="409.6" hidden="1">
      <c r="A233" s="151" t="s">
        <v>57</v>
      </c>
      <c r="B233" s="152" t="s">
        <v>121</v>
      </c>
      <c r="C233" s="153" t="str">
        <f>Реагирование!B39</f>
        <v>Процесс реагирования на инциденты ИБ</v>
      </c>
      <c r="D233" s="153" t="str">
        <f>Реагирование!C39</f>
        <v>РЕАГ.ПЛР.1</v>
      </c>
      <c r="E233" s="153">
        <f>Реагирование!D39</f>
        <v>4</v>
      </c>
      <c r="F233" s="153">
        <f>Реагирование!E39</f>
        <v>3</v>
      </c>
      <c r="G233" s="153">
        <f>Реагирование!F39</f>
        <v>1</v>
      </c>
      <c r="H233" s="153">
        <f>Реагирование!V39</f>
        <v>207.01</v>
      </c>
      <c r="I233" s="154" t="str">
        <f t="shared" si="34"/>
        <v>КБ2</v>
      </c>
      <c r="J233" s="154">
        <f>Реагирование!K39</f>
        <v>4</v>
      </c>
      <c r="K233" s="153">
        <f>Реагирование!I39</f>
        <v>0</v>
      </c>
      <c r="L233" s="153">
        <f>Реагирование!L39</f>
        <v>0</v>
      </c>
      <c r="M233" s="153">
        <f t="shared" si="33"/>
        <v>0</v>
      </c>
      <c r="N233" s="153">
        <f t="shared" si="35"/>
        <v>4</v>
      </c>
      <c r="O233" s="153" t="str">
        <f>Реагирование!W39</f>
        <v xml:space="preserve"> Разработать и/или Получить в Блоке ИБ ПАО Ростелеком типовое описание процесса реагирования на инциденты ИБ (Политика, Регламенты, процедуры реагирования на инциденты ИБ), определяющие:
  -  Ответственность за координацию процесса работы с инцидентами и документирование результатов в процессе решения инцидента;
  -  Список заинтересованных лиц, которые должны получить уведомление об инциденте, актуализиировать и пересматривать его не реже раза в год;
 - SLA по реагированию, механизмы обращения, минимальная информация для создания инцидента/Процедуру довести до всех работников Общества;
 - Роли и обязанности, план коммуникации по поводу инцидента;
 - План реагирования на инциденты, включая сценарии реагирования с привлечением юристов, специалистов по ИТ и ИБ, служб PR, HR и аналитиков;
 -  Учебные сценарии по реагированию, включающие взаимодействие заинтересованных лиц и позволяющие тестировать постановку задач, процессы коммуникации и принятия решений;
 -  Сценарии реагирования для разных событий безопасности: подозрительной активности, обнаруженной уязвимости, утечки информации;
Для автоматизации процесса внедрить специализированное ПО: SIEM, IRP/ServiceDesk.</v>
      </c>
      <c r="P233" s="155" t="s">
        <v>97</v>
      </c>
      <c r="Q233" s="156" t="s">
        <v>245</v>
      </c>
      <c r="R233" s="153"/>
      <c r="S233" s="157"/>
      <c r="T233" s="151" t="s">
        <v>99</v>
      </c>
      <c r="U233" s="158">
        <v>0</v>
      </c>
      <c r="V233" s="158">
        <v>0</v>
      </c>
      <c r="W233" s="158">
        <v>0</v>
      </c>
      <c r="X233" s="158">
        <f t="shared" si="30"/>
        <v>0</v>
      </c>
      <c r="Y233" s="159"/>
      <c r="Z233" s="160"/>
      <c r="AA233" s="160"/>
      <c r="AB233" s="160"/>
      <c r="AC233" s="160"/>
      <c r="AD233" s="160"/>
      <c r="AE233" s="160"/>
    </row>
    <row r="234" spans="1:31" ht="234" hidden="1">
      <c r="A234" s="151" t="s">
        <v>57</v>
      </c>
      <c r="B234" s="152" t="s">
        <v>121</v>
      </c>
      <c r="C234" s="153" t="str">
        <f>Реагирование!B40</f>
        <v>Процесс категорирования инцидентов ИБ</v>
      </c>
      <c r="D234" s="153" t="str">
        <f>Реагирование!C40</f>
        <v>РЕАГ.ПЛР.2</v>
      </c>
      <c r="E234" s="153">
        <f>Реагирование!D40</f>
        <v>4</v>
      </c>
      <c r="F234" s="153">
        <f>Реагирование!E40</f>
        <v>3</v>
      </c>
      <c r="G234" s="153">
        <f>Реагирование!F40</f>
        <v>1</v>
      </c>
      <c r="H234" s="153">
        <f>Реагирование!V40</f>
        <v>207.01999999999998</v>
      </c>
      <c r="I234" s="154" t="str">
        <f t="shared" si="34"/>
        <v>КБ2</v>
      </c>
      <c r="J234" s="154">
        <f>Реагирование!K40</f>
        <v>4</v>
      </c>
      <c r="K234" s="153">
        <f>Реагирование!I40</f>
        <v>0</v>
      </c>
      <c r="L234" s="153">
        <f>Реагирование!L40</f>
        <v>0</v>
      </c>
      <c r="M234" s="153">
        <f t="shared" si="33"/>
        <v>0</v>
      </c>
      <c r="N234" s="153">
        <f t="shared" si="35"/>
        <v>4</v>
      </c>
      <c r="O234" s="153" t="str">
        <f>Реагирование!W40</f>
        <v>- Формализовать критерии определения критичности инцидентов ИБ; 
- Определить мандаты на действия участников процесса;
  -  Официально сформировать ГЭР и ОКУ;
  -  Не реже 1 раза в год проводить учения в формате штабных игр.</v>
      </c>
      <c r="P234" s="155" t="s">
        <v>97</v>
      </c>
      <c r="Q234" s="156" t="s">
        <v>246</v>
      </c>
      <c r="R234" s="153"/>
      <c r="S234" s="157"/>
      <c r="T234" s="151" t="s">
        <v>99</v>
      </c>
      <c r="U234" s="158">
        <v>0</v>
      </c>
      <c r="V234" s="158">
        <v>0</v>
      </c>
      <c r="W234" s="158">
        <v>0</v>
      </c>
      <c r="X234" s="158">
        <f t="shared" si="30"/>
        <v>0</v>
      </c>
      <c r="Y234" s="159"/>
      <c r="Z234" s="160"/>
      <c r="AA234" s="160"/>
      <c r="AB234" s="160"/>
      <c r="AC234" s="160"/>
      <c r="AD234" s="160"/>
      <c r="AE234" s="160"/>
    </row>
    <row r="235" spans="1:31" ht="117" hidden="1">
      <c r="A235" s="151" t="s">
        <v>57</v>
      </c>
      <c r="B235" s="152" t="s">
        <v>121</v>
      </c>
      <c r="C235" s="153" t="str">
        <f>Реагирование!B41</f>
        <v>Определен мандат на действие в ходе реагирования на инцидент</v>
      </c>
      <c r="D235" s="153" t="str">
        <f>Реагирование!C41</f>
        <v>РЕАГ.ПЛР.3</v>
      </c>
      <c r="E235" s="153">
        <f>Реагирование!D41</f>
        <v>5</v>
      </c>
      <c r="F235" s="153">
        <f>Реагирование!E41</f>
        <v>3.2</v>
      </c>
      <c r="G235" s="153">
        <f>Реагирование!F41</f>
        <v>0</v>
      </c>
      <c r="H235" s="153">
        <f>Реагирование!V41</f>
        <v>207.02999999999997</v>
      </c>
      <c r="I235" s="154" t="str">
        <f t="shared" si="34"/>
        <v>КБ2</v>
      </c>
      <c r="J235" s="154">
        <f>Реагирование!K41</f>
        <v>5</v>
      </c>
      <c r="K235" s="153">
        <f>Реагирование!I41</f>
        <v>0</v>
      </c>
      <c r="L235" s="153">
        <f>Реагирование!L41</f>
        <v>0</v>
      </c>
      <c r="M235" s="153">
        <f t="shared" si="33"/>
        <v>0</v>
      </c>
      <c r="N235" s="153">
        <f t="shared" si="35"/>
        <v>5</v>
      </c>
      <c r="O235" s="153" t="str">
        <f>Реагирование!W41</f>
        <v xml:space="preserve"> - Категории инцидентов определить в ВНД;
  -  Категорию инцидента ИБ определять в автоматическом режиме</v>
      </c>
      <c r="P235" s="155" t="s">
        <v>97</v>
      </c>
      <c r="Q235" s="156" t="s">
        <v>246</v>
      </c>
      <c r="R235" s="153"/>
      <c r="S235" s="157"/>
      <c r="T235" s="151" t="s">
        <v>99</v>
      </c>
      <c r="U235" s="158">
        <v>0</v>
      </c>
      <c r="V235" s="158">
        <v>0</v>
      </c>
      <c r="W235" s="158">
        <v>0</v>
      </c>
      <c r="X235" s="158">
        <f t="shared" si="30"/>
        <v>0</v>
      </c>
      <c r="Y235" s="159"/>
      <c r="Z235" s="160"/>
      <c r="AA235" s="160"/>
      <c r="AB235" s="160"/>
      <c r="AC235" s="160"/>
      <c r="AD235" s="160"/>
      <c r="AE235" s="160"/>
    </row>
    <row r="236" spans="1:31" ht="140.4" hidden="1">
      <c r="A236" s="151" t="s">
        <v>57</v>
      </c>
      <c r="B236" s="152" t="s">
        <v>121</v>
      </c>
      <c r="C236" s="153" t="str">
        <f>Реагирование!B42</f>
        <v>Планы реагирования совершенствуются по результатам тестирования и пост-анализа</v>
      </c>
      <c r="D236" s="153" t="str">
        <f>Реагирование!C42</f>
        <v>РЕАГ.ПЛР.4</v>
      </c>
      <c r="E236" s="153">
        <f>Реагирование!D42</f>
        <v>5</v>
      </c>
      <c r="F236" s="153">
        <f>Реагирование!E42</f>
        <v>3.2</v>
      </c>
      <c r="G236" s="153">
        <f>Реагирование!F42</f>
        <v>0</v>
      </c>
      <c r="H236" s="153">
        <f>Реагирование!V42</f>
        <v>207.03999999999996</v>
      </c>
      <c r="I236" s="154" t="str">
        <f t="shared" si="34"/>
        <v>КБ2</v>
      </c>
      <c r="J236" s="154">
        <f>Реагирование!K42</f>
        <v>5</v>
      </c>
      <c r="K236" s="153">
        <f>Реагирование!I42</f>
        <v>0</v>
      </c>
      <c r="L236" s="153">
        <f>Реагирование!L42</f>
        <v>0</v>
      </c>
      <c r="M236" s="153">
        <f t="shared" si="33"/>
        <v>0</v>
      </c>
      <c r="N236" s="153">
        <f t="shared" si="35"/>
        <v>5</v>
      </c>
      <c r="O236" s="153" t="str">
        <f>Реагирование!W42</f>
        <v xml:space="preserve"> - Пост-анализ проводится обязательно для инцидентов критичности 'высокий' и выше. 
- По результатам вносятся изменения в порядок реагирования.</v>
      </c>
      <c r="P236" s="155" t="s">
        <v>97</v>
      </c>
      <c r="Q236" s="156" t="s">
        <v>247</v>
      </c>
      <c r="R236" s="153"/>
      <c r="S236" s="157"/>
      <c r="T236" s="151" t="s">
        <v>99</v>
      </c>
      <c r="U236" s="158">
        <v>0</v>
      </c>
      <c r="V236" s="158">
        <v>0</v>
      </c>
      <c r="W236" s="158">
        <v>0</v>
      </c>
      <c r="X236" s="158">
        <f t="shared" si="30"/>
        <v>0</v>
      </c>
      <c r="Y236" s="159"/>
      <c r="Z236" s="160"/>
      <c r="AA236" s="160"/>
      <c r="AB236" s="160"/>
      <c r="AC236" s="160"/>
      <c r="AD236" s="160"/>
      <c r="AE236" s="160"/>
    </row>
    <row r="237" spans="1:31" ht="280.8">
      <c r="A237" s="151" t="s">
        <v>44</v>
      </c>
      <c r="B237" s="152" t="s">
        <v>101</v>
      </c>
      <c r="C237" s="153" t="str">
        <f>СЗИ!B62</f>
        <v>Внедрен процесс управления уязвимостями на периметре (CPT)</v>
      </c>
      <c r="D237" s="153" t="str">
        <f>СЗИ!C62</f>
        <v>СЗИ.CPT.3</v>
      </c>
      <c r="E237" s="153">
        <f>СЗИ!D62</f>
        <v>4</v>
      </c>
      <c r="F237" s="153">
        <f>СЗИ!E62</f>
        <v>3</v>
      </c>
      <c r="G237" s="153">
        <f>СЗИ!F62</f>
        <v>1</v>
      </c>
      <c r="H237" s="153">
        <f>СЗИ!V62</f>
        <v>203.03</v>
      </c>
      <c r="I237" s="154" t="str">
        <f t="shared" ref="I237:I247" si="36">IF(H237&lt;=200, "КБ1", IF(H237&lt;=300, "КБ2", "КБ3"))</f>
        <v>КБ2</v>
      </c>
      <c r="J237" s="154">
        <f>СЗИ!K62</f>
        <v>4</v>
      </c>
      <c r="K237" s="153">
        <f>СЗИ!I62</f>
        <v>0</v>
      </c>
      <c r="L237" s="153">
        <f>СЗИ!L62</f>
        <v>0</v>
      </c>
      <c r="M237" s="153">
        <f t="shared" si="33"/>
        <v>0</v>
      </c>
      <c r="N237" s="153">
        <f t="shared" ref="N237:N247" si="37">IF(H237&lt;100,    IF(L237&gt;=G237,0,J237-L237),       IF(H237&lt;300,     IF(L237&gt;=F237,0,J237-L237),                  IF(L237&gt;=E237,0,J237-L237)))</f>
        <v>4</v>
      </c>
      <c r="O237" s="153" t="str">
        <f>СЗИ!W62</f>
        <v>Разработать или Получить в Блоке ИБ ПАО Ростелеком типовое описание процесса контроля уязвимостей
 - Реализовать в Обществе процесс управления уязвимостями на периметре. 
 - Автоматизировать процесс управления выявленными уязвимостями (учет, информирование, контроль устранения).</v>
      </c>
      <c r="P237" s="155" t="s">
        <v>97</v>
      </c>
      <c r="Q237" s="156" t="s">
        <v>105</v>
      </c>
      <c r="R237" s="153"/>
      <c r="S237" s="157"/>
      <c r="T237" s="151" t="s">
        <v>99</v>
      </c>
      <c r="U237" s="158">
        <v>0</v>
      </c>
      <c r="V237" s="158">
        <v>0</v>
      </c>
      <c r="W237" s="158">
        <v>0</v>
      </c>
      <c r="X237" s="158">
        <f t="shared" si="30"/>
        <v>0</v>
      </c>
      <c r="Y237" s="159"/>
      <c r="Z237" s="160"/>
      <c r="AA237" s="160"/>
      <c r="AB237" s="160"/>
      <c r="AC237" s="160"/>
      <c r="AD237" s="160"/>
      <c r="AE237" s="160"/>
    </row>
    <row r="238" spans="1:31" ht="327.60000000000002">
      <c r="A238" s="151" t="s">
        <v>44</v>
      </c>
      <c r="B238" s="152" t="s">
        <v>106</v>
      </c>
      <c r="C238" s="153" t="str">
        <f>СЗИ!B76</f>
        <v>Защита периметра и DMZ реализована с использованием аппаратных NGFW</v>
      </c>
      <c r="D238" s="153" t="str">
        <f>СЗИ!C76</f>
        <v>СЗИ.NGFW.1</v>
      </c>
      <c r="E238" s="153">
        <f>СЗИ!D76</f>
        <v>5</v>
      </c>
      <c r="F238" s="153">
        <f>СЗИ!E76</f>
        <v>5</v>
      </c>
      <c r="G238" s="153">
        <f>СЗИ!F76</f>
        <v>0</v>
      </c>
      <c r="H238" s="153">
        <f>СЗИ!V76</f>
        <v>211.01</v>
      </c>
      <c r="I238" s="154" t="str">
        <f t="shared" si="36"/>
        <v>КБ2</v>
      </c>
      <c r="J238" s="154">
        <f>СЗИ!K76</f>
        <v>5</v>
      </c>
      <c r="K238" s="153">
        <f>СЗИ!I76</f>
        <v>0</v>
      </c>
      <c r="L238" s="153">
        <f>СЗИ!L76</f>
        <v>0</v>
      </c>
      <c r="M238" s="153">
        <f t="shared" si="33"/>
        <v>0</v>
      </c>
      <c r="N238" s="153">
        <f t="shared" si="37"/>
        <v>5</v>
      </c>
      <c r="O238" s="153" t="str">
        <f>СЗИ!W76</f>
        <v xml:space="preserve"> - Провести инвентаризацию периметральных устройств и каналов связи;
 - Сократить до минимума точки взаимодействия с внешними сетями;
 - Организовать сегменты DMZ и разместить в них серверы, взаимодействующие с внешними сетями;
 -  Спроектировать систему защиты с использованием NGFW. Закупить и внедрить NGFW. </v>
      </c>
      <c r="P238" s="155" t="s">
        <v>97</v>
      </c>
      <c r="Q238" s="156" t="s">
        <v>107</v>
      </c>
      <c r="R238" s="153"/>
      <c r="S238" s="157"/>
      <c r="T238" s="151" t="s">
        <v>99</v>
      </c>
      <c r="U238" s="158">
        <v>0</v>
      </c>
      <c r="V238" s="158">
        <v>0</v>
      </c>
      <c r="W238" s="158">
        <v>0</v>
      </c>
      <c r="X238" s="158">
        <f t="shared" si="30"/>
        <v>0</v>
      </c>
      <c r="Y238" s="159"/>
      <c r="Z238" s="160"/>
      <c r="AA238" s="160"/>
      <c r="AB238" s="160"/>
      <c r="AC238" s="160"/>
      <c r="AD238" s="160"/>
      <c r="AE238" s="160"/>
    </row>
    <row r="239" spans="1:31" ht="257.39999999999998">
      <c r="A239" s="151" t="s">
        <v>44</v>
      </c>
      <c r="B239" s="152" t="s">
        <v>106</v>
      </c>
      <c r="C239" s="153" t="str">
        <f>СЗИ!B77</f>
        <v>Межсегментное взаимодействие реализовано с учетом критичности этих сегментов</v>
      </c>
      <c r="D239" s="153" t="str">
        <f>СЗИ!C77</f>
        <v>СЗИ.NGFW.2</v>
      </c>
      <c r="E239" s="153">
        <f>СЗИ!D77</f>
        <v>5</v>
      </c>
      <c r="F239" s="153">
        <f>СЗИ!E77</f>
        <v>5</v>
      </c>
      <c r="G239" s="153">
        <f>СЗИ!F77</f>
        <v>0</v>
      </c>
      <c r="H239" s="153">
        <f>СЗИ!V77</f>
        <v>211.02</v>
      </c>
      <c r="I239" s="154" t="str">
        <f t="shared" si="36"/>
        <v>КБ2</v>
      </c>
      <c r="J239" s="154">
        <f>СЗИ!K77</f>
        <v>5</v>
      </c>
      <c r="K239" s="153">
        <f>СЗИ!I77</f>
        <v>0</v>
      </c>
      <c r="L239" s="153">
        <f>СЗИ!L77</f>
        <v>0</v>
      </c>
      <c r="M239" s="153">
        <f t="shared" si="33"/>
        <v>0</v>
      </c>
      <c r="N239" s="153">
        <f t="shared" si="37"/>
        <v>5</v>
      </c>
      <c r="O239" s="153" t="str">
        <f>СЗИ!W77</f>
        <v xml:space="preserve"> - Определить уровни критичности и провести классификацию информационных активов;
 -  Организовать сетевые сегменты и разместить в них серверы с учетом уровня критичности;
 -  Реализовать разграничение доступа между сегментами с помощью межсетевых экранов.</v>
      </c>
      <c r="P239" s="155" t="s">
        <v>97</v>
      </c>
      <c r="Q239" s="156" t="s">
        <v>108</v>
      </c>
      <c r="R239" s="153"/>
      <c r="S239" s="157"/>
      <c r="T239" s="151" t="s">
        <v>99</v>
      </c>
      <c r="U239" s="158">
        <v>0</v>
      </c>
      <c r="V239" s="158">
        <v>0</v>
      </c>
      <c r="W239" s="158">
        <v>0</v>
      </c>
      <c r="X239" s="158">
        <f t="shared" si="30"/>
        <v>0</v>
      </c>
      <c r="Y239" s="159"/>
      <c r="Z239" s="160"/>
      <c r="AA239" s="160"/>
      <c r="AB239" s="160"/>
      <c r="AC239" s="160"/>
      <c r="AD239" s="160"/>
      <c r="AE239" s="160"/>
    </row>
    <row r="240" spans="1:31" ht="93.6">
      <c r="A240" s="151" t="s">
        <v>44</v>
      </c>
      <c r="B240" s="152" t="s">
        <v>106</v>
      </c>
      <c r="C240" s="153" t="str">
        <f>СЗИ!B78</f>
        <v>Осуществляется централизованное управление и контроль настроек</v>
      </c>
      <c r="D240" s="153" t="str">
        <f>СЗИ!C78</f>
        <v>СЗИ.NGFW.3</v>
      </c>
      <c r="E240" s="153">
        <f>СЗИ!D78</f>
        <v>5</v>
      </c>
      <c r="F240" s="153">
        <f>СЗИ!E78</f>
        <v>3.2</v>
      </c>
      <c r="G240" s="153">
        <f>СЗИ!F78</f>
        <v>0</v>
      </c>
      <c r="H240" s="153">
        <f>СЗИ!V78</f>
        <v>211.03</v>
      </c>
      <c r="I240" s="154" t="str">
        <f t="shared" si="36"/>
        <v>КБ2</v>
      </c>
      <c r="J240" s="154">
        <f>СЗИ!K78</f>
        <v>5</v>
      </c>
      <c r="K240" s="153">
        <f>СЗИ!I78</f>
        <v>0</v>
      </c>
      <c r="L240" s="153">
        <f>СЗИ!L78</f>
        <v>0</v>
      </c>
      <c r="M240" s="153">
        <f t="shared" si="33"/>
        <v>0</v>
      </c>
      <c r="N240" s="153">
        <f t="shared" si="37"/>
        <v>5</v>
      </c>
      <c r="O240" s="153" t="str">
        <f>СЗИ!W78</f>
        <v xml:space="preserve"> - Создать систему централизованного управления МСЭ, обеспечить подключение к ней основных МСЭ. </v>
      </c>
      <c r="P240" s="155" t="s">
        <v>97</v>
      </c>
      <c r="Q240" s="156" t="s">
        <v>109</v>
      </c>
      <c r="R240" s="153"/>
      <c r="S240" s="157"/>
      <c r="T240" s="151" t="s">
        <v>99</v>
      </c>
      <c r="U240" s="158">
        <v>0</v>
      </c>
      <c r="V240" s="158">
        <v>0</v>
      </c>
      <c r="W240" s="158">
        <v>0</v>
      </c>
      <c r="X240" s="158">
        <f t="shared" si="30"/>
        <v>0</v>
      </c>
      <c r="Y240" s="159"/>
      <c r="Z240" s="160"/>
      <c r="AA240" s="160"/>
      <c r="AB240" s="160"/>
      <c r="AC240" s="160"/>
      <c r="AD240" s="160"/>
      <c r="AE240" s="160"/>
    </row>
    <row r="241" spans="1:31" ht="140.4">
      <c r="A241" s="151" t="s">
        <v>44</v>
      </c>
      <c r="B241" s="152" t="s">
        <v>106</v>
      </c>
      <c r="C241" s="153" t="str">
        <f>СЗИ!B79</f>
        <v>Настроенные политики соответствуют ТТР Блока ИБ</v>
      </c>
      <c r="D241" s="153" t="str">
        <f>СЗИ!C79</f>
        <v>СЗИ.NGFW.4</v>
      </c>
      <c r="E241" s="153">
        <f>СЗИ!D79</f>
        <v>5</v>
      </c>
      <c r="F241" s="153">
        <f>СЗИ!E79</f>
        <v>3.2</v>
      </c>
      <c r="G241" s="153">
        <f>СЗИ!F79</f>
        <v>0</v>
      </c>
      <c r="H241" s="153">
        <f>СЗИ!V79</f>
        <v>211.04</v>
      </c>
      <c r="I241" s="154" t="str">
        <f t="shared" si="36"/>
        <v>КБ2</v>
      </c>
      <c r="J241" s="154">
        <f>СЗИ!K79</f>
        <v>5</v>
      </c>
      <c r="K241" s="153">
        <f>СЗИ!I79</f>
        <v>0</v>
      </c>
      <c r="L241" s="153">
        <f>СЗИ!L79</f>
        <v>0</v>
      </c>
      <c r="M241" s="153">
        <f t="shared" si="33"/>
        <v>0</v>
      </c>
      <c r="N241" s="153">
        <f t="shared" si="37"/>
        <v>5</v>
      </c>
      <c r="O241" s="153" t="str">
        <f>СЗИ!W79</f>
        <v xml:space="preserve"> - Получить в Блоке ИБ ПАО Ростелеком ТТР и реализовать рекомендуемые решения (в ограниченном объеме с учетом возможностей организации на уровне КБ2)</v>
      </c>
      <c r="P241" s="155" t="s">
        <v>97</v>
      </c>
      <c r="Q241" s="156" t="s">
        <v>109</v>
      </c>
      <c r="R241" s="153"/>
      <c r="S241" s="154"/>
      <c r="T241" s="151" t="s">
        <v>99</v>
      </c>
      <c r="U241" s="173">
        <v>0</v>
      </c>
      <c r="V241" s="173">
        <v>0</v>
      </c>
      <c r="W241" s="173">
        <v>0</v>
      </c>
      <c r="X241" s="158">
        <f t="shared" si="30"/>
        <v>0</v>
      </c>
      <c r="Y241" s="159"/>
      <c r="Z241" s="160"/>
      <c r="AA241" s="160"/>
      <c r="AB241" s="160"/>
      <c r="AC241" s="160"/>
      <c r="AD241" s="160"/>
      <c r="AE241" s="160"/>
    </row>
    <row r="242" spans="1:31" ht="327.60000000000002">
      <c r="A242" s="151" t="s">
        <v>44</v>
      </c>
      <c r="B242" s="152" t="s">
        <v>110</v>
      </c>
      <c r="C242" s="153" t="str">
        <f>СЗИ!B81</f>
        <v>Доступ пользователей в интернет организован через PROXY</v>
      </c>
      <c r="D242" s="153" t="str">
        <f>СЗИ!C81</f>
        <v>СЗИ.PROXY.1</v>
      </c>
      <c r="E242" s="153">
        <f>СЗИ!D81</f>
        <v>5</v>
      </c>
      <c r="F242" s="153">
        <f>СЗИ!E81</f>
        <v>3.2</v>
      </c>
      <c r="G242" s="153">
        <f>СЗИ!F81</f>
        <v>0</v>
      </c>
      <c r="H242" s="153">
        <f>СЗИ!V81</f>
        <v>212.01</v>
      </c>
      <c r="I242" s="154" t="str">
        <f t="shared" si="36"/>
        <v>КБ2</v>
      </c>
      <c r="J242" s="154">
        <f>СЗИ!K81</f>
        <v>5</v>
      </c>
      <c r="K242" s="153">
        <f>СЗИ!I81</f>
        <v>0</v>
      </c>
      <c r="L242" s="153">
        <f>СЗИ!L81</f>
        <v>0</v>
      </c>
      <c r="M242" s="153">
        <f t="shared" si="33"/>
        <v>0</v>
      </c>
      <c r="N242" s="153">
        <f t="shared" si="37"/>
        <v>5</v>
      </c>
      <c r="O242" s="153" t="str">
        <f>СЗИ!W81</f>
        <v xml:space="preserve"> - Организовать доступ в интернет через прокси-сервер;
 - Блокировать доступ в интернет в обход прокси-сервера для всех соединений, кроме согласованных исключений;
 - Разработать или Получить в Блоке ИБ ПАО Ростелеком типовое описание организации доступа в интернет;
 - Утвердить в Обществе ВНД, описывающий организацию доступа в интернет.</v>
      </c>
      <c r="P242" s="155" t="s">
        <v>97</v>
      </c>
      <c r="Q242" s="156" t="s">
        <v>111</v>
      </c>
      <c r="R242" s="153"/>
      <c r="S242" s="157"/>
      <c r="T242" s="151" t="s">
        <v>99</v>
      </c>
      <c r="U242" s="158">
        <v>0</v>
      </c>
      <c r="V242" s="158">
        <v>0</v>
      </c>
      <c r="W242" s="158">
        <v>0</v>
      </c>
      <c r="X242" s="158">
        <f t="shared" si="30"/>
        <v>0</v>
      </c>
      <c r="Y242" s="159"/>
      <c r="Z242" s="160"/>
      <c r="AA242" s="160"/>
      <c r="AB242" s="160"/>
      <c r="AC242" s="160"/>
      <c r="AD242" s="160"/>
      <c r="AE242" s="160"/>
    </row>
    <row r="243" spans="1:31" ht="117">
      <c r="A243" s="151" t="s">
        <v>44</v>
      </c>
      <c r="B243" s="152" t="s">
        <v>110</v>
      </c>
      <c r="C243" s="153" t="str">
        <f>СЗИ!B82</f>
        <v>Настроены политики разграничения доступа</v>
      </c>
      <c r="D243" s="153" t="str">
        <f>СЗИ!C82</f>
        <v>СЗИ.PROXY.2</v>
      </c>
      <c r="E243" s="153">
        <f>СЗИ!D82</f>
        <v>5</v>
      </c>
      <c r="F243" s="153">
        <f>СЗИ!E82</f>
        <v>3.2</v>
      </c>
      <c r="G243" s="153">
        <f>СЗИ!F82</f>
        <v>0</v>
      </c>
      <c r="H243" s="153">
        <f>СЗИ!V82</f>
        <v>212.02</v>
      </c>
      <c r="I243" s="154" t="str">
        <f t="shared" si="36"/>
        <v>КБ2</v>
      </c>
      <c r="J243" s="154">
        <f>СЗИ!K82</f>
        <v>5</v>
      </c>
      <c r="K243" s="153">
        <f>СЗИ!I82</f>
        <v>0</v>
      </c>
      <c r="L243" s="153">
        <f>СЗИ!L82</f>
        <v>0</v>
      </c>
      <c r="M243" s="153">
        <f t="shared" si="33"/>
        <v>0</v>
      </c>
      <c r="N243" s="153">
        <f t="shared" si="37"/>
        <v>5</v>
      </c>
      <c r="O243" s="153" t="str">
        <f>СЗИ!W82</f>
        <v xml:space="preserve"> - Определить и реализовать политики разграничения доступа к ресурсам интернета.
 - Блокировать доступ к вредоносным сайтам.</v>
      </c>
      <c r="P243" s="155" t="s">
        <v>97</v>
      </c>
      <c r="Q243" s="156" t="s">
        <v>112</v>
      </c>
      <c r="R243" s="153"/>
      <c r="S243" s="157"/>
      <c r="T243" s="151" t="s">
        <v>99</v>
      </c>
      <c r="U243" s="158">
        <v>0</v>
      </c>
      <c r="V243" s="158">
        <v>0</v>
      </c>
      <c r="W243" s="158">
        <v>0</v>
      </c>
      <c r="X243" s="158">
        <f t="shared" si="30"/>
        <v>0</v>
      </c>
      <c r="Y243" s="159"/>
      <c r="Z243" s="160"/>
      <c r="AA243" s="160"/>
      <c r="AB243" s="160"/>
      <c r="AC243" s="160"/>
      <c r="AD243" s="160"/>
      <c r="AE243" s="160"/>
    </row>
    <row r="244" spans="1:31" ht="140.4">
      <c r="A244" s="151" t="s">
        <v>44</v>
      </c>
      <c r="B244" s="152" t="s">
        <v>110</v>
      </c>
      <c r="C244" s="153" t="str">
        <f>СЗИ!B83</f>
        <v>Проведена интеграция со средствами защиты от ВПО и AD</v>
      </c>
      <c r="D244" s="153" t="str">
        <f>СЗИ!C83</f>
        <v>СЗИ.PROXY.3</v>
      </c>
      <c r="E244" s="153">
        <f>СЗИ!D83</f>
        <v>5</v>
      </c>
      <c r="F244" s="153">
        <f>СЗИ!E83</f>
        <v>2.5</v>
      </c>
      <c r="G244" s="153">
        <f>СЗИ!F83</f>
        <v>0</v>
      </c>
      <c r="H244" s="153">
        <f>СЗИ!V83</f>
        <v>212.03</v>
      </c>
      <c r="I244" s="154" t="str">
        <f t="shared" si="36"/>
        <v>КБ2</v>
      </c>
      <c r="J244" s="154">
        <f>СЗИ!K83</f>
        <v>5</v>
      </c>
      <c r="K244" s="153">
        <f>СЗИ!I83</f>
        <v>0</v>
      </c>
      <c r="L244" s="153">
        <f>СЗИ!L83</f>
        <v>0</v>
      </c>
      <c r="M244" s="153">
        <f t="shared" si="33"/>
        <v>0</v>
      </c>
      <c r="N244" s="153">
        <f t="shared" si="37"/>
        <v>5</v>
      </c>
      <c r="O244" s="153" t="str">
        <f>СЗИ!W83</f>
        <v xml:space="preserve"> - Спроектировать, закупить и внедрить средства анализа трафика на наличие вредоносного содержимого;
 - Контролировать трафик и блокировать ВПО;</v>
      </c>
      <c r="P244" s="155" t="s">
        <v>97</v>
      </c>
      <c r="Q244" s="156" t="s">
        <v>112</v>
      </c>
      <c r="R244" s="153"/>
      <c r="S244" s="157"/>
      <c r="T244" s="151" t="s">
        <v>99</v>
      </c>
      <c r="U244" s="158">
        <v>0</v>
      </c>
      <c r="V244" s="158">
        <v>0</v>
      </c>
      <c r="W244" s="158">
        <v>0</v>
      </c>
      <c r="X244" s="158">
        <f t="shared" si="30"/>
        <v>0</v>
      </c>
      <c r="Y244" s="159"/>
      <c r="Z244" s="160"/>
      <c r="AA244" s="160"/>
      <c r="AB244" s="160"/>
      <c r="AC244" s="160"/>
      <c r="AD244" s="160"/>
      <c r="AE244" s="160"/>
    </row>
    <row r="245" spans="1:31" ht="140.4">
      <c r="A245" s="151" t="s">
        <v>44</v>
      </c>
      <c r="B245" s="152" t="s">
        <v>110</v>
      </c>
      <c r="C245" s="153" t="str">
        <f>СЗИ!B84</f>
        <v>Настроенные политики соответствуют ТТР Блока ИБ</v>
      </c>
      <c r="D245" s="153" t="str">
        <f>СЗИ!C84</f>
        <v>СЗИ.PROXY.4</v>
      </c>
      <c r="E245" s="153">
        <f>СЗИ!D84</f>
        <v>5</v>
      </c>
      <c r="F245" s="153">
        <f>СЗИ!E84</f>
        <v>3.2</v>
      </c>
      <c r="G245" s="153">
        <f>СЗИ!F84</f>
        <v>0</v>
      </c>
      <c r="H245" s="153">
        <f>СЗИ!V84</f>
        <v>212.04</v>
      </c>
      <c r="I245" s="154" t="str">
        <f t="shared" si="36"/>
        <v>КБ2</v>
      </c>
      <c r="J245" s="154">
        <f>СЗИ!K84</f>
        <v>5</v>
      </c>
      <c r="K245" s="153">
        <f>СЗИ!I84</f>
        <v>0</v>
      </c>
      <c r="L245" s="153">
        <f>СЗИ!L84</f>
        <v>0</v>
      </c>
      <c r="M245" s="153">
        <f t="shared" si="33"/>
        <v>0</v>
      </c>
      <c r="N245" s="153">
        <f t="shared" si="37"/>
        <v>5</v>
      </c>
      <c r="O245" s="153" t="str">
        <f>СЗИ!W84</f>
        <v xml:space="preserve"> - Получить в Блоке ИБ ПАО Ростелеком ТТР и реализовать рекомендуемые решения (в ограниченном объеме с учетом возможностей организации на уровне КБ2)</v>
      </c>
      <c r="P245" s="155" t="s">
        <v>97</v>
      </c>
      <c r="Q245" s="156" t="s">
        <v>112</v>
      </c>
      <c r="R245" s="153"/>
      <c r="S245" s="157"/>
      <c r="T245" s="151" t="s">
        <v>99</v>
      </c>
      <c r="U245" s="158">
        <v>0</v>
      </c>
      <c r="V245" s="158">
        <v>0</v>
      </c>
      <c r="W245" s="158">
        <v>0</v>
      </c>
      <c r="X245" s="158">
        <f t="shared" si="30"/>
        <v>0</v>
      </c>
      <c r="Y245" s="159"/>
      <c r="Z245" s="160"/>
      <c r="AA245" s="160"/>
      <c r="AB245" s="160"/>
      <c r="AC245" s="160"/>
      <c r="AD245" s="160"/>
      <c r="AE245" s="160"/>
    </row>
    <row r="246" spans="1:31" ht="257.39999999999998">
      <c r="A246" s="151" t="s">
        <v>44</v>
      </c>
      <c r="B246" s="152" t="s">
        <v>113</v>
      </c>
      <c r="C246" s="153" t="str">
        <f>СЗИ!B66</f>
        <v>Осуществляется централизованное управление удаленным доступом</v>
      </c>
      <c r="D246" s="153" t="str">
        <f>СЗИ!C66</f>
        <v>СЗИ.RA-VPN.3</v>
      </c>
      <c r="E246" s="153">
        <f>СЗИ!D66</f>
        <v>5</v>
      </c>
      <c r="F246" s="153">
        <f>СЗИ!E66</f>
        <v>5</v>
      </c>
      <c r="G246" s="153">
        <f>СЗИ!F66</f>
        <v>3.2</v>
      </c>
      <c r="H246" s="153">
        <f>СЗИ!V66</f>
        <v>204.03</v>
      </c>
      <c r="I246" s="154" t="str">
        <f t="shared" si="36"/>
        <v>КБ2</v>
      </c>
      <c r="J246" s="154">
        <f>СЗИ!K66</f>
        <v>5</v>
      </c>
      <c r="K246" s="153">
        <f>СЗИ!I66</f>
        <v>0</v>
      </c>
      <c r="L246" s="153">
        <f>СЗИ!L66</f>
        <v>0</v>
      </c>
      <c r="M246" s="153">
        <f t="shared" si="33"/>
        <v>0</v>
      </c>
      <c r="N246" s="153">
        <f t="shared" si="37"/>
        <v>5</v>
      </c>
      <c r="O246" s="153" t="str">
        <f>СЗИ!W66</f>
        <v xml:space="preserve"> - Создать систему управления удаленными устройствами;
 - Обеспечить централизованное управление антивирусом, средствами защиты, ПО, политиками безопасности удаленных устройств;
 - Обеспечить возможность удаленного стирания конфиденциальных данных.</v>
      </c>
      <c r="P246" s="155" t="s">
        <v>97</v>
      </c>
      <c r="Q246" s="156" t="s">
        <v>117</v>
      </c>
      <c r="R246" s="153"/>
      <c r="S246" s="157"/>
      <c r="T246" s="151" t="s">
        <v>99</v>
      </c>
      <c r="U246" s="158">
        <v>0</v>
      </c>
      <c r="V246" s="158">
        <v>0</v>
      </c>
      <c r="W246" s="158">
        <v>0</v>
      </c>
      <c r="X246" s="158">
        <f t="shared" ref="X246:X306" si="38">SUM(U246:W246)</f>
        <v>0</v>
      </c>
      <c r="Y246" s="159"/>
      <c r="Z246" s="160"/>
      <c r="AA246" s="160"/>
      <c r="AB246" s="160"/>
      <c r="AC246" s="160"/>
      <c r="AD246" s="160"/>
      <c r="AE246" s="160"/>
    </row>
    <row r="247" spans="1:31" ht="70.2">
      <c r="A247" s="151" t="s">
        <v>44</v>
      </c>
      <c r="B247" s="152" t="s">
        <v>119</v>
      </c>
      <c r="C247" s="153" t="str">
        <f>СЗИ!B94</f>
        <v>Настроены и актуализированы SPF, DKIM, DMARC записи</v>
      </c>
      <c r="D247" s="153" t="str">
        <f>СЗИ!C94</f>
        <v>СЗИ.SPAM.1</v>
      </c>
      <c r="E247" s="153">
        <f>СЗИ!D94</f>
        <v>5</v>
      </c>
      <c r="F247" s="153">
        <f>СЗИ!E94</f>
        <v>5</v>
      </c>
      <c r="G247" s="153">
        <f>СЗИ!F94</f>
        <v>0</v>
      </c>
      <c r="H247" s="153">
        <f>СЗИ!V94</f>
        <v>218.01</v>
      </c>
      <c r="I247" s="154" t="str">
        <f t="shared" si="36"/>
        <v>КБ2</v>
      </c>
      <c r="J247" s="154">
        <f>СЗИ!K94</f>
        <v>5</v>
      </c>
      <c r="K247" s="153">
        <f>СЗИ!I94</f>
        <v>0</v>
      </c>
      <c r="L247" s="153">
        <f>СЗИ!L94</f>
        <v>0</v>
      </c>
      <c r="M247" s="153">
        <f t="shared" si="33"/>
        <v>0</v>
      </c>
      <c r="N247" s="153">
        <f t="shared" si="37"/>
        <v>5</v>
      </c>
      <c r="O247" s="153" t="str">
        <f>СЗИ!W94</f>
        <v xml:space="preserve"> - Выполнить настройку почтового сервера.</v>
      </c>
      <c r="P247" s="155" t="s">
        <v>97</v>
      </c>
      <c r="Q247" s="156" t="s">
        <v>120</v>
      </c>
      <c r="R247" s="153"/>
      <c r="S247" s="157"/>
      <c r="T247" s="151" t="s">
        <v>99</v>
      </c>
      <c r="U247" s="158">
        <v>0</v>
      </c>
      <c r="V247" s="158">
        <v>0</v>
      </c>
      <c r="W247" s="158">
        <v>0</v>
      </c>
      <c r="X247" s="158">
        <f t="shared" si="38"/>
        <v>0</v>
      </c>
      <c r="Y247" s="159"/>
      <c r="Z247" s="160"/>
      <c r="AA247" s="160"/>
      <c r="AB247" s="160"/>
      <c r="AC247" s="160"/>
      <c r="AD247" s="160"/>
      <c r="AE247" s="160"/>
    </row>
    <row r="248" spans="1:31" ht="93.6">
      <c r="A248" s="151" t="s">
        <v>44</v>
      </c>
      <c r="B248" s="152" t="s">
        <v>119</v>
      </c>
      <c r="C248" s="153" t="str">
        <f>СЗИ!B95</f>
        <v>Наличие антиспам решения, реализующего контентный, сигнатурный и динамический анализ писем и вложений</v>
      </c>
      <c r="D248" s="153" t="str">
        <f>СЗИ!C95</f>
        <v>СЗИ.SPAM.2</v>
      </c>
      <c r="E248" s="153">
        <f>СЗИ!D95</f>
        <v>5</v>
      </c>
      <c r="F248" s="153">
        <f>СЗИ!E95</f>
        <v>5</v>
      </c>
      <c r="G248" s="153">
        <f>СЗИ!F95</f>
        <v>0</v>
      </c>
      <c r="H248" s="153">
        <f>СЗИ!V95</f>
        <v>218.02</v>
      </c>
      <c r="I248" s="154" t="str">
        <f t="shared" ref="I248:I270" si="39">IF(H248&lt;=200,"КБ1",IF(H248&lt;=300,"КБ2","КБ3"))</f>
        <v>КБ2</v>
      </c>
      <c r="J248" s="154">
        <f>СЗИ!K95</f>
        <v>5</v>
      </c>
      <c r="K248" s="153">
        <f>СЗИ!I95</f>
        <v>0</v>
      </c>
      <c r="L248" s="153">
        <f>СЗИ!L95</f>
        <v>0</v>
      </c>
      <c r="M248" s="153">
        <f t="shared" si="33"/>
        <v>0</v>
      </c>
      <c r="N248" s="153">
        <f t="shared" ref="N248:N270" si="40">IF(H248&lt;100,IF(L248&gt;=G248,0,J248-L248),IF(H248&lt;300,IF(L248&gt;=F248,0,J248-L248),IF(L248&gt;=E248,0,J248-L248)))</f>
        <v>5</v>
      </c>
      <c r="O248" s="153" t="str">
        <f>СЗИ!W95</f>
        <v xml:space="preserve"> - Внедрить решение по защите от спама</v>
      </c>
      <c r="P248" s="155" t="s">
        <v>97</v>
      </c>
      <c r="Q248" s="156" t="s">
        <v>164</v>
      </c>
      <c r="R248" s="153"/>
      <c r="S248" s="157"/>
      <c r="T248" s="151" t="s">
        <v>99</v>
      </c>
      <c r="U248" s="158">
        <v>0</v>
      </c>
      <c r="V248" s="158">
        <v>0</v>
      </c>
      <c r="W248" s="158">
        <v>0</v>
      </c>
      <c r="X248" s="158">
        <f t="shared" si="38"/>
        <v>0</v>
      </c>
      <c r="Y248" s="159"/>
      <c r="Z248" s="160"/>
      <c r="AA248" s="160"/>
      <c r="AB248" s="160"/>
      <c r="AC248" s="160"/>
      <c r="AD248" s="160"/>
      <c r="AE248" s="160"/>
    </row>
    <row r="249" spans="1:31" ht="117">
      <c r="A249" s="151" t="s">
        <v>44</v>
      </c>
      <c r="B249" s="152" t="s">
        <v>119</v>
      </c>
      <c r="C249" s="153" t="str">
        <f>СЗИ!B96</f>
        <v>Наличие антиспам решения, осуществляющего проверки писем на предмет вредоносного содержимого антивирусными средствами</v>
      </c>
      <c r="D249" s="153" t="str">
        <f>СЗИ!C96</f>
        <v>СЗИ.SPAM.3</v>
      </c>
      <c r="E249" s="153">
        <f>СЗИ!D96</f>
        <v>5</v>
      </c>
      <c r="F249" s="153">
        <f>СЗИ!E96</f>
        <v>5</v>
      </c>
      <c r="G249" s="153">
        <f>СЗИ!F96</f>
        <v>0</v>
      </c>
      <c r="H249" s="153">
        <f>СЗИ!V96</f>
        <v>218.03</v>
      </c>
      <c r="I249" s="154" t="str">
        <f t="shared" si="39"/>
        <v>КБ2</v>
      </c>
      <c r="J249" s="154">
        <f>СЗИ!K96</f>
        <v>5</v>
      </c>
      <c r="K249" s="153">
        <f>СЗИ!I96</f>
        <v>0</v>
      </c>
      <c r="L249" s="153">
        <f>СЗИ!L96</f>
        <v>0</v>
      </c>
      <c r="M249" s="153">
        <f t="shared" si="33"/>
        <v>0</v>
      </c>
      <c r="N249" s="153">
        <f t="shared" si="40"/>
        <v>5</v>
      </c>
      <c r="O249" s="153" t="str">
        <f>СЗИ!W96</f>
        <v xml:space="preserve"> - Внедрить решение по антивирусной защите почтового трафика. </v>
      </c>
      <c r="P249" s="155" t="s">
        <v>97</v>
      </c>
      <c r="Q249" s="156" t="s">
        <v>164</v>
      </c>
      <c r="R249" s="153"/>
      <c r="S249" s="157"/>
      <c r="T249" s="151" t="s">
        <v>99</v>
      </c>
      <c r="U249" s="158">
        <v>0</v>
      </c>
      <c r="V249" s="158">
        <v>0</v>
      </c>
      <c r="W249" s="158">
        <v>0</v>
      </c>
      <c r="X249" s="158">
        <f t="shared" si="38"/>
        <v>0</v>
      </c>
      <c r="Y249" s="159"/>
      <c r="Z249" s="160"/>
      <c r="AA249" s="160"/>
      <c r="AB249" s="160"/>
      <c r="AC249" s="160"/>
      <c r="AD249" s="160"/>
      <c r="AE249" s="160"/>
    </row>
    <row r="250" spans="1:31" ht="93.6">
      <c r="A250" s="151" t="s">
        <v>44</v>
      </c>
      <c r="B250" s="152" t="s">
        <v>119</v>
      </c>
      <c r="C250" s="153" t="str">
        <f>СЗИ!B97</f>
        <v>Весь почтовый трафик Общества предварительно проходит через системы Антиспам</v>
      </c>
      <c r="D250" s="153" t="str">
        <f>СЗИ!C97</f>
        <v>СЗИ.SPAM.4</v>
      </c>
      <c r="E250" s="153">
        <f>СЗИ!D97</f>
        <v>5</v>
      </c>
      <c r="F250" s="153">
        <f>СЗИ!E97</f>
        <v>5</v>
      </c>
      <c r="G250" s="153">
        <f>СЗИ!F97</f>
        <v>0</v>
      </c>
      <c r="H250" s="153">
        <f>СЗИ!V97</f>
        <v>218.04000000000002</v>
      </c>
      <c r="I250" s="154" t="str">
        <f t="shared" si="39"/>
        <v>КБ2</v>
      </c>
      <c r="J250" s="154">
        <f>СЗИ!K97</f>
        <v>5</v>
      </c>
      <c r="K250" s="153">
        <f>СЗИ!I97</f>
        <v>0</v>
      </c>
      <c r="L250" s="153">
        <f>СЗИ!L97</f>
        <v>0</v>
      </c>
      <c r="M250" s="153">
        <f t="shared" si="33"/>
        <v>0</v>
      </c>
      <c r="N250" s="153">
        <f t="shared" si="40"/>
        <v>5</v>
      </c>
      <c r="O250" s="153" t="str">
        <f>СЗИ!W97</f>
        <v xml:space="preserve"> - Обеспечить проверку всего входящего почтового трафика. Обеспечиь блокирование нежелательных писем. </v>
      </c>
      <c r="P250" s="155" t="s">
        <v>97</v>
      </c>
      <c r="Q250" s="156" t="s">
        <v>233</v>
      </c>
      <c r="R250" s="153"/>
      <c r="S250" s="157"/>
      <c r="T250" s="151" t="s">
        <v>99</v>
      </c>
      <c r="U250" s="158">
        <v>0</v>
      </c>
      <c r="V250" s="158">
        <v>0</v>
      </c>
      <c r="W250" s="158">
        <v>0</v>
      </c>
      <c r="X250" s="158">
        <f t="shared" si="38"/>
        <v>0</v>
      </c>
      <c r="Y250" s="159"/>
      <c r="Z250" s="160"/>
      <c r="AA250" s="160"/>
      <c r="AB250" s="160"/>
      <c r="AC250" s="160"/>
      <c r="AD250" s="160"/>
      <c r="AE250" s="160"/>
    </row>
    <row r="251" spans="1:31" ht="374.4">
      <c r="A251" s="151" t="s">
        <v>44</v>
      </c>
      <c r="B251" s="152" t="s">
        <v>234</v>
      </c>
      <c r="C251" s="153" t="str">
        <f>'Управление ИБ'!B116</f>
        <v xml:space="preserve">Процедура публикации внешних ресурсов описана и контролируется службой ИБ </v>
      </c>
      <c r="D251" s="153" t="str">
        <f>'Управление ИБ'!C116</f>
        <v>СЗИ.WAF.2</v>
      </c>
      <c r="E251" s="153">
        <f>'Управление ИБ'!D116</f>
        <v>4</v>
      </c>
      <c r="F251" s="153">
        <f>'Управление ИБ'!E116</f>
        <v>3</v>
      </c>
      <c r="G251" s="153">
        <f>'Управление ИБ'!F116</f>
        <v>1</v>
      </c>
      <c r="H251" s="153">
        <f>'Управление ИБ'!V116</f>
        <v>215.06999999999994</v>
      </c>
      <c r="I251" s="154" t="str">
        <f t="shared" si="39"/>
        <v>КБ2</v>
      </c>
      <c r="J251" s="154">
        <f>'Управление ИБ'!K116</f>
        <v>4</v>
      </c>
      <c r="K251" s="153">
        <f>СЗИ!I102</f>
        <v>0</v>
      </c>
      <c r="L251" s="153">
        <f>'Управление ИБ'!L116</f>
        <v>0</v>
      </c>
      <c r="M251" s="153">
        <f t="shared" si="33"/>
        <v>0</v>
      </c>
      <c r="N251" s="153">
        <f t="shared" si="40"/>
        <v>4</v>
      </c>
      <c r="O251" s="153" t="str">
        <f>'Управление ИБ'!W116</f>
        <v xml:space="preserve"> - Разработать или Получить в Блоке ИБ ПАО Ростелеком типовое описание процесса публикации сервиса в интернете;
 - Утвердить в Обществе ВНД, описывающий процесс публикации сервиса в интернете;
 - Реализовать процесс проверки и согласования до публикации сервиса в интернете;
 -  Обеспечить контроль защищенности и отсутствия уязвимостей до публикации.</v>
      </c>
      <c r="P251" s="155" t="s">
        <v>97</v>
      </c>
      <c r="Q251" s="156" t="s">
        <v>235</v>
      </c>
      <c r="R251" s="153"/>
      <c r="S251" s="157"/>
      <c r="T251" s="151" t="s">
        <v>99</v>
      </c>
      <c r="U251" s="158">
        <v>0</v>
      </c>
      <c r="V251" s="158">
        <v>0</v>
      </c>
      <c r="W251" s="158">
        <v>0</v>
      </c>
      <c r="X251" s="158">
        <f t="shared" si="38"/>
        <v>0</v>
      </c>
      <c r="Y251" s="159"/>
      <c r="Z251" s="160"/>
      <c r="AA251" s="160"/>
      <c r="AB251" s="160"/>
      <c r="AC251" s="160"/>
      <c r="AD251" s="160"/>
      <c r="AE251" s="160"/>
    </row>
    <row r="252" spans="1:31" ht="70.2">
      <c r="A252" s="151" t="s">
        <v>44</v>
      </c>
      <c r="B252" s="152" t="s">
        <v>236</v>
      </c>
      <c r="C252" s="153" t="str">
        <f>СЗИ!B47</f>
        <v>Процент покрытия инфраструктуры средствами антивирусного ПО</v>
      </c>
      <c r="D252" s="153" t="str">
        <f>СЗИ!C47</f>
        <v>СЗИ.ВПО.2</v>
      </c>
      <c r="E252" s="153">
        <f>СЗИ!D47</f>
        <v>4.75</v>
      </c>
      <c r="F252" s="153">
        <f>СЗИ!E47</f>
        <v>4.5</v>
      </c>
      <c r="G252" s="153">
        <f>СЗИ!F47</f>
        <v>3.75</v>
      </c>
      <c r="H252" s="153">
        <f>СЗИ!V47</f>
        <v>201.01999999999998</v>
      </c>
      <c r="I252" s="154" t="str">
        <f t="shared" si="39"/>
        <v>КБ2</v>
      </c>
      <c r="J252" s="154">
        <f>СЗИ!K47</f>
        <v>4.75</v>
      </c>
      <c r="K252" s="163">
        <f>СЗИ!I47</f>
        <v>0</v>
      </c>
      <c r="L252" s="153">
        <f>СЗИ!L47</f>
        <v>0</v>
      </c>
      <c r="M252" s="153">
        <f t="shared" si="33"/>
        <v>0</v>
      </c>
      <c r="N252" s="153">
        <f t="shared" si="40"/>
        <v>4.75</v>
      </c>
      <c r="O252" s="153" t="str">
        <f>СЗИ!W47</f>
        <v>- Обеспечить установку средств АВЗ не менее чем на 90% хостов инфраструктуры Общества</v>
      </c>
      <c r="P252" s="155" t="s">
        <v>97</v>
      </c>
      <c r="Q252" s="156" t="s">
        <v>238</v>
      </c>
      <c r="R252" s="153"/>
      <c r="S252" s="157"/>
      <c r="T252" s="151" t="s">
        <v>99</v>
      </c>
      <c r="U252" s="158">
        <v>0</v>
      </c>
      <c r="V252" s="158">
        <v>0</v>
      </c>
      <c r="W252" s="158">
        <v>0</v>
      </c>
      <c r="X252" s="158">
        <f t="shared" si="38"/>
        <v>0</v>
      </c>
      <c r="Y252" s="159"/>
      <c r="Z252" s="160"/>
      <c r="AA252" s="160"/>
      <c r="AB252" s="160"/>
      <c r="AC252" s="160"/>
      <c r="AD252" s="160"/>
      <c r="AE252" s="160"/>
    </row>
    <row r="253" spans="1:31" ht="93.6">
      <c r="A253" s="151" t="s">
        <v>44</v>
      </c>
      <c r="B253" s="152" t="s">
        <v>236</v>
      </c>
      <c r="C253" s="153" t="str">
        <f>СЗИ!B48</f>
        <v>Осуществляется централизованное управление средствами антивирусной защиты (САВЗ)</v>
      </c>
      <c r="D253" s="153" t="str">
        <f>СЗИ!C48</f>
        <v>СЗИ.ВПО.3</v>
      </c>
      <c r="E253" s="153">
        <f>СЗИ!D48</f>
        <v>5</v>
      </c>
      <c r="F253" s="153">
        <f>СЗИ!E48</f>
        <v>5</v>
      </c>
      <c r="G253" s="153">
        <f>СЗИ!F48</f>
        <v>3.2</v>
      </c>
      <c r="H253" s="153">
        <f>СЗИ!V48</f>
        <v>201.02999999999997</v>
      </c>
      <c r="I253" s="154" t="str">
        <f t="shared" si="39"/>
        <v>КБ2</v>
      </c>
      <c r="J253" s="154">
        <f>СЗИ!K48</f>
        <v>5</v>
      </c>
      <c r="K253" s="153">
        <f>СЗИ!I48</f>
        <v>0</v>
      </c>
      <c r="L253" s="153">
        <f>СЗИ!L48</f>
        <v>0</v>
      </c>
      <c r="M253" s="153">
        <f t="shared" si="33"/>
        <v>0</v>
      </c>
      <c r="N253" s="153">
        <f t="shared" si="40"/>
        <v>5</v>
      </c>
      <c r="O253" s="153" t="str">
        <f>СЗИ!W48</f>
        <v>- Обеспечить подключение к системе централизованного управления средствами АВЗ всех элементов инфраструктуры</v>
      </c>
      <c r="P253" s="155" t="s">
        <v>97</v>
      </c>
      <c r="Q253" s="156" t="s">
        <v>238</v>
      </c>
      <c r="R253" s="153"/>
      <c r="S253" s="157"/>
      <c r="T253" s="151" t="s">
        <v>99</v>
      </c>
      <c r="U253" s="158">
        <v>0</v>
      </c>
      <c r="V253" s="158">
        <v>0</v>
      </c>
      <c r="W253" s="158">
        <v>0</v>
      </c>
      <c r="X253" s="158">
        <f t="shared" si="38"/>
        <v>0</v>
      </c>
      <c r="Y253" s="159"/>
      <c r="Z253" s="160"/>
      <c r="AA253" s="160"/>
      <c r="AB253" s="160"/>
      <c r="AC253" s="160"/>
      <c r="AD253" s="160"/>
      <c r="AE253" s="160"/>
    </row>
    <row r="254" spans="1:31" ht="397.8">
      <c r="A254" s="151" t="s">
        <v>44</v>
      </c>
      <c r="B254" s="152" t="s">
        <v>236</v>
      </c>
      <c r="C254" s="153" t="str">
        <f>СЗИ!B49</f>
        <v>Настроены и применены централизованные политики АВЗ, рекомендованые ПАО "Ростелеком"</v>
      </c>
      <c r="D254" s="153" t="str">
        <f>СЗИ!C49</f>
        <v>СЗИ.ВПО.4</v>
      </c>
      <c r="E254" s="153">
        <f>СЗИ!D49</f>
        <v>5</v>
      </c>
      <c r="F254" s="153">
        <f>СЗИ!E49</f>
        <v>5</v>
      </c>
      <c r="G254" s="153">
        <f>СЗИ!F49</f>
        <v>3.2</v>
      </c>
      <c r="H254" s="153">
        <f>СЗИ!V49</f>
        <v>201.03999999999996</v>
      </c>
      <c r="I254" s="154" t="str">
        <f t="shared" si="39"/>
        <v>КБ2</v>
      </c>
      <c r="J254" s="154">
        <f>СЗИ!K49</f>
        <v>5</v>
      </c>
      <c r="K254" s="153">
        <f>СЗИ!I50</f>
        <v>0</v>
      </c>
      <c r="L254" s="153">
        <f>СЗИ!L49</f>
        <v>0</v>
      </c>
      <c r="M254" s="153"/>
      <c r="N254" s="153">
        <f t="shared" si="40"/>
        <v>5</v>
      </c>
      <c r="O254" s="153" t="str">
        <f>СЗИ!W49</f>
        <v xml:space="preserve"> Получить в Блоке ИБ ПАО Ростелеком конфигурационные решения (КР) по настройке средств АВЗ
_x000D_- Применить настройки средств АВЗ для рабочих станций
_x000D_- Применить настройки средств АВЗ для серверов
_x000D_- Применить настройки средств АВЗ для серверов СУБД
_x000D_- Применить настройки средств АВЗ для платформ виртуализации
_x000D_- Применить настройки средств АВЗ для прокси-серверов
_x000D_- Применить настройки средств АВЗ для почтовых серверов</v>
      </c>
      <c r="P254" s="155" t="s">
        <v>97</v>
      </c>
      <c r="Q254" s="156" t="s">
        <v>238</v>
      </c>
      <c r="R254" s="153"/>
      <c r="S254" s="157"/>
      <c r="T254" s="151" t="s">
        <v>99</v>
      </c>
      <c r="U254" s="158">
        <v>0</v>
      </c>
      <c r="V254" s="158">
        <v>0</v>
      </c>
      <c r="W254" s="158">
        <v>0</v>
      </c>
      <c r="X254" s="158">
        <f t="shared" si="38"/>
        <v>0</v>
      </c>
      <c r="Y254" s="159"/>
      <c r="Z254" s="160"/>
      <c r="AA254" s="160"/>
      <c r="AB254" s="160"/>
      <c r="AC254" s="160"/>
      <c r="AD254" s="160"/>
      <c r="AE254" s="160"/>
    </row>
    <row r="255" spans="1:31" ht="163.80000000000001">
      <c r="A255" s="151" t="s">
        <v>44</v>
      </c>
      <c r="B255" s="152" t="s">
        <v>236</v>
      </c>
      <c r="C255" s="153" t="str">
        <f>СЗИ!B50</f>
        <v>Архитектура решения соответствует ТТР Блока ИБ</v>
      </c>
      <c r="D255" s="153" t="str">
        <f>СЗИ!C50</f>
        <v>СЗИ.ВПО.5</v>
      </c>
      <c r="E255" s="153">
        <f>СЗИ!D50</f>
        <v>5</v>
      </c>
      <c r="F255" s="153">
        <f>СЗИ!E50</f>
        <v>5</v>
      </c>
      <c r="G255" s="153">
        <f>СЗИ!F50</f>
        <v>3.2</v>
      </c>
      <c r="H255" s="153">
        <f>СЗИ!V50</f>
        <v>201.04999999999995</v>
      </c>
      <c r="I255" s="154" t="str">
        <f t="shared" si="39"/>
        <v>КБ2</v>
      </c>
      <c r="J255" s="154">
        <f>СЗИ!K50</f>
        <v>5</v>
      </c>
      <c r="K255" s="153"/>
      <c r="L255" s="153">
        <f>СЗИ!L50</f>
        <v>0</v>
      </c>
      <c r="M255" s="153"/>
      <c r="N255" s="153">
        <f t="shared" si="40"/>
        <v>5</v>
      </c>
      <c r="O255" s="153" t="str">
        <f>СЗИ!W50</f>
        <v>- Получить в Блоке ИБ ПАО Ростелеком конфигурационные решения (КР) по архитектуре средств АВЗ
_x000D_- Настроить средства  АВЗ  для всей инфраструктуры в соответствии с КР</v>
      </c>
      <c r="P255" s="155" t="s">
        <v>97</v>
      </c>
      <c r="Q255" s="156" t="s">
        <v>238</v>
      </c>
      <c r="R255" s="153"/>
      <c r="S255" s="157"/>
      <c r="T255" s="151" t="s">
        <v>99</v>
      </c>
      <c r="U255" s="158">
        <v>0</v>
      </c>
      <c r="V255" s="158">
        <v>0</v>
      </c>
      <c r="W255" s="158">
        <v>0</v>
      </c>
      <c r="X255" s="158">
        <f t="shared" si="38"/>
        <v>0</v>
      </c>
      <c r="Y255" s="159"/>
      <c r="Z255" s="160"/>
      <c r="AA255" s="160"/>
      <c r="AB255" s="160"/>
      <c r="AC255" s="160"/>
      <c r="AD255" s="160"/>
      <c r="AE255" s="160"/>
    </row>
    <row r="256" spans="1:31" ht="70.2">
      <c r="A256" s="151" t="s">
        <v>44</v>
      </c>
      <c r="B256" s="152" t="s">
        <v>236</v>
      </c>
      <c r="C256" s="153" t="str">
        <f>СЗИ!B51</f>
        <v>Процесс контроля работоспособности САВЗ</v>
      </c>
      <c r="D256" s="153" t="str">
        <f>СЗИ!C51</f>
        <v>СЗИ.ВПО.6</v>
      </c>
      <c r="E256" s="153">
        <f>СЗИ!D51</f>
        <v>4</v>
      </c>
      <c r="F256" s="153">
        <f>СЗИ!E51</f>
        <v>3</v>
      </c>
      <c r="G256" s="153">
        <f>СЗИ!F51</f>
        <v>2</v>
      </c>
      <c r="H256" s="153">
        <f>СЗИ!V51</f>
        <v>201.05999999999995</v>
      </c>
      <c r="I256" s="154" t="str">
        <f t="shared" si="39"/>
        <v>КБ2</v>
      </c>
      <c r="J256" s="154">
        <f>СЗИ!K51</f>
        <v>4</v>
      </c>
      <c r="K256" s="153">
        <f>СЗИ!I51</f>
        <v>0</v>
      </c>
      <c r="L256" s="153">
        <f>СЗИ!L51</f>
        <v>0</v>
      </c>
      <c r="M256" s="153">
        <f t="shared" ref="M256:M287" si="41">IF(K256=J256," ",L256-K256)</f>
        <v>0</v>
      </c>
      <c r="N256" s="153">
        <f t="shared" si="40"/>
        <v>4</v>
      </c>
      <c r="O256" s="153" t="str">
        <f>СЗИ!W51</f>
        <v>- Реализовать в Обществе процесс контроля рабоспособности средств АВЗ</v>
      </c>
      <c r="P256" s="155" t="s">
        <v>97</v>
      </c>
      <c r="Q256" s="156" t="s">
        <v>238</v>
      </c>
      <c r="R256" s="153"/>
      <c r="S256" s="157"/>
      <c r="T256" s="151" t="s">
        <v>99</v>
      </c>
      <c r="U256" s="158">
        <v>0</v>
      </c>
      <c r="V256" s="158">
        <v>0</v>
      </c>
      <c r="W256" s="158">
        <v>0</v>
      </c>
      <c r="X256" s="158">
        <f t="shared" si="38"/>
        <v>0</v>
      </c>
      <c r="Y256" s="159"/>
      <c r="Z256" s="160"/>
      <c r="AA256" s="160"/>
      <c r="AB256" s="160"/>
      <c r="AC256" s="160"/>
      <c r="AD256" s="160"/>
      <c r="AE256" s="160"/>
    </row>
    <row r="257" spans="1:31" ht="70.2">
      <c r="A257" s="151" t="s">
        <v>44</v>
      </c>
      <c r="B257" s="152" t="s">
        <v>236</v>
      </c>
      <c r="C257" s="153" t="str">
        <f>СЗИ!B52</f>
        <v>Процесс обновления антивирусных средств</v>
      </c>
      <c r="D257" s="153" t="str">
        <f>СЗИ!C52</f>
        <v>СЗИ.ВПО.7</v>
      </c>
      <c r="E257" s="153">
        <f>СЗИ!D52</f>
        <v>4</v>
      </c>
      <c r="F257" s="153">
        <f>СЗИ!E52</f>
        <v>3</v>
      </c>
      <c r="G257" s="153">
        <f>СЗИ!F52</f>
        <v>2</v>
      </c>
      <c r="H257" s="153">
        <f>СЗИ!V52</f>
        <v>201.06999999999994</v>
      </c>
      <c r="I257" s="154" t="str">
        <f t="shared" si="39"/>
        <v>КБ2</v>
      </c>
      <c r="J257" s="154">
        <f>СЗИ!K52</f>
        <v>4</v>
      </c>
      <c r="K257" s="153">
        <f>СЗИ!I52</f>
        <v>0</v>
      </c>
      <c r="L257" s="153">
        <f>СЗИ!L52</f>
        <v>0</v>
      </c>
      <c r="M257" s="153">
        <f t="shared" si="41"/>
        <v>0</v>
      </c>
      <c r="N257" s="153">
        <f t="shared" si="40"/>
        <v>4</v>
      </c>
      <c r="O257" s="153" t="str">
        <f>СЗИ!W52</f>
        <v>- Реализовать в Обществе процесс обновления средств АВЗ</v>
      </c>
      <c r="P257" s="155" t="s">
        <v>97</v>
      </c>
      <c r="Q257" s="156" t="s">
        <v>238</v>
      </c>
      <c r="R257" s="153"/>
      <c r="S257" s="157"/>
      <c r="T257" s="151" t="s">
        <v>99</v>
      </c>
      <c r="U257" s="158">
        <v>0</v>
      </c>
      <c r="V257" s="158">
        <v>0</v>
      </c>
      <c r="W257" s="158">
        <v>0</v>
      </c>
      <c r="X257" s="158">
        <f t="shared" si="38"/>
        <v>0</v>
      </c>
      <c r="Y257" s="159"/>
      <c r="Z257" s="160"/>
      <c r="AA257" s="160"/>
      <c r="AB257" s="160"/>
      <c r="AC257" s="160"/>
      <c r="AD257" s="160"/>
      <c r="AE257" s="160"/>
    </row>
    <row r="258" spans="1:31" ht="70.2">
      <c r="A258" s="151" t="s">
        <v>44</v>
      </c>
      <c r="B258" s="152" t="s">
        <v>236</v>
      </c>
      <c r="C258" s="153" t="str">
        <f>СЗИ!B53</f>
        <v>Процесс реагирования на события САВЗ</v>
      </c>
      <c r="D258" s="153" t="str">
        <f>СЗИ!C53</f>
        <v>СЗИ.ВПО.8</v>
      </c>
      <c r="E258" s="153">
        <f>СЗИ!D53</f>
        <v>4</v>
      </c>
      <c r="F258" s="153">
        <f>СЗИ!E53</f>
        <v>3</v>
      </c>
      <c r="G258" s="153">
        <f>СЗИ!F53</f>
        <v>2</v>
      </c>
      <c r="H258" s="153">
        <f>СЗИ!V53</f>
        <v>201.07999999999993</v>
      </c>
      <c r="I258" s="154" t="str">
        <f t="shared" si="39"/>
        <v>КБ2</v>
      </c>
      <c r="J258" s="154">
        <f>СЗИ!K53</f>
        <v>4</v>
      </c>
      <c r="K258" s="153">
        <f>СЗИ!I53</f>
        <v>0</v>
      </c>
      <c r="L258" s="153">
        <f>СЗИ!L53</f>
        <v>0</v>
      </c>
      <c r="M258" s="153">
        <f t="shared" si="41"/>
        <v>0</v>
      </c>
      <c r="N258" s="153">
        <f t="shared" si="40"/>
        <v>4</v>
      </c>
      <c r="O258" s="153" t="str">
        <f>СЗИ!W53</f>
        <v>- Реализовать в Обществе процесс реагирования на события  средств АВЗ</v>
      </c>
      <c r="P258" s="155" t="s">
        <v>97</v>
      </c>
      <c r="Q258" s="156" t="s">
        <v>238</v>
      </c>
      <c r="R258" s="153"/>
      <c r="S258" s="157"/>
      <c r="T258" s="151" t="s">
        <v>99</v>
      </c>
      <c r="U258" s="158">
        <v>0</v>
      </c>
      <c r="V258" s="158">
        <v>0</v>
      </c>
      <c r="W258" s="158">
        <v>0</v>
      </c>
      <c r="X258" s="158">
        <f t="shared" si="38"/>
        <v>0</v>
      </c>
      <c r="Y258" s="159"/>
      <c r="Z258" s="160"/>
      <c r="AA258" s="160"/>
      <c r="AB258" s="160"/>
      <c r="AC258" s="160"/>
      <c r="AD258" s="160"/>
      <c r="AE258" s="160"/>
    </row>
    <row r="259" spans="1:31" ht="140.4">
      <c r="A259" s="151" t="s">
        <v>44</v>
      </c>
      <c r="B259" s="152" t="s">
        <v>252</v>
      </c>
      <c r="C259" s="153" t="str">
        <f>СЗИ!B86</f>
        <v>Процент покрытия активов  лицензиями</v>
      </c>
      <c r="D259" s="153" t="str">
        <f>СЗИ!C86</f>
        <v>СЗИ.САЗ.1</v>
      </c>
      <c r="E259" s="153">
        <f>СЗИ!D86</f>
        <v>5</v>
      </c>
      <c r="F259" s="153">
        <f>СЗИ!E86</f>
        <v>5</v>
      </c>
      <c r="G259" s="153">
        <f>СЗИ!F86</f>
        <v>0</v>
      </c>
      <c r="H259" s="153">
        <f>СЗИ!V86</f>
        <v>210.01</v>
      </c>
      <c r="I259" s="154" t="str">
        <f t="shared" si="39"/>
        <v>КБ2</v>
      </c>
      <c r="J259" s="154">
        <f>СЗИ!K86</f>
        <v>5</v>
      </c>
      <c r="K259" s="163">
        <f>СЗИ!I86</f>
        <v>0</v>
      </c>
      <c r="L259" s="153">
        <f>СЗИ!L86</f>
        <v>0</v>
      </c>
      <c r="M259" s="153">
        <f t="shared" si="41"/>
        <v>0</v>
      </c>
      <c r="N259" s="153">
        <f t="shared" si="40"/>
        <v>5</v>
      </c>
      <c r="O259" s="153" t="str">
        <f>СЗИ!W86</f>
        <v xml:space="preserve"> - Приобрести лицензии сканера уязвимостями в объеме, достаточном для полного покрытия всех видов активов + достаточный запас для текущего развития</v>
      </c>
      <c r="P259" s="155" t="s">
        <v>97</v>
      </c>
      <c r="Q259" s="156" t="s">
        <v>253</v>
      </c>
      <c r="R259" s="153"/>
      <c r="S259" s="157"/>
      <c r="T259" s="151" t="s">
        <v>99</v>
      </c>
      <c r="U259" s="158">
        <v>0</v>
      </c>
      <c r="V259" s="158">
        <v>0</v>
      </c>
      <c r="W259" s="158">
        <v>0</v>
      </c>
      <c r="X259" s="158">
        <f t="shared" si="38"/>
        <v>0</v>
      </c>
      <c r="Y259" s="159"/>
      <c r="Z259" s="160"/>
      <c r="AA259" s="160"/>
      <c r="AB259" s="160"/>
      <c r="AC259" s="160"/>
      <c r="AD259" s="160"/>
      <c r="AE259" s="160"/>
    </row>
    <row r="260" spans="1:31" ht="163.80000000000001">
      <c r="A260" s="151" t="s">
        <v>44</v>
      </c>
      <c r="B260" s="152" t="s">
        <v>252</v>
      </c>
      <c r="C260" s="153" t="str">
        <f>СЗИ!B87</f>
        <v>Процент охваченных регулярным сканированием активов</v>
      </c>
      <c r="D260" s="153" t="str">
        <f>СЗИ!C87</f>
        <v>СЗИ.САЗ.2</v>
      </c>
      <c r="E260" s="153">
        <f>СЗИ!D87</f>
        <v>5</v>
      </c>
      <c r="F260" s="153">
        <f>СЗИ!E87</f>
        <v>3.2</v>
      </c>
      <c r="G260" s="153">
        <f>СЗИ!F87</f>
        <v>0</v>
      </c>
      <c r="H260" s="153">
        <f>СЗИ!V87</f>
        <v>210.02</v>
      </c>
      <c r="I260" s="154" t="str">
        <f t="shared" si="39"/>
        <v>КБ2</v>
      </c>
      <c r="J260" s="154">
        <f>СЗИ!K87</f>
        <v>5</v>
      </c>
      <c r="K260" s="163">
        <f>СЗИ!I87</f>
        <v>0</v>
      </c>
      <c r="L260" s="153">
        <f>СЗИ!L87</f>
        <v>0</v>
      </c>
      <c r="M260" s="153">
        <f t="shared" si="41"/>
        <v>0</v>
      </c>
      <c r="N260" s="153">
        <f t="shared" si="40"/>
        <v>5</v>
      </c>
      <c r="O260" s="153" t="str">
        <f>СЗИ!W87</f>
        <v xml:space="preserve"> - Внедрить сканеры уязвимостей;
 - Реализовать процесс регулярного сканирования не менее 64% активов всех видов (ОС, прикладные средства, сетевые устройства, АРМ)</v>
      </c>
      <c r="P260" s="155" t="s">
        <v>97</v>
      </c>
      <c r="Q260" s="156" t="s">
        <v>254</v>
      </c>
      <c r="R260" s="153"/>
      <c r="S260" s="157"/>
      <c r="T260" s="151" t="s">
        <v>99</v>
      </c>
      <c r="U260" s="158">
        <v>0</v>
      </c>
      <c r="V260" s="158">
        <v>0</v>
      </c>
      <c r="W260" s="158">
        <v>0</v>
      </c>
      <c r="X260" s="158">
        <f t="shared" si="38"/>
        <v>0</v>
      </c>
      <c r="Y260" s="159"/>
      <c r="Z260" s="160"/>
      <c r="AA260" s="160"/>
      <c r="AB260" s="160"/>
      <c r="AC260" s="160"/>
      <c r="AD260" s="160"/>
      <c r="AE260" s="160"/>
    </row>
    <row r="261" spans="1:31" ht="304.2">
      <c r="A261" s="151" t="s">
        <v>44</v>
      </c>
      <c r="B261" s="152" t="s">
        <v>252</v>
      </c>
      <c r="C261" s="153" t="str">
        <f>СЗИ!B88</f>
        <v>Внедрен процесс управления уязвимостями</v>
      </c>
      <c r="D261" s="153" t="str">
        <f>СЗИ!C88</f>
        <v>СЗИ.САЗ.3</v>
      </c>
      <c r="E261" s="153">
        <f>СЗИ!D88</f>
        <v>4</v>
      </c>
      <c r="F261" s="153">
        <f>СЗИ!E88</f>
        <v>3</v>
      </c>
      <c r="G261" s="153">
        <f>СЗИ!F88</f>
        <v>0</v>
      </c>
      <c r="H261" s="153">
        <f>СЗИ!V88</f>
        <v>210.03</v>
      </c>
      <c r="I261" s="154" t="str">
        <f t="shared" si="39"/>
        <v>КБ2</v>
      </c>
      <c r="J261" s="154">
        <f>СЗИ!K88</f>
        <v>4</v>
      </c>
      <c r="K261" s="153">
        <f>СЗИ!I88</f>
        <v>0</v>
      </c>
      <c r="L261" s="153">
        <f>СЗИ!L88</f>
        <v>0</v>
      </c>
      <c r="M261" s="153">
        <f t="shared" si="41"/>
        <v>0</v>
      </c>
      <c r="N261" s="153">
        <f t="shared" si="40"/>
        <v>4</v>
      </c>
      <c r="O261" s="153" t="str">
        <f>СЗИ!W88</f>
        <v xml:space="preserve"> - Разработать или Получить в Блоке ИБ ПАО Ростелеком типовое описание процесса управления уязвимостями;
 -  Реализовать процесс управления уязвимостями; 
 - Обеспечить устранение или митигацию всех выявленных уязвимостей;
 - Обеспечить устранение уязвимостей критичного уровня в срок не более 3 рабочих дней при их обнаружении.</v>
      </c>
      <c r="P261" s="155" t="s">
        <v>97</v>
      </c>
      <c r="Q261" s="156" t="s">
        <v>256</v>
      </c>
      <c r="R261" s="153"/>
      <c r="S261" s="157"/>
      <c r="T261" s="151" t="s">
        <v>99</v>
      </c>
      <c r="U261" s="158">
        <v>0</v>
      </c>
      <c r="V261" s="158">
        <v>0</v>
      </c>
      <c r="W261" s="158">
        <v>0</v>
      </c>
      <c r="X261" s="158">
        <f t="shared" si="38"/>
        <v>0</v>
      </c>
      <c r="Y261" s="159"/>
      <c r="Z261" s="160"/>
      <c r="AA261" s="160"/>
      <c r="AB261" s="160"/>
      <c r="AC261" s="160"/>
      <c r="AD261" s="160"/>
      <c r="AE261" s="160"/>
    </row>
    <row r="262" spans="1:31" ht="70.2">
      <c r="A262" s="151" t="s">
        <v>44</v>
      </c>
      <c r="B262" s="152" t="s">
        <v>24</v>
      </c>
      <c r="C262" s="153" t="str">
        <f>СЗИ!B70</f>
        <v>Осуществляется централизованное управление СКЗИ</v>
      </c>
      <c r="D262" s="153" t="str">
        <f>СЗИ!C70</f>
        <v>СЗИ.СКЗИ.2</v>
      </c>
      <c r="E262" s="153">
        <f>СЗИ!D70</f>
        <v>5</v>
      </c>
      <c r="F262" s="153">
        <f>СЗИ!E70</f>
        <v>5</v>
      </c>
      <c r="G262" s="153">
        <f>СЗИ!F70</f>
        <v>3.2</v>
      </c>
      <c r="H262" s="153">
        <f>СЗИ!V70</f>
        <v>205.02</v>
      </c>
      <c r="I262" s="154" t="str">
        <f t="shared" si="39"/>
        <v>КБ2</v>
      </c>
      <c r="J262" s="154">
        <f>СЗИ!K70</f>
        <v>5</v>
      </c>
      <c r="K262" s="153">
        <f>СЗИ!I70</f>
        <v>0</v>
      </c>
      <c r="L262" s="153">
        <f>СЗИ!L70</f>
        <v>0</v>
      </c>
      <c r="M262" s="153">
        <f t="shared" si="41"/>
        <v>0</v>
      </c>
      <c r="N262" s="153">
        <f t="shared" si="40"/>
        <v>5</v>
      </c>
      <c r="O262" s="153" t="str">
        <f>СЗИ!W70</f>
        <v xml:space="preserve"> - Обеспечить подключение к централизованному управлению всех СКЗИ.</v>
      </c>
      <c r="P262" s="155" t="s">
        <v>97</v>
      </c>
      <c r="Q262" s="156" t="s">
        <v>258</v>
      </c>
      <c r="R262" s="153"/>
      <c r="S262" s="157"/>
      <c r="T262" s="151" t="s">
        <v>99</v>
      </c>
      <c r="U262" s="158">
        <v>0</v>
      </c>
      <c r="V262" s="158">
        <v>0</v>
      </c>
      <c r="W262" s="158">
        <v>0</v>
      </c>
      <c r="X262" s="158">
        <f t="shared" si="38"/>
        <v>0</v>
      </c>
      <c r="Y262" s="159"/>
      <c r="Z262" s="160"/>
      <c r="AA262" s="160"/>
      <c r="AB262" s="160"/>
      <c r="AC262" s="160"/>
      <c r="AD262" s="160"/>
      <c r="AE262" s="160"/>
    </row>
    <row r="263" spans="1:31" ht="210.6" hidden="1">
      <c r="A263" s="151" t="s">
        <v>156</v>
      </c>
      <c r="B263" s="152" t="s">
        <v>157</v>
      </c>
      <c r="C263" s="153" t="str">
        <f>'Управление ИБ'!B70</f>
        <v>Актуализация внутренних нормативных документов в соответствии с изменениями в нормативно-правовых актах и распоряжениях регуляторов и контрольных (надзорных) ведомств в сфере ИБ</v>
      </c>
      <c r="D263" s="153" t="str">
        <f>'Управление ИБ'!C70</f>
        <v>СУИБ.УР.10</v>
      </c>
      <c r="E263" s="153">
        <f>'Управление ИБ'!D70</f>
        <v>5</v>
      </c>
      <c r="F263" s="153">
        <f>'Управление ИБ'!E70</f>
        <v>5</v>
      </c>
      <c r="G263" s="153">
        <f>'Управление ИБ'!F70</f>
        <v>0</v>
      </c>
      <c r="H263" s="163">
        <f>'Управление ИБ'!V70</f>
        <v>214.09999999999991</v>
      </c>
      <c r="I263" s="154" t="str">
        <f t="shared" si="39"/>
        <v>КБ2</v>
      </c>
      <c r="J263" s="154">
        <f>'Управление ИБ'!K70</f>
        <v>5</v>
      </c>
      <c r="K263" s="153">
        <f>'Управление ИБ'!I70</f>
        <v>0</v>
      </c>
      <c r="L263" s="153">
        <f>'Управление ИБ'!L70</f>
        <v>0</v>
      </c>
      <c r="M263" s="153">
        <f t="shared" si="41"/>
        <v>0</v>
      </c>
      <c r="N263" s="153">
        <f t="shared" si="40"/>
        <v>5</v>
      </c>
      <c r="O263" s="153" t="str">
        <f>'Управление ИБ'!W70</f>
        <v>- Определить ответственных за мониторинг НПА и организовать процесс мониторинга;
- Организовать процесс доведения информации до всех заинтересованных подразделений. Реализовать процесс выполнения требований НПА.</v>
      </c>
      <c r="P263" s="155" t="s">
        <v>97</v>
      </c>
      <c r="Q263" s="156" t="s">
        <v>1150</v>
      </c>
      <c r="R263" s="153"/>
      <c r="S263" s="157"/>
      <c r="T263" s="151" t="s">
        <v>99</v>
      </c>
      <c r="U263" s="158">
        <v>0</v>
      </c>
      <c r="V263" s="158">
        <v>0</v>
      </c>
      <c r="W263" s="158">
        <v>0</v>
      </c>
      <c r="X263" s="158">
        <f t="shared" si="38"/>
        <v>0</v>
      </c>
      <c r="Y263" s="159"/>
      <c r="Z263" s="160"/>
      <c r="AA263" s="160"/>
      <c r="AB263" s="160"/>
      <c r="AC263" s="160"/>
      <c r="AD263" s="160"/>
      <c r="AE263" s="160"/>
    </row>
    <row r="264" spans="1:31" ht="93.6" hidden="1">
      <c r="A264" s="151" t="s">
        <v>156</v>
      </c>
      <c r="B264" s="152" t="s">
        <v>157</v>
      </c>
      <c r="C264" s="153" t="str">
        <f>'Управление ИБ'!B66</f>
        <v>Статус достижения целей ИБ регулярно доводится до руководства Общества</v>
      </c>
      <c r="D264" s="153" t="str">
        <f>'Управление ИБ'!C66</f>
        <v>СУИБ.УР.6</v>
      </c>
      <c r="E264" s="153">
        <f>'Управление ИБ'!D66</f>
        <v>5</v>
      </c>
      <c r="F264" s="153">
        <f>'Управление ИБ'!E66</f>
        <v>3.2</v>
      </c>
      <c r="G264" s="153">
        <f>'Управление ИБ'!F66</f>
        <v>0</v>
      </c>
      <c r="H264" s="153">
        <f>'Управление ИБ'!V66</f>
        <v>214.05999999999995</v>
      </c>
      <c r="I264" s="154" t="str">
        <f t="shared" si="39"/>
        <v>КБ2</v>
      </c>
      <c r="J264" s="154">
        <f>'Управление ИБ'!K66</f>
        <v>5</v>
      </c>
      <c r="K264" s="153">
        <f>'Управление ИБ'!I66</f>
        <v>0</v>
      </c>
      <c r="L264" s="153">
        <f>'Управление ИБ'!L66</f>
        <v>0</v>
      </c>
      <c r="M264" s="153">
        <f t="shared" si="41"/>
        <v>0</v>
      </c>
      <c r="N264" s="153">
        <f t="shared" si="40"/>
        <v>5</v>
      </c>
      <c r="O264" s="153" t="str">
        <f>'Управление ИБ'!W66</f>
        <v xml:space="preserve"> Сформировать отчет о достижении целей ИБ. Представить отчет руководству Общества</v>
      </c>
      <c r="P264" s="155" t="s">
        <v>97</v>
      </c>
      <c r="Q264" s="156" t="s">
        <v>255</v>
      </c>
      <c r="R264" s="153"/>
      <c r="S264" s="157"/>
      <c r="T264" s="151" t="s">
        <v>99</v>
      </c>
      <c r="U264" s="158">
        <v>0</v>
      </c>
      <c r="V264" s="158">
        <v>0</v>
      </c>
      <c r="W264" s="158">
        <v>0</v>
      </c>
      <c r="X264" s="158">
        <f t="shared" si="38"/>
        <v>0</v>
      </c>
      <c r="Y264" s="159"/>
      <c r="Z264" s="160"/>
      <c r="AA264" s="160"/>
      <c r="AB264" s="160"/>
      <c r="AC264" s="160"/>
      <c r="AD264" s="160"/>
      <c r="AE264" s="160"/>
    </row>
    <row r="265" spans="1:31" ht="187.2" hidden="1">
      <c r="A265" s="151" t="s">
        <v>156</v>
      </c>
      <c r="B265" s="152" t="s">
        <v>157</v>
      </c>
      <c r="C265" s="153" t="str">
        <f>'Управление ИБ'!B67</f>
        <v>Проводится регулярный (ежегодный) внешний аудит</v>
      </c>
      <c r="D265" s="153" t="str">
        <f>'Управление ИБ'!C67</f>
        <v>СУИБ.УР.7</v>
      </c>
      <c r="E265" s="153">
        <f>'Управление ИБ'!D67</f>
        <v>5</v>
      </c>
      <c r="F265" s="153">
        <f>'Управление ИБ'!E67</f>
        <v>5</v>
      </c>
      <c r="G265" s="153">
        <f>'Управление ИБ'!F67</f>
        <v>0</v>
      </c>
      <c r="H265" s="153">
        <f>'Управление ИБ'!V67</f>
        <v>214.06999999999994</v>
      </c>
      <c r="I265" s="154" t="str">
        <f t="shared" si="39"/>
        <v>КБ2</v>
      </c>
      <c r="J265" s="154">
        <f>'Управление ИБ'!K67</f>
        <v>5</v>
      </c>
      <c r="K265" s="153">
        <f>'Управление ИБ'!I67</f>
        <v>0</v>
      </c>
      <c r="L265" s="153">
        <f>'Управление ИБ'!L67</f>
        <v>0</v>
      </c>
      <c r="M265" s="153">
        <f t="shared" si="41"/>
        <v>0</v>
      </c>
      <c r="N265" s="153">
        <f t="shared" si="40"/>
        <v>5</v>
      </c>
      <c r="O265" s="153" t="str">
        <f>'Управление ИБ'!W67</f>
        <v xml:space="preserve"> - Определить требования к процессу внешнего аудита
- Организовать процесс регулярных внешних аудитов ИБ. 
- Принимать меры по повышению уровня ИБ по результатам аудита</v>
      </c>
      <c r="P265" s="155" t="s">
        <v>97</v>
      </c>
      <c r="Q265" s="156" t="s">
        <v>1188</v>
      </c>
      <c r="R265" s="153"/>
      <c r="S265" s="157"/>
      <c r="T265" s="151" t="s">
        <v>99</v>
      </c>
      <c r="U265" s="158">
        <v>0</v>
      </c>
      <c r="V265" s="158">
        <v>0</v>
      </c>
      <c r="W265" s="158">
        <v>0</v>
      </c>
      <c r="X265" s="158">
        <f t="shared" si="38"/>
        <v>0</v>
      </c>
      <c r="Y265" s="159"/>
      <c r="Z265" s="160"/>
      <c r="AA265" s="160"/>
      <c r="AB265" s="160"/>
      <c r="AC265" s="160"/>
      <c r="AD265" s="160"/>
      <c r="AE265" s="160"/>
    </row>
    <row r="266" spans="1:31" ht="163.80000000000001" hidden="1">
      <c r="A266" s="151" t="s">
        <v>156</v>
      </c>
      <c r="B266" s="152" t="s">
        <v>157</v>
      </c>
      <c r="C266" s="153" t="str">
        <f>'Управление ИБ'!B68</f>
        <v>Проводятся регулярные (ежегодные) киберучения</v>
      </c>
      <c r="D266" s="153" t="str">
        <f>'Управление ИБ'!C68</f>
        <v>СУИБ.УР.8</v>
      </c>
      <c r="E266" s="153">
        <f>'Управление ИБ'!D68</f>
        <v>5</v>
      </c>
      <c r="F266" s="153">
        <f>'Управление ИБ'!E68</f>
        <v>5</v>
      </c>
      <c r="G266" s="153">
        <f>'Управление ИБ'!F68</f>
        <v>0</v>
      </c>
      <c r="H266" s="153">
        <f>'Управление ИБ'!V68</f>
        <v>214.07999999999993</v>
      </c>
      <c r="I266" s="154" t="str">
        <f t="shared" si="39"/>
        <v>КБ2</v>
      </c>
      <c r="J266" s="154">
        <f>'Управление ИБ'!K68</f>
        <v>5</v>
      </c>
      <c r="K266" s="153">
        <f>'Управление ИБ'!I68</f>
        <v>0</v>
      </c>
      <c r="L266" s="153">
        <f>'Управление ИБ'!L68</f>
        <v>0</v>
      </c>
      <c r="M266" s="153">
        <f t="shared" si="41"/>
        <v>0</v>
      </c>
      <c r="N266" s="153">
        <f t="shared" si="40"/>
        <v>5</v>
      </c>
      <c r="O266" s="153" t="str">
        <f>'Управление ИБ'!W68</f>
        <v xml:space="preserve"> - Определить требования к процессу киберучений
- Организовать процесс регулярных киберучений. 
- Принимать меры по повышению уровня ИБ по результатам киберучений</v>
      </c>
      <c r="P266" s="155" t="s">
        <v>97</v>
      </c>
      <c r="Q266" s="156" t="s">
        <v>1189</v>
      </c>
      <c r="R266" s="153"/>
      <c r="S266" s="157"/>
      <c r="T266" s="151" t="s">
        <v>99</v>
      </c>
      <c r="U266" s="158">
        <v>0</v>
      </c>
      <c r="V266" s="158">
        <v>0</v>
      </c>
      <c r="W266" s="158">
        <v>0</v>
      </c>
      <c r="X266" s="158">
        <f t="shared" si="38"/>
        <v>0</v>
      </c>
      <c r="Y266" s="159"/>
      <c r="Z266" s="160"/>
      <c r="AA266" s="160"/>
      <c r="AB266" s="160"/>
      <c r="AC266" s="160"/>
      <c r="AD266" s="160"/>
      <c r="AE266" s="160"/>
    </row>
    <row r="267" spans="1:31" ht="234" hidden="1">
      <c r="A267" s="151" t="s">
        <v>156</v>
      </c>
      <c r="B267" s="152" t="s">
        <v>157</v>
      </c>
      <c r="C267" s="153" t="str">
        <f>'Управление ИБ'!B69</f>
        <v>Требования по ИБ к информационным активам (ИА) предьявляются на стадиях принятия решения о создании/приобретении ИА</v>
      </c>
      <c r="D267" s="153" t="str">
        <f>'Управление ИБ'!C69</f>
        <v>СУИБ.УР.9</v>
      </c>
      <c r="E267" s="153">
        <f>'Управление ИБ'!D69</f>
        <v>5</v>
      </c>
      <c r="F267" s="153">
        <f>'Управление ИБ'!E69</f>
        <v>3.2</v>
      </c>
      <c r="G267" s="153">
        <f>'Управление ИБ'!F69</f>
        <v>0</v>
      </c>
      <c r="H267" s="153">
        <f>'Управление ИБ'!V69</f>
        <v>214.08999999999992</v>
      </c>
      <c r="I267" s="154" t="str">
        <f t="shared" si="39"/>
        <v>КБ2</v>
      </c>
      <c r="J267" s="154">
        <f>'Управление ИБ'!K69</f>
        <v>5</v>
      </c>
      <c r="K267" s="153">
        <f>'Управление ИБ'!I69</f>
        <v>0</v>
      </c>
      <c r="L267" s="153">
        <f>'Управление ИБ'!L69</f>
        <v>0</v>
      </c>
      <c r="M267" s="153">
        <f t="shared" si="41"/>
        <v>0</v>
      </c>
      <c r="N267" s="153">
        <f t="shared" si="40"/>
        <v>5</v>
      </c>
      <c r="O267" s="153" t="str">
        <f>'Управление ИБ'!W69</f>
        <v>- Организовать процесс создания / приобретения ИА;
  - Определить требования к процессу; 
  - Обеспечить участие подразделения ИБ в процессе;
  - Обеспечить формирование требований ИБ на этапе принятия решения о создании/приобретении ИА.</v>
      </c>
      <c r="P267" s="155" t="s">
        <v>97</v>
      </c>
      <c r="Q267" s="156" t="s">
        <v>1190</v>
      </c>
      <c r="R267" s="153"/>
      <c r="S267" s="157"/>
      <c r="T267" s="151" t="s">
        <v>99</v>
      </c>
      <c r="U267" s="158">
        <v>0</v>
      </c>
      <c r="V267" s="158">
        <v>0</v>
      </c>
      <c r="W267" s="158">
        <v>0</v>
      </c>
      <c r="X267" s="158">
        <f t="shared" si="38"/>
        <v>0</v>
      </c>
      <c r="Y267" s="159"/>
      <c r="Z267" s="160"/>
      <c r="AA267" s="160"/>
      <c r="AB267" s="160"/>
      <c r="AC267" s="160"/>
      <c r="AD267" s="160"/>
      <c r="AE267" s="160"/>
    </row>
    <row r="268" spans="1:31" ht="140.4" hidden="1">
      <c r="A268" s="151" t="s">
        <v>156</v>
      </c>
      <c r="B268" s="152" t="s">
        <v>205</v>
      </c>
      <c r="C268" s="153" t="str">
        <f>'Управление ИБ'!B153</f>
        <v>Проводится регулярное профессиональное обучение и повышение квалификации работников ИБ</v>
      </c>
      <c r="D268" s="153" t="str">
        <f>'Управление ИБ'!C153</f>
        <v>УИБ.AW.1</v>
      </c>
      <c r="E268" s="153">
        <f>'Управление ИБ'!D153</f>
        <v>5</v>
      </c>
      <c r="F268" s="153">
        <f>'Управление ИБ'!E153</f>
        <v>3.2</v>
      </c>
      <c r="G268" s="153">
        <f>'Управление ИБ'!F153</f>
        <v>1.6</v>
      </c>
      <c r="H268" s="170">
        <f>'Управление ИБ'!V153</f>
        <v>231.01</v>
      </c>
      <c r="I268" s="154" t="str">
        <f t="shared" si="39"/>
        <v>КБ2</v>
      </c>
      <c r="J268" s="154">
        <f>'Управление ИБ'!K153</f>
        <v>5</v>
      </c>
      <c r="K268" s="153">
        <f>'Управление ИБ'!I153</f>
        <v>0</v>
      </c>
      <c r="L268" s="153">
        <f>'Управление ИБ'!L153</f>
        <v>0</v>
      </c>
      <c r="M268" s="153">
        <f t="shared" si="41"/>
        <v>0</v>
      </c>
      <c r="N268" s="153">
        <f t="shared" si="40"/>
        <v>5</v>
      </c>
      <c r="O268" s="153" t="str">
        <f>'Управление ИБ'!W153</f>
        <v xml:space="preserve"> - Проводить профессиональное обучение и повышение квалификации работников ИБ на основе плана, сформированного в предыдущем году по заявкам от работников</v>
      </c>
      <c r="P268" s="155" t="s">
        <v>97</v>
      </c>
      <c r="Q268" s="156" t="s">
        <v>1193</v>
      </c>
      <c r="R268" s="153"/>
      <c r="S268" s="157"/>
      <c r="T268" s="151" t="s">
        <v>99</v>
      </c>
      <c r="U268" s="158">
        <v>0</v>
      </c>
      <c r="V268" s="158">
        <v>0</v>
      </c>
      <c r="W268" s="158">
        <v>0</v>
      </c>
      <c r="X268" s="158">
        <f t="shared" si="38"/>
        <v>0</v>
      </c>
      <c r="Y268" s="159"/>
      <c r="Z268" s="160"/>
      <c r="AA268" s="160"/>
      <c r="AB268" s="160"/>
      <c r="AC268" s="160"/>
      <c r="AD268" s="160"/>
      <c r="AE268" s="160"/>
    </row>
    <row r="269" spans="1:31" ht="117" hidden="1">
      <c r="A269" s="151" t="s">
        <v>156</v>
      </c>
      <c r="B269" s="152" t="s">
        <v>205</v>
      </c>
      <c r="C269" s="153" t="str">
        <f>'Управление ИБ'!B162</f>
        <v>Осуществляется обучение привелигированных пользователей приемам безопасной работы</v>
      </c>
      <c r="D269" s="153" t="str">
        <f>'Управление ИБ'!C162</f>
        <v>УИБ.AW.10</v>
      </c>
      <c r="E269" s="153">
        <f>'Управление ИБ'!D162</f>
        <v>5</v>
      </c>
      <c r="F269" s="153">
        <f>'Управление ИБ'!E162</f>
        <v>3.2</v>
      </c>
      <c r="G269" s="153">
        <f>'Управление ИБ'!F162</f>
        <v>1.6</v>
      </c>
      <c r="H269" s="170">
        <f>'Управление ИБ'!V162</f>
        <v>231.09999999999991</v>
      </c>
      <c r="I269" s="154" t="str">
        <f t="shared" si="39"/>
        <v>КБ2</v>
      </c>
      <c r="J269" s="154">
        <f>'Управление ИБ'!K162</f>
        <v>5</v>
      </c>
      <c r="K269" s="153">
        <f>'Управление ИБ'!I162</f>
        <v>0</v>
      </c>
      <c r="L269" s="153">
        <f>'Управление ИБ'!L162</f>
        <v>0</v>
      </c>
      <c r="M269" s="153">
        <f t="shared" si="41"/>
        <v>0</v>
      </c>
      <c r="N269" s="153">
        <f t="shared" si="40"/>
        <v>5</v>
      </c>
      <c r="O269" s="153" t="str">
        <f>'Управление ИБ'!W162</f>
        <v xml:space="preserve"> - Разместить образовательный курс на образовательной платформе с возможностью отслеживания прогесса обучения.</v>
      </c>
      <c r="P269" s="155" t="s">
        <v>97</v>
      </c>
      <c r="Q269" s="156" t="s">
        <v>1195</v>
      </c>
      <c r="R269" s="153"/>
      <c r="S269" s="157"/>
      <c r="T269" s="151" t="s">
        <v>99</v>
      </c>
      <c r="U269" s="158">
        <v>0</v>
      </c>
      <c r="V269" s="158">
        <v>0</v>
      </c>
      <c r="W269" s="158">
        <v>0</v>
      </c>
      <c r="X269" s="158">
        <f t="shared" si="38"/>
        <v>0</v>
      </c>
      <c r="Y269" s="159"/>
      <c r="Z269" s="160"/>
      <c r="AA269" s="160"/>
      <c r="AB269" s="160"/>
      <c r="AC269" s="160"/>
      <c r="AD269" s="160"/>
      <c r="AE269" s="160"/>
    </row>
    <row r="270" spans="1:31" ht="257.39999999999998" hidden="1">
      <c r="A270" s="151" t="s">
        <v>156</v>
      </c>
      <c r="B270" s="152" t="s">
        <v>205</v>
      </c>
      <c r="C270" s="153" t="str">
        <f>'Управление ИБ'!B154</f>
        <v>Проводится регулярное повышение осведомленности работников Общества</v>
      </c>
      <c r="D270" s="153" t="str">
        <f>'Управление ИБ'!C154</f>
        <v>УИБ.AW.2</v>
      </c>
      <c r="E270" s="153">
        <f>'Управление ИБ'!D154</f>
        <v>5</v>
      </c>
      <c r="F270" s="153">
        <f>'Управление ИБ'!E154</f>
        <v>3.2</v>
      </c>
      <c r="G270" s="153">
        <f>'Управление ИБ'!F154</f>
        <v>1.6</v>
      </c>
      <c r="H270" s="170">
        <f>'Управление ИБ'!V154</f>
        <v>231.01999999999998</v>
      </c>
      <c r="I270" s="154" t="str">
        <f t="shared" si="39"/>
        <v>КБ2</v>
      </c>
      <c r="J270" s="154">
        <f>'Управление ИБ'!K154</f>
        <v>5</v>
      </c>
      <c r="K270" s="153">
        <f>'Управление ИБ'!I154</f>
        <v>0</v>
      </c>
      <c r="L270" s="153">
        <f>'Управление ИБ'!L154</f>
        <v>0</v>
      </c>
      <c r="M270" s="153">
        <f t="shared" si="41"/>
        <v>0</v>
      </c>
      <c r="N270" s="153">
        <f t="shared" si="40"/>
        <v>5</v>
      </c>
      <c r="O270" s="153" t="str">
        <f>'Управление ИБ'!W154</f>
        <v xml:space="preserve"> - Проводить регулярное повышение осведемленности по вопросам ИБ (рассылки в почте, тг, внутренние порталы и т.д);
- Проводить на регулярной основе провокационные фишинговые рассылки для всех сотрудников Общества с дальнейшим обучением и отработкой ошибок</v>
      </c>
      <c r="P270" s="155" t="s">
        <v>97</v>
      </c>
      <c r="Q270" s="156" t="s">
        <v>1197</v>
      </c>
      <c r="R270" s="153"/>
      <c r="S270" s="157"/>
      <c r="T270" s="151" t="s">
        <v>99</v>
      </c>
      <c r="U270" s="158">
        <v>0</v>
      </c>
      <c r="V270" s="158">
        <v>0</v>
      </c>
      <c r="W270" s="158">
        <v>0</v>
      </c>
      <c r="X270" s="158">
        <f t="shared" si="38"/>
        <v>0</v>
      </c>
      <c r="Y270" s="159"/>
      <c r="Z270" s="160"/>
      <c r="AA270" s="160"/>
      <c r="AB270" s="160"/>
      <c r="AC270" s="160"/>
      <c r="AD270" s="160"/>
      <c r="AE270" s="160"/>
    </row>
    <row r="271" spans="1:31" ht="117" hidden="1">
      <c r="A271" s="151" t="s">
        <v>156</v>
      </c>
      <c r="B271" s="152" t="s">
        <v>205</v>
      </c>
      <c r="C271" s="153" t="str">
        <f>'Управление ИБ'!B155</f>
        <v xml:space="preserve">При приеме на работу проводится инструктаж по информационной безопасности  и повторяется раз в год или чаще. </v>
      </c>
      <c r="D271" s="153" t="str">
        <f>'Управление ИБ'!C155</f>
        <v>УИБ.AW.3</v>
      </c>
      <c r="E271" s="153">
        <f>'Управление ИБ'!D155</f>
        <v>5</v>
      </c>
      <c r="F271" s="153">
        <f>'Управление ИБ'!E155</f>
        <v>3.2</v>
      </c>
      <c r="G271" s="153">
        <f>'Управление ИБ'!F155</f>
        <v>1.6</v>
      </c>
      <c r="H271" s="153">
        <f>'Управление ИБ'!V155</f>
        <v>231.02999999999997</v>
      </c>
      <c r="I271" s="154" t="str">
        <f>IF(H271&lt;=200, "КБ1", IF(H271&lt;=300, "КБ2", "КБ3"))</f>
        <v>КБ2</v>
      </c>
      <c r="J271" s="154">
        <f>'Управление ИБ'!K155</f>
        <v>5</v>
      </c>
      <c r="K271" s="153">
        <f>'Управление ИБ'!I155</f>
        <v>0</v>
      </c>
      <c r="L271" s="153">
        <f>'Управление ИБ'!L155</f>
        <v>0</v>
      </c>
      <c r="M271" s="153">
        <f t="shared" si="41"/>
        <v>0</v>
      </c>
      <c r="N271" s="628">
        <f>IF(H271&lt;100,    IF(L271&gt;=G271,0,J271-L271),       IF(H271&lt;300,     IF(L271&gt;=F271,0,J271-L271),                  IF(L271&gt;=E271,0,J271-L271)))</f>
        <v>5</v>
      </c>
      <c r="O271" s="153" t="str">
        <f>'Управление ИБ'!Z155</f>
        <v xml:space="preserve"> - Отслеживать динамику и качество обучения</v>
      </c>
      <c r="P271" s="155" t="s">
        <v>97</v>
      </c>
      <c r="Q271" s="156" t="s">
        <v>204</v>
      </c>
      <c r="R271" s="153"/>
      <c r="S271" s="157"/>
      <c r="T271" s="151" t="s">
        <v>99</v>
      </c>
      <c r="U271" s="158">
        <v>0</v>
      </c>
      <c r="V271" s="158">
        <v>0</v>
      </c>
      <c r="W271" s="158">
        <v>0</v>
      </c>
      <c r="X271" s="158">
        <f t="shared" si="38"/>
        <v>0</v>
      </c>
      <c r="Y271" s="159"/>
      <c r="Z271" s="160"/>
      <c r="AA271" s="160"/>
      <c r="AB271" s="160"/>
      <c r="AC271" s="160"/>
      <c r="AD271" s="160"/>
      <c r="AE271" s="160"/>
    </row>
    <row r="272" spans="1:31" ht="93.6" hidden="1">
      <c r="A272" s="151" t="s">
        <v>156</v>
      </c>
      <c r="B272" s="152" t="s">
        <v>205</v>
      </c>
      <c r="C272" s="153" t="str">
        <f>'Управление ИБ'!B156</f>
        <v>Учебные материалы пересматриваются раз в год или чаще.</v>
      </c>
      <c r="D272" s="153" t="str">
        <f>'Управление ИБ'!C156</f>
        <v>УИБ.AW.4</v>
      </c>
      <c r="E272" s="153">
        <f>'Управление ИБ'!D156</f>
        <v>5</v>
      </c>
      <c r="F272" s="153">
        <f>'Управление ИБ'!E156</f>
        <v>3.2</v>
      </c>
      <c r="G272" s="153">
        <f>'Управление ИБ'!F156</f>
        <v>1.6</v>
      </c>
      <c r="H272" s="170">
        <f>'Управление ИБ'!V156</f>
        <v>231.03999999999996</v>
      </c>
      <c r="I272" s="154" t="str">
        <f t="shared" ref="I272:I303" si="42">IF(H272&lt;=200,"КБ1",IF(H272&lt;=300,"КБ2","КБ3"))</f>
        <v>КБ2</v>
      </c>
      <c r="J272" s="154">
        <f>'Управление ИБ'!K156</f>
        <v>5</v>
      </c>
      <c r="K272" s="153">
        <f>'Управление ИБ'!I156</f>
        <v>0</v>
      </c>
      <c r="L272" s="153">
        <f>'Управление ИБ'!L156</f>
        <v>0</v>
      </c>
      <c r="M272" s="153">
        <f t="shared" si="41"/>
        <v>0</v>
      </c>
      <c r="N272" s="153">
        <f t="shared" ref="N272:N303" si="43">IF(H272&lt;100,IF(L272&gt;=G272,0,J272-L272),IF(H272&lt;300,IF(L272&gt;=F272,0,J272-L272),IF(L272&gt;=E272,0,J272-L272)))</f>
        <v>5</v>
      </c>
      <c r="O272" s="153" t="str">
        <f>'Управление ИБ'!W156</f>
        <v xml:space="preserve"> - Раз в год пересматривать учебные материалы и при необходимости актуализировать</v>
      </c>
      <c r="P272" s="155" t="s">
        <v>97</v>
      </c>
      <c r="Q272" s="156" t="s">
        <v>204</v>
      </c>
      <c r="R272" s="153"/>
      <c r="S272" s="157"/>
      <c r="T272" s="151" t="s">
        <v>99</v>
      </c>
      <c r="U272" s="158">
        <v>0</v>
      </c>
      <c r="V272" s="158">
        <v>0</v>
      </c>
      <c r="W272" s="158">
        <v>0</v>
      </c>
      <c r="X272" s="158">
        <f t="shared" si="38"/>
        <v>0</v>
      </c>
      <c r="Y272" s="159"/>
      <c r="Z272" s="160"/>
      <c r="AA272" s="160"/>
      <c r="AB272" s="160"/>
      <c r="AC272" s="160"/>
      <c r="AD272" s="160"/>
      <c r="AE272" s="160"/>
    </row>
    <row r="273" spans="1:31" ht="117" hidden="1">
      <c r="A273" s="151" t="s">
        <v>156</v>
      </c>
      <c r="B273" s="152" t="s">
        <v>205</v>
      </c>
      <c r="C273" s="153" t="str">
        <f>'Управление ИБ'!B157</f>
        <v>Осуществляется обучение работников распознавать атаки с использованием социальной инженерии</v>
      </c>
      <c r="D273" s="153" t="str">
        <f>'Управление ИБ'!C157</f>
        <v>УИБ.AW.5</v>
      </c>
      <c r="E273" s="153">
        <f>'Управление ИБ'!D157</f>
        <v>5</v>
      </c>
      <c r="F273" s="153">
        <f>'Управление ИБ'!E157</f>
        <v>3.2</v>
      </c>
      <c r="G273" s="153">
        <f>'Управление ИБ'!F157</f>
        <v>1.6</v>
      </c>
      <c r="H273" s="170">
        <f>'Управление ИБ'!V157</f>
        <v>231.04999999999995</v>
      </c>
      <c r="I273" s="154" t="str">
        <f t="shared" si="42"/>
        <v>КБ2</v>
      </c>
      <c r="J273" s="154">
        <f>'Управление ИБ'!K157</f>
        <v>5</v>
      </c>
      <c r="K273" s="153">
        <f>'Управление ИБ'!I157</f>
        <v>0</v>
      </c>
      <c r="L273" s="153">
        <f>'Управление ИБ'!L157</f>
        <v>0</v>
      </c>
      <c r="M273" s="153">
        <f t="shared" si="41"/>
        <v>0</v>
      </c>
      <c r="N273" s="153">
        <f t="shared" si="43"/>
        <v>5</v>
      </c>
      <c r="O273" s="153" t="str">
        <f>'Управление ИБ'!W157</f>
        <v xml:space="preserve"> - Разместить образовательный курс на образовательной платформе с возможностью отслеживания прогесса обучения.</v>
      </c>
      <c r="P273" s="155" t="s">
        <v>97</v>
      </c>
      <c r="Q273" s="156" t="s">
        <v>1195</v>
      </c>
      <c r="R273" s="153"/>
      <c r="S273" s="157"/>
      <c r="T273" s="151" t="s">
        <v>99</v>
      </c>
      <c r="U273" s="158">
        <v>0</v>
      </c>
      <c r="V273" s="158">
        <v>0</v>
      </c>
      <c r="W273" s="158">
        <v>0</v>
      </c>
      <c r="X273" s="158">
        <f t="shared" si="38"/>
        <v>0</v>
      </c>
      <c r="Y273" s="159"/>
      <c r="Z273" s="160"/>
      <c r="AA273" s="160"/>
      <c r="AB273" s="160"/>
      <c r="AC273" s="160"/>
      <c r="AD273" s="160"/>
      <c r="AE273" s="160"/>
    </row>
    <row r="274" spans="1:31" ht="163.80000000000001" hidden="1">
      <c r="A274" s="151" t="s">
        <v>156</v>
      </c>
      <c r="B274" s="152" t="s">
        <v>205</v>
      </c>
      <c r="C274" s="153" t="str">
        <f>'Управление ИБ'!B158</f>
        <v>Осуществляется обучение работников по теме многофакторной аутентификации, создании сильных паролей и управлении учетными записями.</v>
      </c>
      <c r="D274" s="153" t="str">
        <f>'Управление ИБ'!C158</f>
        <v>УИБ.AW.6</v>
      </c>
      <c r="E274" s="153">
        <f>'Управление ИБ'!D158</f>
        <v>5</v>
      </c>
      <c r="F274" s="153">
        <f>'Управление ИБ'!E158</f>
        <v>3.2</v>
      </c>
      <c r="G274" s="153">
        <f>'Управление ИБ'!F158</f>
        <v>1.6</v>
      </c>
      <c r="H274" s="170">
        <f>'Управление ИБ'!V158</f>
        <v>231.05999999999995</v>
      </c>
      <c r="I274" s="154" t="str">
        <f t="shared" si="42"/>
        <v>КБ2</v>
      </c>
      <c r="J274" s="154">
        <f>'Управление ИБ'!K158</f>
        <v>5</v>
      </c>
      <c r="K274" s="153">
        <f>'Управление ИБ'!I158</f>
        <v>0</v>
      </c>
      <c r="L274" s="153">
        <f>'Управление ИБ'!L158</f>
        <v>0</v>
      </c>
      <c r="M274" s="153">
        <f t="shared" si="41"/>
        <v>0</v>
      </c>
      <c r="N274" s="153">
        <f t="shared" si="43"/>
        <v>5</v>
      </c>
      <c r="O274" s="153" t="str">
        <f>'Управление ИБ'!W158</f>
        <v xml:space="preserve"> - Разместить образовательный курс на образовательной платформе с возможностью отслеживания прогесса обучения.</v>
      </c>
      <c r="P274" s="155" t="s">
        <v>97</v>
      </c>
      <c r="Q274" s="156" t="s">
        <v>1195</v>
      </c>
      <c r="R274" s="153"/>
      <c r="S274" s="157"/>
      <c r="T274" s="151" t="s">
        <v>99</v>
      </c>
      <c r="U274" s="158">
        <v>0</v>
      </c>
      <c r="V274" s="158">
        <v>0</v>
      </c>
      <c r="W274" s="158">
        <v>0</v>
      </c>
      <c r="X274" s="158">
        <f t="shared" si="38"/>
        <v>0</v>
      </c>
      <c r="Y274" s="159"/>
      <c r="Z274" s="160"/>
      <c r="AA274" s="160"/>
      <c r="AB274" s="160"/>
      <c r="AC274" s="160"/>
      <c r="AD274" s="160"/>
      <c r="AE274" s="160"/>
    </row>
    <row r="275" spans="1:31" ht="187.2" hidden="1">
      <c r="A275" s="151" t="s">
        <v>156</v>
      </c>
      <c r="B275" s="152" t="s">
        <v>205</v>
      </c>
      <c r="C275" s="153" t="str">
        <f>'Управление ИБ'!B159</f>
        <v>Осуществляется обучение работников о необходимости блокировать рабочие станции, стирать информацию с флипчартов и виртуальных досок после совещаний и хранить данные в защищенном месте.</v>
      </c>
      <c r="D275" s="153" t="str">
        <f>'Управление ИБ'!C159</f>
        <v>УИБ.AW.7</v>
      </c>
      <c r="E275" s="153">
        <f>'Управление ИБ'!D159</f>
        <v>5</v>
      </c>
      <c r="F275" s="153">
        <f>'Управление ИБ'!E159</f>
        <v>3.2</v>
      </c>
      <c r="G275" s="153">
        <f>'Управление ИБ'!F159</f>
        <v>1.6</v>
      </c>
      <c r="H275" s="170">
        <f>'Управление ИБ'!V159</f>
        <v>231.06999999999994</v>
      </c>
      <c r="I275" s="154" t="str">
        <f t="shared" si="42"/>
        <v>КБ2</v>
      </c>
      <c r="J275" s="154">
        <f>'Управление ИБ'!K159</f>
        <v>5</v>
      </c>
      <c r="K275" s="153">
        <f>'Управление ИБ'!I159</f>
        <v>0</v>
      </c>
      <c r="L275" s="153">
        <f>'Управление ИБ'!L159</f>
        <v>0</v>
      </c>
      <c r="M275" s="153">
        <f t="shared" si="41"/>
        <v>0</v>
      </c>
      <c r="N275" s="153">
        <f t="shared" si="43"/>
        <v>5</v>
      </c>
      <c r="O275" s="153" t="str">
        <f>'Управление ИБ'!W159</f>
        <v xml:space="preserve"> - Разместить образовательный курс на образовательной платформе с возможностью отслеживания прогесса обучения.</v>
      </c>
      <c r="P275" s="155" t="s">
        <v>97</v>
      </c>
      <c r="Q275" s="156" t="s">
        <v>1195</v>
      </c>
      <c r="R275" s="153"/>
      <c r="S275" s="157"/>
      <c r="T275" s="151" t="s">
        <v>99</v>
      </c>
      <c r="U275" s="158">
        <v>0</v>
      </c>
      <c r="V275" s="158">
        <v>0</v>
      </c>
      <c r="W275" s="158">
        <v>0</v>
      </c>
      <c r="X275" s="158">
        <f t="shared" si="38"/>
        <v>0</v>
      </c>
      <c r="Y275" s="159"/>
      <c r="Z275" s="160"/>
      <c r="AA275" s="160"/>
      <c r="AB275" s="160"/>
      <c r="AC275" s="160"/>
      <c r="AD275" s="160"/>
      <c r="AE275" s="160"/>
    </row>
    <row r="276" spans="1:31" ht="163.80000000000001" hidden="1">
      <c r="A276" s="151" t="s">
        <v>156</v>
      </c>
      <c r="B276" s="152" t="s">
        <v>205</v>
      </c>
      <c r="C276" s="153" t="str">
        <f>'Управление ИБ'!B160</f>
        <v>Осуществляется обучение работников по теме ошибочной отправки и публикации конфиденциальных данных, потери рабочих устройств и съемных носителей. </v>
      </c>
      <c r="D276" s="153" t="str">
        <f>'Управление ИБ'!C160</f>
        <v>УИБ.AW.8</v>
      </c>
      <c r="E276" s="153">
        <f>'Управление ИБ'!D160</f>
        <v>5</v>
      </c>
      <c r="F276" s="153">
        <f>'Управление ИБ'!E160</f>
        <v>3.2</v>
      </c>
      <c r="G276" s="153">
        <f>'Управление ИБ'!F160</f>
        <v>1.6</v>
      </c>
      <c r="H276" s="170">
        <f>'Управление ИБ'!V160</f>
        <v>231.07999999999993</v>
      </c>
      <c r="I276" s="154" t="str">
        <f t="shared" si="42"/>
        <v>КБ2</v>
      </c>
      <c r="J276" s="154">
        <f>'Управление ИБ'!K160</f>
        <v>5</v>
      </c>
      <c r="K276" s="153">
        <f>'Управление ИБ'!I160</f>
        <v>0</v>
      </c>
      <c r="L276" s="153">
        <f>'Управление ИБ'!L160</f>
        <v>0</v>
      </c>
      <c r="M276" s="153">
        <f t="shared" si="41"/>
        <v>0</v>
      </c>
      <c r="N276" s="153">
        <f t="shared" si="43"/>
        <v>5</v>
      </c>
      <c r="O276" s="153" t="str">
        <f>'Управление ИБ'!W160</f>
        <v xml:space="preserve"> - Разместить образовательный курс на образовательной платформе с возможностью отслеживания прогесса обучения.</v>
      </c>
      <c r="P276" s="155" t="s">
        <v>97</v>
      </c>
      <c r="Q276" s="156" t="s">
        <v>204</v>
      </c>
      <c r="R276" s="153"/>
      <c r="S276" s="157"/>
      <c r="T276" s="151" t="s">
        <v>99</v>
      </c>
      <c r="U276" s="158">
        <v>0</v>
      </c>
      <c r="V276" s="158">
        <v>0</v>
      </c>
      <c r="W276" s="158">
        <v>0</v>
      </c>
      <c r="X276" s="158">
        <f t="shared" si="38"/>
        <v>0</v>
      </c>
      <c r="Y276" s="159"/>
      <c r="Z276" s="160"/>
      <c r="AA276" s="160"/>
      <c r="AB276" s="160"/>
      <c r="AC276" s="160"/>
      <c r="AD276" s="160"/>
      <c r="AE276" s="160"/>
    </row>
    <row r="277" spans="1:31" ht="117" hidden="1">
      <c r="A277" s="151" t="s">
        <v>156</v>
      </c>
      <c r="B277" s="152" t="s">
        <v>205</v>
      </c>
      <c r="C277" s="153" t="str">
        <f>'Управление ИБ'!B161</f>
        <v>Осуществляется обучение работников распознавать инциденты безопасности и сообщать о них</v>
      </c>
      <c r="D277" s="153" t="str">
        <f>'Управление ИБ'!C161</f>
        <v>УИБ.AW.9</v>
      </c>
      <c r="E277" s="153">
        <f>'Управление ИБ'!D161</f>
        <v>5</v>
      </c>
      <c r="F277" s="153">
        <f>'Управление ИБ'!E161</f>
        <v>3.2</v>
      </c>
      <c r="G277" s="153">
        <f>'Управление ИБ'!F161</f>
        <v>1.6</v>
      </c>
      <c r="H277" s="170">
        <f>'Управление ИБ'!V161</f>
        <v>231.08999999999992</v>
      </c>
      <c r="I277" s="154" t="str">
        <f t="shared" si="42"/>
        <v>КБ2</v>
      </c>
      <c r="J277" s="154">
        <f>'Управление ИБ'!K161</f>
        <v>5</v>
      </c>
      <c r="K277" s="153">
        <f>'Управление ИБ'!I161</f>
        <v>0</v>
      </c>
      <c r="L277" s="153">
        <f>'Управление ИБ'!L161</f>
        <v>0</v>
      </c>
      <c r="M277" s="153">
        <f t="shared" si="41"/>
        <v>0</v>
      </c>
      <c r="N277" s="153">
        <f t="shared" si="43"/>
        <v>5</v>
      </c>
      <c r="O277" s="153" t="str">
        <f>'Управление ИБ'!W161</f>
        <v xml:space="preserve"> - Разместить образовательный курс на образовательной платформе с возможностью отслеживания прогесса обучения.</v>
      </c>
      <c r="P277" s="155" t="s">
        <v>97</v>
      </c>
      <c r="Q277" s="156" t="s">
        <v>1195</v>
      </c>
      <c r="R277" s="153"/>
      <c r="S277" s="157"/>
      <c r="T277" s="151" t="s">
        <v>99</v>
      </c>
      <c r="U277" s="158">
        <v>0</v>
      </c>
      <c r="V277" s="158">
        <v>0</v>
      </c>
      <c r="W277" s="158">
        <v>0</v>
      </c>
      <c r="X277" s="158">
        <f t="shared" si="38"/>
        <v>0</v>
      </c>
      <c r="Y277" s="159"/>
      <c r="Z277" s="160"/>
      <c r="AA277" s="160"/>
      <c r="AB277" s="160"/>
      <c r="AC277" s="160"/>
      <c r="AD277" s="160"/>
      <c r="AE277" s="160"/>
    </row>
    <row r="278" spans="1:31" ht="93.6" hidden="1">
      <c r="A278" s="151" t="s">
        <v>156</v>
      </c>
      <c r="B278" s="152" t="s">
        <v>260</v>
      </c>
      <c r="C278" s="153" t="str">
        <f>СЗИ!B90</f>
        <v>Покрытие инфраструктуры внедренным решением или используемым внешним сервисом по защите от DDoS</v>
      </c>
      <c r="D278" s="153" t="str">
        <f>СЗИ!C90</f>
        <v>УИБ.DDoS.1</v>
      </c>
      <c r="E278" s="153">
        <f>СЗИ!D90</f>
        <v>5</v>
      </c>
      <c r="F278" s="153">
        <f>СЗИ!E90</f>
        <v>3.2</v>
      </c>
      <c r="G278" s="153">
        <f>СЗИ!F90</f>
        <v>0</v>
      </c>
      <c r="H278" s="153">
        <f>СЗИ!V90</f>
        <v>219.01</v>
      </c>
      <c r="I278" s="154" t="str">
        <f t="shared" si="42"/>
        <v>КБ2</v>
      </c>
      <c r="J278" s="154">
        <f>СЗИ!K90</f>
        <v>5</v>
      </c>
      <c r="K278" s="153">
        <f>СЗИ!I90</f>
        <v>0</v>
      </c>
      <c r="L278" s="153">
        <f>СЗИ!L90</f>
        <v>0</v>
      </c>
      <c r="M278" s="153">
        <f t="shared" si="41"/>
        <v>0</v>
      </c>
      <c r="N278" s="153">
        <f t="shared" si="43"/>
        <v>5</v>
      </c>
      <c r="O278" s="153" t="str">
        <f>СЗИ!W90</f>
        <v xml:space="preserve"> - Внедрить решение или подключить сервис по защите от DDoS для критичных ИА на сетевом и транспорном уровне</v>
      </c>
      <c r="P278" s="155" t="s">
        <v>97</v>
      </c>
      <c r="Q278" s="633" t="s">
        <v>1295</v>
      </c>
      <c r="R278" s="153"/>
      <c r="S278" s="157"/>
      <c r="T278" s="151" t="s">
        <v>99</v>
      </c>
      <c r="U278" s="158">
        <v>0</v>
      </c>
      <c r="V278" s="158">
        <v>0</v>
      </c>
      <c r="W278" s="158">
        <v>0</v>
      </c>
      <c r="X278" s="158">
        <f t="shared" si="38"/>
        <v>0</v>
      </c>
      <c r="Y278" s="159"/>
      <c r="Z278" s="160"/>
      <c r="AA278" s="160"/>
      <c r="AB278" s="160"/>
      <c r="AC278" s="160"/>
      <c r="AD278" s="160"/>
      <c r="AE278" s="160"/>
    </row>
    <row r="279" spans="1:31" ht="117" hidden="1">
      <c r="A279" s="151" t="s">
        <v>156</v>
      </c>
      <c r="B279" s="152" t="s">
        <v>260</v>
      </c>
      <c r="C279" s="153" t="str">
        <f>СЗИ!B92</f>
        <v>Проводится актуализация защищаемых ресурсов и порогов срабатывания защиты от отказа в обслуживании</v>
      </c>
      <c r="D279" s="153" t="str">
        <f>СЗИ!C92</f>
        <v>УИБ.DDoS.2</v>
      </c>
      <c r="E279" s="153">
        <f>СЗИ!D92</f>
        <v>5</v>
      </c>
      <c r="F279" s="153">
        <f>СЗИ!E92</f>
        <v>3.2</v>
      </c>
      <c r="G279" s="153">
        <f>СЗИ!F92</f>
        <v>0</v>
      </c>
      <c r="H279" s="153">
        <f>СЗИ!V92</f>
        <v>219.03</v>
      </c>
      <c r="I279" s="154" t="str">
        <f t="shared" si="42"/>
        <v>КБ2</v>
      </c>
      <c r="J279" s="154">
        <f>СЗИ!K92</f>
        <v>5</v>
      </c>
      <c r="K279" s="153">
        <f>СЗИ!I92</f>
        <v>0</v>
      </c>
      <c r="L279" s="153">
        <f>СЗИ!L92</f>
        <v>0</v>
      </c>
      <c r="M279" s="153">
        <f t="shared" si="41"/>
        <v>0</v>
      </c>
      <c r="N279" s="153">
        <f t="shared" si="43"/>
        <v>5</v>
      </c>
      <c r="O279" s="153" t="str">
        <f>СЗИ!W92</f>
        <v xml:space="preserve"> - Обеспечить актуализацию защищаемых ресурсов и порогов срабатывания защиты от отказа в обслуживании не реже 1 раза в год</v>
      </c>
      <c r="P279" s="155" t="s">
        <v>97</v>
      </c>
      <c r="Q279" s="633" t="s">
        <v>1296</v>
      </c>
      <c r="R279" s="153"/>
      <c r="S279" s="157"/>
      <c r="T279" s="151" t="s">
        <v>99</v>
      </c>
      <c r="U279" s="158">
        <v>0</v>
      </c>
      <c r="V279" s="158">
        <v>0</v>
      </c>
      <c r="W279" s="158">
        <v>0</v>
      </c>
      <c r="X279" s="158">
        <f t="shared" si="38"/>
        <v>0</v>
      </c>
      <c r="Y279" s="159"/>
      <c r="Z279" s="160"/>
      <c r="AA279" s="160"/>
      <c r="AB279" s="160"/>
      <c r="AC279" s="160"/>
      <c r="AD279" s="160"/>
      <c r="AE279" s="160"/>
    </row>
    <row r="280" spans="1:31" ht="234" hidden="1">
      <c r="A280" s="151" t="s">
        <v>156</v>
      </c>
      <c r="B280" s="152" t="s">
        <v>232</v>
      </c>
      <c r="C280" s="153" t="str">
        <f>'Управление ИБ'!B185</f>
        <v>Наличие нормативного документа, регламентирующего категории конфиденциальности обрабатываемой информации</v>
      </c>
      <c r="D280" s="153" t="str">
        <f>'Управление ИБ'!C185</f>
        <v>УИБ.Д.1</v>
      </c>
      <c r="E280" s="153">
        <f>'Управление ИБ'!D185</f>
        <v>5</v>
      </c>
      <c r="F280" s="153">
        <f>'Управление ИБ'!E185</f>
        <v>5</v>
      </c>
      <c r="G280" s="153">
        <f>'Управление ИБ'!F185</f>
        <v>0</v>
      </c>
      <c r="H280" s="153">
        <f>'Управление ИБ'!V185</f>
        <v>242.01</v>
      </c>
      <c r="I280" s="154" t="str">
        <f t="shared" si="42"/>
        <v>КБ2</v>
      </c>
      <c r="J280" s="154">
        <f>'Управление ИБ'!K185</f>
        <v>5</v>
      </c>
      <c r="K280" s="153">
        <f>'Управление ИБ'!I185</f>
        <v>0</v>
      </c>
      <c r="L280" s="153">
        <f>'Управление ИБ'!L185</f>
        <v>0</v>
      </c>
      <c r="M280" s="153">
        <f t="shared" si="41"/>
        <v>0</v>
      </c>
      <c r="N280" s="153">
        <f t="shared" si="43"/>
        <v>5</v>
      </c>
      <c r="O280" s="153" t="str">
        <f>'Управление ИБ'!W185</f>
        <v xml:space="preserve"> - Разработать или Получить в Блоке ИБ ПАО Ростелеком типовой ВНД, регламентирующий категории конфиденциальности и порядок их присвоения; 
  - Утвердить в Обществе ВНД, регламентирующий категории конфиденциальности и порядок их присвоения.</v>
      </c>
      <c r="P280" s="155" t="s">
        <v>97</v>
      </c>
      <c r="Q280" s="156" t="s">
        <v>1201</v>
      </c>
      <c r="R280" s="153"/>
      <c r="S280" s="157"/>
      <c r="T280" s="151" t="s">
        <v>99</v>
      </c>
      <c r="U280" s="158">
        <v>0</v>
      </c>
      <c r="V280" s="158">
        <v>0</v>
      </c>
      <c r="W280" s="158">
        <v>0</v>
      </c>
      <c r="X280" s="158">
        <f t="shared" si="38"/>
        <v>0</v>
      </c>
      <c r="Y280" s="159"/>
      <c r="Z280" s="160"/>
      <c r="AA280" s="160"/>
      <c r="AB280" s="160"/>
      <c r="AC280" s="160"/>
      <c r="AD280" s="160"/>
      <c r="AE280" s="160"/>
    </row>
    <row r="281" spans="1:31" ht="140.4" hidden="1">
      <c r="A281" s="151" t="s">
        <v>156</v>
      </c>
      <c r="B281" s="152" t="s">
        <v>232</v>
      </c>
      <c r="C281" s="153" t="str">
        <f>'Управление ИБ'!B186</f>
        <v>Данные на носимых устройствах хранятся в зашифрованном виде</v>
      </c>
      <c r="D281" s="153" t="str">
        <f>'Управление ИБ'!C186</f>
        <v>УИБ.Д.2</v>
      </c>
      <c r="E281" s="153">
        <f>'Управление ИБ'!D186</f>
        <v>5</v>
      </c>
      <c r="F281" s="153">
        <f>'Управление ИБ'!E186</f>
        <v>3.2</v>
      </c>
      <c r="G281" s="153">
        <f>'Управление ИБ'!F186</f>
        <v>1.6</v>
      </c>
      <c r="H281" s="153">
        <f>'Управление ИБ'!V186</f>
        <v>242.01999999999998</v>
      </c>
      <c r="I281" s="154" t="str">
        <f t="shared" si="42"/>
        <v>КБ2</v>
      </c>
      <c r="J281" s="154">
        <f>'Управление ИБ'!K186</f>
        <v>5</v>
      </c>
      <c r="K281" s="153">
        <f>'Управление ИБ'!I186</f>
        <v>0</v>
      </c>
      <c r="L281" s="153">
        <f>'Управление ИБ'!L186</f>
        <v>0</v>
      </c>
      <c r="M281" s="153">
        <f t="shared" si="41"/>
        <v>0</v>
      </c>
      <c r="N281" s="153">
        <f t="shared" si="43"/>
        <v>5</v>
      </c>
      <c r="O281" s="153" t="str">
        <f>'Управление ИБ'!W186</f>
        <v xml:space="preserve"> - Приобрести и установить средства шифрования данных на носимых устройствах (ноутбуки, планшеты, телефоны): не менее чем на 60% устройств.</v>
      </c>
      <c r="P281" s="155" t="s">
        <v>97</v>
      </c>
      <c r="Q281" s="156" t="s">
        <v>1202</v>
      </c>
      <c r="R281" s="153"/>
      <c r="S281" s="157"/>
      <c r="T281" s="151" t="s">
        <v>99</v>
      </c>
      <c r="U281" s="158">
        <v>0</v>
      </c>
      <c r="V281" s="158">
        <v>0</v>
      </c>
      <c r="W281" s="158">
        <v>0</v>
      </c>
      <c r="X281" s="158">
        <f t="shared" si="38"/>
        <v>0</v>
      </c>
      <c r="Y281" s="159"/>
      <c r="Z281" s="160"/>
      <c r="AA281" s="160"/>
      <c r="AB281" s="160"/>
      <c r="AC281" s="160"/>
      <c r="AD281" s="160"/>
      <c r="AE281" s="160"/>
    </row>
    <row r="282" spans="1:31" ht="163.80000000000001" hidden="1">
      <c r="A282" s="151" t="s">
        <v>156</v>
      </c>
      <c r="B282" s="152" t="s">
        <v>232</v>
      </c>
      <c r="C282" s="153" t="str">
        <f>'Управление ИБ'!B187</f>
        <v>Передаваемые между сегментами, сетями за пределами контролируемой зоны данные защищены (сетевые протоколы шифрования и VPN)</v>
      </c>
      <c r="D282" s="153" t="str">
        <f>'Управление ИБ'!C187</f>
        <v>УИБ.Д.3</v>
      </c>
      <c r="E282" s="153">
        <f>'Управление ИБ'!D187</f>
        <v>5</v>
      </c>
      <c r="F282" s="153">
        <f>'Управление ИБ'!E187</f>
        <v>5</v>
      </c>
      <c r="G282" s="153">
        <f>'Управление ИБ'!F187</f>
        <v>3.2</v>
      </c>
      <c r="H282" s="153">
        <f>'Управление ИБ'!V187</f>
        <v>242.02999999999997</v>
      </c>
      <c r="I282" s="154" t="str">
        <f t="shared" si="42"/>
        <v>КБ2</v>
      </c>
      <c r="J282" s="154">
        <f>'Управление ИБ'!K187</f>
        <v>5</v>
      </c>
      <c r="K282" s="153">
        <f>'Управление ИБ'!I187</f>
        <v>0</v>
      </c>
      <c r="L282" s="153">
        <f>'Управление ИБ'!L187</f>
        <v>0</v>
      </c>
      <c r="M282" s="153">
        <f t="shared" si="41"/>
        <v>0</v>
      </c>
      <c r="N282" s="153">
        <f t="shared" si="43"/>
        <v>5</v>
      </c>
      <c r="O282" s="153" t="str">
        <f>'Управление ИБ'!W187</f>
        <v>Разработать ВНД, определяющий правила защищенного информационного взаимодействия между сегментами сети и внешними сетями</v>
      </c>
      <c r="P282" s="155" t="s">
        <v>97</v>
      </c>
      <c r="Q282" s="156" t="s">
        <v>1205</v>
      </c>
      <c r="R282" s="153"/>
      <c r="S282" s="157"/>
      <c r="T282" s="151" t="s">
        <v>99</v>
      </c>
      <c r="U282" s="158">
        <v>0</v>
      </c>
      <c r="V282" s="158">
        <v>0</v>
      </c>
      <c r="W282" s="158">
        <v>0</v>
      </c>
      <c r="X282" s="158">
        <f t="shared" si="38"/>
        <v>0</v>
      </c>
      <c r="Y282" s="159"/>
      <c r="Z282" s="160"/>
      <c r="AA282" s="160"/>
      <c r="AB282" s="160"/>
      <c r="AC282" s="160"/>
      <c r="AD282" s="160"/>
      <c r="AE282" s="160"/>
    </row>
    <row r="283" spans="1:31" ht="117" hidden="1">
      <c r="A283" s="151" t="s">
        <v>156</v>
      </c>
      <c r="B283" s="152" t="s">
        <v>232</v>
      </c>
      <c r="C283" s="153" t="str">
        <f>'Управление ИБ'!B188</f>
        <v>Осуществляется контроль использования личных мобильных устройств</v>
      </c>
      <c r="D283" s="153" t="str">
        <f>'Управление ИБ'!C188</f>
        <v>УИБ.Д.4</v>
      </c>
      <c r="E283" s="153">
        <f>'Управление ИБ'!D188</f>
        <v>3.2</v>
      </c>
      <c r="F283" s="153">
        <f>'Управление ИБ'!E188</f>
        <v>1.6</v>
      </c>
      <c r="G283" s="153">
        <f>'Управление ИБ'!F188</f>
        <v>0</v>
      </c>
      <c r="H283" s="153">
        <f>'Управление ИБ'!V188</f>
        <v>242.03999999999996</v>
      </c>
      <c r="I283" s="154" t="str">
        <f t="shared" si="42"/>
        <v>КБ2</v>
      </c>
      <c r="J283" s="154">
        <f>'Управление ИБ'!K188</f>
        <v>3.2</v>
      </c>
      <c r="K283" s="153">
        <f>'Управление ИБ'!I188</f>
        <v>0</v>
      </c>
      <c r="L283" s="153">
        <f>'Управление ИБ'!L188</f>
        <v>0</v>
      </c>
      <c r="M283" s="153">
        <f t="shared" si="41"/>
        <v>0</v>
      </c>
      <c r="N283" s="153">
        <f t="shared" si="43"/>
        <v>3.2</v>
      </c>
      <c r="O283" s="153" t="str">
        <f>'Управление ИБ'!W188</f>
        <v xml:space="preserve"> - Определить порядок использования личных устройств, разрешения их использования, меры безопасности и ограничения.</v>
      </c>
      <c r="P283" s="155" t="s">
        <v>97</v>
      </c>
      <c r="Q283" s="156" t="s">
        <v>1206</v>
      </c>
      <c r="R283" s="153"/>
      <c r="S283" s="157"/>
      <c r="T283" s="151" t="s">
        <v>99</v>
      </c>
      <c r="U283" s="158">
        <v>0</v>
      </c>
      <c r="V283" s="158">
        <v>0</v>
      </c>
      <c r="W283" s="158">
        <v>0</v>
      </c>
      <c r="X283" s="158">
        <f t="shared" si="38"/>
        <v>0</v>
      </c>
      <c r="Y283" s="159"/>
      <c r="Z283" s="160"/>
      <c r="AA283" s="160"/>
      <c r="AB283" s="160"/>
      <c r="AC283" s="160"/>
      <c r="AD283" s="160"/>
      <c r="AE283" s="160"/>
    </row>
    <row r="284" spans="1:31" ht="163.80000000000001" hidden="1">
      <c r="A284" s="151" t="s">
        <v>156</v>
      </c>
      <c r="B284" s="152" t="s">
        <v>167</v>
      </c>
      <c r="C284" s="153" t="str">
        <f>'Управление ИБ'!B176</f>
        <v>Доступ пользователей осуществляется под уникальными и персонифицированными учетными записями</v>
      </c>
      <c r="D284" s="153" t="str">
        <f>'Управление ИБ'!C176</f>
        <v>УИБ.ИА.2</v>
      </c>
      <c r="E284" s="153">
        <f>'Управление ИБ'!D176</f>
        <v>5</v>
      </c>
      <c r="F284" s="153">
        <f>'Управление ИБ'!E176</f>
        <v>5</v>
      </c>
      <c r="G284" s="153">
        <f>'Управление ИБ'!F176</f>
        <v>3.2</v>
      </c>
      <c r="H284" s="161">
        <f>'Управление ИБ'!V176</f>
        <v>217.01999999999998</v>
      </c>
      <c r="I284" s="154" t="str">
        <f t="shared" si="42"/>
        <v>КБ2</v>
      </c>
      <c r="J284" s="154">
        <f>'Управление ИБ'!K176</f>
        <v>5</v>
      </c>
      <c r="K284" s="153">
        <f>'Управление ИБ'!I176</f>
        <v>0</v>
      </c>
      <c r="L284" s="153">
        <f>'Управление ИБ'!L176</f>
        <v>0</v>
      </c>
      <c r="M284" s="153">
        <f t="shared" si="41"/>
        <v>0</v>
      </c>
      <c r="N284" s="153">
        <f t="shared" si="43"/>
        <v>5</v>
      </c>
      <c r="O284" s="153" t="str">
        <f>'Управление ИБ'!W176</f>
        <v xml:space="preserve"> - Реализовать запрет на использование общих учетных записей и встроенных ('по умолчанию') учетных записей.</v>
      </c>
      <c r="P284" s="155" t="s">
        <v>97</v>
      </c>
      <c r="Q284" s="156" t="s">
        <v>168</v>
      </c>
      <c r="R284" s="153"/>
      <c r="S284" s="157"/>
      <c r="T284" s="151" t="s">
        <v>99</v>
      </c>
      <c r="U284" s="158">
        <v>0</v>
      </c>
      <c r="V284" s="158">
        <v>0</v>
      </c>
      <c r="W284" s="158">
        <v>0</v>
      </c>
      <c r="X284" s="158">
        <f t="shared" si="38"/>
        <v>0</v>
      </c>
      <c r="Y284" s="159"/>
      <c r="Z284" s="160"/>
      <c r="AA284" s="160"/>
      <c r="AB284" s="160"/>
      <c r="AC284" s="160"/>
      <c r="AD284" s="160"/>
      <c r="AE284" s="160"/>
    </row>
    <row r="285" spans="1:31" ht="117" hidden="1">
      <c r="A285" s="151" t="s">
        <v>156</v>
      </c>
      <c r="B285" s="152" t="s">
        <v>167</v>
      </c>
      <c r="C285" s="153" t="str">
        <f>'Управление ИБ'!B179</f>
        <v>Пароли локальных УЗ администраторов на АРМ с ОС Windows хранятся с применением технологии LAPS</v>
      </c>
      <c r="D285" s="153" t="str">
        <f>'Управление ИБ'!C179</f>
        <v>УИБ.ИА.5</v>
      </c>
      <c r="E285" s="153">
        <f>'Управление ИБ'!D179</f>
        <v>5</v>
      </c>
      <c r="F285" s="153">
        <f>'Управление ИБ'!E179</f>
        <v>3.2</v>
      </c>
      <c r="G285" s="153">
        <f>'Управление ИБ'!F179</f>
        <v>0</v>
      </c>
      <c r="H285" s="153">
        <f>'Управление ИБ'!V179</f>
        <v>217.04999999999995</v>
      </c>
      <c r="I285" s="154" t="str">
        <f t="shared" si="42"/>
        <v>КБ2</v>
      </c>
      <c r="J285" s="154">
        <f>'Управление ИБ'!K179</f>
        <v>5</v>
      </c>
      <c r="K285" s="153">
        <f>'Управление ИБ'!I179</f>
        <v>0</v>
      </c>
      <c r="L285" s="153">
        <f>'Управление ИБ'!L179</f>
        <v>0</v>
      </c>
      <c r="M285" s="153">
        <f t="shared" si="41"/>
        <v>0</v>
      </c>
      <c r="N285" s="153">
        <f t="shared" si="43"/>
        <v>5</v>
      </c>
      <c r="O285" s="153" t="str">
        <f>'Управление ИБ'!W179</f>
        <v xml:space="preserve"> - Рализовать применение технологии LAPS не менее чем на 80% АРМ.</v>
      </c>
      <c r="P285" s="155" t="s">
        <v>97</v>
      </c>
      <c r="Q285" s="156" t="s">
        <v>1210</v>
      </c>
      <c r="R285" s="153"/>
      <c r="S285" s="157"/>
      <c r="T285" s="151" t="s">
        <v>99</v>
      </c>
      <c r="U285" s="158">
        <v>0</v>
      </c>
      <c r="V285" s="158">
        <v>0</v>
      </c>
      <c r="W285" s="158">
        <v>0</v>
      </c>
      <c r="X285" s="158">
        <f t="shared" si="38"/>
        <v>0</v>
      </c>
      <c r="Y285" s="159"/>
      <c r="Z285" s="160"/>
      <c r="AA285" s="160"/>
      <c r="AB285" s="160"/>
      <c r="AC285" s="160"/>
      <c r="AD285" s="160"/>
      <c r="AE285" s="160"/>
    </row>
    <row r="286" spans="1:31" ht="117" hidden="1">
      <c r="A286" s="151" t="s">
        <v>156</v>
      </c>
      <c r="B286" s="152" t="s">
        <v>167</v>
      </c>
      <c r="C286" s="153" t="str">
        <f>'Управление ИБ'!B182</f>
        <v>Осуществляется запрет на хранение, использование и передачу аутентификационных данных в открытом виде</v>
      </c>
      <c r="D286" s="153" t="str">
        <f>'Управление ИБ'!C182</f>
        <v>УИБ.ИА.8</v>
      </c>
      <c r="E286" s="153">
        <f>'Управление ИБ'!D182</f>
        <v>5</v>
      </c>
      <c r="F286" s="153">
        <f>'Управление ИБ'!E182</f>
        <v>5</v>
      </c>
      <c r="G286" s="153">
        <f>'Управление ИБ'!F182</f>
        <v>1.6</v>
      </c>
      <c r="H286" s="153">
        <f>'Управление ИБ'!V182</f>
        <v>217.07999999999993</v>
      </c>
      <c r="I286" s="154" t="str">
        <f t="shared" si="42"/>
        <v>КБ2</v>
      </c>
      <c r="J286" s="154">
        <f>'Управление ИБ'!K182</f>
        <v>5</v>
      </c>
      <c r="K286" s="153">
        <f>'Управление ИБ'!I182</f>
        <v>0</v>
      </c>
      <c r="L286" s="153">
        <f>'Управление ИБ'!L182</f>
        <v>0</v>
      </c>
      <c r="M286" s="153">
        <f t="shared" si="41"/>
        <v>0</v>
      </c>
      <c r="N286" s="153">
        <f t="shared" si="43"/>
        <v>5</v>
      </c>
      <c r="O286" s="153" t="str">
        <f>'Управление ИБ'!W182</f>
        <v xml:space="preserve"> - Во всех ИС реализовать механизмы аутентификации обеспечивающие передачу паролей только в защищенном виде.</v>
      </c>
      <c r="P286" s="155" t="s">
        <v>97</v>
      </c>
      <c r="Q286" s="156" t="s">
        <v>1214</v>
      </c>
      <c r="R286" s="153"/>
      <c r="S286" s="157"/>
      <c r="T286" s="151" t="s">
        <v>99</v>
      </c>
      <c r="U286" s="158">
        <v>0</v>
      </c>
      <c r="V286" s="158">
        <v>0</v>
      </c>
      <c r="W286" s="158">
        <v>0</v>
      </c>
      <c r="X286" s="158">
        <f t="shared" si="38"/>
        <v>0</v>
      </c>
      <c r="Y286" s="159"/>
      <c r="Z286" s="160"/>
      <c r="AA286" s="160"/>
      <c r="AB286" s="160"/>
      <c r="AC286" s="160"/>
      <c r="AD286" s="160"/>
      <c r="AE286" s="160"/>
    </row>
    <row r="287" spans="1:31" ht="140.4" hidden="1">
      <c r="A287" s="151" t="s">
        <v>156</v>
      </c>
      <c r="B287" s="152" t="s">
        <v>167</v>
      </c>
      <c r="C287" s="153" t="str">
        <f>'Управление ИБ'!B183</f>
        <v>Наличие специализированного ПО для хранения аутентификационных данных (оценить покрытие средством)</v>
      </c>
      <c r="D287" s="153" t="str">
        <f>'Управление ИБ'!C183</f>
        <v>УИБ.ИА.9</v>
      </c>
      <c r="E287" s="153">
        <f>'Управление ИБ'!D183</f>
        <v>5</v>
      </c>
      <c r="F287" s="153">
        <f>'Управление ИБ'!E183</f>
        <v>3.2</v>
      </c>
      <c r="G287" s="153">
        <f>'Управление ИБ'!F183</f>
        <v>0</v>
      </c>
      <c r="H287" s="153">
        <f>'Управление ИБ'!V183</f>
        <v>217.08999999999992</v>
      </c>
      <c r="I287" s="154" t="str">
        <f t="shared" si="42"/>
        <v>КБ2</v>
      </c>
      <c r="J287" s="154">
        <f>'Управление ИБ'!K183</f>
        <v>5</v>
      </c>
      <c r="K287" s="153">
        <f>'Управление ИБ'!I183</f>
        <v>0</v>
      </c>
      <c r="L287" s="153">
        <f>'Управление ИБ'!L183</f>
        <v>0</v>
      </c>
      <c r="M287" s="153">
        <f t="shared" si="41"/>
        <v>0</v>
      </c>
      <c r="N287" s="153">
        <f t="shared" si="43"/>
        <v>5</v>
      </c>
      <c r="O287" s="153" t="str">
        <f>'Управление ИБ'!W183</f>
        <v xml:space="preserve"> - Приобрести и внедрить средства защищенного хранения паролей. Обеспечить применение администраторами: 100%, пользователями не менее 50%.</v>
      </c>
      <c r="P287" s="155" t="s">
        <v>97</v>
      </c>
      <c r="Q287" s="156" t="s">
        <v>1215</v>
      </c>
      <c r="R287" s="153"/>
      <c r="S287" s="157"/>
      <c r="T287" s="151" t="s">
        <v>99</v>
      </c>
      <c r="U287" s="158">
        <v>0</v>
      </c>
      <c r="V287" s="158">
        <v>0</v>
      </c>
      <c r="W287" s="158">
        <v>0</v>
      </c>
      <c r="X287" s="158">
        <f t="shared" si="38"/>
        <v>0</v>
      </c>
      <c r="Y287" s="159"/>
      <c r="Z287" s="160"/>
      <c r="AA287" s="160"/>
      <c r="AB287" s="160"/>
      <c r="AC287" s="160"/>
      <c r="AD287" s="160"/>
      <c r="AE287" s="160"/>
    </row>
    <row r="288" spans="1:31" ht="280.8" hidden="1">
      <c r="A288" s="151" t="s">
        <v>156</v>
      </c>
      <c r="B288" s="167" t="s">
        <v>163</v>
      </c>
      <c r="C288" s="161" t="str">
        <f>'Управление ИБ'!B110</f>
        <v>Ведется учет используемых и (или) эксплуатируемых физических устройств (АРМ, сервера, принтеры, коммутационное оборудование и т.п.)</v>
      </c>
      <c r="D288" s="161" t="str">
        <f>'Управление ИБ'!C110</f>
        <v>УИБ.ИН.1</v>
      </c>
      <c r="E288" s="161">
        <f>'Управление ИБ'!D110</f>
        <v>5</v>
      </c>
      <c r="F288" s="161">
        <f>'Управление ИБ'!E110</f>
        <v>3.2</v>
      </c>
      <c r="G288" s="161">
        <f>'Управление ИБ'!F110</f>
        <v>1.6</v>
      </c>
      <c r="H288" s="168">
        <f>'Управление ИБ'!V110</f>
        <v>215.01</v>
      </c>
      <c r="I288" s="154" t="str">
        <f t="shared" si="42"/>
        <v>КБ2</v>
      </c>
      <c r="J288" s="169">
        <f>'Управление ИБ'!K110</f>
        <v>5</v>
      </c>
      <c r="K288" s="161">
        <f>'Управление ИБ'!I110</f>
        <v>0</v>
      </c>
      <c r="L288" s="153">
        <f>'Управление ИБ'!L110</f>
        <v>0</v>
      </c>
      <c r="M288" s="153">
        <f t="shared" ref="M288:M319" si="44">IF(K288=J288," ",L288-K288)</f>
        <v>0</v>
      </c>
      <c r="N288" s="153">
        <f t="shared" si="43"/>
        <v>5</v>
      </c>
      <c r="O288" s="153" t="str">
        <f>'Управление ИБ'!W110</f>
        <v xml:space="preserve"> - Реестр должен формироваться на основании результатов автоматизированной инвентаризации не реже одного раза в месяц;
   - Должна проводиться проверка актуальности данных реестра и полноты учета;
   - Количество не учтенных в реестре устройств не должно превышать 5%.</v>
      </c>
      <c r="P288" s="155" t="s">
        <v>97</v>
      </c>
      <c r="Q288" s="156" t="s">
        <v>1148</v>
      </c>
      <c r="R288" s="153"/>
      <c r="S288" s="157"/>
      <c r="T288" s="151" t="s">
        <v>99</v>
      </c>
      <c r="U288" s="158">
        <v>0</v>
      </c>
      <c r="V288" s="158">
        <v>0</v>
      </c>
      <c r="W288" s="158">
        <v>0</v>
      </c>
      <c r="X288" s="158">
        <f t="shared" si="38"/>
        <v>0</v>
      </c>
      <c r="Y288" s="159"/>
      <c r="Z288" s="160"/>
      <c r="AA288" s="160"/>
      <c r="AB288" s="160"/>
      <c r="AC288" s="160"/>
      <c r="AD288" s="160"/>
      <c r="AE288" s="160"/>
    </row>
    <row r="289" spans="1:31" ht="187.2" hidden="1">
      <c r="A289" s="151" t="s">
        <v>156</v>
      </c>
      <c r="B289" s="167" t="s">
        <v>163</v>
      </c>
      <c r="C289" s="161" t="str">
        <f>'Управление ИБ'!B120</f>
        <v>Используется инструментарий активного/пассивного обнаружения активов</v>
      </c>
      <c r="D289" s="161" t="str">
        <f>'Управление ИБ'!C120</f>
        <v>УИБ.ИН.10</v>
      </c>
      <c r="E289" s="161">
        <f>'Управление ИБ'!D120</f>
        <v>5</v>
      </c>
      <c r="F289" s="161">
        <f>'Управление ИБ'!E120</f>
        <v>3.2</v>
      </c>
      <c r="G289" s="161">
        <f>'Управление ИБ'!F120</f>
        <v>0</v>
      </c>
      <c r="H289" s="168">
        <f>'Управление ИБ'!V120</f>
        <v>215.1099999999999</v>
      </c>
      <c r="I289" s="154" t="str">
        <f t="shared" si="42"/>
        <v>КБ2</v>
      </c>
      <c r="J289" s="169">
        <f>'Управление ИБ'!K120</f>
        <v>5</v>
      </c>
      <c r="K289" s="161">
        <f>'Управление ИБ'!I120</f>
        <v>0</v>
      </c>
      <c r="L289" s="153">
        <f>'Управление ИБ'!L120</f>
        <v>0</v>
      </c>
      <c r="M289" s="153">
        <f t="shared" si="44"/>
        <v>0</v>
      </c>
      <c r="N289" s="153">
        <f t="shared" si="43"/>
        <v>5</v>
      </c>
      <c r="O289" s="153" t="str">
        <f>'Управление ИБ'!W120</f>
        <v xml:space="preserve"> -  Для обнаружения новых активов применять инструменты для активного обнаружения;
   - Обнаружение подключенных к сети устройств запускается по расписанию не реже одного раза в день.</v>
      </c>
      <c r="P289" s="155" t="s">
        <v>97</v>
      </c>
      <c r="Q289" s="156" t="s">
        <v>1217</v>
      </c>
      <c r="R289" s="153"/>
      <c r="S289" s="157"/>
      <c r="T289" s="151" t="s">
        <v>99</v>
      </c>
      <c r="U289" s="158">
        <v>0</v>
      </c>
      <c r="V289" s="158">
        <v>0</v>
      </c>
      <c r="W289" s="158">
        <v>0</v>
      </c>
      <c r="X289" s="158">
        <f t="shared" si="38"/>
        <v>0</v>
      </c>
      <c r="Y289" s="159"/>
      <c r="Z289" s="160"/>
      <c r="AA289" s="160"/>
      <c r="AB289" s="160"/>
      <c r="AC289" s="160"/>
      <c r="AD289" s="160"/>
      <c r="AE289" s="160"/>
    </row>
    <row r="290" spans="1:31" ht="117" hidden="1">
      <c r="A290" s="151" t="s">
        <v>156</v>
      </c>
      <c r="B290" s="167" t="s">
        <v>163</v>
      </c>
      <c r="C290" s="161" t="str">
        <f>'Управление ИБ'!B121</f>
        <v>Результаты работы сканеров уязвимости являются источниками для пополнения БД систем инвентаризации</v>
      </c>
      <c r="D290" s="161" t="str">
        <f>'Управление ИБ'!C121</f>
        <v>УИБ.ИН.11</v>
      </c>
      <c r="E290" s="161">
        <f>'Управление ИБ'!D121</f>
        <v>5</v>
      </c>
      <c r="F290" s="161">
        <f>'Управление ИБ'!E121</f>
        <v>3.2</v>
      </c>
      <c r="G290" s="161">
        <f>'Управление ИБ'!F121</f>
        <v>0</v>
      </c>
      <c r="H290" s="168">
        <f>'Управление ИБ'!V121</f>
        <v>215.11999999999989</v>
      </c>
      <c r="I290" s="154" t="str">
        <f t="shared" si="42"/>
        <v>КБ2</v>
      </c>
      <c r="J290" s="169">
        <f>'Управление ИБ'!K121</f>
        <v>5</v>
      </c>
      <c r="K290" s="161">
        <f>'Управление ИБ'!I121</f>
        <v>0</v>
      </c>
      <c r="L290" s="153">
        <f>'Управление ИБ'!L121</f>
        <v>0</v>
      </c>
      <c r="M290" s="153">
        <f t="shared" si="44"/>
        <v>0</v>
      </c>
      <c r="N290" s="153">
        <f t="shared" si="43"/>
        <v>5</v>
      </c>
      <c r="O290" s="153" t="str">
        <f>'Управление ИБ'!W121</f>
        <v xml:space="preserve"> - Обеспечить актуализацию инвентаризационных реестров по результатам сканирования в автоматизированном режиме (возможно в ручном режиме)</v>
      </c>
      <c r="P290" s="155" t="s">
        <v>97</v>
      </c>
      <c r="Q290" s="156" t="s">
        <v>1219</v>
      </c>
      <c r="R290" s="153"/>
      <c r="S290" s="157"/>
      <c r="T290" s="151" t="s">
        <v>99</v>
      </c>
      <c r="U290" s="158">
        <v>0</v>
      </c>
      <c r="V290" s="158">
        <v>0</v>
      </c>
      <c r="W290" s="158">
        <v>0</v>
      </c>
      <c r="X290" s="158">
        <f t="shared" si="38"/>
        <v>0</v>
      </c>
      <c r="Y290" s="159"/>
      <c r="Z290" s="160"/>
      <c r="AA290" s="160"/>
      <c r="AB290" s="160"/>
      <c r="AC290" s="160"/>
      <c r="AD290" s="160"/>
      <c r="AE290" s="160"/>
    </row>
    <row r="291" spans="1:31" ht="210.6" hidden="1">
      <c r="A291" s="151" t="s">
        <v>156</v>
      </c>
      <c r="B291" s="167" t="s">
        <v>163</v>
      </c>
      <c r="C291" s="161" t="str">
        <f>'Управление ИБ'!B122</f>
        <v>Производится регулярный контроль фактического состава созданных, используемых и (или) эксплуатируемых информационных активов и их корректного размещения в сегментах вычислительных сетей</v>
      </c>
      <c r="D291" s="161" t="str">
        <f>'Управление ИБ'!C122</f>
        <v>УИБ.ИН.12</v>
      </c>
      <c r="E291" s="161">
        <f>'Управление ИБ'!D122</f>
        <v>5</v>
      </c>
      <c r="F291" s="161">
        <f>'Управление ИБ'!E122</f>
        <v>3.2</v>
      </c>
      <c r="G291" s="161">
        <f>'Управление ИБ'!F122</f>
        <v>0</v>
      </c>
      <c r="H291" s="168">
        <f>'Управление ИБ'!V122</f>
        <v>215.12999999999988</v>
      </c>
      <c r="I291" s="154" t="str">
        <f t="shared" si="42"/>
        <v>КБ2</v>
      </c>
      <c r="J291" s="169">
        <f>'Управление ИБ'!K122</f>
        <v>5</v>
      </c>
      <c r="K291" s="161">
        <f>'Управление ИБ'!I122</f>
        <v>0</v>
      </c>
      <c r="L291" s="153">
        <f>'Управление ИБ'!L122</f>
        <v>0</v>
      </c>
      <c r="M291" s="153">
        <f t="shared" si="44"/>
        <v>0</v>
      </c>
      <c r="N291" s="153">
        <f t="shared" si="43"/>
        <v>5</v>
      </c>
      <c r="O291" s="153" t="str">
        <f>'Управление ИБ'!W122</f>
        <v xml:space="preserve"> - Разработать и внедрить процесс контроля фактического состава созданных, используемых и (или) эксплуатируемых информационных активов и их корректного размещения в сегментах вычислительных сетей</v>
      </c>
      <c r="P291" s="155" t="s">
        <v>97</v>
      </c>
      <c r="Q291" s="156" t="s">
        <v>1221</v>
      </c>
      <c r="R291" s="153"/>
      <c r="S291" s="157"/>
      <c r="T291" s="151" t="s">
        <v>99</v>
      </c>
      <c r="U291" s="158">
        <v>0</v>
      </c>
      <c r="V291" s="158">
        <v>0</v>
      </c>
      <c r="W291" s="158">
        <v>0</v>
      </c>
      <c r="X291" s="158">
        <f t="shared" si="38"/>
        <v>0</v>
      </c>
      <c r="Y291" s="159"/>
      <c r="Z291" s="160"/>
      <c r="AA291" s="160"/>
      <c r="AB291" s="160"/>
      <c r="AC291" s="160"/>
      <c r="AD291" s="160"/>
      <c r="AE291" s="160"/>
    </row>
    <row r="292" spans="1:31" ht="409.6" hidden="1">
      <c r="A292" s="151" t="s">
        <v>156</v>
      </c>
      <c r="B292" s="167" t="s">
        <v>163</v>
      </c>
      <c r="C292" s="161" t="str">
        <f>'Управление ИБ'!B123</f>
        <v>Осуществляется разработка, ведение, актуализация, хранение проектной, рабочей, эксплуатационной документации на информационные системы</v>
      </c>
      <c r="D292" s="161" t="str">
        <f>'Управление ИБ'!C123</f>
        <v>УИБ.ИН.13</v>
      </c>
      <c r="E292" s="161">
        <f>'Управление ИБ'!D123</f>
        <v>5</v>
      </c>
      <c r="F292" s="161">
        <f>'Управление ИБ'!E123</f>
        <v>3.2</v>
      </c>
      <c r="G292" s="161">
        <f>'Управление ИБ'!F123</f>
        <v>0</v>
      </c>
      <c r="H292" s="168">
        <f>'Управление ИБ'!V123</f>
        <v>215.13999999999987</v>
      </c>
      <c r="I292" s="154" t="str">
        <f t="shared" si="42"/>
        <v>КБ2</v>
      </c>
      <c r="J292" s="169">
        <f>'Управление ИБ'!K123</f>
        <v>5</v>
      </c>
      <c r="K292" s="161">
        <f>'Управление ИБ'!I123</f>
        <v>0</v>
      </c>
      <c r="L292" s="153">
        <f>'Управление ИБ'!L123</f>
        <v>0</v>
      </c>
      <c r="M292" s="153">
        <f t="shared" si="44"/>
        <v>0</v>
      </c>
      <c r="N292" s="153">
        <f t="shared" si="43"/>
        <v>5</v>
      </c>
      <c r="O292" s="153" t="str">
        <f>'Управление ИБ'!W123</f>
        <v xml:space="preserve"> - Определить порядок ввода в экплуатацию, учета и вывода из эксплуатации информационных систем  внутренними нормативными документами;
  - В указанных документах должны быть описаны процедуры разработки, ведения, актуализации, хранения проектной, рабочей, эксплуатационной документации на информационные системы;
  - Проектную, рабочую, эксплуатационную и иную документацию на информационные системы необходимо хранить в локальных базах данных</v>
      </c>
      <c r="P292" s="155" t="s">
        <v>97</v>
      </c>
      <c r="Q292" s="156" t="s">
        <v>1224</v>
      </c>
      <c r="R292" s="153"/>
      <c r="S292" s="157"/>
      <c r="T292" s="151" t="s">
        <v>99</v>
      </c>
      <c r="U292" s="158">
        <v>0</v>
      </c>
      <c r="V292" s="158">
        <v>0</v>
      </c>
      <c r="W292" s="158">
        <v>0</v>
      </c>
      <c r="X292" s="158">
        <f t="shared" si="38"/>
        <v>0</v>
      </c>
      <c r="Y292" s="159"/>
      <c r="Z292" s="160"/>
      <c r="AA292" s="160"/>
      <c r="AB292" s="160"/>
      <c r="AC292" s="160"/>
      <c r="AD292" s="160"/>
      <c r="AE292" s="160"/>
    </row>
    <row r="293" spans="1:31" ht="409.6" hidden="1">
      <c r="A293" s="151" t="s">
        <v>156</v>
      </c>
      <c r="B293" s="167" t="s">
        <v>163</v>
      </c>
      <c r="C293" s="161" t="str">
        <f>'Управление ИБ'!B111</f>
        <v>Ведется учет имеющегося и используемого ПО</v>
      </c>
      <c r="D293" s="161" t="str">
        <f>'Управление ИБ'!C111</f>
        <v>УИБ.ИН.2</v>
      </c>
      <c r="E293" s="161">
        <f>'Управление ИБ'!D111</f>
        <v>5</v>
      </c>
      <c r="F293" s="161">
        <f>'Управление ИБ'!E111</f>
        <v>3.2</v>
      </c>
      <c r="G293" s="161">
        <f>'Управление ИБ'!F111</f>
        <v>1.6</v>
      </c>
      <c r="H293" s="168">
        <f>'Управление ИБ'!V111</f>
        <v>215.01999999999998</v>
      </c>
      <c r="I293" s="154" t="str">
        <f t="shared" si="42"/>
        <v>КБ2</v>
      </c>
      <c r="J293" s="169">
        <f>'Управление ИБ'!K111</f>
        <v>5</v>
      </c>
      <c r="K293" s="161">
        <f>'Управление ИБ'!I111</f>
        <v>0</v>
      </c>
      <c r="L293" s="153">
        <f>'Управление ИБ'!L111</f>
        <v>0</v>
      </c>
      <c r="M293" s="153">
        <f t="shared" si="44"/>
        <v>0</v>
      </c>
      <c r="N293" s="153">
        <f t="shared" si="43"/>
        <v>5</v>
      </c>
      <c r="O293" s="153" t="str">
        <f>'Управление ИБ'!W111</f>
        <v xml:space="preserve">- Проверять, что авторизованное программное обеспечение из реестра поддерживается вендором:
 - В реестре авторизованного ПО должны содержаться только программы, которые поддерживаются производителем; 
 - Если ПО не поддерживается, но все еще используется, для него необходимо предусмотреть компенсирующие меры при выявлении уязвимостей;
 - Наличие поддержки от вендора должно проверяться для всего ПО не реже одного раза в год. </v>
      </c>
      <c r="P293" s="155" t="s">
        <v>97</v>
      </c>
      <c r="Q293" s="156" t="s">
        <v>1157</v>
      </c>
      <c r="R293" s="153"/>
      <c r="S293" s="157"/>
      <c r="T293" s="151" t="s">
        <v>99</v>
      </c>
      <c r="U293" s="158">
        <v>0</v>
      </c>
      <c r="V293" s="158">
        <v>0</v>
      </c>
      <c r="W293" s="158">
        <v>0</v>
      </c>
      <c r="X293" s="158">
        <f t="shared" si="38"/>
        <v>0</v>
      </c>
      <c r="Y293" s="159"/>
      <c r="Z293" s="160"/>
      <c r="AA293" s="160"/>
      <c r="AB293" s="160"/>
      <c r="AC293" s="160"/>
      <c r="AD293" s="160"/>
      <c r="AE293" s="160"/>
    </row>
    <row r="294" spans="1:31" ht="409.6" hidden="1">
      <c r="A294" s="151" t="s">
        <v>156</v>
      </c>
      <c r="B294" s="167" t="s">
        <v>163</v>
      </c>
      <c r="C294" s="161" t="str">
        <f>'Управление ИБ'!B112</f>
        <v>Ведется персонифицированный учет учетных записей (УЗ), технологических УЗ, привилегированных УЗ и УЗ групповых почтовых ящиков</v>
      </c>
      <c r="D294" s="161" t="str">
        <f>'Управление ИБ'!C112</f>
        <v>УИБ.ИН.3</v>
      </c>
      <c r="E294" s="161">
        <f>'Управление ИБ'!D112</f>
        <v>5</v>
      </c>
      <c r="F294" s="161">
        <f>'Управление ИБ'!E112</f>
        <v>3.2</v>
      </c>
      <c r="G294" s="161">
        <f>'Управление ИБ'!F112</f>
        <v>1.6</v>
      </c>
      <c r="H294" s="168">
        <f>'Управление ИБ'!V112</f>
        <v>215.02999999999997</v>
      </c>
      <c r="I294" s="154" t="str">
        <f t="shared" si="42"/>
        <v>КБ2</v>
      </c>
      <c r="J294" s="169">
        <f>'Управление ИБ'!K112</f>
        <v>5</v>
      </c>
      <c r="K294" s="161">
        <f>'Управление ИБ'!I112</f>
        <v>0</v>
      </c>
      <c r="L294" s="153">
        <f>'Управление ИБ'!L112</f>
        <v>0</v>
      </c>
      <c r="M294" s="153">
        <f t="shared" si="44"/>
        <v>0</v>
      </c>
      <c r="N294" s="153">
        <f t="shared" si="43"/>
        <v>5</v>
      </c>
      <c r="O294" s="153" t="str">
        <f>'Управление ИБ'!W112</f>
        <v xml:space="preserve"> - Реализовать автоматическую блокировку доменных учетных запией уволенных работников/ Интегрировать доменную службу каталогов с кадровой системой;
 - Создать и поддерживать реестр служебных учетных записей:
Для каждой служебной записи должно быть указано подразделение-владелец, цели учетной записи и дата пересмотра;
Создать и поддерживать реестр локальных учетных записей;
Внедрить централизованное управление учетными записями для сетевого оборудования.</v>
      </c>
      <c r="P294" s="155" t="s">
        <v>97</v>
      </c>
      <c r="Q294" s="156" t="s">
        <v>1155</v>
      </c>
      <c r="R294" s="153"/>
      <c r="S294" s="157"/>
      <c r="T294" s="151" t="s">
        <v>99</v>
      </c>
      <c r="U294" s="158">
        <v>0</v>
      </c>
      <c r="V294" s="158">
        <v>0</v>
      </c>
      <c r="W294" s="158">
        <v>0</v>
      </c>
      <c r="X294" s="158">
        <f t="shared" si="38"/>
        <v>0</v>
      </c>
      <c r="Y294" s="159"/>
      <c r="Z294" s="160"/>
      <c r="AA294" s="160"/>
      <c r="AB294" s="160"/>
      <c r="AC294" s="160"/>
      <c r="AD294" s="160"/>
      <c r="AE294" s="160"/>
    </row>
    <row r="295" spans="1:31" ht="257.39999999999998" hidden="1">
      <c r="A295" s="151" t="s">
        <v>156</v>
      </c>
      <c r="B295" s="167" t="s">
        <v>163</v>
      </c>
      <c r="C295" s="161" t="str">
        <f>'Управление ИБ'!B113</f>
        <v>Контроль белого (разрешенного) и черного (неразрешенного) списка программного обеспечения.</v>
      </c>
      <c r="D295" s="161" t="str">
        <f>'Управление ИБ'!C113</f>
        <v>УИБ.ИН.4</v>
      </c>
      <c r="E295" s="161">
        <f>'Управление ИБ'!D113</f>
        <v>5</v>
      </c>
      <c r="F295" s="161">
        <f>'Управление ИБ'!E113</f>
        <v>3.2</v>
      </c>
      <c r="G295" s="161">
        <f>'Управление ИБ'!F113</f>
        <v>1.6</v>
      </c>
      <c r="H295" s="168">
        <f>'Управление ИБ'!V113</f>
        <v>215.03999999999996</v>
      </c>
      <c r="I295" s="154" t="str">
        <f t="shared" si="42"/>
        <v>КБ2</v>
      </c>
      <c r="J295" s="169">
        <f>'Управление ИБ'!K113</f>
        <v>5</v>
      </c>
      <c r="K295" s="161">
        <f>'Управление ИБ'!I113</f>
        <v>0</v>
      </c>
      <c r="L295" s="153">
        <f>'Управление ИБ'!L113</f>
        <v>0</v>
      </c>
      <c r="M295" s="153">
        <f t="shared" si="44"/>
        <v>0</v>
      </c>
      <c r="N295" s="153">
        <f t="shared" si="43"/>
        <v>5</v>
      </c>
      <c r="O295" s="153" t="str">
        <f>'Управление ИБ'!W113</f>
        <v xml:space="preserve"> - Использовать белые списки авторизованного ПО для АРМ пользователей. Проводить проверку ПО, установленного на АРМ;
   - Проверять, что всё используемое ПО включено в реестр, при выявлении неучтенного ПО обеспечивать его удаление/Автоматизировать процесс проверки. </v>
      </c>
      <c r="P295" s="155" t="s">
        <v>97</v>
      </c>
      <c r="Q295" s="156" t="s">
        <v>1249</v>
      </c>
      <c r="R295" s="153"/>
      <c r="S295" s="157"/>
      <c r="T295" s="151" t="s">
        <v>99</v>
      </c>
      <c r="U295" s="158">
        <v>0</v>
      </c>
      <c r="V295" s="158">
        <v>0</v>
      </c>
      <c r="W295" s="158">
        <v>0</v>
      </c>
      <c r="X295" s="158">
        <f t="shared" si="38"/>
        <v>0</v>
      </c>
      <c r="Y295" s="159"/>
      <c r="Z295" s="160"/>
      <c r="AA295" s="160"/>
      <c r="AB295" s="160"/>
      <c r="AC295" s="160"/>
      <c r="AD295" s="160"/>
      <c r="AE295" s="160"/>
    </row>
    <row r="296" spans="1:31" ht="93.6" hidden="1">
      <c r="A296" s="151" t="s">
        <v>156</v>
      </c>
      <c r="B296" s="167" t="s">
        <v>163</v>
      </c>
      <c r="C296" s="161" t="str">
        <f>'Управление ИБ'!B114</f>
        <v>Ведется учет использования адресных пространств (IP)</v>
      </c>
      <c r="D296" s="161" t="str">
        <f>'Управление ИБ'!C114</f>
        <v>УИБ.ИН.5</v>
      </c>
      <c r="E296" s="161">
        <f>'Управление ИБ'!D114</f>
        <v>5</v>
      </c>
      <c r="F296" s="161">
        <f>'Управление ИБ'!E114</f>
        <v>3.2</v>
      </c>
      <c r="G296" s="161">
        <f>'Управление ИБ'!F114</f>
        <v>1.6</v>
      </c>
      <c r="H296" s="168">
        <f>'Управление ИБ'!V114</f>
        <v>215.04999999999995</v>
      </c>
      <c r="I296" s="154" t="str">
        <f t="shared" si="42"/>
        <v>КБ2</v>
      </c>
      <c r="J296" s="169">
        <f>'Управление ИБ'!K114</f>
        <v>5</v>
      </c>
      <c r="K296" s="161">
        <f>'Управление ИБ'!I114</f>
        <v>0</v>
      </c>
      <c r="L296" s="153">
        <f>'Управление ИБ'!L114</f>
        <v>0</v>
      </c>
      <c r="M296" s="153">
        <f t="shared" si="44"/>
        <v>0</v>
      </c>
      <c r="N296" s="153">
        <f t="shared" si="43"/>
        <v>5</v>
      </c>
      <c r="O296" s="153" t="str">
        <f>'Управление ИБ'!W114</f>
        <v xml:space="preserve"> - Регламентировать порядок учета управления IP-адресным пространством.</v>
      </c>
      <c r="P296" s="155" t="s">
        <v>97</v>
      </c>
      <c r="Q296" s="156" t="s">
        <v>1160</v>
      </c>
      <c r="R296" s="153"/>
      <c r="S296" s="157"/>
      <c r="T296" s="151" t="s">
        <v>99</v>
      </c>
      <c r="U296" s="158">
        <v>0</v>
      </c>
      <c r="V296" s="158">
        <v>0</v>
      </c>
      <c r="W296" s="158">
        <v>0</v>
      </c>
      <c r="X296" s="158">
        <f t="shared" si="38"/>
        <v>0</v>
      </c>
      <c r="Y296" s="159"/>
      <c r="Z296" s="160"/>
      <c r="AA296" s="160"/>
      <c r="AB296" s="160"/>
      <c r="AC296" s="160"/>
      <c r="AD296" s="160"/>
      <c r="AE296" s="160"/>
    </row>
    <row r="297" spans="1:31" ht="117" hidden="1">
      <c r="A297" s="151" t="s">
        <v>156</v>
      </c>
      <c r="B297" s="167" t="s">
        <v>163</v>
      </c>
      <c r="C297" s="161" t="str">
        <f>'Управление ИБ'!B115</f>
        <v>Ведется учет созданных, используемых и (или) эксплуатируемых ИС</v>
      </c>
      <c r="D297" s="161" t="str">
        <f>'Управление ИБ'!C115</f>
        <v>УИБ.ИН.6</v>
      </c>
      <c r="E297" s="161">
        <f>'Управление ИБ'!D115</f>
        <v>5</v>
      </c>
      <c r="F297" s="161">
        <f>'Управление ИБ'!E115</f>
        <v>3.2</v>
      </c>
      <c r="G297" s="161">
        <f>'Управление ИБ'!F115</f>
        <v>1.6</v>
      </c>
      <c r="H297" s="168">
        <f>'Управление ИБ'!V115</f>
        <v>215.05999999999995</v>
      </c>
      <c r="I297" s="154" t="str">
        <f t="shared" si="42"/>
        <v>КБ2</v>
      </c>
      <c r="J297" s="169">
        <f>'Управление ИБ'!K115</f>
        <v>5</v>
      </c>
      <c r="K297" s="161">
        <f>'Управление ИБ'!I115</f>
        <v>0</v>
      </c>
      <c r="L297" s="153">
        <f>'Управление ИБ'!L115</f>
        <v>0</v>
      </c>
      <c r="M297" s="153">
        <f t="shared" si="44"/>
        <v>0</v>
      </c>
      <c r="N297" s="153">
        <f t="shared" si="43"/>
        <v>5</v>
      </c>
      <c r="O297" s="153" t="str">
        <f>'Управление ИБ'!W115</f>
        <v xml:space="preserve"> - Порядок ввода в экплуатацию, учета и вывода из эксплуатации информационных систем определить внутренними нормативными документами.</v>
      </c>
      <c r="P297" s="155" t="s">
        <v>97</v>
      </c>
      <c r="Q297" s="156" t="s">
        <v>1165</v>
      </c>
      <c r="R297" s="153"/>
      <c r="S297" s="157"/>
      <c r="T297" s="151" t="s">
        <v>99</v>
      </c>
      <c r="U297" s="158">
        <v>0</v>
      </c>
      <c r="V297" s="158">
        <v>0</v>
      </c>
      <c r="W297" s="158">
        <v>0</v>
      </c>
      <c r="X297" s="158">
        <f t="shared" si="38"/>
        <v>0</v>
      </c>
      <c r="Y297" s="159"/>
      <c r="Z297" s="160"/>
      <c r="AA297" s="160"/>
      <c r="AB297" s="160"/>
      <c r="AC297" s="160"/>
      <c r="AD297" s="160"/>
      <c r="AE297" s="160"/>
    </row>
    <row r="298" spans="1:31" ht="117" hidden="1">
      <c r="A298" s="151" t="s">
        <v>156</v>
      </c>
      <c r="B298" s="167" t="s">
        <v>163</v>
      </c>
      <c r="C298" s="161" t="str">
        <f>'Управление ИБ'!B119</f>
        <v>Наличие специализированного ПО для хранения инвентаризационных данных</v>
      </c>
      <c r="D298" s="161" t="str">
        <f>'Управление ИБ'!C119</f>
        <v>УИБ.ИН.9</v>
      </c>
      <c r="E298" s="161">
        <f>'Управление ИБ'!D119</f>
        <v>5</v>
      </c>
      <c r="F298" s="161">
        <f>'Управление ИБ'!E119</f>
        <v>3.2</v>
      </c>
      <c r="G298" s="161">
        <f>'Управление ИБ'!F119</f>
        <v>0</v>
      </c>
      <c r="H298" s="168">
        <f>'Управление ИБ'!V119</f>
        <v>215.09999999999991</v>
      </c>
      <c r="I298" s="154" t="str">
        <f t="shared" si="42"/>
        <v>КБ2</v>
      </c>
      <c r="J298" s="169">
        <f>'Управление ИБ'!K119</f>
        <v>5</v>
      </c>
      <c r="K298" s="161">
        <f>'Управление ИБ'!I119</f>
        <v>0</v>
      </c>
      <c r="L298" s="153">
        <f>'Управление ИБ'!L119</f>
        <v>0</v>
      </c>
      <c r="M298" s="153">
        <f t="shared" si="44"/>
        <v>0</v>
      </c>
      <c r="N298" s="153">
        <f t="shared" si="43"/>
        <v>5</v>
      </c>
      <c r="O298" s="153" t="str">
        <f>'Управление ИБ'!W119</f>
        <v xml:space="preserve"> - Применять для каждого вида активов  локальные базы данных, информационные ресурсы  для хранения инвентаризационных данных</v>
      </c>
      <c r="P298" s="155" t="s">
        <v>97</v>
      </c>
      <c r="Q298" s="156" t="s">
        <v>1239</v>
      </c>
      <c r="R298" s="153"/>
      <c r="S298" s="157"/>
      <c r="T298" s="151" t="s">
        <v>99</v>
      </c>
      <c r="U298" s="158">
        <v>0</v>
      </c>
      <c r="V298" s="158">
        <v>0</v>
      </c>
      <c r="W298" s="158">
        <v>0</v>
      </c>
      <c r="X298" s="158">
        <f t="shared" si="38"/>
        <v>0</v>
      </c>
      <c r="Y298" s="159"/>
      <c r="Z298" s="160"/>
      <c r="AA298" s="160"/>
      <c r="AB298" s="160"/>
      <c r="AC298" s="160"/>
      <c r="AD298" s="160"/>
      <c r="AE298" s="160"/>
    </row>
    <row r="299" spans="1:31" ht="409.6" hidden="1">
      <c r="A299" s="151" t="s">
        <v>156</v>
      </c>
      <c r="B299" s="167" t="s">
        <v>284</v>
      </c>
      <c r="C299" s="161" t="str">
        <f>'Управление ИБ'!B125</f>
        <v>Определены требования к отказоустойчивости компонент</v>
      </c>
      <c r="D299" s="161" t="str">
        <f>'Управление ИБ'!C125</f>
        <v>УИБ.ОД.1</v>
      </c>
      <c r="E299" s="161">
        <f>'Управление ИБ'!D125</f>
        <v>5</v>
      </c>
      <c r="F299" s="161">
        <f>'Управление ИБ'!E125</f>
        <v>5</v>
      </c>
      <c r="G299" s="161">
        <f>'Управление ИБ'!F125</f>
        <v>0</v>
      </c>
      <c r="H299" s="161">
        <f>'Управление ИБ'!V125</f>
        <v>239.01</v>
      </c>
      <c r="I299" s="154" t="str">
        <f t="shared" si="42"/>
        <v>КБ2</v>
      </c>
      <c r="J299" s="169">
        <f>'Управление ИБ'!K125</f>
        <v>5</v>
      </c>
      <c r="K299" s="161">
        <f>'Управление ИБ'!I125</f>
        <v>0</v>
      </c>
      <c r="L299" s="153">
        <f>'Управление ИБ'!L125</f>
        <v>0</v>
      </c>
      <c r="M299" s="153">
        <f t="shared" si="44"/>
        <v>0</v>
      </c>
      <c r="N299" s="153">
        <f t="shared" si="43"/>
        <v>5</v>
      </c>
      <c r="O299" s="153" t="str">
        <f>'Управление ИБ'!W125</f>
        <v xml:space="preserve"> - Провести анализ всех ИС и определить требования к отказоустойчивости для каждой;
   - Определить требования к характеристикам отказоустойчивости, дублированию, резервированию всех программных и  аппаратных компонентов ИС, обеспечивающих систем, внешних сервисов, облачных провайдеров, каналов связи, ЦОД;
   - Обеспечить реализацию требований. 
 - Регламентировать процесс обеспечения отказоустойчивости;
    - Контролировать выполнение требований к отказоустойчивости.</v>
      </c>
      <c r="P299" s="155" t="s">
        <v>97</v>
      </c>
      <c r="Q299" s="156" t="s">
        <v>1228</v>
      </c>
      <c r="R299" s="153"/>
      <c r="S299" s="157"/>
      <c r="T299" s="151" t="s">
        <v>99</v>
      </c>
      <c r="U299" s="158">
        <v>0</v>
      </c>
      <c r="V299" s="158">
        <v>0</v>
      </c>
      <c r="W299" s="158">
        <v>0</v>
      </c>
      <c r="X299" s="158">
        <f t="shared" si="38"/>
        <v>0</v>
      </c>
      <c r="Y299" s="159"/>
      <c r="Z299" s="160"/>
      <c r="AA299" s="160"/>
      <c r="AB299" s="160"/>
      <c r="AC299" s="160"/>
      <c r="AD299" s="160"/>
      <c r="AE299" s="160"/>
    </row>
    <row r="300" spans="1:31" ht="117" hidden="1">
      <c r="A300" s="151" t="s">
        <v>156</v>
      </c>
      <c r="B300" s="167" t="s">
        <v>284</v>
      </c>
      <c r="C300" s="161" t="str">
        <f>'Управление ИБ'!B126</f>
        <v>Осуществляется дублирование инфраструктуры в разных территориально разделенных ЦОД</v>
      </c>
      <c r="D300" s="161" t="str">
        <f>'Управление ИБ'!C126</f>
        <v>УИБ.ОД.2</v>
      </c>
      <c r="E300" s="161">
        <f>'Управление ИБ'!D126</f>
        <v>5</v>
      </c>
      <c r="F300" s="161">
        <f>'Управление ИБ'!E126</f>
        <v>3.2</v>
      </c>
      <c r="G300" s="161">
        <f>'Управление ИБ'!F126</f>
        <v>0</v>
      </c>
      <c r="H300" s="161">
        <f>'Управление ИБ'!V126</f>
        <v>239.01999999999998</v>
      </c>
      <c r="I300" s="154" t="str">
        <f t="shared" si="42"/>
        <v>КБ2</v>
      </c>
      <c r="J300" s="169">
        <f>'Управление ИБ'!K126</f>
        <v>5</v>
      </c>
      <c r="K300" s="161">
        <f>'Управление ИБ'!I126</f>
        <v>0</v>
      </c>
      <c r="L300" s="153">
        <f>'Управление ИБ'!L126</f>
        <v>0</v>
      </c>
      <c r="M300" s="153">
        <f t="shared" si="44"/>
        <v>0</v>
      </c>
      <c r="N300" s="153">
        <f t="shared" si="43"/>
        <v>5</v>
      </c>
      <c r="O300" s="153" t="str">
        <f>'Управление ИБ'!W126</f>
        <v xml:space="preserve"> - Обеспечить дублирование инфраструктуры в разных ЦОД для критичных ИС.</v>
      </c>
      <c r="P300" s="155" t="s">
        <v>97</v>
      </c>
      <c r="Q300" s="156" t="s">
        <v>1230</v>
      </c>
      <c r="R300" s="153"/>
      <c r="S300" s="157"/>
      <c r="T300" s="151" t="s">
        <v>99</v>
      </c>
      <c r="U300" s="158">
        <v>0</v>
      </c>
      <c r="V300" s="158">
        <v>0</v>
      </c>
      <c r="W300" s="158">
        <v>0</v>
      </c>
      <c r="X300" s="158">
        <f t="shared" si="38"/>
        <v>0</v>
      </c>
      <c r="Y300" s="159"/>
      <c r="Z300" s="160"/>
      <c r="AA300" s="160"/>
      <c r="AB300" s="160"/>
      <c r="AC300" s="160"/>
      <c r="AD300" s="160"/>
      <c r="AE300" s="160"/>
    </row>
    <row r="301" spans="1:31" ht="234" hidden="1">
      <c r="A301" s="151" t="s">
        <v>156</v>
      </c>
      <c r="B301" s="167" t="s">
        <v>284</v>
      </c>
      <c r="C301" s="161" t="str">
        <f>'Управление ИБ'!B128</f>
        <v>Наличие достаточного перечня запасных частей и материалов, а также активной технической поддержки на оборудование и программное обеспечение</v>
      </c>
      <c r="D301" s="161" t="str">
        <f>'Управление ИБ'!C128</f>
        <v>УИБ.ОД.4</v>
      </c>
      <c r="E301" s="161">
        <f>'Управление ИБ'!D128</f>
        <v>5</v>
      </c>
      <c r="F301" s="161">
        <f>'Управление ИБ'!E128</f>
        <v>3.2</v>
      </c>
      <c r="G301" s="161">
        <f>'Управление ИБ'!F128</f>
        <v>0</v>
      </c>
      <c r="H301" s="161">
        <f>'Управление ИБ'!V128</f>
        <v>239.03999999999996</v>
      </c>
      <c r="I301" s="154" t="str">
        <f t="shared" si="42"/>
        <v>КБ2</v>
      </c>
      <c r="J301" s="169">
        <f>'Управление ИБ'!K128</f>
        <v>5</v>
      </c>
      <c r="K301" s="161">
        <f>'Управление ИБ'!I128</f>
        <v>0</v>
      </c>
      <c r="L301" s="153">
        <f>'Управление ИБ'!L128</f>
        <v>0</v>
      </c>
      <c r="M301" s="153">
        <f t="shared" si="44"/>
        <v>0</v>
      </c>
      <c r="N301" s="153">
        <f t="shared" si="43"/>
        <v>5</v>
      </c>
      <c r="O301" s="153" t="str">
        <f>'Управление ИБ'!W128</f>
        <v xml:space="preserve"> - Определить перечень запасных частей и материалов, необходимых для обеспечения непрерывной работы информационных систем и проведения аварийно-восстановительных работ;
   - Закупить в требуемом объеме запасные части и материалы. </v>
      </c>
      <c r="P301" s="155" t="s">
        <v>97</v>
      </c>
      <c r="Q301" s="156" t="s">
        <v>1234</v>
      </c>
      <c r="R301" s="153"/>
      <c r="S301" s="157"/>
      <c r="T301" s="151" t="s">
        <v>99</v>
      </c>
      <c r="U301" s="158">
        <v>0</v>
      </c>
      <c r="V301" s="158">
        <v>0</v>
      </c>
      <c r="W301" s="158">
        <v>0</v>
      </c>
      <c r="X301" s="158">
        <f t="shared" si="38"/>
        <v>0</v>
      </c>
      <c r="Y301" s="159"/>
      <c r="Z301" s="160"/>
      <c r="AA301" s="160"/>
      <c r="AB301" s="160"/>
      <c r="AC301" s="160"/>
      <c r="AD301" s="160"/>
      <c r="AE301" s="160"/>
    </row>
    <row r="302" spans="1:31" ht="351" hidden="1">
      <c r="A302" s="151" t="s">
        <v>156</v>
      </c>
      <c r="B302" s="167" t="s">
        <v>284</v>
      </c>
      <c r="C302" s="161" t="str">
        <f>'Управление ИБ'!B129</f>
        <v>Обеспечивается уровень доступности систем и средств защиты не ниже, чем уровень доступности защищаемых информационных систем</v>
      </c>
      <c r="D302" s="161" t="str">
        <f>'Управление ИБ'!C129</f>
        <v>УИБ.ОД.5</v>
      </c>
      <c r="E302" s="161">
        <f>'Управление ИБ'!D129</f>
        <v>5</v>
      </c>
      <c r="F302" s="161">
        <f>'Управление ИБ'!E129</f>
        <v>3.2</v>
      </c>
      <c r="G302" s="161">
        <f>'Управление ИБ'!F129</f>
        <v>0</v>
      </c>
      <c r="H302" s="161">
        <f>'Управление ИБ'!V129</f>
        <v>239.04999999999995</v>
      </c>
      <c r="I302" s="154" t="str">
        <f t="shared" si="42"/>
        <v>КБ2</v>
      </c>
      <c r="J302" s="169">
        <f>'Управление ИБ'!K129</f>
        <v>5</v>
      </c>
      <c r="K302" s="161">
        <f>'Управление ИБ'!I129</f>
        <v>0</v>
      </c>
      <c r="L302" s="153">
        <f>'Управление ИБ'!L129</f>
        <v>0</v>
      </c>
      <c r="M302" s="153">
        <f t="shared" si="44"/>
        <v>0</v>
      </c>
      <c r="N302" s="153">
        <f t="shared" si="43"/>
        <v>5</v>
      </c>
      <c r="O302" s="153" t="str">
        <f>'Управление ИБ'!W129</f>
        <v xml:space="preserve"> - Определить требования к уровню доступности средств защиты и обеспечить его выполнение;
   - Обеспечить уровень доступности средств защиты не ниже чем уровень доступности защищаемых ИС; 
- Обеспечить доступность средств защиты при авариях и сбоях ИС;
  - Обеспечить  применение компенсирующих мер защиты при сбоях и авариях средств защиты.</v>
      </c>
      <c r="P302" s="155" t="s">
        <v>97</v>
      </c>
      <c r="Q302" s="156" t="s">
        <v>1251</v>
      </c>
      <c r="R302" s="153"/>
      <c r="S302" s="157"/>
      <c r="T302" s="151" t="s">
        <v>99</v>
      </c>
      <c r="U302" s="158">
        <v>0</v>
      </c>
      <c r="V302" s="158">
        <v>0</v>
      </c>
      <c r="W302" s="158">
        <v>0</v>
      </c>
      <c r="X302" s="158">
        <f t="shared" si="38"/>
        <v>0</v>
      </c>
      <c r="Y302" s="159"/>
      <c r="Z302" s="160"/>
      <c r="AA302" s="160"/>
      <c r="AB302" s="160"/>
      <c r="AC302" s="160"/>
      <c r="AD302" s="160"/>
      <c r="AE302" s="160"/>
    </row>
    <row r="303" spans="1:31" ht="234" hidden="1">
      <c r="A303" s="151" t="s">
        <v>156</v>
      </c>
      <c r="B303" s="167" t="s">
        <v>1236</v>
      </c>
      <c r="C303" s="161" t="str">
        <f>'Управление ИБ'!B131</f>
        <v>Требования ИБ формируются на этапе разработки требований к ПО</v>
      </c>
      <c r="D303" s="161" t="str">
        <f>'Управление ИБ'!C131</f>
        <v>УИБ.ПРС.1</v>
      </c>
      <c r="E303" s="161">
        <f>'Управление ИБ'!D131</f>
        <v>5</v>
      </c>
      <c r="F303" s="161">
        <f>'Управление ИБ'!E131</f>
        <v>3.2</v>
      </c>
      <c r="G303" s="161">
        <f>'Управление ИБ'!F131</f>
        <v>1.6</v>
      </c>
      <c r="H303" s="168">
        <f>'Управление ИБ'!V131</f>
        <v>233.01</v>
      </c>
      <c r="I303" s="154" t="str">
        <f t="shared" si="42"/>
        <v>КБ2</v>
      </c>
      <c r="J303" s="169">
        <f>'Управление ИБ'!K131</f>
        <v>5</v>
      </c>
      <c r="K303" s="161">
        <f>'Управление ИБ'!I131</f>
        <v>0</v>
      </c>
      <c r="L303" s="153">
        <f>'Управление ИБ'!L131</f>
        <v>0</v>
      </c>
      <c r="M303" s="153">
        <f t="shared" si="44"/>
        <v>0</v>
      </c>
      <c r="N303" s="153">
        <f t="shared" si="43"/>
        <v>5</v>
      </c>
      <c r="O303" s="153" t="str">
        <f>'Управление ИБ'!W131</f>
        <v xml:space="preserve"> 1. Для систем Business Critical формализовать:
-требования безопасности ПО; 
-типовой набор требований безопасности ПО.
2.Автоматизировать процесс предоставления, получения и выполнения требований безопасности ПО;</v>
      </c>
      <c r="P303" s="155" t="s">
        <v>97</v>
      </c>
      <c r="Q303" s="156" t="s">
        <v>1274</v>
      </c>
      <c r="R303" s="153"/>
      <c r="S303" s="157"/>
      <c r="T303" s="151" t="s">
        <v>99</v>
      </c>
      <c r="U303" s="158">
        <v>0</v>
      </c>
      <c r="V303" s="158">
        <v>0</v>
      </c>
      <c r="W303" s="158">
        <v>0</v>
      </c>
      <c r="X303" s="158">
        <f t="shared" si="38"/>
        <v>0</v>
      </c>
      <c r="Y303" s="159"/>
      <c r="Z303" s="160"/>
      <c r="AA303" s="160"/>
      <c r="AB303" s="160"/>
      <c r="AC303" s="160"/>
      <c r="AD303" s="160"/>
      <c r="AE303" s="160"/>
    </row>
    <row r="304" spans="1:31" ht="409.6" hidden="1">
      <c r="A304" s="151" t="s">
        <v>156</v>
      </c>
      <c r="B304" s="167" t="s">
        <v>1236</v>
      </c>
      <c r="C304" s="161" t="str">
        <f>'Управление ИБ'!B140</f>
        <v>Используется система обнаружения уязвимостей с рейтингом критичности и отслеживанием метрик</v>
      </c>
      <c r="D304" s="161" t="str">
        <f>'Управление ИБ'!C140</f>
        <v>УИБ.ПРС.10</v>
      </c>
      <c r="E304" s="161">
        <f>'Управление ИБ'!D140</f>
        <v>5</v>
      </c>
      <c r="F304" s="161">
        <f>'Управление ИБ'!E140</f>
        <v>5</v>
      </c>
      <c r="G304" s="161">
        <f>'Управление ИБ'!F140</f>
        <v>0</v>
      </c>
      <c r="H304" s="168">
        <f>'Управление ИБ'!V140</f>
        <v>233.09999999999991</v>
      </c>
      <c r="I304" s="154" t="str">
        <f t="shared" ref="I304:I335" si="45">IF(H304&lt;=200,"КБ1",IF(H304&lt;=300,"КБ2","КБ3"))</f>
        <v>КБ2</v>
      </c>
      <c r="J304" s="169">
        <f>'Управление ИБ'!K140</f>
        <v>5</v>
      </c>
      <c r="K304" s="161">
        <f>'Управление ИБ'!I140</f>
        <v>0</v>
      </c>
      <c r="L304" s="153">
        <f>'Управление ИБ'!L140</f>
        <v>0</v>
      </c>
      <c r="M304" s="153">
        <f t="shared" si="44"/>
        <v>0</v>
      </c>
      <c r="N304" s="153">
        <f t="shared" ref="N304:N335" si="46">IF(H304&lt;100,IF(L304&gt;=G304,0,J304-L304),IF(H304&lt;300,IF(L304&gt;=F304,0,J304-L304),IF(L304&gt;=E304,0,J304-L304)))</f>
        <v>5</v>
      </c>
      <c r="O304" s="153" t="str">
        <f>'Управление ИБ'!W140</f>
        <v>1.Внедрить систему обнаружения уязвимостей:
2.Формализовать SLA ;
3.Формализовать уровни критичности используемых библиотек для всех систем ;
4.Формализовать метрики отслеживаемости для всех систем.</v>
      </c>
      <c r="P304" s="155" t="s">
        <v>97</v>
      </c>
      <c r="Q304" s="156" t="s">
        <v>1277</v>
      </c>
      <c r="R304" s="153"/>
      <c r="S304" s="157"/>
      <c r="T304" s="151" t="s">
        <v>99</v>
      </c>
      <c r="U304" s="158">
        <v>0</v>
      </c>
      <c r="V304" s="158">
        <v>0</v>
      </c>
      <c r="W304" s="158">
        <v>0</v>
      </c>
      <c r="X304" s="158">
        <f t="shared" si="38"/>
        <v>0</v>
      </c>
      <c r="Y304" s="159"/>
      <c r="Z304" s="160"/>
      <c r="AA304" s="160"/>
      <c r="AB304" s="160"/>
      <c r="AC304" s="160"/>
      <c r="AD304" s="160"/>
      <c r="AE304" s="160"/>
    </row>
    <row r="305" spans="1:31" ht="140.4" hidden="1">
      <c r="A305" s="151" t="s">
        <v>156</v>
      </c>
      <c r="B305" s="167" t="s">
        <v>1236</v>
      </c>
      <c r="C305" s="161" t="str">
        <f>'Управление ИБ'!B141</f>
        <v xml:space="preserve">Наиболее критичные замечания исправляются в первую очередь. </v>
      </c>
      <c r="D305" s="161" t="str">
        <f>'Управление ИБ'!C141</f>
        <v>УИБ.ПРС.11</v>
      </c>
      <c r="E305" s="161">
        <f>'Управление ИБ'!D141</f>
        <v>5</v>
      </c>
      <c r="F305" s="161">
        <f>'Управление ИБ'!E141</f>
        <v>5</v>
      </c>
      <c r="G305" s="161">
        <f>'Управление ИБ'!F141</f>
        <v>0</v>
      </c>
      <c r="H305" s="168">
        <f>'Управление ИБ'!V141</f>
        <v>233.1099999999999</v>
      </c>
      <c r="I305" s="154" t="str">
        <f t="shared" si="45"/>
        <v>КБ2</v>
      </c>
      <c r="J305" s="169">
        <f>'Управление ИБ'!K141</f>
        <v>5</v>
      </c>
      <c r="K305" s="161">
        <f>'Управление ИБ'!I141</f>
        <v>0</v>
      </c>
      <c r="L305" s="153">
        <f>'Управление ИБ'!L141</f>
        <v>0</v>
      </c>
      <c r="M305" s="153">
        <f t="shared" si="44"/>
        <v>0</v>
      </c>
      <c r="N305" s="153">
        <f t="shared" si="46"/>
        <v>5</v>
      </c>
      <c r="O305" s="153" t="str">
        <f>'Управление ИБ'!W141</f>
        <v>1.Формализовать критерии оценки замечаний; 
2.Формализовать порядок приоритезации замечаний в зависимости от уровня критичности.</v>
      </c>
      <c r="P305" s="155" t="s">
        <v>97</v>
      </c>
      <c r="Q305" s="156" t="s">
        <v>1326</v>
      </c>
      <c r="R305" s="153"/>
      <c r="S305" s="157"/>
      <c r="T305" s="151" t="s">
        <v>99</v>
      </c>
      <c r="U305" s="158">
        <v>0</v>
      </c>
      <c r="V305" s="158">
        <v>0</v>
      </c>
      <c r="W305" s="158">
        <v>0</v>
      </c>
      <c r="X305" s="158">
        <f t="shared" si="38"/>
        <v>0</v>
      </c>
      <c r="Y305" s="159"/>
      <c r="Z305" s="160"/>
      <c r="AA305" s="160"/>
      <c r="AB305" s="160"/>
      <c r="AC305" s="160"/>
      <c r="AD305" s="160"/>
      <c r="AE305" s="160"/>
    </row>
    <row r="306" spans="1:31" ht="304.2" hidden="1">
      <c r="A306" s="151" t="s">
        <v>156</v>
      </c>
      <c r="B306" s="167" t="s">
        <v>1236</v>
      </c>
      <c r="C306" s="161" t="str">
        <f>'Управление ИБ'!B132</f>
        <v>Определен Порядок фиксации замечаний по безопасности и последующего исправления багов</v>
      </c>
      <c r="D306" s="161" t="str">
        <f>'Управление ИБ'!C132</f>
        <v>УИБ.ПРС.2</v>
      </c>
      <c r="E306" s="161">
        <f>'Управление ИБ'!D132</f>
        <v>5</v>
      </c>
      <c r="F306" s="161">
        <f>'Управление ИБ'!E132</f>
        <v>5</v>
      </c>
      <c r="G306" s="161">
        <f>'Управление ИБ'!F132</f>
        <v>0</v>
      </c>
      <c r="H306" s="168">
        <f>'Управление ИБ'!V132</f>
        <v>233.01999999999998</v>
      </c>
      <c r="I306" s="154" t="str">
        <f t="shared" si="45"/>
        <v>КБ2</v>
      </c>
      <c r="J306" s="169">
        <f>'Управление ИБ'!K132</f>
        <v>5</v>
      </c>
      <c r="K306" s="161">
        <f>'Управление ИБ'!I132</f>
        <v>0</v>
      </c>
      <c r="L306" s="153">
        <f>'Управление ИБ'!L132</f>
        <v>0</v>
      </c>
      <c r="M306" s="153">
        <f t="shared" si="44"/>
        <v>0</v>
      </c>
      <c r="N306" s="153">
        <f t="shared" si="46"/>
        <v>5</v>
      </c>
      <c r="O306" s="153" t="str">
        <f>'Управление ИБ'!W132</f>
        <v xml:space="preserve"> Разработать и утвердить Порядок фиксации замечаний по безопасности и последующего исправления багов</v>
      </c>
      <c r="P306" s="155" t="s">
        <v>97</v>
      </c>
      <c r="Q306" s="156" t="s">
        <v>1279</v>
      </c>
      <c r="R306" s="153"/>
      <c r="S306" s="157"/>
      <c r="T306" s="151" t="s">
        <v>99</v>
      </c>
      <c r="U306" s="158">
        <v>0</v>
      </c>
      <c r="V306" s="158">
        <v>0</v>
      </c>
      <c r="W306" s="158">
        <v>0</v>
      </c>
      <c r="X306" s="158">
        <f t="shared" si="38"/>
        <v>0</v>
      </c>
      <c r="Y306" s="159"/>
      <c r="Z306" s="160"/>
      <c r="AA306" s="160"/>
      <c r="AB306" s="160"/>
      <c r="AC306" s="160"/>
      <c r="AD306" s="160"/>
      <c r="AE306" s="160"/>
    </row>
    <row r="307" spans="1:31" ht="409.6" hidden="1">
      <c r="A307" s="151" t="s">
        <v>156</v>
      </c>
      <c r="B307" s="167" t="s">
        <v>1236</v>
      </c>
      <c r="C307" s="161" t="str">
        <f>'Управление ИБ'!B133</f>
        <v>Организован процесс приемки и инсталляции ПО: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v>
      </c>
      <c r="D307" s="161" t="str">
        <f>'Управление ИБ'!C133</f>
        <v>УИБ.ПРС.3</v>
      </c>
      <c r="E307" s="161">
        <f>'Управление ИБ'!D133</f>
        <v>5</v>
      </c>
      <c r="F307" s="161">
        <f>'Управление ИБ'!E133</f>
        <v>3.2</v>
      </c>
      <c r="G307" s="161">
        <f>'Управление ИБ'!F133</f>
        <v>1.6</v>
      </c>
      <c r="H307" s="168">
        <f>'Управление ИБ'!V133</f>
        <v>233.02999999999997</v>
      </c>
      <c r="I307" s="154" t="str">
        <f t="shared" si="45"/>
        <v>КБ2</v>
      </c>
      <c r="J307" s="169">
        <f>'Управление ИБ'!K133</f>
        <v>5</v>
      </c>
      <c r="K307" s="161">
        <f>'Управление ИБ'!I133</f>
        <v>0</v>
      </c>
      <c r="L307" s="153">
        <f>'Управление ИБ'!L133</f>
        <v>0</v>
      </c>
      <c r="M307" s="153">
        <f t="shared" si="44"/>
        <v>0</v>
      </c>
      <c r="N307" s="153">
        <f t="shared" si="46"/>
        <v>5</v>
      </c>
      <c r="O307" s="153" t="str">
        <f>'Управление ИБ'!W133</f>
        <v xml:space="preserve">Для систем Mission и Business Critical формализовать: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 </v>
      </c>
      <c r="P307" s="155" t="s">
        <v>97</v>
      </c>
      <c r="Q307" s="156" t="s">
        <v>1280</v>
      </c>
      <c r="R307" s="153"/>
      <c r="S307" s="157"/>
      <c r="T307" s="151" t="s">
        <v>99</v>
      </c>
      <c r="U307" s="158">
        <v>0</v>
      </c>
      <c r="V307" s="158">
        <v>0</v>
      </c>
      <c r="W307" s="158">
        <v>0</v>
      </c>
      <c r="X307" s="158">
        <f t="shared" ref="X307:X368" si="47">SUM(U307:W307)</f>
        <v>0</v>
      </c>
      <c r="Y307" s="159"/>
      <c r="Z307" s="160"/>
      <c r="AA307" s="160"/>
      <c r="AB307" s="160"/>
      <c r="AC307" s="160"/>
      <c r="AD307" s="160"/>
      <c r="AE307" s="160"/>
    </row>
    <row r="308" spans="1:31" ht="409.6" hidden="1">
      <c r="A308" s="151" t="s">
        <v>156</v>
      </c>
      <c r="B308" s="167" t="s">
        <v>1236</v>
      </c>
      <c r="C308" s="161" t="str">
        <f>'Управление ИБ'!B134</f>
        <v>Организован процесс эксплуатации ПО:
- назначены ответственные за техническую поддержку пользователей ПО
- сформирован порядок информирования пользователей об обновлениях ПО, обнаруженных уязвимостях и окончании технической поддержки
- назначены ответственные за поиск уязвимостей ПО и их устранение</v>
      </c>
      <c r="D308" s="161" t="str">
        <f>'Управление ИБ'!C134</f>
        <v>УИБ.ПРС.4</v>
      </c>
      <c r="E308" s="161">
        <f>'Управление ИБ'!D134</f>
        <v>5</v>
      </c>
      <c r="F308" s="161">
        <f>'Управление ИБ'!E134</f>
        <v>3.2</v>
      </c>
      <c r="G308" s="161">
        <f>'Управление ИБ'!F134</f>
        <v>1.6</v>
      </c>
      <c r="H308" s="168">
        <f>'Управление ИБ'!V134</f>
        <v>233.03999999999996</v>
      </c>
      <c r="I308" s="154" t="str">
        <f t="shared" si="45"/>
        <v>КБ2</v>
      </c>
      <c r="J308" s="169">
        <f>'Управление ИБ'!K134</f>
        <v>5</v>
      </c>
      <c r="K308" s="161">
        <f>'Управление ИБ'!I134</f>
        <v>0</v>
      </c>
      <c r="L308" s="153">
        <f>'Управление ИБ'!L134</f>
        <v>0</v>
      </c>
      <c r="M308" s="153">
        <f t="shared" si="44"/>
        <v>0</v>
      </c>
      <c r="N308" s="153">
        <f t="shared" si="46"/>
        <v>5</v>
      </c>
      <c r="O308" s="153" t="str">
        <f>'Управление ИБ'!W134</f>
        <v xml:space="preserve">Для систем Business Critical. :
- назначить ответственных за техническую поддержку пользователей ПО;
- формализовать порядок информирования пользователей об обновлениях ПО, обнаруженных уязвимостях и окончании технической поддержки;
- назначить о ответственных за поиск уязвимостей ПО и их устранение. </v>
      </c>
      <c r="P308" s="155" t="s">
        <v>97</v>
      </c>
      <c r="Q308" s="156" t="s">
        <v>1281</v>
      </c>
      <c r="R308" s="153"/>
      <c r="S308" s="157"/>
      <c r="T308" s="151" t="s">
        <v>99</v>
      </c>
      <c r="U308" s="158">
        <v>0</v>
      </c>
      <c r="V308" s="158">
        <v>0</v>
      </c>
      <c r="W308" s="158">
        <v>0</v>
      </c>
      <c r="X308" s="158">
        <f t="shared" si="47"/>
        <v>0</v>
      </c>
      <c r="Y308" s="159"/>
      <c r="Z308" s="160"/>
      <c r="AA308" s="160"/>
      <c r="AB308" s="160"/>
      <c r="AC308" s="160"/>
      <c r="AD308" s="160"/>
      <c r="AE308" s="160"/>
    </row>
    <row r="309" spans="1:31" ht="409.6" hidden="1">
      <c r="A309" s="151" t="s">
        <v>156</v>
      </c>
      <c r="B309" s="167" t="s">
        <v>1236</v>
      </c>
      <c r="C309" s="161" t="str">
        <f>'Управление ИБ'!B135</f>
        <v xml:space="preserve">Используются проверенные модули безопасности (шифрования, ведения журналов, идентификации/аутентификапции) </v>
      </c>
      <c r="D309" s="161" t="str">
        <f>'Управление ИБ'!C135</f>
        <v>УИБ.ПРС.5</v>
      </c>
      <c r="E309" s="161">
        <f>'Управление ИБ'!D135</f>
        <v>5</v>
      </c>
      <c r="F309" s="161">
        <f>'Управление ИБ'!E135</f>
        <v>5</v>
      </c>
      <c r="G309" s="161">
        <f>'Управление ИБ'!F135</f>
        <v>0</v>
      </c>
      <c r="H309" s="168">
        <f>'Управление ИБ'!V135</f>
        <v>233.04999999999995</v>
      </c>
      <c r="I309" s="154" t="str">
        <f t="shared" si="45"/>
        <v>КБ2</v>
      </c>
      <c r="J309" s="169">
        <f>'Управление ИБ'!K135</f>
        <v>5</v>
      </c>
      <c r="K309" s="161">
        <f>'Управление ИБ'!I135</f>
        <v>0</v>
      </c>
      <c r="L309" s="153">
        <f>'Управление ИБ'!L135</f>
        <v>0</v>
      </c>
      <c r="M309" s="153">
        <f t="shared" si="44"/>
        <v>0</v>
      </c>
      <c r="N309" s="153">
        <f t="shared" si="46"/>
        <v>5</v>
      </c>
      <c r="O309" s="153" t="str">
        <f>'Управление ИБ'!W135</f>
        <v>- Провести инвентаризацию всех используемых модулей и служб в текущей инфраструктуре;
- Определить критерии оценки модулей и служб (наличие сертификаций, регулярные обновления, отзывы сообщества); 
- Разработать реестр проверенных модулей и служб, с указанием источника и даты проверки; - Обеспечить использование модулей и служб, внесенных в реестр;
- Настроить автоматические обновления для всех используемых модулей и служб</v>
      </c>
      <c r="P309" s="155" t="s">
        <v>97</v>
      </c>
      <c r="Q309" s="156" t="s">
        <v>1282</v>
      </c>
      <c r="R309" s="153"/>
      <c r="S309" s="157"/>
      <c r="T309" s="151" t="s">
        <v>99</v>
      </c>
      <c r="U309" s="158">
        <v>0</v>
      </c>
      <c r="V309" s="158">
        <v>0</v>
      </c>
      <c r="W309" s="158">
        <v>0</v>
      </c>
      <c r="X309" s="158">
        <f t="shared" si="47"/>
        <v>0</v>
      </c>
      <c r="Y309" s="159"/>
      <c r="Z309" s="160"/>
      <c r="AA309" s="160"/>
      <c r="AB309" s="160"/>
      <c r="AC309" s="160"/>
      <c r="AD309" s="160"/>
      <c r="AE309" s="160"/>
    </row>
    <row r="310" spans="1:31" ht="409.6" hidden="1">
      <c r="A310" s="151" t="s">
        <v>156</v>
      </c>
      <c r="B310" s="167" t="s">
        <v>1236</v>
      </c>
      <c r="C310" s="161" t="str">
        <f>'Управление ИБ'!B136</f>
        <v>Формализованы и определены процедуры контроля сторонней разработки.
Заказчиком осуществляется контроль безопасности ПО при заказе разработки ПО</v>
      </c>
      <c r="D310" s="161" t="str">
        <f>'Управление ИБ'!C136</f>
        <v>УИБ.ПРС.6</v>
      </c>
      <c r="E310" s="161">
        <f>'Управление ИБ'!D136</f>
        <v>5</v>
      </c>
      <c r="F310" s="161">
        <f>'Управление ИБ'!E136</f>
        <v>3.2</v>
      </c>
      <c r="G310" s="161">
        <f>'Управление ИБ'!F136</f>
        <v>1.6</v>
      </c>
      <c r="H310" s="168">
        <f>'Управление ИБ'!V136</f>
        <v>233.05999999999995</v>
      </c>
      <c r="I310" s="154" t="str">
        <f t="shared" si="45"/>
        <v>КБ2</v>
      </c>
      <c r="J310" s="169">
        <f>'Управление ИБ'!K136</f>
        <v>5</v>
      </c>
      <c r="K310" s="161">
        <f>'Управление ИБ'!I136</f>
        <v>0</v>
      </c>
      <c r="L310" s="153">
        <f>'Управление ИБ'!L136</f>
        <v>0</v>
      </c>
      <c r="M310" s="153">
        <f t="shared" si="44"/>
        <v>0</v>
      </c>
      <c r="N310" s="153">
        <f t="shared" si="46"/>
        <v>5</v>
      </c>
      <c r="O310" s="153" t="str">
        <f>'Управление ИБ'!W136</f>
        <v xml:space="preserve"> Мероприятия на КБ1 + 
1.Вести отчетность по анализу кода ПО, полученного через цепочки поставок, на предмет внедрения вредоносного программного обеспечения для систем Business  Critical.
2. Автоматизировать контроль безопасности ПО для систем Business  Critical.</v>
      </c>
      <c r="P310" s="155" t="s">
        <v>97</v>
      </c>
      <c r="Q310" s="156" t="s">
        <v>1284</v>
      </c>
      <c r="R310" s="153"/>
      <c r="S310" s="157"/>
      <c r="T310" s="151" t="s">
        <v>99</v>
      </c>
      <c r="U310" s="158">
        <v>0</v>
      </c>
      <c r="V310" s="158">
        <v>0</v>
      </c>
      <c r="W310" s="158">
        <v>0</v>
      </c>
      <c r="X310" s="158">
        <f t="shared" si="47"/>
        <v>0</v>
      </c>
      <c r="Y310" s="159"/>
      <c r="Z310" s="160"/>
      <c r="AA310" s="160"/>
      <c r="AB310" s="160"/>
      <c r="AC310" s="160"/>
      <c r="AD310" s="160"/>
      <c r="AE310" s="160"/>
    </row>
    <row r="311" spans="1:31" ht="409.6" hidden="1">
      <c r="A311" s="151" t="s">
        <v>156</v>
      </c>
      <c r="B311" s="167" t="s">
        <v>1236</v>
      </c>
      <c r="C311" s="161" t="str">
        <f>'Управление ИБ'!B137</f>
        <v>Создан и актуален реестр одобренных компонентов ПО, принадлежащих сторонним производителям. 
Отслеживаются  обновления и свежие версии компонентов не реже раз в месяц.</v>
      </c>
      <c r="D311" s="161" t="str">
        <f>'Управление ИБ'!C137</f>
        <v>УИБ.ПРС.7</v>
      </c>
      <c r="E311" s="161">
        <f>'Управление ИБ'!D137</f>
        <v>5</v>
      </c>
      <c r="F311" s="161">
        <f>'Управление ИБ'!E137</f>
        <v>3.2</v>
      </c>
      <c r="G311" s="161">
        <f>'Управление ИБ'!F137</f>
        <v>1.6</v>
      </c>
      <c r="H311" s="168">
        <f>'Управление ИБ'!V137</f>
        <v>233.06999999999994</v>
      </c>
      <c r="I311" s="154" t="str">
        <f t="shared" si="45"/>
        <v>КБ2</v>
      </c>
      <c r="J311" s="169">
        <f>'Управление ИБ'!K137</f>
        <v>5</v>
      </c>
      <c r="K311" s="161">
        <f>'Управление ИБ'!I137</f>
        <v>0</v>
      </c>
      <c r="L311" s="153">
        <f>'Управление ИБ'!L137</f>
        <v>0</v>
      </c>
      <c r="M311" s="153">
        <f t="shared" si="44"/>
        <v>0</v>
      </c>
      <c r="N311" s="153">
        <f t="shared" si="46"/>
        <v>5</v>
      </c>
      <c r="O311" s="153" t="str">
        <f>'Управление ИБ'!W137</f>
        <v xml:space="preserve"> -Мероприятия для КБ1 +
1. Автоматизировать поиск узявимостей в реестре одобренных компонентов ПО;
2. Автоматизировать процесс отслеживания обновления ПО и информации об уязвимостях.</v>
      </c>
      <c r="P311" s="155" t="s">
        <v>97</v>
      </c>
      <c r="Q311" s="156" t="s">
        <v>1286</v>
      </c>
      <c r="R311" s="153"/>
      <c r="S311" s="157"/>
      <c r="T311" s="151" t="s">
        <v>99</v>
      </c>
      <c r="U311" s="158">
        <v>0</v>
      </c>
      <c r="V311" s="158">
        <v>0</v>
      </c>
      <c r="W311" s="158">
        <v>0</v>
      </c>
      <c r="X311" s="158">
        <f t="shared" si="47"/>
        <v>0</v>
      </c>
      <c r="Y311" s="159"/>
      <c r="Z311" s="160"/>
      <c r="AA311" s="160"/>
      <c r="AB311" s="160"/>
      <c r="AC311" s="160"/>
      <c r="AD311" s="160"/>
      <c r="AE311" s="160"/>
    </row>
    <row r="312" spans="1:31" ht="409.6" hidden="1">
      <c r="A312" s="151" t="s">
        <v>156</v>
      </c>
      <c r="B312" s="167" t="s">
        <v>1236</v>
      </c>
      <c r="C312" s="161" t="str">
        <f>'Управление ИБ'!B138</f>
        <v>Компоненты Реестра ПО скачиваются из проверенных источников и проверяются на безопасность перед установкой</v>
      </c>
      <c r="D312" s="161" t="str">
        <f>'Управление ИБ'!C138</f>
        <v>УИБ.ПРС.8</v>
      </c>
      <c r="E312" s="161">
        <f>'Управление ИБ'!D138</f>
        <v>5</v>
      </c>
      <c r="F312" s="161">
        <f>'Управление ИБ'!E138</f>
        <v>3.2</v>
      </c>
      <c r="G312" s="161">
        <f>'Управление ИБ'!F138</f>
        <v>1.6</v>
      </c>
      <c r="H312" s="168">
        <f>'Управление ИБ'!V138</f>
        <v>233.07999999999993</v>
      </c>
      <c r="I312" s="154" t="str">
        <f t="shared" si="45"/>
        <v>КБ2</v>
      </c>
      <c r="J312" s="169">
        <f>'Управление ИБ'!K138</f>
        <v>5</v>
      </c>
      <c r="K312" s="161">
        <f>'Управление ИБ'!I138</f>
        <v>0</v>
      </c>
      <c r="L312" s="153">
        <f>'Управление ИБ'!L138</f>
        <v>0</v>
      </c>
      <c r="M312" s="153">
        <f t="shared" si="44"/>
        <v>0</v>
      </c>
      <c r="N312" s="153">
        <f t="shared" si="46"/>
        <v>5</v>
      </c>
      <c r="O312" s="153" t="str">
        <f>'Управление ИБ'!W138</f>
        <v xml:space="preserve"> -Автоматизировать в Реестре проверку компонентов на уязвимости и угрозы безопасности. 
- Получать  компоненты ПО только из доверенных источников.</v>
      </c>
      <c r="P312" s="155" t="s">
        <v>97</v>
      </c>
      <c r="Q312" s="156" t="s">
        <v>1289</v>
      </c>
      <c r="R312" s="153"/>
      <c r="S312" s="157"/>
      <c r="T312" s="151" t="s">
        <v>99</v>
      </c>
      <c r="U312" s="158">
        <v>0</v>
      </c>
      <c r="V312" s="158">
        <v>0</v>
      </c>
      <c r="W312" s="158">
        <v>0</v>
      </c>
      <c r="X312" s="158">
        <f t="shared" si="47"/>
        <v>0</v>
      </c>
      <c r="Y312" s="159"/>
      <c r="Z312" s="160"/>
      <c r="AA312" s="160"/>
      <c r="AB312" s="160"/>
      <c r="AC312" s="160"/>
      <c r="AD312" s="160"/>
      <c r="AE312" s="160"/>
    </row>
    <row r="313" spans="1:31" ht="163.80000000000001" hidden="1">
      <c r="A313" s="151" t="s">
        <v>156</v>
      </c>
      <c r="B313" s="167" t="s">
        <v>1236</v>
      </c>
      <c r="C313" s="161" t="str">
        <f>'Управление ИБ'!B139</f>
        <v>Для обеспечения безопасности критичных компонентов ПО используются механизмы безопасности системного уровня</v>
      </c>
      <c r="D313" s="161" t="str">
        <f>'Управление ИБ'!C139</f>
        <v>УИБ.ПРС.9</v>
      </c>
      <c r="E313" s="161">
        <f>'Управление ИБ'!D139</f>
        <v>5</v>
      </c>
      <c r="F313" s="161">
        <f>'Управление ИБ'!E139</f>
        <v>3.2</v>
      </c>
      <c r="G313" s="161">
        <f>'Управление ИБ'!F139</f>
        <v>1.6</v>
      </c>
      <c r="H313" s="168">
        <f>'Управление ИБ'!V139</f>
        <v>233.08999999999992</v>
      </c>
      <c r="I313" s="154" t="str">
        <f t="shared" si="45"/>
        <v>КБ2</v>
      </c>
      <c r="J313" s="169">
        <f>'Управление ИБ'!K139</f>
        <v>5</v>
      </c>
      <c r="K313" s="161">
        <f>'Управление ИБ'!I139</f>
        <v>0</v>
      </c>
      <c r="L313" s="153">
        <f>'Управление ИБ'!L139</f>
        <v>0</v>
      </c>
      <c r="M313" s="153">
        <f t="shared" si="44"/>
        <v>0</v>
      </c>
      <c r="N313" s="153">
        <f t="shared" si="46"/>
        <v>5</v>
      </c>
      <c r="O313" s="153" t="str">
        <f>'Управление ИБ'!W139</f>
        <v xml:space="preserve"> 1. Для систем Business Critical формализовать механизмы безопасности системного уровня для обеспечения безопасности критичных компонентов ПО.
</v>
      </c>
      <c r="P313" s="155" t="s">
        <v>97</v>
      </c>
      <c r="Q313" s="156" t="s">
        <v>1276</v>
      </c>
      <c r="R313" s="153"/>
      <c r="S313" s="157"/>
      <c r="T313" s="151" t="s">
        <v>99</v>
      </c>
      <c r="U313" s="158">
        <v>0</v>
      </c>
      <c r="V313" s="158">
        <v>0</v>
      </c>
      <c r="W313" s="158">
        <v>0</v>
      </c>
      <c r="X313" s="158">
        <f t="shared" si="47"/>
        <v>0</v>
      </c>
      <c r="Y313" s="159"/>
      <c r="Z313" s="160"/>
      <c r="AA313" s="160"/>
      <c r="AB313" s="160"/>
      <c r="AC313" s="160"/>
      <c r="AD313" s="160"/>
      <c r="AE313" s="160"/>
    </row>
    <row r="314" spans="1:31" ht="163.80000000000001" hidden="1">
      <c r="A314" s="151" t="s">
        <v>156</v>
      </c>
      <c r="B314" s="152" t="s">
        <v>201</v>
      </c>
      <c r="C314" s="153" t="str">
        <f>'Управление ИБ'!B100</f>
        <v>Информационные системы Общества соотнесены с ИТ-инфраструктурой, на которой они функциониуют, а также с информационными ресурсами, относящимися к данным ИС</v>
      </c>
      <c r="D314" s="153" t="str">
        <f>'Управление ИБ'!C100</f>
        <v>УИБ.УА.1</v>
      </c>
      <c r="E314" s="153">
        <f>'Управление ИБ'!D100</f>
        <v>5</v>
      </c>
      <c r="F314" s="153">
        <f>'Управление ИБ'!E100</f>
        <v>3.2</v>
      </c>
      <c r="G314" s="153">
        <f>'Управление ИБ'!F100</f>
        <v>1.6</v>
      </c>
      <c r="H314" s="153">
        <f>'Управление ИБ'!V100</f>
        <v>229.01</v>
      </c>
      <c r="I314" s="154" t="str">
        <f t="shared" si="45"/>
        <v>КБ2</v>
      </c>
      <c r="J314" s="154">
        <f>'Управление ИБ'!K100</f>
        <v>5</v>
      </c>
      <c r="K314" s="153">
        <f>'Управление ИБ'!I100</f>
        <v>0</v>
      </c>
      <c r="L314" s="153">
        <f>'Управление ИБ'!L100</f>
        <v>0</v>
      </c>
      <c r="M314" s="153">
        <f t="shared" si="44"/>
        <v>0</v>
      </c>
      <c r="N314" s="153">
        <f t="shared" si="46"/>
        <v>5</v>
      </c>
      <c r="O314" s="153" t="str">
        <f>'Управление ИБ'!W100</f>
        <v xml:space="preserve"> - Автоматизировать учет ИС и информационных ресурсов и сформировать единую базу данных.</v>
      </c>
      <c r="P314" s="155" t="s">
        <v>97</v>
      </c>
      <c r="Q314" s="156" t="s">
        <v>1222</v>
      </c>
      <c r="R314" s="153"/>
      <c r="S314" s="157"/>
      <c r="T314" s="151" t="s">
        <v>99</v>
      </c>
      <c r="U314" s="158">
        <v>0</v>
      </c>
      <c r="V314" s="158">
        <v>0</v>
      </c>
      <c r="W314" s="158">
        <v>0</v>
      </c>
      <c r="X314" s="158">
        <f t="shared" si="47"/>
        <v>0</v>
      </c>
      <c r="Y314" s="159"/>
      <c r="Z314" s="160"/>
      <c r="AA314" s="160"/>
      <c r="AB314" s="160"/>
      <c r="AC314" s="160"/>
      <c r="AD314" s="160"/>
      <c r="AE314" s="160"/>
    </row>
    <row r="315" spans="1:31" ht="327.60000000000002" hidden="1">
      <c r="A315" s="151" t="s">
        <v>156</v>
      </c>
      <c r="B315" s="152" t="s">
        <v>201</v>
      </c>
      <c r="C315" s="153" t="str">
        <f>'Управление ИБ'!B101</f>
        <v>Внедрен процесс инвентаризации и категорирования информационных активов</v>
      </c>
      <c r="D315" s="153" t="str">
        <f>'Управление ИБ'!C101</f>
        <v>УИБ.УА.2</v>
      </c>
      <c r="E315" s="153">
        <f>'Управление ИБ'!D101</f>
        <v>4</v>
      </c>
      <c r="F315" s="153">
        <f>'Управление ИБ'!E101</f>
        <v>3</v>
      </c>
      <c r="G315" s="153">
        <f>'Управление ИБ'!F101</f>
        <v>1</v>
      </c>
      <c r="H315" s="153">
        <f>'Управление ИБ'!V101</f>
        <v>229.01999999999998</v>
      </c>
      <c r="I315" s="154" t="str">
        <f t="shared" si="45"/>
        <v>КБ2</v>
      </c>
      <c r="J315" s="154">
        <f>'Управление ИБ'!K101</f>
        <v>4</v>
      </c>
      <c r="K315" s="153">
        <f>'Управление ИБ'!I101</f>
        <v>0</v>
      </c>
      <c r="L315" s="153">
        <f>'Управление ИБ'!L101</f>
        <v>0</v>
      </c>
      <c r="M315" s="153">
        <f t="shared" si="44"/>
        <v>0</v>
      </c>
      <c r="N315" s="153">
        <f t="shared" si="46"/>
        <v>4</v>
      </c>
      <c r="O315" s="153" t="str">
        <f>'Управление ИБ'!W101</f>
        <v xml:space="preserve"> - Разработать формализованный докумет, устанавливающий критерии  категорирования ИА на основании законодательства и внутренних требований;
- Сформировать требования к обеспечению ИБ на основе категорий ИА
- Провести категорирование всех ИА;
- учет и инвентаризацию ИА проводить с использованием средств автоматизации</v>
      </c>
      <c r="P315" s="155" t="s">
        <v>97</v>
      </c>
      <c r="Q315" s="156" t="s">
        <v>1168</v>
      </c>
      <c r="R315" s="153"/>
      <c r="S315" s="157"/>
      <c r="T315" s="151" t="s">
        <v>99</v>
      </c>
      <c r="U315" s="158">
        <v>0</v>
      </c>
      <c r="V315" s="158">
        <v>0</v>
      </c>
      <c r="W315" s="158">
        <v>0</v>
      </c>
      <c r="X315" s="158">
        <f t="shared" si="47"/>
        <v>0</v>
      </c>
      <c r="Y315" s="159"/>
      <c r="Z315" s="160"/>
      <c r="AA315" s="160"/>
      <c r="AB315" s="160"/>
      <c r="AC315" s="160"/>
      <c r="AD315" s="160"/>
      <c r="AE315" s="160"/>
    </row>
    <row r="316" spans="1:31" ht="280.8" hidden="1">
      <c r="A316" s="151" t="s">
        <v>156</v>
      </c>
      <c r="B316" s="152" t="s">
        <v>201</v>
      </c>
      <c r="C316" s="153" t="str">
        <f>'Управление ИБ'!B102</f>
        <v>Описаны все сетевые взаимодействия между компонентами инфраструктуры и информационными системами</v>
      </c>
      <c r="D316" s="153" t="str">
        <f>'Управление ИБ'!C102</f>
        <v>УИБ.УА.3</v>
      </c>
      <c r="E316" s="153">
        <f>'Управление ИБ'!D102</f>
        <v>5</v>
      </c>
      <c r="F316" s="153">
        <f>'Управление ИБ'!E102</f>
        <v>3.2</v>
      </c>
      <c r="G316" s="153">
        <f>'Управление ИБ'!F102</f>
        <v>0</v>
      </c>
      <c r="H316" s="153">
        <f>'Управление ИБ'!V102</f>
        <v>229.02999999999997</v>
      </c>
      <c r="I316" s="154" t="str">
        <f t="shared" si="45"/>
        <v>КБ2</v>
      </c>
      <c r="J316" s="154">
        <f>'Управление ИБ'!K102</f>
        <v>5</v>
      </c>
      <c r="K316" s="153">
        <f>'Управление ИБ'!I102</f>
        <v>0</v>
      </c>
      <c r="L316" s="153">
        <f>'Управление ИБ'!L102</f>
        <v>0</v>
      </c>
      <c r="M316" s="153">
        <f t="shared" si="44"/>
        <v>0</v>
      </c>
      <c r="N316" s="153">
        <f t="shared" si="46"/>
        <v>5</v>
      </c>
      <c r="O316" s="153" t="str">
        <f>'Управление ИБ'!W102</f>
        <v xml:space="preserve"> - Регламентировать порядок описания сетевых взаимодействий;
  - Документировать перечень разрешенных сетевых взаимодействий для компонентов инфраструктуры и не менее чем для 30% ИС;
   - По результатам документирования привести в соответствие правила межсетевых экранов.</v>
      </c>
      <c r="P316" s="155" t="s">
        <v>97</v>
      </c>
      <c r="Q316" s="156" t="s">
        <v>1255</v>
      </c>
      <c r="R316" s="153"/>
      <c r="S316" s="157"/>
      <c r="T316" s="151" t="s">
        <v>99</v>
      </c>
      <c r="U316" s="158">
        <v>0</v>
      </c>
      <c r="V316" s="158">
        <v>0</v>
      </c>
      <c r="W316" s="158">
        <v>0</v>
      </c>
      <c r="X316" s="158">
        <f t="shared" si="47"/>
        <v>0</v>
      </c>
      <c r="Y316" s="159"/>
      <c r="Z316" s="160"/>
      <c r="AA316" s="160"/>
      <c r="AB316" s="160"/>
      <c r="AC316" s="160"/>
      <c r="AD316" s="160"/>
      <c r="AE316" s="160"/>
    </row>
    <row r="317" spans="1:31" ht="163.80000000000001" hidden="1">
      <c r="A317" s="151" t="s">
        <v>156</v>
      </c>
      <c r="B317" s="152" t="s">
        <v>201</v>
      </c>
      <c r="C317" s="153" t="str">
        <f>'Управление ИБ'!B103</f>
        <v>Определены правила конфигурирования ативов (Харденинг)</v>
      </c>
      <c r="D317" s="153" t="str">
        <f>'Управление ИБ'!C103</f>
        <v>УИБ.УА.4</v>
      </c>
      <c r="E317" s="153">
        <f>'Управление ИБ'!D103</f>
        <v>5</v>
      </c>
      <c r="F317" s="153">
        <f>'Управление ИБ'!E103</f>
        <v>3.2</v>
      </c>
      <c r="G317" s="153">
        <f>'Управление ИБ'!F103</f>
        <v>0</v>
      </c>
      <c r="H317" s="153">
        <f>'Управление ИБ'!V103</f>
        <v>229.03999999999996</v>
      </c>
      <c r="I317" s="154" t="str">
        <f t="shared" si="45"/>
        <v>КБ2</v>
      </c>
      <c r="J317" s="154">
        <f>'Управление ИБ'!K103</f>
        <v>5</v>
      </c>
      <c r="K317" s="153">
        <f>'Управление ИБ'!I103</f>
        <v>0</v>
      </c>
      <c r="L317" s="153">
        <f>'Управление ИБ'!L103</f>
        <v>0</v>
      </c>
      <c r="M317" s="153">
        <f t="shared" si="44"/>
        <v>0</v>
      </c>
      <c r="N317" s="153">
        <f t="shared" si="46"/>
        <v>5</v>
      </c>
      <c r="O317" s="153" t="str">
        <f>'Управление ИБ'!W103</f>
        <v xml:space="preserve"> - Разработать или Получить в Блоке ИБ ПАО Ростелеком типовые защищенные конфигурации;
   - Обеспечить применение безопасных конфигураций на не менее чем 50% хостов.</v>
      </c>
      <c r="P317" s="155" t="s">
        <v>97</v>
      </c>
      <c r="Q317" s="156" t="s">
        <v>1256</v>
      </c>
      <c r="R317" s="153"/>
      <c r="S317" s="157"/>
      <c r="T317" s="151" t="s">
        <v>99</v>
      </c>
      <c r="U317" s="158">
        <v>0</v>
      </c>
      <c r="V317" s="158">
        <v>0</v>
      </c>
      <c r="W317" s="158">
        <v>0</v>
      </c>
      <c r="X317" s="158">
        <f t="shared" si="47"/>
        <v>0</v>
      </c>
      <c r="Y317" s="159"/>
      <c r="Z317" s="160"/>
      <c r="AA317" s="160"/>
      <c r="AB317" s="160"/>
      <c r="AC317" s="160"/>
      <c r="AD317" s="160"/>
      <c r="AE317" s="160"/>
    </row>
    <row r="318" spans="1:31" ht="187.2" hidden="1">
      <c r="A318" s="151" t="s">
        <v>156</v>
      </c>
      <c r="B318" s="152" t="s">
        <v>201</v>
      </c>
      <c r="C318" s="153" t="str">
        <f>'Управление ИБ'!B104</f>
        <v>Осуществляется контроль изменений конфигураций оборудования (АРМ, Серверы, Активное сетевое оборудование)</v>
      </c>
      <c r="D318" s="153" t="str">
        <f>'Управление ИБ'!C104</f>
        <v>УИБ.УА.5</v>
      </c>
      <c r="E318" s="153">
        <f>'Управление ИБ'!D104</f>
        <v>5</v>
      </c>
      <c r="F318" s="153">
        <f>'Управление ИБ'!E104</f>
        <v>3.2</v>
      </c>
      <c r="G318" s="153">
        <f>'Управление ИБ'!F104</f>
        <v>0</v>
      </c>
      <c r="H318" s="153">
        <f>'Управление ИБ'!V104</f>
        <v>229.04999999999995</v>
      </c>
      <c r="I318" s="154" t="str">
        <f t="shared" si="45"/>
        <v>КБ2</v>
      </c>
      <c r="J318" s="154">
        <f>'Управление ИБ'!K104</f>
        <v>5</v>
      </c>
      <c r="K318" s="153">
        <f>'Управление ИБ'!I104</f>
        <v>0</v>
      </c>
      <c r="L318" s="153">
        <f>'Управление ИБ'!L104</f>
        <v>0</v>
      </c>
      <c r="M318" s="153">
        <f t="shared" si="44"/>
        <v>0</v>
      </c>
      <c r="N318" s="153">
        <f t="shared" si="46"/>
        <v>5</v>
      </c>
      <c r="O318" s="153" t="str">
        <f>'Управление ИБ'!W104</f>
        <v>Определить порядок управления конфигурациями оборудования;
Осуществлять автоматизированный контроль конфигураций активного сетевого оборудования и серверов</v>
      </c>
      <c r="P318" s="155" t="s">
        <v>97</v>
      </c>
      <c r="Q318" s="156" t="s">
        <v>1299</v>
      </c>
      <c r="R318" s="153"/>
      <c r="S318" s="157"/>
      <c r="T318" s="151" t="s">
        <v>99</v>
      </c>
      <c r="U318" s="158">
        <v>0</v>
      </c>
      <c r="V318" s="158">
        <v>0</v>
      </c>
      <c r="W318" s="158">
        <v>0</v>
      </c>
      <c r="X318" s="158">
        <f t="shared" si="47"/>
        <v>0</v>
      </c>
      <c r="Y318" s="159"/>
      <c r="Z318" s="160"/>
      <c r="AA318" s="160"/>
      <c r="AB318" s="160"/>
      <c r="AC318" s="160"/>
      <c r="AD318" s="160"/>
      <c r="AE318" s="160"/>
    </row>
    <row r="319" spans="1:31" ht="163.80000000000001" hidden="1">
      <c r="A319" s="151" t="s">
        <v>156</v>
      </c>
      <c r="B319" s="152" t="s">
        <v>165</v>
      </c>
      <c r="C319" s="153" t="str">
        <f>'Управление ИБ'!B164</f>
        <v>Наличие политики/регламентов управления доступом к ИА</v>
      </c>
      <c r="D319" s="153" t="str">
        <f>'Управление ИБ'!C164</f>
        <v>УИБ.УД.1</v>
      </c>
      <c r="E319" s="153">
        <f>'Управление ИБ'!D164</f>
        <v>3.2</v>
      </c>
      <c r="F319" s="153">
        <f>'Управление ИБ'!E164</f>
        <v>1.6</v>
      </c>
      <c r="G319" s="153">
        <f>'Управление ИБ'!F164</f>
        <v>0</v>
      </c>
      <c r="H319" s="170">
        <f>'Управление ИБ'!V164</f>
        <v>216.01</v>
      </c>
      <c r="I319" s="154" t="str">
        <f t="shared" si="45"/>
        <v>КБ2</v>
      </c>
      <c r="J319" s="154">
        <f>'Управление ИБ'!K164</f>
        <v>3.2</v>
      </c>
      <c r="K319" s="153">
        <f>'Управление ИБ'!I164</f>
        <v>0</v>
      </c>
      <c r="L319" s="153">
        <f>'Управление ИБ'!L164</f>
        <v>0</v>
      </c>
      <c r="M319" s="153">
        <f t="shared" si="44"/>
        <v>0</v>
      </c>
      <c r="N319" s="153">
        <f t="shared" si="46"/>
        <v>3.2</v>
      </c>
      <c r="O319" s="153" t="str">
        <f>'Управление ИБ'!W164</f>
        <v xml:space="preserve"> - Разработать или Получить в Блоке ИБ ПАО Ростелеком типовое описание процесса управления доступом;
  - Утвердить в Обществе ВНД, описывающий процесс управления доступом.</v>
      </c>
      <c r="P319" s="155" t="s">
        <v>97</v>
      </c>
      <c r="Q319" s="156" t="s">
        <v>1242</v>
      </c>
      <c r="R319" s="153"/>
      <c r="S319" s="157"/>
      <c r="T319" s="151" t="s">
        <v>99</v>
      </c>
      <c r="U319" s="158">
        <v>0</v>
      </c>
      <c r="V319" s="158">
        <v>0</v>
      </c>
      <c r="W319" s="158">
        <v>0</v>
      </c>
      <c r="X319" s="158">
        <f t="shared" si="47"/>
        <v>0</v>
      </c>
      <c r="Y319" s="159"/>
      <c r="Z319" s="160"/>
      <c r="AA319" s="160"/>
      <c r="AB319" s="160"/>
      <c r="AC319" s="160"/>
      <c r="AD319" s="160"/>
      <c r="AE319" s="160"/>
    </row>
    <row r="320" spans="1:31" ht="327.60000000000002" hidden="1">
      <c r="A320" s="151" t="s">
        <v>156</v>
      </c>
      <c r="B320" s="152" t="s">
        <v>165</v>
      </c>
      <c r="C320" s="153" t="str">
        <f>'Управление ИБ'!B173</f>
        <v xml:space="preserve">При организации доступа к сети Интернет осуществляется контроль сетевых  протоколов и портов, URL адресов </v>
      </c>
      <c r="D320" s="153" t="str">
        <f>'Управление ИБ'!C173</f>
        <v>УИБ.УД.10</v>
      </c>
      <c r="E320" s="153">
        <f>'Управление ИБ'!D173</f>
        <v>5</v>
      </c>
      <c r="F320" s="153">
        <f>'Управление ИБ'!E173</f>
        <v>3.2</v>
      </c>
      <c r="G320" s="153">
        <f>'Управление ИБ'!F173</f>
        <v>1.6</v>
      </c>
      <c r="H320" s="170">
        <f>'Управление ИБ'!V173</f>
        <v>216.09999999999991</v>
      </c>
      <c r="I320" s="154" t="str">
        <f t="shared" si="45"/>
        <v>КБ2</v>
      </c>
      <c r="J320" s="154">
        <f>'Управление ИБ'!K173</f>
        <v>5</v>
      </c>
      <c r="K320" s="153">
        <f>'Управление ИБ'!I173</f>
        <v>0</v>
      </c>
      <c r="L320" s="153">
        <f>'Управление ИБ'!L173</f>
        <v>0</v>
      </c>
      <c r="M320" s="153">
        <f t="shared" ref="M320:M351" si="48">IF(K320=J320," ",L320-K320)</f>
        <v>0</v>
      </c>
      <c r="N320" s="153">
        <f t="shared" si="46"/>
        <v>5</v>
      </c>
      <c r="O320" s="153" t="str">
        <f>'Управление ИБ'!W173</f>
        <v xml:space="preserve"> - Обеспечить выполнение требований к сетевым протоколам при проектировании и  создании ИС;
  - Обеспечить сетевое взаимодействие только по безопасным протоколам для всех новых ИС;
  - Для существующих ИС, не соответствующих требованиям, реализовать дополнительные меры защиты или ограничить взаимодействие с интернетом.</v>
      </c>
      <c r="P320" s="155" t="s">
        <v>97</v>
      </c>
      <c r="Q320" s="156" t="s">
        <v>1258</v>
      </c>
      <c r="R320" s="153"/>
      <c r="S320" s="157"/>
      <c r="T320" s="151" t="s">
        <v>99</v>
      </c>
      <c r="U320" s="158">
        <v>0</v>
      </c>
      <c r="V320" s="158">
        <v>0</v>
      </c>
      <c r="W320" s="158">
        <v>0</v>
      </c>
      <c r="X320" s="158">
        <f t="shared" si="47"/>
        <v>0</v>
      </c>
      <c r="Y320" s="159"/>
      <c r="Z320" s="160"/>
      <c r="AA320" s="160"/>
      <c r="AB320" s="160"/>
      <c r="AC320" s="160"/>
      <c r="AD320" s="160"/>
      <c r="AE320" s="160"/>
    </row>
    <row r="321" spans="1:31" ht="140.4" hidden="1">
      <c r="A321" s="151" t="s">
        <v>156</v>
      </c>
      <c r="B321" s="152" t="s">
        <v>165</v>
      </c>
      <c r="C321" s="153" t="str">
        <f>'Управление ИБ'!B165</f>
        <v>Доступ к ИА Осуществляется на основе согласованных с ИБ ролевых моделей (исключение SoD-конфликтов)</v>
      </c>
      <c r="D321" s="153" t="str">
        <f>'Управление ИБ'!C165</f>
        <v>УИБ.УД.2</v>
      </c>
      <c r="E321" s="153">
        <f>'Управление ИБ'!D165</f>
        <v>5</v>
      </c>
      <c r="F321" s="153">
        <f>'Управление ИБ'!E165</f>
        <v>3.2</v>
      </c>
      <c r="G321" s="153">
        <f>'Управление ИБ'!F165</f>
        <v>1.6</v>
      </c>
      <c r="H321" s="168">
        <f>'Управление ИБ'!V165</f>
        <v>216.01999999999998</v>
      </c>
      <c r="I321" s="154" t="str">
        <f t="shared" si="45"/>
        <v>КБ2</v>
      </c>
      <c r="J321" s="154">
        <f>'Управление ИБ'!K165</f>
        <v>5</v>
      </c>
      <c r="K321" s="153">
        <f>'Управление ИБ'!I165</f>
        <v>0</v>
      </c>
      <c r="L321" s="153">
        <f>'Управление ИБ'!L165</f>
        <v>0</v>
      </c>
      <c r="M321" s="153">
        <f t="shared" si="48"/>
        <v>0</v>
      </c>
      <c r="N321" s="153">
        <f t="shared" si="46"/>
        <v>5</v>
      </c>
      <c r="O321" s="153" t="str">
        <f>'Управление ИБ'!W165</f>
        <v xml:space="preserve"> - Для наиболее важных ИС провести аудит прав доступа в ИС и назначить всем пользователям роли в соответствии с ролевой моделью.</v>
      </c>
      <c r="P321" s="155" t="s">
        <v>97</v>
      </c>
      <c r="Q321" s="156" t="s">
        <v>1261</v>
      </c>
      <c r="R321" s="153"/>
      <c r="S321" s="157"/>
      <c r="T321" s="151" t="s">
        <v>99</v>
      </c>
      <c r="U321" s="158">
        <v>0</v>
      </c>
      <c r="V321" s="158">
        <v>0</v>
      </c>
      <c r="W321" s="158">
        <v>0</v>
      </c>
      <c r="X321" s="158">
        <f t="shared" si="47"/>
        <v>0</v>
      </c>
      <c r="Y321" s="159"/>
      <c r="Z321" s="160"/>
      <c r="AA321" s="160"/>
      <c r="AB321" s="160"/>
      <c r="AC321" s="160"/>
      <c r="AD321" s="160"/>
      <c r="AE321" s="160"/>
    </row>
    <row r="322" spans="1:31" ht="140.4" hidden="1">
      <c r="A322" s="151" t="s">
        <v>156</v>
      </c>
      <c r="B322" s="152" t="s">
        <v>165</v>
      </c>
      <c r="C322" s="153" t="str">
        <f>'Управление ИБ'!B166</f>
        <v>ИБ участвует в согласовании и предоставлении доступа</v>
      </c>
      <c r="D322" s="153" t="str">
        <f>'Управление ИБ'!C166</f>
        <v>УИБ.УД.3</v>
      </c>
      <c r="E322" s="153">
        <f>'Управление ИБ'!D166</f>
        <v>5</v>
      </c>
      <c r="F322" s="153">
        <f>'Управление ИБ'!E166</f>
        <v>3.2</v>
      </c>
      <c r="G322" s="153">
        <f>'Управление ИБ'!F166</f>
        <v>1.6</v>
      </c>
      <c r="H322" s="170">
        <f>'Управление ИБ'!V166</f>
        <v>216.02999999999997</v>
      </c>
      <c r="I322" s="154" t="str">
        <f t="shared" si="45"/>
        <v>КБ2</v>
      </c>
      <c r="J322" s="154">
        <f>'Управление ИБ'!K166</f>
        <v>5</v>
      </c>
      <c r="K322" s="153">
        <f>'Управление ИБ'!I166</f>
        <v>0</v>
      </c>
      <c r="L322" s="153">
        <f>'Управление ИБ'!L166</f>
        <v>0</v>
      </c>
      <c r="M322" s="153">
        <f t="shared" si="48"/>
        <v>0</v>
      </c>
      <c r="N322" s="153">
        <f t="shared" si="46"/>
        <v>5</v>
      </c>
      <c r="O322" s="153" t="str">
        <f>'Управление ИБ'!W166</f>
        <v xml:space="preserve"> - Реализовать автоматизированное согласование заявок на доступ;
  - Обеспечить обязательное участие подразделения ИБ в процессе согласования</v>
      </c>
      <c r="P322" s="155" t="s">
        <v>97</v>
      </c>
      <c r="Q322" s="156" t="s">
        <v>1264</v>
      </c>
      <c r="R322" s="153"/>
      <c r="S322" s="157"/>
      <c r="T322" s="151" t="s">
        <v>99</v>
      </c>
      <c r="U322" s="158">
        <v>0</v>
      </c>
      <c r="V322" s="158">
        <v>0</v>
      </c>
      <c r="W322" s="158">
        <v>0</v>
      </c>
      <c r="X322" s="158">
        <f t="shared" si="47"/>
        <v>0</v>
      </c>
      <c r="Y322" s="159"/>
      <c r="Z322" s="160"/>
      <c r="AA322" s="160"/>
      <c r="AB322" s="160"/>
      <c r="AC322" s="160"/>
      <c r="AD322" s="160"/>
      <c r="AE322" s="160"/>
    </row>
    <row r="323" spans="1:31" ht="140.4" hidden="1">
      <c r="A323" s="151" t="s">
        <v>156</v>
      </c>
      <c r="B323" s="152" t="s">
        <v>165</v>
      </c>
      <c r="C323" s="153" t="str">
        <f>'Управление ИБ'!B167</f>
        <v>При приеме нового сотрудника, изменении должности или роли осуществляется автоматическое назначение прав доступа</v>
      </c>
      <c r="D323" s="153" t="str">
        <f>'Управление ИБ'!C167</f>
        <v>УИБ.УД.4</v>
      </c>
      <c r="E323" s="153">
        <f>'Управление ИБ'!D167</f>
        <v>3.2</v>
      </c>
      <c r="F323" s="153">
        <f>'Управление ИБ'!E167</f>
        <v>1.6</v>
      </c>
      <c r="G323" s="153">
        <f>'Управление ИБ'!F167</f>
        <v>0</v>
      </c>
      <c r="H323" s="170">
        <f>'Управление ИБ'!V167</f>
        <v>216.03999999999996</v>
      </c>
      <c r="I323" s="154" t="str">
        <f t="shared" si="45"/>
        <v>КБ2</v>
      </c>
      <c r="J323" s="154">
        <f>'Управление ИБ'!K167</f>
        <v>3.2</v>
      </c>
      <c r="K323" s="153">
        <f>'Управление ИБ'!I167</f>
        <v>0</v>
      </c>
      <c r="L323" s="153">
        <f>'Управление ИБ'!L167</f>
        <v>0</v>
      </c>
      <c r="M323" s="153">
        <f t="shared" si="48"/>
        <v>0</v>
      </c>
      <c r="N323" s="153">
        <f t="shared" si="46"/>
        <v>3.2</v>
      </c>
      <c r="O323" s="153" t="str">
        <f>'Управление ИБ'!W167</f>
        <v xml:space="preserve"> - Реализовать автоматическое создание учетной записи для нового работника и назначение базовых прав на основе данных из систем кадрового учета</v>
      </c>
      <c r="P323" s="155" t="s">
        <v>97</v>
      </c>
      <c r="Q323" s="156" t="s">
        <v>1268</v>
      </c>
      <c r="R323" s="153"/>
      <c r="S323" s="157"/>
      <c r="T323" s="151" t="s">
        <v>99</v>
      </c>
      <c r="U323" s="158">
        <v>0</v>
      </c>
      <c r="V323" s="158">
        <v>0</v>
      </c>
      <c r="W323" s="158">
        <v>0</v>
      </c>
      <c r="X323" s="158">
        <f t="shared" si="47"/>
        <v>0</v>
      </c>
      <c r="Y323" s="159"/>
      <c r="Z323" s="160"/>
      <c r="AA323" s="160"/>
      <c r="AB323" s="160"/>
      <c r="AC323" s="160"/>
      <c r="AD323" s="160"/>
      <c r="AE323" s="160"/>
    </row>
    <row r="324" spans="1:31" ht="257.39999999999998" hidden="1">
      <c r="A324" s="151" t="s">
        <v>156</v>
      </c>
      <c r="B324" s="152" t="s">
        <v>165</v>
      </c>
      <c r="C324" s="153" t="str">
        <f>'Управление ИБ'!B168</f>
        <v>При увольнении работника происходит автоматический отзыв прав и блокировка УЗ</v>
      </c>
      <c r="D324" s="153" t="str">
        <f>'Управление ИБ'!C168</f>
        <v>УИБ.УД.5</v>
      </c>
      <c r="E324" s="153">
        <f>'Управление ИБ'!D168</f>
        <v>3.2</v>
      </c>
      <c r="F324" s="153">
        <f>'Управление ИБ'!E168</f>
        <v>1.6</v>
      </c>
      <c r="G324" s="153">
        <f>'Управление ИБ'!F168</f>
        <v>0</v>
      </c>
      <c r="H324" s="170">
        <f>'Управление ИБ'!V168</f>
        <v>216.04999999999995</v>
      </c>
      <c r="I324" s="154" t="str">
        <f t="shared" si="45"/>
        <v>КБ2</v>
      </c>
      <c r="J324" s="154">
        <f>'Управление ИБ'!K168</f>
        <v>3.2</v>
      </c>
      <c r="K324" s="153">
        <f>'Управление ИБ'!I168</f>
        <v>0</v>
      </c>
      <c r="L324" s="153">
        <f>'Управление ИБ'!L168</f>
        <v>0</v>
      </c>
      <c r="M324" s="153">
        <f t="shared" si="48"/>
        <v>0</v>
      </c>
      <c r="N324" s="153">
        <f t="shared" si="46"/>
        <v>3.2</v>
      </c>
      <c r="O324" s="153" t="str">
        <f>'Управление ИБ'!W168</f>
        <v xml:space="preserve"> - Реализовать автоматическую блокировку всех учетных записей работника при увольнении работника на основе данных из систем кадрового учета;
   - Реализовать автоматическую блокировку всех учетных записей контрагентов при истечении срока действия или прекращении договора.</v>
      </c>
      <c r="P324" s="155" t="s">
        <v>97</v>
      </c>
      <c r="Q324" s="156" t="s">
        <v>1266</v>
      </c>
      <c r="R324" s="153"/>
      <c r="S324" s="157"/>
      <c r="T324" s="151" t="s">
        <v>99</v>
      </c>
      <c r="U324" s="158">
        <v>0</v>
      </c>
      <c r="V324" s="158">
        <v>0</v>
      </c>
      <c r="W324" s="158">
        <v>0</v>
      </c>
      <c r="X324" s="158">
        <f t="shared" si="47"/>
        <v>0</v>
      </c>
      <c r="Y324" s="159"/>
      <c r="Z324" s="160"/>
      <c r="AA324" s="160"/>
      <c r="AB324" s="160"/>
      <c r="AC324" s="160"/>
      <c r="AD324" s="160"/>
      <c r="AE324" s="160"/>
    </row>
    <row r="325" spans="1:31" ht="163.80000000000001" hidden="1">
      <c r="A325" s="151" t="s">
        <v>156</v>
      </c>
      <c r="B325" s="152" t="s">
        <v>165</v>
      </c>
      <c r="C325" s="153" t="str">
        <f>'Управление ИБ'!B169</f>
        <v>Проводится регулярный аудит УЗ и доступов не реже одного раза в год</v>
      </c>
      <c r="D325" s="153" t="str">
        <f>'Управление ИБ'!C169</f>
        <v>УИБ.УД.6</v>
      </c>
      <c r="E325" s="153">
        <f>'Управление ИБ'!D169</f>
        <v>5</v>
      </c>
      <c r="F325" s="153">
        <f>'Управление ИБ'!E169</f>
        <v>3.2</v>
      </c>
      <c r="G325" s="153">
        <f>'Управление ИБ'!F169</f>
        <v>1.6</v>
      </c>
      <c r="H325" s="170">
        <f>'Управление ИБ'!V169</f>
        <v>216.05999999999995</v>
      </c>
      <c r="I325" s="154" t="str">
        <f t="shared" si="45"/>
        <v>КБ2</v>
      </c>
      <c r="J325" s="154">
        <f>'Управление ИБ'!K169</f>
        <v>5</v>
      </c>
      <c r="K325" s="153">
        <f>'Управление ИБ'!I169</f>
        <v>0</v>
      </c>
      <c r="L325" s="153">
        <f>'Управление ИБ'!L169</f>
        <v>0</v>
      </c>
      <c r="M325" s="153">
        <f t="shared" si="48"/>
        <v>0</v>
      </c>
      <c r="N325" s="153">
        <f t="shared" si="46"/>
        <v>5</v>
      </c>
      <c r="O325" s="153" t="str">
        <f>'Управление ИБ'!W169</f>
        <v xml:space="preserve"> - Реализовать процесс регулярного аудита всех учетных записей для критичных ИС;
  - Обеспечить проведение аудита не реже чем раз в 6 месяцев</v>
      </c>
      <c r="P325" s="155" t="s">
        <v>97</v>
      </c>
      <c r="Q325" s="156" t="s">
        <v>1269</v>
      </c>
      <c r="R325" s="153"/>
      <c r="S325" s="157"/>
      <c r="T325" s="151" t="s">
        <v>99</v>
      </c>
      <c r="U325" s="158">
        <v>0</v>
      </c>
      <c r="V325" s="158">
        <v>0</v>
      </c>
      <c r="W325" s="158">
        <v>0</v>
      </c>
      <c r="X325" s="158">
        <f t="shared" si="47"/>
        <v>0</v>
      </c>
      <c r="Y325" s="159"/>
      <c r="Z325" s="160"/>
      <c r="AA325" s="160"/>
      <c r="AB325" s="160"/>
      <c r="AC325" s="160"/>
      <c r="AD325" s="160"/>
      <c r="AE325" s="160"/>
    </row>
    <row r="326" spans="1:31" ht="70.2" hidden="1">
      <c r="A326" s="151" t="s">
        <v>156</v>
      </c>
      <c r="B326" s="152" t="s">
        <v>231</v>
      </c>
      <c r="C326" s="153" t="str">
        <f>'Управление ИБ'!B74</f>
        <v>Риски определены качественно</v>
      </c>
      <c r="D326" s="153" t="str">
        <f>'Управление ИБ'!C74</f>
        <v>УИБ.УР.3</v>
      </c>
      <c r="E326" s="153">
        <f>'Управление ИБ'!D74</f>
        <v>5</v>
      </c>
      <c r="F326" s="153">
        <f>'Управление ИБ'!E74</f>
        <v>5</v>
      </c>
      <c r="G326" s="153">
        <f>'Управление ИБ'!F74</f>
        <v>0</v>
      </c>
      <c r="H326" s="153">
        <f>'Управление ИБ'!V74</f>
        <v>241.02999999999997</v>
      </c>
      <c r="I326" s="154" t="str">
        <f t="shared" si="45"/>
        <v>КБ2</v>
      </c>
      <c r="J326" s="629">
        <f>'Управление ИБ'!K74</f>
        <v>5</v>
      </c>
      <c r="K326" s="628">
        <f>'Управление ИБ'!I74</f>
        <v>0</v>
      </c>
      <c r="L326" s="628">
        <f>'Управление ИБ'!L74</f>
        <v>0</v>
      </c>
      <c r="M326" s="628">
        <f t="shared" si="48"/>
        <v>0</v>
      </c>
      <c r="N326" s="153">
        <f t="shared" si="46"/>
        <v>5</v>
      </c>
      <c r="O326" s="153" t="str">
        <f>'Управление ИБ'!W74</f>
        <v>- Реализовать процесс качественной оценки рисков ИБ на основе экспертной оценки</v>
      </c>
      <c r="P326" s="155" t="s">
        <v>97</v>
      </c>
      <c r="Q326" s="156" t="s">
        <v>1300</v>
      </c>
      <c r="R326" s="153"/>
      <c r="S326" s="157"/>
      <c r="T326" s="151" t="s">
        <v>99</v>
      </c>
      <c r="U326" s="158">
        <v>0</v>
      </c>
      <c r="V326" s="158">
        <v>0</v>
      </c>
      <c r="W326" s="158">
        <v>0</v>
      </c>
      <c r="X326" s="158">
        <f t="shared" si="47"/>
        <v>0</v>
      </c>
      <c r="Y326" s="159"/>
      <c r="Z326" s="160"/>
      <c r="AA326" s="160"/>
      <c r="AB326" s="160"/>
      <c r="AC326" s="160"/>
      <c r="AD326" s="160"/>
      <c r="AE326" s="160"/>
    </row>
    <row r="327" spans="1:31" ht="280.8" hidden="1">
      <c r="A327" s="151" t="s">
        <v>156</v>
      </c>
      <c r="B327" s="152" t="s">
        <v>206</v>
      </c>
      <c r="C327" s="153" t="str">
        <f>'Управление ИБ'!B150</f>
        <v>Управление устройствами хранения информации должно осуществляться на всем протяжении их жизненного цикла, включающего приобретение, использование, транспортировку и уничтожение, в соответствии с классификационной схемой Общества и требованиями к обращению.</v>
      </c>
      <c r="D327" s="153" t="str">
        <f>'Управление ИБ'!C150</f>
        <v>УИБ.ФД.4</v>
      </c>
      <c r="E327" s="153">
        <f>'Управление ИБ'!D150</f>
        <v>5</v>
      </c>
      <c r="F327" s="153">
        <f>'Управление ИБ'!E150</f>
        <v>3.2</v>
      </c>
      <c r="G327" s="153">
        <f>'Управление ИБ'!F150</f>
        <v>1.6</v>
      </c>
      <c r="H327" s="170">
        <f>'Управление ИБ'!V150</f>
        <v>234.03999999999996</v>
      </c>
      <c r="I327" s="154" t="str">
        <f t="shared" si="45"/>
        <v>КБ2</v>
      </c>
      <c r="J327" s="154">
        <f>'Управление ИБ'!K150</f>
        <v>5</v>
      </c>
      <c r="K327" s="153">
        <f>'Управление ИБ'!I150</f>
        <v>0</v>
      </c>
      <c r="L327" s="153">
        <f>'Управление ИБ'!L150</f>
        <v>0</v>
      </c>
      <c r="M327" s="153">
        <f t="shared" si="48"/>
        <v>0</v>
      </c>
      <c r="N327" s="153">
        <f t="shared" si="46"/>
        <v>5</v>
      </c>
      <c r="O327" s="153" t="str">
        <f>'Управление ИБ'!W150</f>
        <v xml:space="preserve"> - Реализовать в Обществе процесс управления устройствами хранения информации;
   - Проводить регулярные проверки реального соблюдения регламента обращения с машинными носителями;
   </v>
      </c>
      <c r="P327" s="155" t="s">
        <v>97</v>
      </c>
      <c r="Q327" s="156" t="s">
        <v>1305</v>
      </c>
      <c r="R327" s="153"/>
      <c r="S327" s="157"/>
      <c r="T327" s="151" t="s">
        <v>99</v>
      </c>
      <c r="U327" s="158">
        <v>0</v>
      </c>
      <c r="V327" s="158">
        <v>0</v>
      </c>
      <c r="W327" s="158">
        <v>0</v>
      </c>
      <c r="X327" s="158">
        <f t="shared" si="47"/>
        <v>0</v>
      </c>
      <c r="Y327" s="159"/>
      <c r="Z327" s="160"/>
      <c r="AA327" s="160"/>
      <c r="AB327" s="160"/>
      <c r="AC327" s="160"/>
      <c r="AD327" s="160"/>
      <c r="AE327" s="160"/>
    </row>
    <row r="328" spans="1:31" ht="163.80000000000001" hidden="1">
      <c r="A328" s="151" t="s">
        <v>156</v>
      </c>
      <c r="B328" s="152" t="s">
        <v>207</v>
      </c>
      <c r="C328" s="153" t="str">
        <f>'Управление ИБ'!B106</f>
        <v>Процессы взаимодействия в ИТ цепочке c участниками цепочки поставок определены, управляются и согласовываются заинтересованными сторонами Общества</v>
      </c>
      <c r="D328" s="153" t="str">
        <f>'Управление ИБ'!C106</f>
        <v>УИБ.ЦП.1</v>
      </c>
      <c r="E328" s="153">
        <f>'Управление ИБ'!D106</f>
        <v>5</v>
      </c>
      <c r="F328" s="153">
        <f>'Управление ИБ'!E106</f>
        <v>3.2</v>
      </c>
      <c r="G328" s="153">
        <f>'Управление ИБ'!F106</f>
        <v>1.6</v>
      </c>
      <c r="H328" s="153">
        <f>'Управление ИБ'!V106</f>
        <v>235.01</v>
      </c>
      <c r="I328" s="154" t="str">
        <f t="shared" si="45"/>
        <v>КБ2</v>
      </c>
      <c r="J328" s="154">
        <f>'Управление ИБ'!K106</f>
        <v>5</v>
      </c>
      <c r="K328" s="153">
        <f>'Управление ИБ'!I106</f>
        <v>0</v>
      </c>
      <c r="L328" s="153">
        <f>'Управление ИБ'!L106</f>
        <v>0</v>
      </c>
      <c r="M328" s="153">
        <f t="shared" si="48"/>
        <v>0</v>
      </c>
      <c r="N328" s="628">
        <f t="shared" si="46"/>
        <v>5</v>
      </c>
      <c r="O328" s="153" t="str">
        <f>'Управление ИБ'!W106</f>
        <v>Роль ИБ в согласовании договоров с ИТ/ИБ составляющей закреплена в ВНД</v>
      </c>
      <c r="P328" s="155" t="s">
        <v>97</v>
      </c>
      <c r="Q328" s="156" t="s">
        <v>1307</v>
      </c>
      <c r="R328" s="153"/>
      <c r="S328" s="157"/>
      <c r="T328" s="151" t="s">
        <v>99</v>
      </c>
      <c r="U328" s="158">
        <v>0</v>
      </c>
      <c r="V328" s="158">
        <v>0</v>
      </c>
      <c r="W328" s="158">
        <v>0</v>
      </c>
      <c r="X328" s="158">
        <f t="shared" si="47"/>
        <v>0</v>
      </c>
      <c r="Y328" s="159"/>
      <c r="Z328" s="160"/>
      <c r="AA328" s="160"/>
      <c r="AB328" s="160"/>
      <c r="AC328" s="160"/>
      <c r="AD328" s="160"/>
      <c r="AE328" s="160"/>
    </row>
    <row r="329" spans="1:31" ht="257.39999999999998" hidden="1">
      <c r="A329" s="151" t="s">
        <v>156</v>
      </c>
      <c r="B329" s="152" t="s">
        <v>207</v>
      </c>
      <c r="C329" s="153" t="str">
        <f>'Управление ИБ'!B108</f>
        <v>Поставщики и сторонние партнеры (имеющие доступ в инфраструктуру Общества) регулярно проходят оценку, чтобы подтвердить, что они выполняют свои договорные обязательства. Проводятся обзоры аудитов, резюме результатов испытаний или другие эквивалентные оценки поставщиков</v>
      </c>
      <c r="D329" s="153" t="str">
        <f>'Управление ИБ'!C108</f>
        <v>УИБ.ЦП.3</v>
      </c>
      <c r="E329" s="153">
        <f>'Управление ИБ'!D108</f>
        <v>5</v>
      </c>
      <c r="F329" s="153">
        <f>'Управление ИБ'!E108</f>
        <v>3.2</v>
      </c>
      <c r="G329" s="153">
        <f>'Управление ИБ'!F108</f>
        <v>1.6</v>
      </c>
      <c r="H329" s="153">
        <f>'Управление ИБ'!V108</f>
        <v>235.02999999999997</v>
      </c>
      <c r="I329" s="154" t="str">
        <f t="shared" si="45"/>
        <v>КБ2</v>
      </c>
      <c r="J329" s="154">
        <f>'Управление ИБ'!K108</f>
        <v>5</v>
      </c>
      <c r="K329" s="153">
        <f>'Управление ИБ'!I108</f>
        <v>0</v>
      </c>
      <c r="L329" s="153">
        <f>'Управление ИБ'!L108</f>
        <v>0</v>
      </c>
      <c r="M329" s="153">
        <f t="shared" si="48"/>
        <v>0</v>
      </c>
      <c r="N329" s="153">
        <f t="shared" si="46"/>
        <v>5</v>
      </c>
      <c r="O329" s="153" t="str">
        <f>'Управление ИБ'!W108</f>
        <v xml:space="preserve"> - Получить от подрядчиков подтверждение соблюдения мер ИБ (отчеты о внутреннем и внешнем аудите)</v>
      </c>
      <c r="P329" s="155" t="s">
        <v>97</v>
      </c>
      <c r="Q329" s="156" t="s">
        <v>315</v>
      </c>
      <c r="R329" s="153"/>
      <c r="S329" s="157"/>
      <c r="T329" s="151" t="s">
        <v>99</v>
      </c>
      <c r="U329" s="158">
        <v>0</v>
      </c>
      <c r="V329" s="158">
        <v>0</v>
      </c>
      <c r="W329" s="158">
        <v>0</v>
      </c>
      <c r="X329" s="158">
        <f t="shared" si="47"/>
        <v>0</v>
      </c>
      <c r="Y329" s="159"/>
      <c r="Z329" s="160"/>
      <c r="AA329" s="160"/>
      <c r="AB329" s="160"/>
      <c r="AC329" s="160"/>
      <c r="AD329" s="160"/>
      <c r="AE329" s="160"/>
    </row>
    <row r="330" spans="1:31" ht="93.6" hidden="1">
      <c r="A330" s="151" t="s">
        <v>58</v>
      </c>
      <c r="B330" s="152" t="s">
        <v>279</v>
      </c>
      <c r="C330" s="153" t="str">
        <f>Восстановление!B42</f>
        <v>Подготовлены планы коммуникаций на случай сбоев в планах по восстановлению</v>
      </c>
      <c r="D330" s="153" t="str">
        <f>Восстановление!C42</f>
        <v>ВССТ.КМНК.1</v>
      </c>
      <c r="E330" s="153">
        <f>Восстановление!D42</f>
        <v>5</v>
      </c>
      <c r="F330" s="153">
        <f>Восстановление!E42</f>
        <v>3.2</v>
      </c>
      <c r="G330" s="153">
        <f>Восстановление!F42</f>
        <v>0</v>
      </c>
      <c r="H330" s="153">
        <f>Восстановление!Y42</f>
        <v>332.01</v>
      </c>
      <c r="I330" s="154" t="str">
        <f t="shared" si="45"/>
        <v>КБ3</v>
      </c>
      <c r="J330" s="154">
        <f>Восстановление!K42</f>
        <v>5</v>
      </c>
      <c r="K330" s="153">
        <f>Восстановление!L42</f>
        <v>0</v>
      </c>
      <c r="L330" s="153">
        <f>Восстановление!L42</f>
        <v>0</v>
      </c>
      <c r="M330" s="153">
        <f t="shared" si="48"/>
        <v>0</v>
      </c>
      <c r="N330" s="153">
        <f t="shared" si="46"/>
        <v>5</v>
      </c>
      <c r="O330" s="153" t="str">
        <f>Восстановление!Z42</f>
        <v xml:space="preserve"> - Поддерживать и актуализировать планы коммуникаций</v>
      </c>
      <c r="P330" s="155" t="s">
        <v>97</v>
      </c>
      <c r="Q330" s="156" t="s">
        <v>313</v>
      </c>
      <c r="R330" s="153"/>
      <c r="S330" s="157"/>
      <c r="T330" s="151" t="s">
        <v>99</v>
      </c>
      <c r="U330" s="158">
        <v>0</v>
      </c>
      <c r="V330" s="158">
        <v>0</v>
      </c>
      <c r="W330" s="158">
        <v>0</v>
      </c>
      <c r="X330" s="158">
        <f t="shared" si="47"/>
        <v>0</v>
      </c>
      <c r="Y330" s="159"/>
      <c r="Z330" s="160"/>
      <c r="AA330" s="160"/>
      <c r="AB330" s="160"/>
      <c r="AC330" s="160"/>
      <c r="AD330" s="160"/>
      <c r="AE330" s="160"/>
    </row>
    <row r="331" spans="1:31" ht="93.6" hidden="1">
      <c r="A331" s="151" t="s">
        <v>58</v>
      </c>
      <c r="B331" s="152" t="s">
        <v>279</v>
      </c>
      <c r="C331" s="153" t="str">
        <f>Восстановление!B43</f>
        <v>Юристами Общества подготовлены типовые ответы на претензии по факту инцидента</v>
      </c>
      <c r="D331" s="153" t="str">
        <f>Восстановление!C43</f>
        <v>ВССТ.КМНК.2</v>
      </c>
      <c r="E331" s="153">
        <f>Восстановление!D43</f>
        <v>5</v>
      </c>
      <c r="F331" s="153">
        <f>Восстановление!E43</f>
        <v>0</v>
      </c>
      <c r="G331" s="153">
        <f>Восстановление!F43</f>
        <v>0</v>
      </c>
      <c r="H331" s="153">
        <f>Восстановление!Y43</f>
        <v>332.02</v>
      </c>
      <c r="I331" s="154" t="str">
        <f t="shared" si="45"/>
        <v>КБ3</v>
      </c>
      <c r="J331" s="154">
        <f>Восстановление!K43</f>
        <v>5</v>
      </c>
      <c r="K331" s="153">
        <f>Восстановление!L43</f>
        <v>0</v>
      </c>
      <c r="L331" s="153">
        <f>Восстановление!L43</f>
        <v>0</v>
      </c>
      <c r="M331" s="153">
        <f t="shared" si="48"/>
        <v>0</v>
      </c>
      <c r="N331" s="153">
        <f t="shared" si="46"/>
        <v>5</v>
      </c>
      <c r="O331" s="153" t="str">
        <f>Восстановление!Z43</f>
        <v xml:space="preserve"> - Подготовить типовые ответы на претензии по факту инцидента</v>
      </c>
      <c r="P331" s="155" t="s">
        <v>97</v>
      </c>
      <c r="Q331" s="156" t="s">
        <v>314</v>
      </c>
      <c r="R331" s="153"/>
      <c r="S331" s="157"/>
      <c r="T331" s="151" t="s">
        <v>99</v>
      </c>
      <c r="U331" s="158">
        <v>0</v>
      </c>
      <c r="V331" s="158">
        <v>0</v>
      </c>
      <c r="W331" s="158">
        <v>0</v>
      </c>
      <c r="X331" s="158">
        <f t="shared" si="47"/>
        <v>0</v>
      </c>
      <c r="Y331" s="159"/>
      <c r="Z331" s="160"/>
      <c r="AA331" s="160"/>
      <c r="AB331" s="160"/>
      <c r="AC331" s="160"/>
      <c r="AD331" s="160"/>
      <c r="AE331" s="160"/>
    </row>
    <row r="332" spans="1:31" ht="70.2" hidden="1">
      <c r="A332" s="151" t="s">
        <v>58</v>
      </c>
      <c r="B332" s="152" t="s">
        <v>169</v>
      </c>
      <c r="C332" s="153" t="str">
        <f>Восстановление!B34</f>
        <v>Планы ОНИВД разработаны</v>
      </c>
      <c r="D332" s="153" t="str">
        <f>Восстановление!C34</f>
        <v>ВССТ.ПЛН.3</v>
      </c>
      <c r="E332" s="153">
        <f>Восстановление!D34</f>
        <v>5</v>
      </c>
      <c r="F332" s="153">
        <f>Восстановление!E34</f>
        <v>3.2</v>
      </c>
      <c r="G332" s="153">
        <f>Восстановление!F34</f>
        <v>0</v>
      </c>
      <c r="H332" s="153">
        <f>Восстановление!Y34</f>
        <v>322.02999999999997</v>
      </c>
      <c r="I332" s="154" t="str">
        <f t="shared" si="45"/>
        <v>КБ3</v>
      </c>
      <c r="J332" s="154">
        <f>Восстановление!K34</f>
        <v>5</v>
      </c>
      <c r="K332" s="153">
        <f>Восстановление!I34</f>
        <v>0</v>
      </c>
      <c r="L332" s="153">
        <f>Восстановление!L34</f>
        <v>0</v>
      </c>
      <c r="M332" s="153">
        <f t="shared" si="48"/>
        <v>0</v>
      </c>
      <c r="N332" s="153">
        <f t="shared" si="46"/>
        <v>5</v>
      </c>
      <c r="O332" s="153" t="str">
        <f>Восстановление!Z34</f>
        <v xml:space="preserve"> - Актуализировать план не реже чем раз в год</v>
      </c>
      <c r="P332" s="155" t="s">
        <v>97</v>
      </c>
      <c r="Q332" s="156" t="s">
        <v>296</v>
      </c>
      <c r="R332" s="153"/>
      <c r="S332" s="157"/>
      <c r="T332" s="151" t="s">
        <v>99</v>
      </c>
      <c r="U332" s="158">
        <v>0</v>
      </c>
      <c r="V332" s="158">
        <v>0</v>
      </c>
      <c r="W332" s="158">
        <v>0</v>
      </c>
      <c r="X332" s="158">
        <f t="shared" si="47"/>
        <v>0</v>
      </c>
      <c r="Y332" s="159"/>
      <c r="Z332" s="160"/>
      <c r="AA332" s="160"/>
      <c r="AB332" s="160"/>
      <c r="AC332" s="160"/>
      <c r="AD332" s="160"/>
      <c r="AE332" s="160"/>
    </row>
    <row r="333" spans="1:31" ht="46.8" hidden="1">
      <c r="A333" s="151" t="s">
        <v>58</v>
      </c>
      <c r="B333" s="152" t="s">
        <v>169</v>
      </c>
      <c r="C333" s="153" t="str">
        <f>Восстановление!B35</f>
        <v>Разработан регламент резервного копирования</v>
      </c>
      <c r="D333" s="153" t="str">
        <f>Восстановление!C35</f>
        <v>ВССТ.ПЛН.4</v>
      </c>
      <c r="E333" s="153">
        <f>Восстановление!D35</f>
        <v>5</v>
      </c>
      <c r="F333" s="153">
        <f>Восстановление!E35</f>
        <v>3.2</v>
      </c>
      <c r="G333" s="153">
        <f>Восстановление!F35</f>
        <v>0</v>
      </c>
      <c r="H333" s="153">
        <f>Восстановление!Y35</f>
        <v>322.03999999999996</v>
      </c>
      <c r="I333" s="154" t="str">
        <f t="shared" si="45"/>
        <v>КБ3</v>
      </c>
      <c r="J333" s="154">
        <f>Восстановление!K35</f>
        <v>5</v>
      </c>
      <c r="K333" s="153">
        <f>Восстановление!I35</f>
        <v>0</v>
      </c>
      <c r="L333" s="153">
        <f>Восстановление!L35</f>
        <v>0</v>
      </c>
      <c r="M333" s="153">
        <f t="shared" si="48"/>
        <v>0</v>
      </c>
      <c r="N333" s="153">
        <f t="shared" si="46"/>
        <v>5</v>
      </c>
      <c r="O333" s="153" t="str">
        <f>Восстановление!Z35</f>
        <v xml:space="preserve"> - Актуализировать регламент не реже чем раз в год</v>
      </c>
      <c r="P333" s="155" t="s">
        <v>97</v>
      </c>
      <c r="Q333" s="156" t="s">
        <v>297</v>
      </c>
      <c r="R333" s="153"/>
      <c r="S333" s="157"/>
      <c r="T333" s="151" t="s">
        <v>99</v>
      </c>
      <c r="U333" s="158">
        <v>0</v>
      </c>
      <c r="V333" s="158">
        <v>0</v>
      </c>
      <c r="W333" s="158">
        <v>0</v>
      </c>
      <c r="X333" s="158">
        <f t="shared" si="47"/>
        <v>0</v>
      </c>
      <c r="Y333" s="159"/>
      <c r="Z333" s="160"/>
      <c r="AA333" s="160"/>
      <c r="AB333" s="160"/>
      <c r="AC333" s="160"/>
      <c r="AD333" s="160"/>
      <c r="AE333" s="160"/>
    </row>
    <row r="334" spans="1:31" ht="117" hidden="1">
      <c r="A334" s="151" t="s">
        <v>58</v>
      </c>
      <c r="B334" s="152" t="s">
        <v>169</v>
      </c>
      <c r="C334" s="153" t="str">
        <f>Восстановление!B36</f>
        <v>Выполняется регулярное создание резервных копий в соответствии с регламентом</v>
      </c>
      <c r="D334" s="153" t="str">
        <f>Восстановление!C36</f>
        <v>ВССТ.ПЛН.5</v>
      </c>
      <c r="E334" s="153">
        <f>Восстановление!D36</f>
        <v>5</v>
      </c>
      <c r="F334" s="153">
        <f>Восстановление!E36</f>
        <v>3.2</v>
      </c>
      <c r="G334" s="153">
        <f>Восстановление!F36</f>
        <v>3.2</v>
      </c>
      <c r="H334" s="153">
        <f>Восстановление!Y36</f>
        <v>322.04999999999995</v>
      </c>
      <c r="I334" s="154" t="str">
        <f t="shared" si="45"/>
        <v>КБ3</v>
      </c>
      <c r="J334" s="154">
        <f>Восстановление!K36</f>
        <v>5</v>
      </c>
      <c r="K334" s="153">
        <f>Восстановление!I36</f>
        <v>0</v>
      </c>
      <c r="L334" s="153">
        <f>Восстановление!L36</f>
        <v>0</v>
      </c>
      <c r="M334" s="153">
        <f t="shared" si="48"/>
        <v>0</v>
      </c>
      <c r="N334" s="153">
        <f t="shared" si="46"/>
        <v>5</v>
      </c>
      <c r="O334" s="153" t="str">
        <f>Восстановление!Z36</f>
        <v xml:space="preserve"> - Обеспечить регулярное создание резервных копий, их хранение и тестирование с учетом требований критичности ИА</v>
      </c>
      <c r="P334" s="155" t="s">
        <v>97</v>
      </c>
      <c r="Q334" s="156" t="s">
        <v>298</v>
      </c>
      <c r="R334" s="153"/>
      <c r="S334" s="157"/>
      <c r="T334" s="151" t="s">
        <v>99</v>
      </c>
      <c r="U334" s="158">
        <v>0</v>
      </c>
      <c r="V334" s="158">
        <v>0</v>
      </c>
      <c r="W334" s="158">
        <v>0</v>
      </c>
      <c r="X334" s="158">
        <f t="shared" si="47"/>
        <v>0</v>
      </c>
      <c r="Y334" s="159"/>
      <c r="Z334" s="160"/>
      <c r="AA334" s="160"/>
      <c r="AB334" s="160"/>
      <c r="AC334" s="160"/>
      <c r="AD334" s="160"/>
      <c r="AE334" s="160"/>
    </row>
    <row r="335" spans="1:31" ht="187.2" hidden="1">
      <c r="A335" s="151" t="s">
        <v>58</v>
      </c>
      <c r="B335" s="152" t="s">
        <v>169</v>
      </c>
      <c r="C335" s="153" t="str">
        <f>Восстановление!B37</f>
        <v>Резервные копии хранятся на сторонних площадках</v>
      </c>
      <c r="D335" s="153" t="str">
        <f>Восстановление!C37</f>
        <v>ВССТ.ПЛН.6</v>
      </c>
      <c r="E335" s="153">
        <f>Восстановление!D37</f>
        <v>5</v>
      </c>
      <c r="F335" s="153">
        <f>Восстановление!E37</f>
        <v>3.2</v>
      </c>
      <c r="G335" s="153">
        <f>Восстановление!F37</f>
        <v>1.6</v>
      </c>
      <c r="H335" s="153">
        <f>Восстановление!Y37</f>
        <v>322.05999999999995</v>
      </c>
      <c r="I335" s="154" t="str">
        <f t="shared" si="45"/>
        <v>КБ3</v>
      </c>
      <c r="J335" s="154">
        <f>Восстановление!K37</f>
        <v>5</v>
      </c>
      <c r="K335" s="153">
        <f>Восстановление!I37</f>
        <v>0</v>
      </c>
      <c r="L335" s="153">
        <f>Восстановление!L37</f>
        <v>0</v>
      </c>
      <c r="M335" s="153">
        <f t="shared" si="48"/>
        <v>0</v>
      </c>
      <c r="N335" s="153">
        <f t="shared" si="46"/>
        <v>5</v>
      </c>
      <c r="O335" s="153" t="str">
        <f>Восстановление!Z37</f>
        <v xml:space="preserve"> - Обеспечить хранение резервных копий на нескольких площадках. Проводить аудит хранимых резервных копий.</v>
      </c>
      <c r="P335" s="155" t="s">
        <v>97</v>
      </c>
      <c r="Q335" s="156" t="s">
        <v>299</v>
      </c>
      <c r="R335" s="153"/>
      <c r="S335" s="157"/>
      <c r="T335" s="151" t="s">
        <v>99</v>
      </c>
      <c r="U335" s="158">
        <v>0</v>
      </c>
      <c r="V335" s="158">
        <v>0</v>
      </c>
      <c r="W335" s="158">
        <v>0</v>
      </c>
      <c r="X335" s="158">
        <f t="shared" si="47"/>
        <v>0</v>
      </c>
      <c r="Y335" s="159"/>
      <c r="Z335" s="160"/>
      <c r="AA335" s="160"/>
      <c r="AB335" s="160"/>
      <c r="AC335" s="160"/>
      <c r="AD335" s="160"/>
      <c r="AE335" s="160"/>
    </row>
    <row r="336" spans="1:31" ht="163.80000000000001" hidden="1">
      <c r="A336" s="151" t="s">
        <v>58</v>
      </c>
      <c r="B336" s="152" t="s">
        <v>169</v>
      </c>
      <c r="C336" s="153" t="str">
        <f>Восстановление!B38</f>
        <v>Определены требования восстановления и проводятся тестирования</v>
      </c>
      <c r="D336" s="153" t="str">
        <f>Восстановление!C38</f>
        <v>ВССТ.ПЛН.7</v>
      </c>
      <c r="E336" s="153">
        <f>Восстановление!D38</f>
        <v>5</v>
      </c>
      <c r="F336" s="153">
        <f>Восстановление!E38</f>
        <v>3.2</v>
      </c>
      <c r="G336" s="153">
        <f>Восстановление!F38</f>
        <v>1.6</v>
      </c>
      <c r="H336" s="153">
        <f>Восстановление!Y38</f>
        <v>322.06999999999994</v>
      </c>
      <c r="I336" s="154" t="str">
        <f t="shared" ref="I336:I367" si="49">IF(H336&lt;=200,"КБ1",IF(H336&lt;=300,"КБ2","КБ3"))</f>
        <v>КБ3</v>
      </c>
      <c r="J336" s="154">
        <f>Восстановление!K38</f>
        <v>5</v>
      </c>
      <c r="K336" s="153">
        <f>Восстановление!I38</f>
        <v>0</v>
      </c>
      <c r="L336" s="153">
        <f>Восстановление!L38</f>
        <v>0</v>
      </c>
      <c r="M336" s="153">
        <f t="shared" si="48"/>
        <v>0</v>
      </c>
      <c r="N336" s="153">
        <f t="shared" ref="N336:N367" si="50">IF(H336&lt;100,IF(L336&gt;=G336,0,J336-L336),IF(H336&lt;300,IF(L336&gt;=F336,0,J336-L336),IF(L336&gt;=E336,0,J336-L336)))</f>
        <v>5</v>
      </c>
      <c r="O336" s="153" t="str">
        <f>Восстановление!Z38</f>
        <v xml:space="preserve"> - Регламентировать тестирование планов восстановления, определить порядок тестирования и регулярность;
   - Контролировать проведение тестирования.</v>
      </c>
      <c r="P336" s="155" t="s">
        <v>97</v>
      </c>
      <c r="Q336" s="156" t="s">
        <v>300</v>
      </c>
      <c r="R336" s="153"/>
      <c r="S336" s="157"/>
      <c r="T336" s="151" t="s">
        <v>99</v>
      </c>
      <c r="U336" s="158">
        <v>0</v>
      </c>
      <c r="V336" s="158">
        <v>0</v>
      </c>
      <c r="W336" s="158">
        <v>0</v>
      </c>
      <c r="X336" s="158">
        <f t="shared" si="47"/>
        <v>0</v>
      </c>
      <c r="Y336" s="159"/>
      <c r="Z336" s="160"/>
      <c r="AA336" s="160"/>
      <c r="AB336" s="160"/>
      <c r="AC336" s="160"/>
      <c r="AD336" s="160"/>
      <c r="AE336" s="160"/>
    </row>
    <row r="337" spans="1:31" ht="163.80000000000001" hidden="1">
      <c r="A337" s="151" t="s">
        <v>58</v>
      </c>
      <c r="B337" s="152" t="s">
        <v>169</v>
      </c>
      <c r="C337" s="153" t="str">
        <f>Восстановление!B39</f>
        <v>Тестирование планов по реагированию и восстановлению проводятся совместно с поставщиками и сторонними провайдерами (имеющими доступ в инфраструктуру Общества)</v>
      </c>
      <c r="D337" s="153" t="str">
        <f>Восстановление!C39</f>
        <v>ВССТ.ПЛН.8</v>
      </c>
      <c r="E337" s="153">
        <f>Восстановление!D39</f>
        <v>5</v>
      </c>
      <c r="F337" s="153">
        <f>Восстановление!E39</f>
        <v>3.2</v>
      </c>
      <c r="G337" s="153">
        <f>Восстановление!F39</f>
        <v>1.6</v>
      </c>
      <c r="H337" s="153">
        <f>Восстановление!Y39</f>
        <v>322.07999999999993</v>
      </c>
      <c r="I337" s="154" t="str">
        <f t="shared" si="49"/>
        <v>КБ3</v>
      </c>
      <c r="J337" s="154">
        <f>Восстановление!K39</f>
        <v>5</v>
      </c>
      <c r="K337" s="153">
        <f>Восстановление!I39</f>
        <v>0</v>
      </c>
      <c r="L337" s="153">
        <f>Восстановление!L39</f>
        <v>0</v>
      </c>
      <c r="M337" s="153">
        <f t="shared" si="48"/>
        <v>0</v>
      </c>
      <c r="N337" s="153">
        <f t="shared" si="50"/>
        <v>5</v>
      </c>
      <c r="O337" s="153" t="str">
        <f>Восстановление!Z39</f>
        <v xml:space="preserve"> - Регулярно тестировать планы по реагированию и восстановлению совместно с поставщиком.</v>
      </c>
      <c r="P337" s="155" t="s">
        <v>97</v>
      </c>
      <c r="Q337" s="156" t="s">
        <v>301</v>
      </c>
      <c r="R337" s="153"/>
      <c r="S337" s="157"/>
      <c r="T337" s="151" t="s">
        <v>99</v>
      </c>
      <c r="U337" s="158">
        <v>0</v>
      </c>
      <c r="V337" s="158">
        <v>0</v>
      </c>
      <c r="W337" s="158">
        <v>0</v>
      </c>
      <c r="X337" s="158">
        <f t="shared" si="47"/>
        <v>0</v>
      </c>
      <c r="Y337" s="159"/>
      <c r="Z337" s="160"/>
      <c r="AA337" s="160"/>
      <c r="AB337" s="160"/>
      <c r="AC337" s="160"/>
      <c r="AD337" s="160"/>
      <c r="AE337" s="160"/>
    </row>
    <row r="338" spans="1:31" ht="93.6" hidden="1">
      <c r="A338" s="151" t="s">
        <v>58</v>
      </c>
      <c r="B338" s="152" t="s">
        <v>169</v>
      </c>
      <c r="C338" s="153" t="str">
        <f>Восстановление!B40</f>
        <v>Планы восстановления совершенствуются по результатам тестирования и реагирования</v>
      </c>
      <c r="D338" s="153" t="str">
        <f>Восстановление!C40</f>
        <v>ВССТ.ПЛН.9</v>
      </c>
      <c r="E338" s="153">
        <f>Восстановление!D40</f>
        <v>5</v>
      </c>
      <c r="F338" s="153">
        <f>Восстановление!E40</f>
        <v>3.2</v>
      </c>
      <c r="G338" s="153">
        <f>Восстановление!F40</f>
        <v>1.6</v>
      </c>
      <c r="H338" s="153">
        <f>Восстановление!Y40</f>
        <v>322.08999999999992</v>
      </c>
      <c r="I338" s="154" t="str">
        <f t="shared" si="49"/>
        <v>КБ3</v>
      </c>
      <c r="J338" s="154">
        <f>Восстановление!K40</f>
        <v>5</v>
      </c>
      <c r="K338" s="153">
        <f>Восстановление!I40</f>
        <v>0</v>
      </c>
      <c r="L338" s="153">
        <f>Восстановление!L40</f>
        <v>0</v>
      </c>
      <c r="M338" s="153">
        <f t="shared" si="48"/>
        <v>0</v>
      </c>
      <c r="N338" s="153">
        <f t="shared" si="50"/>
        <v>5</v>
      </c>
      <c r="O338" s="153" t="str">
        <f>Восстановление!Z40</f>
        <v xml:space="preserve"> - Документировать недостатки и изменения. Проводить повторное тестирование планов.</v>
      </c>
      <c r="P338" s="155" t="s">
        <v>97</v>
      </c>
      <c r="Q338" s="156" t="s">
        <v>302</v>
      </c>
      <c r="R338" s="153"/>
      <c r="S338" s="157"/>
      <c r="T338" s="151" t="s">
        <v>99</v>
      </c>
      <c r="U338" s="158">
        <v>0</v>
      </c>
      <c r="V338" s="158">
        <v>0</v>
      </c>
      <c r="W338" s="158">
        <v>0</v>
      </c>
      <c r="X338" s="158">
        <f t="shared" si="47"/>
        <v>0</v>
      </c>
      <c r="Y338" s="159"/>
      <c r="Z338" s="160"/>
      <c r="AA338" s="160"/>
      <c r="AB338" s="160"/>
      <c r="AC338" s="160"/>
      <c r="AD338" s="160"/>
      <c r="AE338" s="160"/>
    </row>
    <row r="339" spans="1:31" ht="93.6" hidden="1">
      <c r="A339" s="151" t="s">
        <v>64</v>
      </c>
      <c r="B339" s="152" t="s">
        <v>239</v>
      </c>
      <c r="C339" s="153" t="str">
        <f>Мониторинг!B46</f>
        <v>Процент покрытия инфраструктуры лицензиями на мониторинг</v>
      </c>
      <c r="D339" s="153" t="str">
        <f>Мониторинг!C46</f>
        <v>МНТ.SIEM.1</v>
      </c>
      <c r="E339" s="153">
        <f>Мониторинг!D46</f>
        <v>5</v>
      </c>
      <c r="F339" s="153">
        <f>Мониторинг!E46</f>
        <v>4.5</v>
      </c>
      <c r="G339" s="153">
        <f>Мониторинг!F46</f>
        <v>0</v>
      </c>
      <c r="H339" s="170">
        <f>Мониторинг!Y46</f>
        <v>306.01</v>
      </c>
      <c r="I339" s="154" t="str">
        <f t="shared" si="49"/>
        <v>КБ3</v>
      </c>
      <c r="J339" s="154">
        <f>Мониторинг!K46</f>
        <v>5</v>
      </c>
      <c r="K339" s="163">
        <f>Мониторинг!I46</f>
        <v>0</v>
      </c>
      <c r="L339" s="153">
        <f>Мониторинг!L46</f>
        <v>0</v>
      </c>
      <c r="M339" s="153">
        <f t="shared" si="48"/>
        <v>0</v>
      </c>
      <c r="N339" s="153">
        <f t="shared" si="50"/>
        <v>5</v>
      </c>
      <c r="O339" s="153" t="str">
        <f>Мониторинг!Z46</f>
        <v xml:space="preserve"> - Приобрести лицензии SIEM, достаточные для полного покрытия мониторингом всех ИА.</v>
      </c>
      <c r="P339" s="155" t="s">
        <v>97</v>
      </c>
      <c r="Q339" s="156" t="s">
        <v>287</v>
      </c>
      <c r="R339" s="153"/>
      <c r="S339" s="157"/>
      <c r="T339" s="151" t="s">
        <v>99</v>
      </c>
      <c r="U339" s="158">
        <v>0</v>
      </c>
      <c r="V339" s="158">
        <v>0</v>
      </c>
      <c r="W339" s="158">
        <v>0</v>
      </c>
      <c r="X339" s="158">
        <f t="shared" si="47"/>
        <v>0</v>
      </c>
      <c r="Y339" s="159"/>
      <c r="Z339" s="160"/>
      <c r="AA339" s="160"/>
      <c r="AB339" s="160"/>
      <c r="AC339" s="160"/>
      <c r="AD339" s="160"/>
      <c r="AE339" s="160"/>
    </row>
    <row r="340" spans="1:31" ht="70.2" hidden="1">
      <c r="A340" s="151" t="s">
        <v>64</v>
      </c>
      <c r="B340" s="152" t="s">
        <v>239</v>
      </c>
      <c r="C340" s="153" t="str">
        <f>Мониторинг!B55</f>
        <v>Контроль событий СЗИ</v>
      </c>
      <c r="D340" s="153" t="str">
        <f>Мониторинг!C55</f>
        <v>МНТ.SIEM.10</v>
      </c>
      <c r="E340" s="153">
        <f>Мониторинг!D55</f>
        <v>5</v>
      </c>
      <c r="F340" s="153">
        <f>Мониторинг!E55</f>
        <v>3.2</v>
      </c>
      <c r="G340" s="153">
        <f>Мониторинг!F55</f>
        <v>0</v>
      </c>
      <c r="H340" s="170">
        <f>Мониторинг!Y55</f>
        <v>306.09999999999991</v>
      </c>
      <c r="I340" s="154" t="str">
        <f t="shared" si="49"/>
        <v>КБ3</v>
      </c>
      <c r="J340" s="154">
        <f>Мониторинг!K55</f>
        <v>5</v>
      </c>
      <c r="K340" s="153">
        <f>Мониторинг!I55</f>
        <v>0</v>
      </c>
      <c r="L340" s="153">
        <f>Мониторинг!L55</f>
        <v>0</v>
      </c>
      <c r="M340" s="153">
        <f t="shared" si="48"/>
        <v>0</v>
      </c>
      <c r="N340" s="153">
        <f t="shared" si="50"/>
        <v>5</v>
      </c>
      <c r="O340" s="153" t="str">
        <f>Мониторинг!Z55</f>
        <v xml:space="preserve"> - Подключить к SIEM СЗИ: не менее 100%. Разработать решающие правила для СЗИ</v>
      </c>
      <c r="P340" s="155" t="s">
        <v>97</v>
      </c>
      <c r="Q340" s="156" t="s">
        <v>242</v>
      </c>
      <c r="R340" s="153"/>
      <c r="S340" s="157"/>
      <c r="T340" s="151" t="s">
        <v>99</v>
      </c>
      <c r="U340" s="158">
        <v>0</v>
      </c>
      <c r="V340" s="158">
        <v>0</v>
      </c>
      <c r="W340" s="158">
        <v>0</v>
      </c>
      <c r="X340" s="158">
        <f t="shared" si="47"/>
        <v>0</v>
      </c>
      <c r="Y340" s="159"/>
      <c r="Z340" s="160"/>
      <c r="AA340" s="160"/>
      <c r="AB340" s="160"/>
      <c r="AC340" s="160"/>
      <c r="AD340" s="160"/>
      <c r="AE340" s="160"/>
    </row>
    <row r="341" spans="1:31" ht="93.6" hidden="1">
      <c r="A341" s="151" t="s">
        <v>64</v>
      </c>
      <c r="B341" s="152" t="s">
        <v>239</v>
      </c>
      <c r="C341" s="153" t="str">
        <f>Мониторинг!B56</f>
        <v>Контроль событий о действиях привелигированных пользователей</v>
      </c>
      <c r="D341" s="153" t="str">
        <f>Мониторинг!C56</f>
        <v>МНТ.SIEM.11</v>
      </c>
      <c r="E341" s="153">
        <f>Мониторинг!D56</f>
        <v>5</v>
      </c>
      <c r="F341" s="153">
        <f>Мониторинг!E56</f>
        <v>3.2</v>
      </c>
      <c r="G341" s="153">
        <f>Мониторинг!F56</f>
        <v>0</v>
      </c>
      <c r="H341" s="170">
        <f>Мониторинг!Y56</f>
        <v>306.1099999999999</v>
      </c>
      <c r="I341" s="154" t="str">
        <f t="shared" si="49"/>
        <v>КБ3</v>
      </c>
      <c r="J341" s="154">
        <f>Мониторинг!K56</f>
        <v>5</v>
      </c>
      <c r="K341" s="153">
        <f>Мониторинг!I56</f>
        <v>0</v>
      </c>
      <c r="L341" s="153">
        <f>Мониторинг!L56</f>
        <v>0</v>
      </c>
      <c r="M341" s="153">
        <f t="shared" si="48"/>
        <v>0</v>
      </c>
      <c r="N341" s="153">
        <f t="shared" si="50"/>
        <v>5</v>
      </c>
      <c r="O341" s="153" t="str">
        <f>Мониторинг!Z56</f>
        <v xml:space="preserve"> - Подключить к SIEM в качестве источника СЗИ PAM
</v>
      </c>
      <c r="P341" s="155" t="s">
        <v>97</v>
      </c>
      <c r="Q341" s="156" t="s">
        <v>242</v>
      </c>
      <c r="R341" s="153"/>
      <c r="S341" s="157"/>
      <c r="T341" s="151" t="s">
        <v>99</v>
      </c>
      <c r="U341" s="158">
        <v>0</v>
      </c>
      <c r="V341" s="158">
        <v>0</v>
      </c>
      <c r="W341" s="158">
        <v>0</v>
      </c>
      <c r="X341" s="158">
        <f t="shared" si="47"/>
        <v>0</v>
      </c>
      <c r="Y341" s="159"/>
      <c r="Z341" s="160"/>
      <c r="AA341" s="160"/>
      <c r="AB341" s="160"/>
      <c r="AC341" s="160"/>
      <c r="AD341" s="160"/>
      <c r="AE341" s="160"/>
    </row>
    <row r="342" spans="1:31" ht="140.4" hidden="1">
      <c r="A342" s="151" t="s">
        <v>64</v>
      </c>
      <c r="B342" s="152" t="s">
        <v>239</v>
      </c>
      <c r="C342" s="153" t="str">
        <f>Мониторинг!B57</f>
        <v>Внедрен процесс управления сбоями и мониторинга работоспособности SIEM</v>
      </c>
      <c r="D342" s="153" t="str">
        <f>Мониторинг!C57</f>
        <v>МНТ.SIEM.12</v>
      </c>
      <c r="E342" s="153">
        <f>Мониторинг!D57</f>
        <v>4</v>
      </c>
      <c r="F342" s="153">
        <f>Мониторинг!E57</f>
        <v>3</v>
      </c>
      <c r="G342" s="153">
        <f>Мониторинг!F57</f>
        <v>0</v>
      </c>
      <c r="H342" s="170">
        <f>Мониторинг!Y57</f>
        <v>306.11999999999989</v>
      </c>
      <c r="I342" s="154" t="str">
        <f t="shared" si="49"/>
        <v>КБ3</v>
      </c>
      <c r="J342" s="154">
        <f>Мониторинг!K57</f>
        <v>4</v>
      </c>
      <c r="K342" s="153">
        <f>Мониторинг!I57</f>
        <v>0</v>
      </c>
      <c r="L342" s="153">
        <f>Мониторинг!L57</f>
        <v>0</v>
      </c>
      <c r="M342" s="153">
        <f t="shared" si="48"/>
        <v>0</v>
      </c>
      <c r="N342" s="153">
        <f t="shared" si="50"/>
        <v>4</v>
      </c>
      <c r="O342" s="153" t="str">
        <f>Мониторинг!Z57</f>
        <v xml:space="preserve">  -  Обеспечить переключение источников событий на резервный SIEM в случае сбоев.
- Обеспечить визуализация мониторинга работоспособности SIEM</v>
      </c>
      <c r="P342" s="155" t="s">
        <v>97</v>
      </c>
      <c r="Q342" s="156" t="s">
        <v>289</v>
      </c>
      <c r="R342" s="153"/>
      <c r="S342" s="157"/>
      <c r="T342" s="151" t="s">
        <v>99</v>
      </c>
      <c r="U342" s="158">
        <v>0</v>
      </c>
      <c r="V342" s="158">
        <v>0</v>
      </c>
      <c r="W342" s="158">
        <v>0</v>
      </c>
      <c r="X342" s="158">
        <f t="shared" si="47"/>
        <v>0</v>
      </c>
      <c r="Y342" s="159"/>
      <c r="Z342" s="160"/>
      <c r="AA342" s="160"/>
      <c r="AB342" s="160"/>
      <c r="AC342" s="160"/>
      <c r="AD342" s="160"/>
      <c r="AE342" s="160"/>
    </row>
    <row r="343" spans="1:31" ht="70.2" hidden="1">
      <c r="A343" s="151" t="s">
        <v>64</v>
      </c>
      <c r="B343" s="152" t="s">
        <v>239</v>
      </c>
      <c r="C343" s="153" t="str">
        <f>Мониторинг!B47</f>
        <v>Процент покрытия инфраструктуры мониторингом</v>
      </c>
      <c r="D343" s="153" t="str">
        <f>Мониторинг!C47</f>
        <v>МНТ.SIEM.2</v>
      </c>
      <c r="E343" s="153">
        <f>Мониторинг!D47</f>
        <v>4.75</v>
      </c>
      <c r="F343" s="153">
        <f>Мониторинг!E47</f>
        <v>4.5</v>
      </c>
      <c r="G343" s="153">
        <f>Мониторинг!F47</f>
        <v>0</v>
      </c>
      <c r="H343" s="170">
        <f>Мониторинг!Y47</f>
        <v>306.02</v>
      </c>
      <c r="I343" s="154" t="str">
        <f t="shared" si="49"/>
        <v>КБ3</v>
      </c>
      <c r="J343" s="154">
        <f>Мониторинг!K47</f>
        <v>4.75</v>
      </c>
      <c r="K343" s="163">
        <f>Мониторинг!I47</f>
        <v>0</v>
      </c>
      <c r="L343" s="153">
        <f>Мониторинг!L47</f>
        <v>0</v>
      </c>
      <c r="M343" s="153">
        <f t="shared" si="48"/>
        <v>0</v>
      </c>
      <c r="N343" s="153">
        <f t="shared" si="50"/>
        <v>4.75</v>
      </c>
      <c r="O343" s="153" t="str">
        <f>Мониторинг!Z47</f>
        <v xml:space="preserve"> - Подключить к SIEM 100% серверов, сетевого оборудования, 100% АРМ</v>
      </c>
      <c r="P343" s="155" t="s">
        <v>97</v>
      </c>
      <c r="Q343" s="156" t="s">
        <v>241</v>
      </c>
      <c r="R343" s="153"/>
      <c r="S343" s="157"/>
      <c r="T343" s="151" t="s">
        <v>99</v>
      </c>
      <c r="U343" s="158">
        <v>0</v>
      </c>
      <c r="V343" s="158">
        <v>0</v>
      </c>
      <c r="W343" s="158">
        <v>0</v>
      </c>
      <c r="X343" s="158">
        <f t="shared" si="47"/>
        <v>0</v>
      </c>
      <c r="Y343" s="159"/>
      <c r="Z343" s="160"/>
      <c r="AA343" s="160"/>
      <c r="AB343" s="160"/>
      <c r="AC343" s="160"/>
      <c r="AD343" s="160"/>
      <c r="AE343" s="160"/>
    </row>
    <row r="344" spans="1:31" ht="187.2" hidden="1">
      <c r="A344" s="151" t="s">
        <v>64</v>
      </c>
      <c r="B344" s="152" t="s">
        <v>239</v>
      </c>
      <c r="C344" s="153" t="str">
        <f>Мониторинг!B48</f>
        <v>Определен набор решающих правил и пороги страбатывания</v>
      </c>
      <c r="D344" s="174" t="str">
        <f>Мониторинг!C48</f>
        <v>МНТ.SIEM.3</v>
      </c>
      <c r="E344" s="153">
        <f>Мониторинг!D48</f>
        <v>5</v>
      </c>
      <c r="F344" s="153">
        <f>Мониторинг!E48</f>
        <v>3.2</v>
      </c>
      <c r="G344" s="153">
        <f>Мониторинг!F48</f>
        <v>0</v>
      </c>
      <c r="H344" s="170">
        <f>Мониторинг!Y48</f>
        <v>306.02999999999997</v>
      </c>
      <c r="I344" s="154" t="str">
        <f t="shared" si="49"/>
        <v>КБ3</v>
      </c>
      <c r="J344" s="154">
        <f>Мониторинг!K48</f>
        <v>5</v>
      </c>
      <c r="K344" s="153">
        <f>Мониторинг!I48</f>
        <v>0</v>
      </c>
      <c r="L344" s="153">
        <f>Мониторинг!L48</f>
        <v>0</v>
      </c>
      <c r="M344" s="153">
        <f t="shared" si="48"/>
        <v>0</v>
      </c>
      <c r="N344" s="153">
        <f t="shared" si="50"/>
        <v>5</v>
      </c>
      <c r="O344" s="153" t="str">
        <f>Мониторинг!Z48</f>
        <v xml:space="preserve"> - Проводить анализ эффективности решающих правил;
 - Реализовать процесс разработки решающих правил;
 -  Проводить доработку решающих правил с учетом произошедших инцидентов</v>
      </c>
      <c r="P344" s="155" t="s">
        <v>97</v>
      </c>
      <c r="Q344" s="156" t="s">
        <v>288</v>
      </c>
      <c r="R344" s="153"/>
      <c r="S344" s="157"/>
      <c r="T344" s="151" t="s">
        <v>99</v>
      </c>
      <c r="U344" s="158">
        <v>0</v>
      </c>
      <c r="V344" s="158">
        <v>0</v>
      </c>
      <c r="W344" s="158">
        <v>0</v>
      </c>
      <c r="X344" s="158">
        <f t="shared" si="47"/>
        <v>0</v>
      </c>
      <c r="Y344" s="159"/>
      <c r="Z344" s="160"/>
      <c r="AA344" s="160"/>
      <c r="AB344" s="160"/>
      <c r="AC344" s="160"/>
      <c r="AD344" s="160"/>
      <c r="AE344" s="160"/>
    </row>
    <row r="345" spans="1:31" ht="409.6" hidden="1">
      <c r="A345" s="151" t="s">
        <v>64</v>
      </c>
      <c r="B345" s="152" t="s">
        <v>239</v>
      </c>
      <c r="C345" s="153" t="str">
        <f>Мониторинг!B49</f>
        <v>Осуществляется сбор событий, необходимых для детекта и обогащения в объеме, достаточном для решения задач            
(- создания, изменения, удаления субъектов и объектов доступа;
- аутентификации (вход и выход субъектов);
- авторизации (доступа субъектов к объектам);
- запуска и остановки, удаления и остановки служб (ПО);
- изменения настроек ПО и средств защиты информации;
- обработки сетевого трафика (netflow))</v>
      </c>
      <c r="D345" s="174" t="str">
        <f>Мониторинг!C49</f>
        <v>МНТ.SIEM.4</v>
      </c>
      <c r="E345" s="153">
        <f>Мониторинг!D49</f>
        <v>5</v>
      </c>
      <c r="F345" s="153">
        <f>Мониторинг!E49</f>
        <v>3.2</v>
      </c>
      <c r="G345" s="153">
        <f>Мониторинг!F49</f>
        <v>0</v>
      </c>
      <c r="H345" s="170">
        <f>Мониторинг!Y49</f>
        <v>306.03999999999996</v>
      </c>
      <c r="I345" s="154" t="str">
        <f t="shared" si="49"/>
        <v>КБ3</v>
      </c>
      <c r="J345" s="154">
        <f>Мониторинг!K49</f>
        <v>5</v>
      </c>
      <c r="K345" s="153">
        <f>Мониторинг!I49</f>
        <v>0</v>
      </c>
      <c r="L345" s="153">
        <f>Мониторинг!L49</f>
        <v>0</v>
      </c>
      <c r="M345" s="153">
        <f t="shared" si="48"/>
        <v>0</v>
      </c>
      <c r="N345" s="153">
        <f t="shared" si="50"/>
        <v>5</v>
      </c>
      <c r="O345" s="153" t="str">
        <f>Мониторинг!Z49</f>
        <v>Определить источники SIEM для всех систем
Определен состав событий
Система логов подключена к SIEM
Для критичных событий определены правила кореляции
Проведена проверка подключения источников и сбора логов
Определена процедура действий в случае потери связи с источником либо отсутствия событий
Информация актуализируется не реже 1 раза в год</v>
      </c>
      <c r="P345" s="155" t="s">
        <v>97</v>
      </c>
      <c r="Q345" s="633" t="s">
        <v>1293</v>
      </c>
      <c r="R345" s="153"/>
      <c r="S345" s="157"/>
      <c r="T345" s="151" t="s">
        <v>99</v>
      </c>
      <c r="U345" s="158">
        <v>0</v>
      </c>
      <c r="V345" s="158">
        <v>0</v>
      </c>
      <c r="W345" s="158">
        <v>0</v>
      </c>
      <c r="X345" s="158">
        <f t="shared" si="47"/>
        <v>0</v>
      </c>
      <c r="Y345" s="159"/>
      <c r="Z345" s="160"/>
      <c r="AA345" s="160"/>
      <c r="AB345" s="160"/>
      <c r="AC345" s="160"/>
      <c r="AD345" s="160"/>
      <c r="AE345" s="160"/>
    </row>
    <row r="346" spans="1:31" ht="70.2" hidden="1">
      <c r="A346" s="151" t="s">
        <v>64</v>
      </c>
      <c r="B346" s="152" t="s">
        <v>239</v>
      </c>
      <c r="C346" s="153" t="str">
        <f>Мониторинг!B50</f>
        <v>Настроенные решающие правила соответствуют ТТР Блока ИБ</v>
      </c>
      <c r="D346" s="153" t="str">
        <f>Мониторинг!C50</f>
        <v>МНТ.SIEM.5</v>
      </c>
      <c r="E346" s="153">
        <f>Мониторинг!D50</f>
        <v>5</v>
      </c>
      <c r="F346" s="153">
        <f>Мониторинг!E50</f>
        <v>3.2</v>
      </c>
      <c r="G346" s="153">
        <f>Мониторинг!F50</f>
        <v>0</v>
      </c>
      <c r="H346" s="170">
        <f>Мониторинг!Y50</f>
        <v>306.04999999999995</v>
      </c>
      <c r="I346" s="154" t="str">
        <f t="shared" si="49"/>
        <v>КБ3</v>
      </c>
      <c r="J346" s="154">
        <f>Мониторинг!K50</f>
        <v>5</v>
      </c>
      <c r="K346" s="153">
        <f>Мониторинг!I50</f>
        <v>0</v>
      </c>
      <c r="L346" s="153">
        <f>Мониторинг!L50</f>
        <v>0</v>
      </c>
      <c r="M346" s="153">
        <f t="shared" si="48"/>
        <v>0</v>
      </c>
      <c r="N346" s="153">
        <f t="shared" si="50"/>
        <v>5</v>
      </c>
      <c r="O346" s="153" t="str">
        <f>Мониторинг!Z50</f>
        <v xml:space="preserve"> - Получить от Блока ИБ ТТР и реализовать рекомендуемые решения (в полном объеме)</v>
      </c>
      <c r="P346" s="155" t="s">
        <v>97</v>
      </c>
      <c r="Q346" s="156" t="s">
        <v>242</v>
      </c>
      <c r="R346" s="153"/>
      <c r="S346" s="157"/>
      <c r="T346" s="151" t="s">
        <v>99</v>
      </c>
      <c r="U346" s="158">
        <v>0</v>
      </c>
      <c r="V346" s="158">
        <v>0</v>
      </c>
      <c r="W346" s="158">
        <v>0</v>
      </c>
      <c r="X346" s="158">
        <f t="shared" si="47"/>
        <v>0</v>
      </c>
      <c r="Y346" s="159"/>
      <c r="Z346" s="160"/>
      <c r="AA346" s="160"/>
      <c r="AB346" s="160"/>
      <c r="AC346" s="160"/>
      <c r="AD346" s="160"/>
      <c r="AE346" s="160"/>
    </row>
    <row r="347" spans="1:31" ht="93.6" hidden="1">
      <c r="A347" s="151" t="s">
        <v>64</v>
      </c>
      <c r="B347" s="152" t="s">
        <v>239</v>
      </c>
      <c r="C347" s="153" t="str">
        <f>Мониторинг!B51</f>
        <v>Контролируются сетевые события</v>
      </c>
      <c r="D347" s="153" t="str">
        <f>Мониторинг!C51</f>
        <v>МНТ.SIEM.6</v>
      </c>
      <c r="E347" s="153">
        <f>Мониторинг!D51</f>
        <v>5</v>
      </c>
      <c r="F347" s="153">
        <f>Мониторинг!E51</f>
        <v>3.2</v>
      </c>
      <c r="G347" s="153">
        <f>Мониторинг!F51</f>
        <v>0</v>
      </c>
      <c r="H347" s="170">
        <f>Мониторинг!Y51</f>
        <v>306.05999999999995</v>
      </c>
      <c r="I347" s="154" t="str">
        <f t="shared" si="49"/>
        <v>КБ3</v>
      </c>
      <c r="J347" s="154">
        <f>Мониторинг!K51</f>
        <v>5</v>
      </c>
      <c r="K347" s="153">
        <f>Мониторинг!I51</f>
        <v>0</v>
      </c>
      <c r="L347" s="153">
        <f>Мониторинг!L51</f>
        <v>0</v>
      </c>
      <c r="M347" s="153">
        <f t="shared" si="48"/>
        <v>0</v>
      </c>
      <c r="N347" s="153">
        <f t="shared" si="50"/>
        <v>5</v>
      </c>
      <c r="O347" s="153" t="str">
        <f>Мониторинг!Z51</f>
        <v xml:space="preserve"> - Подключить к SIEM сетевые устройства: 100%. Оценивать и дорабатывать решающие правила для сетевых событий.</v>
      </c>
      <c r="P347" s="155" t="s">
        <v>97</v>
      </c>
      <c r="Q347" s="156" t="s">
        <v>242</v>
      </c>
      <c r="R347" s="153"/>
      <c r="S347" s="157"/>
      <c r="T347" s="151" t="s">
        <v>99</v>
      </c>
      <c r="U347" s="158">
        <v>0</v>
      </c>
      <c r="V347" s="158">
        <v>0</v>
      </c>
      <c r="W347" s="158">
        <v>0</v>
      </c>
      <c r="X347" s="158">
        <f t="shared" si="47"/>
        <v>0</v>
      </c>
      <c r="Y347" s="159"/>
      <c r="Z347" s="160"/>
      <c r="AA347" s="160"/>
      <c r="AB347" s="160"/>
      <c r="AC347" s="160"/>
      <c r="AD347" s="160"/>
      <c r="AE347" s="160"/>
    </row>
    <row r="348" spans="1:31" ht="93.6" hidden="1">
      <c r="A348" s="151" t="s">
        <v>64</v>
      </c>
      <c r="B348" s="152" t="s">
        <v>239</v>
      </c>
      <c r="C348" s="153" t="str">
        <f>Мониторинг!B52</f>
        <v>Контролируются  события ОС</v>
      </c>
      <c r="D348" s="153" t="str">
        <f>Мониторинг!C52</f>
        <v>МНТ.SIEM.7</v>
      </c>
      <c r="E348" s="153">
        <f>Мониторинг!D52</f>
        <v>5</v>
      </c>
      <c r="F348" s="153">
        <f>Мониторинг!E52</f>
        <v>3.2</v>
      </c>
      <c r="G348" s="153">
        <f>Мониторинг!F52</f>
        <v>0</v>
      </c>
      <c r="H348" s="170">
        <f>Мониторинг!Y52</f>
        <v>306.06999999999994</v>
      </c>
      <c r="I348" s="154" t="str">
        <f t="shared" si="49"/>
        <v>КБ3</v>
      </c>
      <c r="J348" s="154">
        <f>Мониторинг!K52</f>
        <v>5</v>
      </c>
      <c r="K348" s="153">
        <f>Мониторинг!I52</f>
        <v>0</v>
      </c>
      <c r="L348" s="153">
        <f>Мониторинг!L52</f>
        <v>0</v>
      </c>
      <c r="M348" s="153">
        <f t="shared" si="48"/>
        <v>0</v>
      </c>
      <c r="N348" s="153">
        <f t="shared" si="50"/>
        <v>5</v>
      </c>
      <c r="O348" s="153" t="str">
        <f>Мониторинг!Z52</f>
        <v xml:space="preserve"> - Подключить к SIEM операц.системы: не менее 100%. Разработать решающие правила для ОС</v>
      </c>
      <c r="P348" s="155" t="s">
        <v>97</v>
      </c>
      <c r="Q348" s="156" t="s">
        <v>242</v>
      </c>
      <c r="R348" s="153"/>
      <c r="S348" s="157"/>
      <c r="T348" s="151" t="s">
        <v>99</v>
      </c>
      <c r="U348" s="158">
        <v>0</v>
      </c>
      <c r="V348" s="158">
        <v>0</v>
      </c>
      <c r="W348" s="158">
        <v>0</v>
      </c>
      <c r="X348" s="158">
        <f t="shared" si="47"/>
        <v>0</v>
      </c>
      <c r="Y348" s="159"/>
      <c r="Z348" s="160"/>
      <c r="AA348" s="160"/>
      <c r="AB348" s="160"/>
      <c r="AC348" s="160"/>
      <c r="AD348" s="160"/>
      <c r="AE348" s="160"/>
    </row>
    <row r="349" spans="1:31" ht="70.2" hidden="1">
      <c r="A349" s="151" t="s">
        <v>64</v>
      </c>
      <c r="B349" s="152" t="s">
        <v>239</v>
      </c>
      <c r="C349" s="153" t="str">
        <f>Мониторинг!B53</f>
        <v>Контролируются события СУБД</v>
      </c>
      <c r="D349" s="153" t="str">
        <f>Мониторинг!C53</f>
        <v>МНТ.SIEM.8</v>
      </c>
      <c r="E349" s="153">
        <f>Мониторинг!D53</f>
        <v>5</v>
      </c>
      <c r="F349" s="153">
        <f>Мониторинг!E53</f>
        <v>3.2</v>
      </c>
      <c r="G349" s="153">
        <f>Мониторинг!F53</f>
        <v>0</v>
      </c>
      <c r="H349" s="170">
        <f>Мониторинг!Y53</f>
        <v>306.07999999999993</v>
      </c>
      <c r="I349" s="154" t="str">
        <f t="shared" si="49"/>
        <v>КБ3</v>
      </c>
      <c r="J349" s="154">
        <f>Мониторинг!K53</f>
        <v>5</v>
      </c>
      <c r="K349" s="153">
        <f>Мониторинг!I53</f>
        <v>0</v>
      </c>
      <c r="L349" s="153">
        <f>Мониторинг!L53</f>
        <v>0</v>
      </c>
      <c r="M349" s="153">
        <f t="shared" si="48"/>
        <v>0</v>
      </c>
      <c r="N349" s="153">
        <f t="shared" si="50"/>
        <v>5</v>
      </c>
      <c r="O349" s="153" t="str">
        <f>Мониторинг!Z53</f>
        <v xml:space="preserve"> - Подключить к SIEM СУБД: не менее 100%. Разработать решающие правила для СУБД</v>
      </c>
      <c r="P349" s="155" t="s">
        <v>97</v>
      </c>
      <c r="Q349" s="156" t="s">
        <v>242</v>
      </c>
      <c r="R349" s="153"/>
      <c r="S349" s="157"/>
      <c r="T349" s="151" t="s">
        <v>99</v>
      </c>
      <c r="U349" s="158">
        <v>0</v>
      </c>
      <c r="V349" s="158">
        <v>0</v>
      </c>
      <c r="W349" s="158">
        <v>0</v>
      </c>
      <c r="X349" s="158">
        <f t="shared" si="47"/>
        <v>0</v>
      </c>
      <c r="Y349" s="159"/>
      <c r="Z349" s="160"/>
      <c r="AA349" s="160"/>
      <c r="AB349" s="160"/>
      <c r="AC349" s="160"/>
      <c r="AD349" s="160"/>
      <c r="AE349" s="160"/>
    </row>
    <row r="350" spans="1:31" ht="93.6" hidden="1">
      <c r="A350" s="151" t="s">
        <v>64</v>
      </c>
      <c r="B350" s="152" t="s">
        <v>239</v>
      </c>
      <c r="C350" s="153" t="str">
        <f>Мониторинг!B54</f>
        <v>Контролируются события прикладных ИС</v>
      </c>
      <c r="D350" s="153" t="str">
        <f>Мониторинг!C54</f>
        <v>МНТ.SIEM.9</v>
      </c>
      <c r="E350" s="153">
        <f>Мониторинг!D54</f>
        <v>5</v>
      </c>
      <c r="F350" s="153">
        <f>Мониторинг!E54</f>
        <v>3.2</v>
      </c>
      <c r="G350" s="153">
        <f>Мониторинг!F54</f>
        <v>0</v>
      </c>
      <c r="H350" s="170">
        <f>Мониторинг!Y54</f>
        <v>306.08999999999992</v>
      </c>
      <c r="I350" s="154" t="str">
        <f t="shared" si="49"/>
        <v>КБ3</v>
      </c>
      <c r="J350" s="154">
        <f>Мониторинг!K54</f>
        <v>5</v>
      </c>
      <c r="K350" s="153">
        <f>Мониторинг!I54</f>
        <v>0</v>
      </c>
      <c r="L350" s="153">
        <f>Мониторинг!L54</f>
        <v>0</v>
      </c>
      <c r="M350" s="153">
        <f t="shared" si="48"/>
        <v>0</v>
      </c>
      <c r="N350" s="153">
        <f t="shared" si="50"/>
        <v>5</v>
      </c>
      <c r="O350" s="153" t="str">
        <f>Мониторинг!Z54</f>
        <v xml:space="preserve"> - Подключить к SIEM прикладные ИС: не менее 100%. Разработать решающие правила для прикладных ИС</v>
      </c>
      <c r="P350" s="155" t="s">
        <v>97</v>
      </c>
      <c r="Q350" s="156" t="s">
        <v>242</v>
      </c>
      <c r="R350" s="153"/>
      <c r="S350" s="157"/>
      <c r="T350" s="151" t="s">
        <v>99</v>
      </c>
      <c r="U350" s="158">
        <v>0</v>
      </c>
      <c r="V350" s="158">
        <v>0</v>
      </c>
      <c r="W350" s="158">
        <v>0</v>
      </c>
      <c r="X350" s="158">
        <f t="shared" si="47"/>
        <v>0</v>
      </c>
      <c r="Y350" s="159"/>
      <c r="Z350" s="160"/>
      <c r="AA350" s="160"/>
      <c r="AB350" s="160"/>
      <c r="AC350" s="160"/>
      <c r="AD350" s="160"/>
      <c r="AE350" s="160"/>
    </row>
    <row r="351" spans="1:31" ht="163.80000000000001" hidden="1">
      <c r="A351" s="151" t="s">
        <v>64</v>
      </c>
      <c r="B351" s="152" t="s">
        <v>263</v>
      </c>
      <c r="C351" s="153" t="str">
        <f>Мониторинг!B62</f>
        <v>Процесс анализа информации о киберугрозах</v>
      </c>
      <c r="D351" s="153" t="str">
        <f>Мониторинг!C62</f>
        <v>МНТ.ПР.1</v>
      </c>
      <c r="E351" s="153">
        <f>Мониторинг!D62</f>
        <v>4</v>
      </c>
      <c r="F351" s="153">
        <f>Мониторинг!E62</f>
        <v>1</v>
      </c>
      <c r="G351" s="153">
        <f>Мониторинг!F62</f>
        <v>0</v>
      </c>
      <c r="H351" s="153">
        <f>Мониторинг!Y62</f>
        <v>321.01</v>
      </c>
      <c r="I351" s="154" t="str">
        <f t="shared" si="49"/>
        <v>КБ3</v>
      </c>
      <c r="J351" s="154">
        <f>Мониторинг!K62</f>
        <v>4</v>
      </c>
      <c r="K351" s="153">
        <f>Мониторинг!I62</f>
        <v>0</v>
      </c>
      <c r="L351" s="153">
        <f>Мониторинг!L62</f>
        <v>0</v>
      </c>
      <c r="M351" s="153">
        <f t="shared" si="48"/>
        <v>0</v>
      </c>
      <c r="N351" s="153">
        <f t="shared" si="50"/>
        <v>4</v>
      </c>
      <c r="O351" s="153" t="str">
        <f>Мониторинг!Z62</f>
        <v xml:space="preserve"> - Организовать получение данных от  поставщиков информации об угрозах и из открытых источников. Реализовать процесс анализа угроз и защиты от релевантных угроз.</v>
      </c>
      <c r="P351" s="155" t="s">
        <v>97</v>
      </c>
      <c r="Q351" s="156" t="s">
        <v>292</v>
      </c>
      <c r="R351" s="153"/>
      <c r="S351" s="157"/>
      <c r="T351" s="151" t="s">
        <v>99</v>
      </c>
      <c r="U351" s="158">
        <v>0</v>
      </c>
      <c r="V351" s="158">
        <v>0</v>
      </c>
      <c r="W351" s="158">
        <v>0</v>
      </c>
      <c r="X351" s="158">
        <f t="shared" si="47"/>
        <v>0</v>
      </c>
      <c r="Y351" s="159"/>
      <c r="Z351" s="160"/>
      <c r="AA351" s="160"/>
      <c r="AB351" s="160"/>
      <c r="AC351" s="160"/>
      <c r="AD351" s="160"/>
      <c r="AE351" s="160"/>
    </row>
    <row r="352" spans="1:31" ht="327.60000000000002" hidden="1">
      <c r="A352" s="151" t="s">
        <v>64</v>
      </c>
      <c r="B352" s="152" t="s">
        <v>263</v>
      </c>
      <c r="C352" s="153" t="str">
        <f>Мониторинг!B64</f>
        <v>Процесс создания решающих правил</v>
      </c>
      <c r="D352" s="153" t="str">
        <f>Мониторинг!C64</f>
        <v>МНТ.ПР.3</v>
      </c>
      <c r="E352" s="153">
        <f>Мониторинг!D64</f>
        <v>4</v>
      </c>
      <c r="F352" s="153">
        <f>Мониторинг!E64</f>
        <v>3</v>
      </c>
      <c r="G352" s="153">
        <f>Мониторинг!F64</f>
        <v>0</v>
      </c>
      <c r="H352" s="153">
        <f>Мониторинг!Y64</f>
        <v>321.02999999999997</v>
      </c>
      <c r="I352" s="154" t="str">
        <f t="shared" si="49"/>
        <v>КБ3</v>
      </c>
      <c r="J352" s="154">
        <f>Мониторинг!K64</f>
        <v>4</v>
      </c>
      <c r="K352" s="153">
        <f>Мониторинг!I64</f>
        <v>0</v>
      </c>
      <c r="L352" s="153">
        <f>Мониторинг!L64</f>
        <v>0</v>
      </c>
      <c r="M352" s="153">
        <f t="shared" ref="M352:M383" si="51">IF(K352=J352," ",L352-K352)</f>
        <v>0</v>
      </c>
      <c r="N352" s="153">
        <f t="shared" si="50"/>
        <v>4</v>
      </c>
      <c r="O352" s="153" t="str">
        <f>Мониторинг!Z64</f>
        <v xml:space="preserve"> - Организовать процесс разработки решающих правил;
 - Создать базу знаний или инструкции по разработке решающих правил;
 -  Составить план разработки решающих правил;
 -  Организовать процесс анализа журналов событий для разработки решающих правил SIEM;
 -  Применить результаты расследования инцидентов для разработки решающих правил.</v>
      </c>
      <c r="P352" s="155" t="s">
        <v>97</v>
      </c>
      <c r="Q352" s="156" t="s">
        <v>293</v>
      </c>
      <c r="R352" s="153"/>
      <c r="S352" s="157"/>
      <c r="T352" s="151" t="s">
        <v>99</v>
      </c>
      <c r="U352" s="158">
        <v>0</v>
      </c>
      <c r="V352" s="158">
        <v>0</v>
      </c>
      <c r="W352" s="158">
        <v>0</v>
      </c>
      <c r="X352" s="158">
        <f t="shared" si="47"/>
        <v>0</v>
      </c>
      <c r="Y352" s="159"/>
      <c r="Z352" s="160"/>
      <c r="AA352" s="160"/>
      <c r="AB352" s="160"/>
      <c r="AC352" s="160"/>
      <c r="AD352" s="160"/>
      <c r="AE352" s="160"/>
    </row>
    <row r="353" spans="1:31" ht="257.39999999999998" hidden="1">
      <c r="A353" s="151" t="s">
        <v>64</v>
      </c>
      <c r="B353" s="152" t="s">
        <v>263</v>
      </c>
      <c r="C353" s="153" t="str">
        <f>Мониторинг!B65</f>
        <v>Процесс подключения источников информации</v>
      </c>
      <c r="D353" s="153" t="str">
        <f>Мониторинг!C65</f>
        <v>МНТ.ПР.4</v>
      </c>
      <c r="E353" s="153">
        <f>Мониторинг!D65</f>
        <v>4</v>
      </c>
      <c r="F353" s="153">
        <f>Мониторинг!E65</f>
        <v>2</v>
      </c>
      <c r="G353" s="153">
        <f>Мониторинг!F65</f>
        <v>0</v>
      </c>
      <c r="H353" s="153">
        <f>Мониторинг!Y65</f>
        <v>321.03999999999996</v>
      </c>
      <c r="I353" s="154" t="str">
        <f t="shared" si="49"/>
        <v>КБ3</v>
      </c>
      <c r="J353" s="154">
        <f>Мониторинг!K65</f>
        <v>4</v>
      </c>
      <c r="K353" s="153">
        <f>Мониторинг!I65</f>
        <v>0</v>
      </c>
      <c r="L353" s="153">
        <f>Мониторинг!L65</f>
        <v>0</v>
      </c>
      <c r="M353" s="153">
        <f t="shared" si="51"/>
        <v>0</v>
      </c>
      <c r="N353" s="153">
        <f t="shared" si="50"/>
        <v>4</v>
      </c>
      <c r="O353" s="153" t="str">
        <f>Мониторинг!Z65</f>
        <v xml:space="preserve"> - Регламентировать порядок подключения источников информации к SIEM;
 -  Определить требования по обязательному подключению;
 -  Реализовать процесс подключения источников, с инвентаризацией и контролем неподключенных источников;
 - Установить SLA по подключению.</v>
      </c>
      <c r="P353" s="155" t="s">
        <v>97</v>
      </c>
      <c r="Q353" s="156" t="s">
        <v>294</v>
      </c>
      <c r="R353" s="153"/>
      <c r="S353" s="157"/>
      <c r="T353" s="151" t="s">
        <v>99</v>
      </c>
      <c r="U353" s="158">
        <v>0</v>
      </c>
      <c r="V353" s="158">
        <v>0</v>
      </c>
      <c r="W353" s="158">
        <v>0</v>
      </c>
      <c r="X353" s="158">
        <f t="shared" si="47"/>
        <v>0</v>
      </c>
      <c r="Y353" s="159"/>
      <c r="Z353" s="160"/>
      <c r="AA353" s="160"/>
      <c r="AB353" s="160"/>
      <c r="AC353" s="160"/>
      <c r="AD353" s="160"/>
      <c r="AE353" s="160"/>
    </row>
    <row r="354" spans="1:31" ht="140.4" hidden="1">
      <c r="A354" s="151" t="s">
        <v>64</v>
      </c>
      <c r="B354" s="152" t="s">
        <v>263</v>
      </c>
      <c r="C354" s="153" t="str">
        <f>Мониторинг!B66</f>
        <v>Процесс контроля источников информации</v>
      </c>
      <c r="D354" s="153" t="str">
        <f>Мониторинг!C66</f>
        <v>МНТ.ПР.5</v>
      </c>
      <c r="E354" s="153">
        <f>Мониторинг!D66</f>
        <v>4</v>
      </c>
      <c r="F354" s="153">
        <f>Мониторинг!E66</f>
        <v>3</v>
      </c>
      <c r="G354" s="153">
        <f>Мониторинг!F66</f>
        <v>0</v>
      </c>
      <c r="H354" s="153">
        <f>Мониторинг!Y66</f>
        <v>321.04999999999995</v>
      </c>
      <c r="I354" s="154" t="str">
        <f t="shared" si="49"/>
        <v>КБ3</v>
      </c>
      <c r="J354" s="154">
        <f>Мониторинг!K66</f>
        <v>4</v>
      </c>
      <c r="K354" s="153">
        <f>Мониторинг!I66</f>
        <v>0</v>
      </c>
      <c r="L354" s="153">
        <f>Мониторинг!L66</f>
        <v>0</v>
      </c>
      <c r="M354" s="153">
        <f t="shared" si="51"/>
        <v>0</v>
      </c>
      <c r="N354" s="153">
        <f t="shared" si="50"/>
        <v>4</v>
      </c>
      <c r="O354" s="153" t="str">
        <f>Мониторинг!Z66</f>
        <v>- Проводить аудит ИС для выявления неподключенных к SIEM источников;
 - Проверять, что источники подключены и успешно передают события.</v>
      </c>
      <c r="P354" s="155" t="s">
        <v>97</v>
      </c>
      <c r="Q354" s="156" t="s">
        <v>295</v>
      </c>
      <c r="R354" s="153"/>
      <c r="S354" s="157"/>
      <c r="T354" s="151" t="s">
        <v>99</v>
      </c>
      <c r="U354" s="158">
        <v>0</v>
      </c>
      <c r="V354" s="158">
        <v>0</v>
      </c>
      <c r="W354" s="158">
        <v>0</v>
      </c>
      <c r="X354" s="158">
        <f t="shared" si="47"/>
        <v>0</v>
      </c>
      <c r="Y354" s="159"/>
      <c r="Z354" s="160"/>
      <c r="AA354" s="160"/>
      <c r="AB354" s="160"/>
      <c r="AC354" s="160"/>
      <c r="AD354" s="160"/>
      <c r="AE354" s="160"/>
    </row>
    <row r="355" spans="1:31" ht="70.2" hidden="1">
      <c r="A355" s="151" t="s">
        <v>57</v>
      </c>
      <c r="B355" s="152" t="s">
        <v>198</v>
      </c>
      <c r="C355" s="153" t="str">
        <f>Реагирование!B65</f>
        <v>Наличие плейбука по реагированию на события DLP</v>
      </c>
      <c r="D355" s="153" t="str">
        <f>Реагирование!C65</f>
        <v>РЕАГ.PB.5.9.3.10</v>
      </c>
      <c r="E355" s="153">
        <f>Реагирование!D65</f>
        <v>5</v>
      </c>
      <c r="F355" s="153">
        <f>Реагирование!E65</f>
        <v>0</v>
      </c>
      <c r="G355" s="153">
        <f>Реагирование!F65</f>
        <v>0</v>
      </c>
      <c r="H355" s="170">
        <f>Реагирование!Y65</f>
        <v>327.09999999999991</v>
      </c>
      <c r="I355" s="154" t="str">
        <f t="shared" si="49"/>
        <v>КБ3</v>
      </c>
      <c r="J355" s="154">
        <f>Реагирование!K65</f>
        <v>5</v>
      </c>
      <c r="K355" s="153">
        <f>Реагирование!I65</f>
        <v>0</v>
      </c>
      <c r="L355" s="153">
        <f>Реагирование!L65</f>
        <v>0</v>
      </c>
      <c r="M355" s="153">
        <f t="shared" si="51"/>
        <v>0</v>
      </c>
      <c r="N355" s="153">
        <f t="shared" si="50"/>
        <v>5</v>
      </c>
      <c r="O355" s="153" t="str">
        <f>Реагирование!Z65</f>
        <v xml:space="preserve"> - Разработать и простестировать плейбуки по реагированию на сработки DLP</v>
      </c>
      <c r="P355" s="155" t="s">
        <v>97</v>
      </c>
      <c r="Q355" s="156" t="s">
        <v>200</v>
      </c>
      <c r="R355" s="153"/>
      <c r="S355" s="157"/>
      <c r="T355" s="151" t="s">
        <v>99</v>
      </c>
      <c r="U355" s="158">
        <v>0</v>
      </c>
      <c r="V355" s="158">
        <v>0</v>
      </c>
      <c r="W355" s="158">
        <v>0</v>
      </c>
      <c r="X355" s="158">
        <f t="shared" si="47"/>
        <v>0</v>
      </c>
      <c r="Y355" s="159"/>
      <c r="Z355" s="160"/>
      <c r="AA355" s="160"/>
      <c r="AB355" s="160"/>
      <c r="AC355" s="160"/>
      <c r="AD355" s="160"/>
      <c r="AE355" s="160"/>
    </row>
    <row r="356" spans="1:31" ht="70.2" hidden="1">
      <c r="A356" s="151" t="s">
        <v>57</v>
      </c>
      <c r="B356" s="152" t="s">
        <v>198</v>
      </c>
      <c r="C356" s="153" t="str">
        <f>Реагирование!B66</f>
        <v>Наличие плейбука по реагированию на сработки (WAF)</v>
      </c>
      <c r="D356" s="153" t="str">
        <f>Реагирование!C66</f>
        <v>РЕАГ.PB.5.9.3.11</v>
      </c>
      <c r="E356" s="153">
        <f>Реагирование!D66</f>
        <v>5</v>
      </c>
      <c r="F356" s="153">
        <f>Реагирование!E66</f>
        <v>0</v>
      </c>
      <c r="G356" s="153">
        <f>Реагирование!F66</f>
        <v>0</v>
      </c>
      <c r="H356" s="170">
        <f>Реагирование!Y66</f>
        <v>327.1099999999999</v>
      </c>
      <c r="I356" s="154" t="str">
        <f t="shared" si="49"/>
        <v>КБ3</v>
      </c>
      <c r="J356" s="154">
        <f>Реагирование!K66</f>
        <v>5</v>
      </c>
      <c r="K356" s="153">
        <f>Реагирование!I66</f>
        <v>0</v>
      </c>
      <c r="L356" s="153">
        <f>Реагирование!L66</f>
        <v>0</v>
      </c>
      <c r="M356" s="153">
        <f t="shared" si="51"/>
        <v>0</v>
      </c>
      <c r="N356" s="153">
        <f t="shared" si="50"/>
        <v>5</v>
      </c>
      <c r="O356" s="153" t="str">
        <f>Реагирование!Z66</f>
        <v xml:space="preserve"> - Разработать и простестировать плейбуки по реагированию на сработки WAF</v>
      </c>
      <c r="P356" s="155" t="s">
        <v>97</v>
      </c>
      <c r="Q356" s="156" t="s">
        <v>200</v>
      </c>
      <c r="R356" s="153"/>
      <c r="S356" s="157"/>
      <c r="T356" s="151" t="s">
        <v>99</v>
      </c>
      <c r="U356" s="158">
        <v>0</v>
      </c>
      <c r="V356" s="158">
        <v>0</v>
      </c>
      <c r="W356" s="158">
        <v>0</v>
      </c>
      <c r="X356" s="158">
        <f t="shared" si="47"/>
        <v>0</v>
      </c>
      <c r="Y356" s="159"/>
      <c r="Z356" s="160"/>
      <c r="AA356" s="160"/>
      <c r="AB356" s="160"/>
      <c r="AC356" s="160"/>
      <c r="AD356" s="160"/>
      <c r="AE356" s="160"/>
    </row>
    <row r="357" spans="1:31" ht="117" hidden="1">
      <c r="A357" s="151" t="s">
        <v>57</v>
      </c>
      <c r="B357" s="152" t="s">
        <v>198</v>
      </c>
      <c r="C357" s="153" t="str">
        <f>Реагирование!B64</f>
        <v>Наличие плейбука по реагированию на сработки PAM</v>
      </c>
      <c r="D357" s="153" t="str">
        <f>Реагирование!C64</f>
        <v>РЕАГ.PB.5.9.3.9</v>
      </c>
      <c r="E357" s="153">
        <f>Реагирование!D64</f>
        <v>5</v>
      </c>
      <c r="F357" s="153">
        <f>Реагирование!E64</f>
        <v>0</v>
      </c>
      <c r="G357" s="153">
        <f>Реагирование!F64</f>
        <v>0</v>
      </c>
      <c r="H357" s="170">
        <f>Реагирование!Y64</f>
        <v>327.08999999999992</v>
      </c>
      <c r="I357" s="154" t="str">
        <f t="shared" si="49"/>
        <v>КБ3</v>
      </c>
      <c r="J357" s="154">
        <f>Реагирование!K64</f>
        <v>5</v>
      </c>
      <c r="K357" s="153">
        <f>Реагирование!I64</f>
        <v>0</v>
      </c>
      <c r="L357" s="153">
        <f>Реагирование!L64</f>
        <v>0</v>
      </c>
      <c r="M357" s="153">
        <f t="shared" si="51"/>
        <v>0</v>
      </c>
      <c r="N357" s="153">
        <f t="shared" si="50"/>
        <v>5</v>
      </c>
      <c r="O357" s="153" t="str">
        <f>Реагирование!Z64</f>
        <v xml:space="preserve"> - Разработать и простестировать плейбуки по реагированию на сработки PAM
(опционально при покрытии инфраструктуры JH)</v>
      </c>
      <c r="P357" s="155" t="s">
        <v>97</v>
      </c>
      <c r="Q357" s="156" t="s">
        <v>200</v>
      </c>
      <c r="R357" s="153"/>
      <c r="S357" s="157"/>
      <c r="T357" s="151" t="s">
        <v>99</v>
      </c>
      <c r="U357" s="158">
        <v>0</v>
      </c>
      <c r="V357" s="158">
        <v>0</v>
      </c>
      <c r="W357" s="158">
        <v>0</v>
      </c>
      <c r="X357" s="158">
        <f t="shared" si="47"/>
        <v>0</v>
      </c>
      <c r="Y357" s="159"/>
      <c r="Z357" s="160"/>
      <c r="AA357" s="160"/>
      <c r="AB357" s="160"/>
      <c r="AC357" s="160"/>
      <c r="AD357" s="160"/>
      <c r="AE357" s="160"/>
    </row>
    <row r="358" spans="1:31" ht="257.39999999999998" hidden="1">
      <c r="A358" s="151" t="s">
        <v>57</v>
      </c>
      <c r="B358" s="152" t="s">
        <v>202</v>
      </c>
      <c r="C358" s="153" t="str">
        <f>Реагирование!B51</f>
        <v>Процесс расследования инцидентов</v>
      </c>
      <c r="D358" s="153" t="str">
        <f>Реагирование!C51</f>
        <v>РЕАГ.АНЛЗ.2</v>
      </c>
      <c r="E358" s="153">
        <f>Реагирование!D51</f>
        <v>4</v>
      </c>
      <c r="F358" s="153">
        <f>Реагирование!E51</f>
        <v>3</v>
      </c>
      <c r="G358" s="153">
        <f>Реагирование!F51</f>
        <v>1</v>
      </c>
      <c r="H358" s="153">
        <f>Реагирование!Y51</f>
        <v>330.02</v>
      </c>
      <c r="I358" s="154" t="str">
        <f t="shared" si="49"/>
        <v>КБ3</v>
      </c>
      <c r="J358" s="154">
        <f>Реагирование!K51</f>
        <v>4</v>
      </c>
      <c r="K358" s="153">
        <f>Реагирование!I51</f>
        <v>0</v>
      </c>
      <c r="L358" s="153">
        <f>Реагирование!L51</f>
        <v>0</v>
      </c>
      <c r="M358" s="153">
        <f t="shared" si="51"/>
        <v>0</v>
      </c>
      <c r="N358" s="153">
        <f t="shared" si="50"/>
        <v>4</v>
      </c>
      <c r="O358" s="153" t="str">
        <f>Реагирование!Z51</f>
        <v xml:space="preserve"> - Определить метрики процесса реагирования на инциденты и  расследования;
  -  На постоянной основе проводить мониторинг процесса по утвержденным метрикам и показателям;
  -  Интегрировать процесс расследования инцидентов в единый процесс управления инцидентами ИБ</v>
      </c>
      <c r="P358" s="155" t="s">
        <v>97</v>
      </c>
      <c r="Q358" s="156" t="s">
        <v>310</v>
      </c>
      <c r="R358" s="153"/>
      <c r="S358" s="157"/>
      <c r="T358" s="151" t="s">
        <v>99</v>
      </c>
      <c r="U358" s="158">
        <v>0</v>
      </c>
      <c r="V358" s="158">
        <v>0</v>
      </c>
      <c r="W358" s="158">
        <v>0</v>
      </c>
      <c r="X358" s="158">
        <f t="shared" si="47"/>
        <v>0</v>
      </c>
      <c r="Y358" s="159"/>
      <c r="Z358" s="160"/>
      <c r="AA358" s="160"/>
      <c r="AB358" s="160"/>
      <c r="AC358" s="160"/>
      <c r="AD358" s="160"/>
      <c r="AE358" s="160"/>
    </row>
    <row r="359" spans="1:31" ht="280.8" hidden="1">
      <c r="A359" s="151" t="s">
        <v>57</v>
      </c>
      <c r="B359" s="152" t="s">
        <v>202</v>
      </c>
      <c r="C359" s="153" t="str">
        <f>Реагирование!B53</f>
        <v>Процесс пост-анализа инцидентов</v>
      </c>
      <c r="D359" s="153" t="str">
        <f>Реагирование!C53</f>
        <v>РЕАГ.АНЛЗ.4</v>
      </c>
      <c r="E359" s="153">
        <f>Реагирование!D53</f>
        <v>4</v>
      </c>
      <c r="F359" s="153">
        <f>Реагирование!E53</f>
        <v>3</v>
      </c>
      <c r="G359" s="153">
        <f>Реагирование!F53</f>
        <v>1</v>
      </c>
      <c r="H359" s="153">
        <f>Реагирование!Y53</f>
        <v>330.03999999999996</v>
      </c>
      <c r="I359" s="154" t="str">
        <f t="shared" si="49"/>
        <v>КБ3</v>
      </c>
      <c r="J359" s="154">
        <f>Реагирование!K53</f>
        <v>4</v>
      </c>
      <c r="K359" s="153">
        <f>Реагирование!I53</f>
        <v>0</v>
      </c>
      <c r="L359" s="153">
        <f>Реагирование!L53</f>
        <v>0</v>
      </c>
      <c r="M359" s="153">
        <f t="shared" si="51"/>
        <v>0</v>
      </c>
      <c r="N359" s="153">
        <f t="shared" si="50"/>
        <v>4</v>
      </c>
      <c r="O359" s="153" t="str">
        <f>Реагирование!Z53</f>
        <v>-  Обеспечить контроль за выполнением рекомендаций и оценку эффективности выполненных мероприятий;
  -  На постоянной основе проводить мониторинг процесса по утвержденным метрикам и показателям;
  - Назначить ответственных за соблюдением сроков проведения утвержденных мероприятий.</v>
      </c>
      <c r="P359" s="155" t="s">
        <v>97</v>
      </c>
      <c r="Q359" s="156" t="s">
        <v>311</v>
      </c>
      <c r="R359" s="153"/>
      <c r="S359" s="157"/>
      <c r="T359" s="151" t="s">
        <v>99</v>
      </c>
      <c r="U359" s="158">
        <v>0</v>
      </c>
      <c r="V359" s="158">
        <v>0</v>
      </c>
      <c r="W359" s="158">
        <v>0</v>
      </c>
      <c r="X359" s="158">
        <f t="shared" si="47"/>
        <v>0</v>
      </c>
      <c r="Y359" s="159"/>
      <c r="Z359" s="160"/>
      <c r="AA359" s="160"/>
      <c r="AB359" s="160"/>
      <c r="AC359" s="160"/>
      <c r="AD359" s="160"/>
      <c r="AE359" s="160"/>
    </row>
    <row r="360" spans="1:31" ht="409.6" hidden="1">
      <c r="A360" s="151" t="s">
        <v>57</v>
      </c>
      <c r="B360" s="152" t="s">
        <v>202</v>
      </c>
      <c r="C360" s="153" t="str">
        <f>Реагирование!B54</f>
        <v>Проводятся регулярные киберучения по реагированию на инциденты ИБ</v>
      </c>
      <c r="D360" s="153" t="str">
        <f>Реагирование!C54</f>
        <v>РЕАГ.АНЛЗ.5</v>
      </c>
      <c r="E360" s="153">
        <f>Реагирование!D54</f>
        <v>5</v>
      </c>
      <c r="F360" s="153">
        <f>Реагирование!E54</f>
        <v>3.2</v>
      </c>
      <c r="G360" s="153">
        <f>Реагирование!F54</f>
        <v>0</v>
      </c>
      <c r="H360" s="153">
        <f>Реагирование!Y54</f>
        <v>330.04999999999995</v>
      </c>
      <c r="I360" s="154" t="str">
        <f t="shared" si="49"/>
        <v>КБ3</v>
      </c>
      <c r="J360" s="154">
        <f>Реагирование!K54</f>
        <v>5</v>
      </c>
      <c r="K360" s="153">
        <f>Реагирование!I54</f>
        <v>0</v>
      </c>
      <c r="L360" s="153">
        <f>Реагирование!L54</f>
        <v>0</v>
      </c>
      <c r="M360" s="153">
        <f t="shared" si="51"/>
        <v>0</v>
      </c>
      <c r="N360" s="153">
        <f t="shared" si="50"/>
        <v>5</v>
      </c>
      <c r="O360" s="153" t="str">
        <f>Реагирование!Z54</f>
        <v xml:space="preserve"> - Разработать сценарии кибератак, основанных на актуальных для Общества угрозах и уязвимостях;
 -  Обеспечить проведение предварительных тренингов или семинаров для участников киберучений;
 - При проведении киберучений необходимо применять средства автоматизации. Все действия участников должны быть поставленны на мониторинг, для последующего анализа;
 -  По результатам киберучений необходимо проводить оценку и анализ, составлять детализированные отчеты, в которых описывать выполненные действия, успешные практики и выявленные недостатки
Должны быть предоставлены рекомендации для улучшения процесов ИБ и реагирования на инциденты ИБ.</v>
      </c>
      <c r="P360" s="155" t="s">
        <v>97</v>
      </c>
      <c r="Q360" s="156" t="s">
        <v>312</v>
      </c>
      <c r="R360" s="153"/>
      <c r="S360" s="157"/>
      <c r="T360" s="151" t="s">
        <v>99</v>
      </c>
      <c r="U360" s="158">
        <v>0</v>
      </c>
      <c r="V360" s="158">
        <v>0</v>
      </c>
      <c r="W360" s="158">
        <v>0</v>
      </c>
      <c r="X360" s="158">
        <f t="shared" si="47"/>
        <v>0</v>
      </c>
      <c r="Y360" s="159"/>
      <c r="Z360" s="160"/>
      <c r="AA360" s="160"/>
      <c r="AB360" s="160"/>
      <c r="AC360" s="160"/>
      <c r="AD360" s="160"/>
      <c r="AE360" s="160"/>
    </row>
    <row r="361" spans="1:31" ht="93.6" hidden="1">
      <c r="A361" s="151" t="s">
        <v>57</v>
      </c>
      <c r="B361" s="152" t="s">
        <v>213</v>
      </c>
      <c r="C361" s="153" t="str">
        <f>Реагирование!B44</f>
        <v>Определен и обновляется список участников процессов реагирования (ИБ, ИТ, PR, HR, юристы, подрядчики)</v>
      </c>
      <c r="D361" s="153" t="str">
        <f>Реагирование!C44</f>
        <v>РЕАГ.КМНК.1</v>
      </c>
      <c r="E361" s="153">
        <f>Реагирование!D44</f>
        <v>5</v>
      </c>
      <c r="F361" s="153">
        <f>Реагирование!E44</f>
        <v>3.2</v>
      </c>
      <c r="G361" s="153">
        <f>Реагирование!F44</f>
        <v>0</v>
      </c>
      <c r="H361" s="153">
        <f>Реагирование!Y44</f>
        <v>337.01</v>
      </c>
      <c r="I361" s="154" t="str">
        <f t="shared" si="49"/>
        <v>КБ3</v>
      </c>
      <c r="J361" s="154">
        <f>Реагирование!K44</f>
        <v>5</v>
      </c>
      <c r="K361" s="153">
        <f>Реагирование!I44</f>
        <v>0</v>
      </c>
      <c r="L361" s="153">
        <f>Реагирование!L44</f>
        <v>0</v>
      </c>
      <c r="M361" s="153">
        <f t="shared" si="51"/>
        <v>0</v>
      </c>
      <c r="N361" s="153">
        <f t="shared" si="50"/>
        <v>5</v>
      </c>
      <c r="O361" s="153" t="str">
        <f>Реагирование!Z44</f>
        <v xml:space="preserve"> - Постоянно актуализировать список участников процессов реагирования на инциденты, их контактных данных.</v>
      </c>
      <c r="P361" s="155" t="s">
        <v>97</v>
      </c>
      <c r="Q361" s="156" t="s">
        <v>297</v>
      </c>
      <c r="R361" s="153"/>
      <c r="S361" s="157"/>
      <c r="T361" s="151" t="s">
        <v>99</v>
      </c>
      <c r="U361" s="158">
        <v>0</v>
      </c>
      <c r="V361" s="158">
        <v>0</v>
      </c>
      <c r="W361" s="158">
        <v>0</v>
      </c>
      <c r="X361" s="158">
        <f t="shared" si="47"/>
        <v>0</v>
      </c>
      <c r="Y361" s="159"/>
      <c r="Z361" s="160"/>
      <c r="AA361" s="160"/>
      <c r="AB361" s="160"/>
      <c r="AC361" s="160"/>
      <c r="AD361" s="160"/>
      <c r="AE361" s="160"/>
    </row>
    <row r="362" spans="1:31" ht="70.2" hidden="1">
      <c r="A362" s="151" t="s">
        <v>57</v>
      </c>
      <c r="B362" s="152" t="s">
        <v>213</v>
      </c>
      <c r="C362" s="153" t="str">
        <f>Реагирование!B45</f>
        <v>Определены средства и каналы коммуникации и приоритет их использования</v>
      </c>
      <c r="D362" s="153" t="str">
        <f>Реагирование!C45</f>
        <v>РЕАГ.КМНК.2</v>
      </c>
      <c r="E362" s="153">
        <f>Реагирование!D45</f>
        <v>5</v>
      </c>
      <c r="F362" s="153">
        <f>Реагирование!E45</f>
        <v>3.2</v>
      </c>
      <c r="G362" s="153">
        <f>Реагирование!F45</f>
        <v>0</v>
      </c>
      <c r="H362" s="153">
        <f>Реагирование!Y45</f>
        <v>337.02</v>
      </c>
      <c r="I362" s="154" t="str">
        <f t="shared" si="49"/>
        <v>КБ3</v>
      </c>
      <c r="J362" s="154">
        <f>Реагирование!K45</f>
        <v>5</v>
      </c>
      <c r="K362" s="153">
        <f>Реагирование!I45</f>
        <v>0</v>
      </c>
      <c r="L362" s="153">
        <f>Реагирование!L45</f>
        <v>0</v>
      </c>
      <c r="M362" s="153">
        <f t="shared" si="51"/>
        <v>0</v>
      </c>
      <c r="N362" s="153">
        <f t="shared" si="50"/>
        <v>5</v>
      </c>
      <c r="O362" s="153" t="str">
        <f>Реагирование!Z45</f>
        <v xml:space="preserve"> - Проводить периодическую проверку каналов коммуникации.</v>
      </c>
      <c r="P362" s="155" t="s">
        <v>97</v>
      </c>
      <c r="Q362" s="156" t="s">
        <v>316</v>
      </c>
      <c r="R362" s="153"/>
      <c r="S362" s="157"/>
      <c r="T362" s="151" t="s">
        <v>99</v>
      </c>
      <c r="U362" s="158">
        <v>0</v>
      </c>
      <c r="V362" s="158">
        <v>0</v>
      </c>
      <c r="W362" s="158">
        <v>0</v>
      </c>
      <c r="X362" s="158">
        <f t="shared" si="47"/>
        <v>0</v>
      </c>
      <c r="Y362" s="159"/>
      <c r="Z362" s="160"/>
      <c r="AA362" s="160"/>
      <c r="AB362" s="160"/>
      <c r="AC362" s="160"/>
      <c r="AD362" s="160"/>
      <c r="AE362" s="160"/>
    </row>
    <row r="363" spans="1:31" ht="93.6" hidden="1">
      <c r="A363" s="151" t="s">
        <v>57</v>
      </c>
      <c r="B363" s="152" t="s">
        <v>213</v>
      </c>
      <c r="C363" s="153" t="str">
        <f>Реагирование!B46</f>
        <v>Определен порядок эскалации инцидентов</v>
      </c>
      <c r="D363" s="153" t="str">
        <f>Реагирование!C46</f>
        <v>РЕАГ.КМНК.3</v>
      </c>
      <c r="E363" s="153">
        <f>Реагирование!D46</f>
        <v>5</v>
      </c>
      <c r="F363" s="153">
        <f>Реагирование!E46</f>
        <v>3.2</v>
      </c>
      <c r="G363" s="153">
        <f>Реагирование!F46</f>
        <v>0</v>
      </c>
      <c r="H363" s="153">
        <f>Реагирование!Y46</f>
        <v>337.03</v>
      </c>
      <c r="I363" s="154" t="str">
        <f t="shared" si="49"/>
        <v>КБ3</v>
      </c>
      <c r="J363" s="154">
        <f>Реагирование!K46</f>
        <v>5</v>
      </c>
      <c r="K363" s="153">
        <f>Реагирование!I46</f>
        <v>0</v>
      </c>
      <c r="L363" s="153">
        <f>Реагирование!L46</f>
        <v>0</v>
      </c>
      <c r="M363" s="153">
        <f t="shared" si="51"/>
        <v>0</v>
      </c>
      <c r="N363" s="153">
        <f t="shared" si="50"/>
        <v>5</v>
      </c>
      <c r="O363" s="153" t="str">
        <f>Реагирование!Z46</f>
        <v xml:space="preserve"> - Контролировать и оценивать эффективность процесса  реагирования на инциденты при эскалациях.</v>
      </c>
      <c r="P363" s="155" t="s">
        <v>97</v>
      </c>
      <c r="Q363" s="156" t="s">
        <v>204</v>
      </c>
      <c r="R363" s="153"/>
      <c r="S363" s="157"/>
      <c r="T363" s="151" t="s">
        <v>99</v>
      </c>
      <c r="U363" s="158">
        <v>0</v>
      </c>
      <c r="V363" s="158">
        <v>0</v>
      </c>
      <c r="W363" s="158">
        <v>0</v>
      </c>
      <c r="X363" s="158">
        <f t="shared" si="47"/>
        <v>0</v>
      </c>
      <c r="Y363" s="159"/>
      <c r="Z363" s="160"/>
      <c r="AA363" s="160"/>
      <c r="AB363" s="160"/>
      <c r="AC363" s="160"/>
      <c r="AD363" s="160"/>
      <c r="AE363" s="160"/>
    </row>
    <row r="364" spans="1:31" ht="187.2" hidden="1">
      <c r="A364" s="151" t="s">
        <v>57</v>
      </c>
      <c r="B364" s="152" t="s">
        <v>213</v>
      </c>
      <c r="C364" s="153" t="str">
        <f>Реагирование!B47</f>
        <v>Определен порядок взаимодействия с регуляторами по инцидентам ИБ</v>
      </c>
      <c r="D364" s="153" t="str">
        <f>Реагирование!C47</f>
        <v>РЕАГ.КМНК.4</v>
      </c>
      <c r="E364" s="153">
        <f>Реагирование!D47</f>
        <v>5</v>
      </c>
      <c r="F364" s="153">
        <f>Реагирование!E47</f>
        <v>3.2</v>
      </c>
      <c r="G364" s="153">
        <f>Реагирование!F47</f>
        <v>1.6</v>
      </c>
      <c r="H364" s="153">
        <f>Реагирование!Y47</f>
        <v>337.03999999999996</v>
      </c>
      <c r="I364" s="154" t="str">
        <f t="shared" si="49"/>
        <v>КБ3</v>
      </c>
      <c r="J364" s="154">
        <f>Реагирование!K47</f>
        <v>5</v>
      </c>
      <c r="K364" s="153">
        <f>Реагирование!I47</f>
        <v>0</v>
      </c>
      <c r="L364" s="153">
        <f>Реагирование!L47</f>
        <v>0</v>
      </c>
      <c r="M364" s="153">
        <f t="shared" si="51"/>
        <v>0</v>
      </c>
      <c r="N364" s="153">
        <f t="shared" si="50"/>
        <v>5</v>
      </c>
      <c r="O364" s="153" t="str">
        <f>Реагирование!Z47</f>
        <v>- Регламентировать процесс взаимодействия с регуляторами;
  -  Определить ответственных за взаимодействие;
 -  Определить состав и объем предоставляемой информации об инцидентах.</v>
      </c>
      <c r="P364" s="155" t="s">
        <v>97</v>
      </c>
      <c r="Q364" s="156" t="s">
        <v>283</v>
      </c>
      <c r="R364" s="153"/>
      <c r="S364" s="157"/>
      <c r="T364" s="151" t="s">
        <v>99</v>
      </c>
      <c r="U364" s="158">
        <v>0</v>
      </c>
      <c r="V364" s="158">
        <v>0</v>
      </c>
      <c r="W364" s="158">
        <v>0</v>
      </c>
      <c r="X364" s="158">
        <f t="shared" si="47"/>
        <v>0</v>
      </c>
      <c r="Y364" s="159"/>
      <c r="Z364" s="160"/>
      <c r="AA364" s="160"/>
      <c r="AB364" s="160"/>
      <c r="AC364" s="160"/>
      <c r="AD364" s="160"/>
      <c r="AE364" s="160"/>
    </row>
    <row r="365" spans="1:31" ht="187.2" hidden="1">
      <c r="A365" s="151" t="s">
        <v>57</v>
      </c>
      <c r="B365" s="152" t="s">
        <v>213</v>
      </c>
      <c r="C365" s="153" t="str">
        <f>Реагирование!B48</f>
        <v>Для значимых инцидентов подготовлены планы коммуникаций</v>
      </c>
      <c r="D365" s="153" t="str">
        <f>Реагирование!C48</f>
        <v>РЕАГ.КМНК.5</v>
      </c>
      <c r="E365" s="153">
        <f>Реагирование!D48</f>
        <v>5</v>
      </c>
      <c r="F365" s="153">
        <f>Реагирование!E48</f>
        <v>3.2</v>
      </c>
      <c r="G365" s="153">
        <f>Реагирование!F48</f>
        <v>1.6</v>
      </c>
      <c r="H365" s="153">
        <f>Реагирование!Y48</f>
        <v>337.04999999999995</v>
      </c>
      <c r="I365" s="154" t="str">
        <f t="shared" si="49"/>
        <v>КБ3</v>
      </c>
      <c r="J365" s="154">
        <f>Реагирование!K48</f>
        <v>5</v>
      </c>
      <c r="K365" s="153">
        <f>Реагирование!I48</f>
        <v>0</v>
      </c>
      <c r="L365" s="153">
        <f>Реагирование!L48</f>
        <v>0</v>
      </c>
      <c r="M365" s="153">
        <f t="shared" si="51"/>
        <v>0</v>
      </c>
      <c r="N365" s="153">
        <f t="shared" si="50"/>
        <v>5</v>
      </c>
      <c r="O365" s="153" t="str">
        <f>Реагирование!Z48</f>
        <v xml:space="preserve"> - Актуализировать план коммуникаций значимых инцидентов не реже чем раз в 3 месяца;
 -  Анализировать эффективность каналов коммуникаций при значимых инцидентах.</v>
      </c>
      <c r="P365" s="155" t="s">
        <v>97</v>
      </c>
      <c r="Q365" s="156" t="s">
        <v>297</v>
      </c>
      <c r="R365" s="153"/>
      <c r="S365" s="157"/>
      <c r="T365" s="151" t="s">
        <v>99</v>
      </c>
      <c r="U365" s="158">
        <v>0</v>
      </c>
      <c r="V365" s="158">
        <v>0</v>
      </c>
      <c r="W365" s="158">
        <v>0</v>
      </c>
      <c r="X365" s="158">
        <f t="shared" si="47"/>
        <v>0</v>
      </c>
      <c r="Y365" s="159"/>
      <c r="Z365" s="160"/>
      <c r="AA365" s="160"/>
      <c r="AB365" s="160"/>
      <c r="AC365" s="160"/>
      <c r="AD365" s="160"/>
      <c r="AE365" s="160"/>
    </row>
    <row r="366" spans="1:31" ht="374.4" hidden="1">
      <c r="A366" s="151" t="s">
        <v>57</v>
      </c>
      <c r="B366" s="152" t="s">
        <v>121</v>
      </c>
      <c r="C366" s="153" t="str">
        <f>Реагирование!B39</f>
        <v>Процесс реагирования на инциденты ИБ</v>
      </c>
      <c r="D366" s="153" t="str">
        <f>Реагирование!C39</f>
        <v>РЕАГ.ПЛР.1</v>
      </c>
      <c r="E366" s="153">
        <f>Реагирование!D39</f>
        <v>4</v>
      </c>
      <c r="F366" s="153">
        <f>Реагирование!E39</f>
        <v>3</v>
      </c>
      <c r="G366" s="153">
        <f>Реагирование!F39</f>
        <v>1</v>
      </c>
      <c r="H366" s="153">
        <f>Реагирование!Y39</f>
        <v>307.01</v>
      </c>
      <c r="I366" s="154" t="str">
        <f t="shared" si="49"/>
        <v>КБ3</v>
      </c>
      <c r="J366" s="154">
        <f>Реагирование!K39</f>
        <v>4</v>
      </c>
      <c r="K366" s="153">
        <f>Реагирование!I39</f>
        <v>0</v>
      </c>
      <c r="L366" s="153">
        <f>Реагирование!L39</f>
        <v>0</v>
      </c>
      <c r="M366" s="153">
        <f t="shared" si="51"/>
        <v>0</v>
      </c>
      <c r="N366" s="153">
        <f t="shared" si="50"/>
        <v>4</v>
      </c>
      <c r="O366" s="153" t="str">
        <f>Реагирование!Z39</f>
        <v xml:space="preserve"> -  Разработать КПЭ по процессу реагирования на инциденты ИБ для руководства ИБ;
 -  Разработать метрики по процессу;
 -  Назначить сервис-менеджеров процесса;
 -  Создать средство визуального мониторинга параметров процесса;
 -  Реализовать мониторинг параметров процесса;
 -  Реализовать реагирование на факты отклонения параметров процесса от определенных показателей</v>
      </c>
      <c r="P366" s="155" t="s">
        <v>97</v>
      </c>
      <c r="Q366" s="156" t="s">
        <v>286</v>
      </c>
      <c r="R366" s="153"/>
      <c r="S366" s="157"/>
      <c r="T366" s="151" t="s">
        <v>99</v>
      </c>
      <c r="U366" s="158">
        <v>0</v>
      </c>
      <c r="V366" s="158">
        <v>0</v>
      </c>
      <c r="W366" s="158">
        <v>0</v>
      </c>
      <c r="X366" s="158">
        <f t="shared" si="47"/>
        <v>0</v>
      </c>
      <c r="Y366" s="159"/>
      <c r="Z366" s="160"/>
      <c r="AA366" s="160"/>
      <c r="AB366" s="160"/>
      <c r="AC366" s="160"/>
      <c r="AD366" s="160"/>
      <c r="AE366" s="160"/>
    </row>
    <row r="367" spans="1:31" ht="93.6" hidden="1">
      <c r="A367" s="151" t="s">
        <v>57</v>
      </c>
      <c r="B367" s="152" t="s">
        <v>121</v>
      </c>
      <c r="C367" s="153" t="str">
        <f>Реагирование!B40</f>
        <v>Процесс категорирования инцидентов ИБ</v>
      </c>
      <c r="D367" s="153" t="str">
        <f>Реагирование!C40</f>
        <v>РЕАГ.ПЛР.2</v>
      </c>
      <c r="E367" s="153">
        <f>Реагирование!D40</f>
        <v>4</v>
      </c>
      <c r="F367" s="153">
        <f>Реагирование!E40</f>
        <v>3</v>
      </c>
      <c r="G367" s="153">
        <f>Реагирование!F40</f>
        <v>1</v>
      </c>
      <c r="H367" s="153">
        <f>Реагирование!Y40</f>
        <v>307.02</v>
      </c>
      <c r="I367" s="154" t="str">
        <f t="shared" si="49"/>
        <v>КБ3</v>
      </c>
      <c r="J367" s="154">
        <f>Реагирование!K40</f>
        <v>4</v>
      </c>
      <c r="K367" s="153">
        <f>Реагирование!I40</f>
        <v>0</v>
      </c>
      <c r="L367" s="153">
        <f>Реагирование!L40</f>
        <v>0</v>
      </c>
      <c r="M367" s="153">
        <f t="shared" si="51"/>
        <v>0</v>
      </c>
      <c r="N367" s="153">
        <f t="shared" si="50"/>
        <v>4</v>
      </c>
      <c r="O367" s="153" t="str">
        <f>Реагирование!Z40</f>
        <v xml:space="preserve"> - Реализовать возможность корректировки категорий инцидента ИБ в процессе реагирования</v>
      </c>
      <c r="P367" s="155" t="s">
        <v>97</v>
      </c>
      <c r="Q367" s="156" t="s">
        <v>286</v>
      </c>
      <c r="R367" s="153"/>
      <c r="S367" s="157"/>
      <c r="T367" s="151" t="s">
        <v>99</v>
      </c>
      <c r="U367" s="158">
        <v>0</v>
      </c>
      <c r="V367" s="158">
        <v>0</v>
      </c>
      <c r="W367" s="158">
        <v>0</v>
      </c>
      <c r="X367" s="158">
        <f t="shared" si="47"/>
        <v>0</v>
      </c>
      <c r="Y367" s="159"/>
      <c r="Z367" s="160"/>
      <c r="AA367" s="160"/>
      <c r="AB367" s="160"/>
      <c r="AC367" s="160"/>
      <c r="AD367" s="160"/>
      <c r="AE367" s="160"/>
    </row>
    <row r="368" spans="1:31" ht="210.6" hidden="1">
      <c r="A368" s="151" t="s">
        <v>57</v>
      </c>
      <c r="B368" s="152" t="s">
        <v>121</v>
      </c>
      <c r="C368" s="153" t="str">
        <f>Реагирование!B41</f>
        <v>Определен мандат на действие в ходе реагирования на инцидент</v>
      </c>
      <c r="D368" s="153" t="str">
        <f>Реагирование!C41</f>
        <v>РЕАГ.ПЛР.3</v>
      </c>
      <c r="E368" s="153">
        <f>Реагирование!D41</f>
        <v>5</v>
      </c>
      <c r="F368" s="153">
        <f>Реагирование!E41</f>
        <v>3.2</v>
      </c>
      <c r="G368" s="153">
        <f>Реагирование!F41</f>
        <v>0</v>
      </c>
      <c r="H368" s="153">
        <f>Реагирование!Y41</f>
        <v>307.02999999999997</v>
      </c>
      <c r="I368" s="154" t="str">
        <f t="shared" ref="I368:I399" si="52">IF(H368&lt;=200,"КБ1",IF(H368&lt;=300,"КБ2","КБ3"))</f>
        <v>КБ3</v>
      </c>
      <c r="J368" s="154">
        <f>Реагирование!K41</f>
        <v>5</v>
      </c>
      <c r="K368" s="153">
        <f>Реагирование!I41</f>
        <v>0</v>
      </c>
      <c r="L368" s="153">
        <f>Реагирование!L41</f>
        <v>0</v>
      </c>
      <c r="M368" s="153">
        <f t="shared" si="51"/>
        <v>0</v>
      </c>
      <c r="N368" s="153">
        <f t="shared" ref="N368:N403" si="53">IF(H368&lt;100,IF(L368&gt;=G368,0,J368-L368),IF(H368&lt;300,IF(L368&gt;=F368,0,J368-L368),IF(L368&gt;=E368,0,J368-L368)))</f>
        <v>5</v>
      </c>
      <c r="O368" s="153" t="str">
        <f>Реагирование!Z41</f>
        <v xml:space="preserve"> -  Разработать ВНД, определяющий мандаты на действия;
 -  Пересматривать состав ГЭР и ОКУ не реже 1 раза в полгода;
 -  Разработать обучающий курс для ГЭР и ОКУ;
 -  Проводить обучение членов ГЭР и ОКУ не реже 1 раза в год.</v>
      </c>
      <c r="P368" s="155" t="s">
        <v>97</v>
      </c>
      <c r="Q368" s="156" t="s">
        <v>290</v>
      </c>
      <c r="R368" s="153"/>
      <c r="S368" s="157"/>
      <c r="T368" s="151" t="s">
        <v>99</v>
      </c>
      <c r="U368" s="158">
        <v>0</v>
      </c>
      <c r="V368" s="158">
        <v>0</v>
      </c>
      <c r="W368" s="158">
        <v>0</v>
      </c>
      <c r="X368" s="158">
        <f t="shared" si="47"/>
        <v>0</v>
      </c>
      <c r="Y368" s="159"/>
      <c r="Z368" s="160"/>
      <c r="AA368" s="160"/>
      <c r="AB368" s="160"/>
      <c r="AC368" s="160"/>
      <c r="AD368" s="160"/>
      <c r="AE368" s="160"/>
    </row>
    <row r="369" spans="1:31" ht="140.4" hidden="1">
      <c r="A369" s="151" t="s">
        <v>57</v>
      </c>
      <c r="B369" s="152" t="s">
        <v>121</v>
      </c>
      <c r="C369" s="153" t="str">
        <f>Реагирование!B42</f>
        <v>Планы реагирования совершенствуются по результатам тестирования и пост-анализа</v>
      </c>
      <c r="D369" s="153" t="str">
        <f>Реагирование!C42</f>
        <v>РЕАГ.ПЛР.4</v>
      </c>
      <c r="E369" s="153">
        <f>Реагирование!D42</f>
        <v>5</v>
      </c>
      <c r="F369" s="153">
        <f>Реагирование!E42</f>
        <v>3.2</v>
      </c>
      <c r="G369" s="153">
        <f>Реагирование!F42</f>
        <v>0</v>
      </c>
      <c r="H369" s="153">
        <f>Реагирование!Y42</f>
        <v>307.03999999999996</v>
      </c>
      <c r="I369" s="154" t="str">
        <f t="shared" si="52"/>
        <v>КБ3</v>
      </c>
      <c r="J369" s="154">
        <f>Реагирование!K42</f>
        <v>5</v>
      </c>
      <c r="K369" s="153">
        <f>Реагирование!I42</f>
        <v>0</v>
      </c>
      <c r="L369" s="153">
        <f>Реагирование!L42</f>
        <v>0</v>
      </c>
      <c r="M369" s="153">
        <f t="shared" si="51"/>
        <v>0</v>
      </c>
      <c r="N369" s="153">
        <f t="shared" si="53"/>
        <v>5</v>
      </c>
      <c r="O369" s="153" t="str">
        <f>Реагирование!Z42</f>
        <v xml:space="preserve"> - Все инциденты должны проходить этап пост-анализа;
  - Контролировать и получать подтверждения об изменении процесса по результатам пост-анализа.</v>
      </c>
      <c r="P369" s="155" t="s">
        <v>97</v>
      </c>
      <c r="Q369" s="156" t="s">
        <v>247</v>
      </c>
      <c r="R369" s="153"/>
      <c r="S369" s="157"/>
      <c r="T369" s="151" t="s">
        <v>99</v>
      </c>
      <c r="U369" s="158">
        <v>0</v>
      </c>
      <c r="V369" s="158">
        <v>0</v>
      </c>
      <c r="W369" s="158">
        <v>0</v>
      </c>
      <c r="X369" s="158">
        <f t="shared" ref="X369:X428" si="54">SUM(U369:W369)</f>
        <v>0</v>
      </c>
      <c r="Y369" s="159"/>
      <c r="Z369" s="160"/>
      <c r="AA369" s="160"/>
      <c r="AB369" s="160"/>
      <c r="AC369" s="160"/>
      <c r="AD369" s="160"/>
      <c r="AE369" s="160"/>
    </row>
    <row r="370" spans="1:31" ht="234">
      <c r="A370" s="151" t="s">
        <v>44</v>
      </c>
      <c r="B370" s="152" t="s">
        <v>101</v>
      </c>
      <c r="C370" s="153" t="str">
        <f>СЗИ!B62</f>
        <v>Внедрен процесс управления уязвимостями на периметре (CPT)</v>
      </c>
      <c r="D370" s="153" t="str">
        <f>СЗИ!C62</f>
        <v>СЗИ.CPT.3</v>
      </c>
      <c r="E370" s="153">
        <f>СЗИ!D62</f>
        <v>4</v>
      </c>
      <c r="F370" s="153">
        <f>СЗИ!E62</f>
        <v>3</v>
      </c>
      <c r="G370" s="153">
        <f>СЗИ!F62</f>
        <v>1</v>
      </c>
      <c r="H370" s="153">
        <f>СЗИ!Y62</f>
        <v>303.02999999999997</v>
      </c>
      <c r="I370" s="154" t="str">
        <f t="shared" si="52"/>
        <v>КБ3</v>
      </c>
      <c r="J370" s="154">
        <f>СЗИ!K62</f>
        <v>4</v>
      </c>
      <c r="K370" s="153">
        <f>СЗИ!I62</f>
        <v>0</v>
      </c>
      <c r="L370" s="153">
        <f>СЗИ!L62</f>
        <v>0</v>
      </c>
      <c r="M370" s="153">
        <f t="shared" si="51"/>
        <v>0</v>
      </c>
      <c r="N370" s="153">
        <f t="shared" si="53"/>
        <v>4</v>
      </c>
      <c r="O370" s="153" t="str">
        <f>СЗИ!Z62</f>
        <v xml:space="preserve"> - Разработать систему метрик для процесса CPT;
 - Создать средство визуального мониторинга параметров процесса CPT;
 - Реализовать мониторинг параметров процесса CPT;
 - Реализовать реагирование на факты отклонения параметров процесса CPT</v>
      </c>
      <c r="P370" s="155" t="s">
        <v>97</v>
      </c>
      <c r="Q370" s="156" t="s">
        <v>286</v>
      </c>
      <c r="R370" s="153"/>
      <c r="S370" s="157"/>
      <c r="T370" s="151" t="s">
        <v>99</v>
      </c>
      <c r="U370" s="158">
        <v>0</v>
      </c>
      <c r="V370" s="158">
        <v>0</v>
      </c>
      <c r="W370" s="158">
        <v>0</v>
      </c>
      <c r="X370" s="158">
        <f t="shared" si="54"/>
        <v>0</v>
      </c>
      <c r="Y370" s="159"/>
      <c r="Z370" s="160"/>
      <c r="AA370" s="160"/>
      <c r="AB370" s="160"/>
      <c r="AC370" s="160"/>
      <c r="AD370" s="160"/>
      <c r="AE370" s="160"/>
    </row>
    <row r="371" spans="1:31" ht="93.6">
      <c r="A371" s="151" t="s">
        <v>44</v>
      </c>
      <c r="B371" s="152" t="s">
        <v>307</v>
      </c>
      <c r="C371" s="153" t="str">
        <f>СЗИ!B113</f>
        <v>Все каналы выхода информации за периметр Общества контролируются средствами DLP</v>
      </c>
      <c r="D371" s="153" t="str">
        <f>СЗИ!C113</f>
        <v>СЗИ.DLP.1</v>
      </c>
      <c r="E371" s="153">
        <f>СЗИ!D113</f>
        <v>5</v>
      </c>
      <c r="F371" s="153">
        <f>СЗИ!E113</f>
        <v>0</v>
      </c>
      <c r="G371" s="153">
        <f>СЗИ!F113</f>
        <v>0</v>
      </c>
      <c r="H371" s="153">
        <f>СЗИ!Y113</f>
        <v>325.01</v>
      </c>
      <c r="I371" s="154" t="str">
        <f t="shared" si="52"/>
        <v>КБ3</v>
      </c>
      <c r="J371" s="154">
        <f>СЗИ!K113</f>
        <v>5</v>
      </c>
      <c r="K371" s="153">
        <f>СЗИ!I113</f>
        <v>0</v>
      </c>
      <c r="L371" s="153">
        <f>СЗИ!L113</f>
        <v>0</v>
      </c>
      <c r="M371" s="153">
        <f t="shared" si="51"/>
        <v>0</v>
      </c>
      <c r="N371" s="153">
        <f t="shared" si="53"/>
        <v>5</v>
      </c>
      <c r="O371" s="153" t="str">
        <f>СЗИ!Z113</f>
        <v xml:space="preserve"> - Обеспечить контроль актуальных технических каналов утечки информации средствами DLP</v>
      </c>
      <c r="P371" s="155" t="s">
        <v>97</v>
      </c>
      <c r="Q371" s="156" t="s">
        <v>308</v>
      </c>
      <c r="R371" s="153"/>
      <c r="S371" s="157"/>
      <c r="T371" s="151" t="s">
        <v>99</v>
      </c>
      <c r="U371" s="158">
        <v>0</v>
      </c>
      <c r="V371" s="158">
        <v>0</v>
      </c>
      <c r="W371" s="158">
        <v>0</v>
      </c>
      <c r="X371" s="158">
        <f t="shared" si="54"/>
        <v>0</v>
      </c>
      <c r="Y371" s="159"/>
      <c r="Z371" s="160"/>
      <c r="AA371" s="160"/>
      <c r="AB371" s="160"/>
      <c r="AC371" s="160"/>
      <c r="AD371" s="160"/>
      <c r="AE371" s="160"/>
    </row>
    <row r="372" spans="1:31" ht="93.6">
      <c r="A372" s="151" t="s">
        <v>44</v>
      </c>
      <c r="B372" s="152" t="s">
        <v>307</v>
      </c>
      <c r="C372" s="153" t="str">
        <f>СЗИ!B114</f>
        <v>Процент покрытия инфраструктуры лицензиями на DLP</v>
      </c>
      <c r="D372" s="153" t="str">
        <f>СЗИ!C114</f>
        <v>СЗИ.DLP.2</v>
      </c>
      <c r="E372" s="153">
        <f>СЗИ!D114</f>
        <v>5</v>
      </c>
      <c r="F372" s="153">
        <f>СЗИ!E114</f>
        <v>0</v>
      </c>
      <c r="G372" s="153">
        <f>СЗИ!F114</f>
        <v>0</v>
      </c>
      <c r="H372" s="153">
        <f>СЗИ!Y114</f>
        <v>325.02</v>
      </c>
      <c r="I372" s="154" t="str">
        <f t="shared" si="52"/>
        <v>КБ3</v>
      </c>
      <c r="J372" s="154">
        <f>СЗИ!K114</f>
        <v>5</v>
      </c>
      <c r="K372" s="163">
        <f>СЗИ!I114</f>
        <v>0</v>
      </c>
      <c r="L372" s="153">
        <f>СЗИ!L114</f>
        <v>0</v>
      </c>
      <c r="M372" s="153">
        <f t="shared" si="51"/>
        <v>0</v>
      </c>
      <c r="N372" s="153">
        <f t="shared" si="53"/>
        <v>5</v>
      </c>
      <c r="O372" s="153" t="str">
        <f>СЗИ!Z114</f>
        <v xml:space="preserve"> - Приобрести лицензии на DLP в объеме, достаточном для покрытия 100 % необходимой инфраструктуры</v>
      </c>
      <c r="P372" s="155" t="s">
        <v>97</v>
      </c>
      <c r="Q372" s="156" t="s">
        <v>253</v>
      </c>
      <c r="R372" s="153"/>
      <c r="S372" s="157"/>
      <c r="T372" s="151" t="s">
        <v>99</v>
      </c>
      <c r="U372" s="158">
        <v>0</v>
      </c>
      <c r="V372" s="158">
        <v>0</v>
      </c>
      <c r="W372" s="158">
        <v>0</v>
      </c>
      <c r="X372" s="158">
        <f t="shared" si="54"/>
        <v>0</v>
      </c>
      <c r="Y372" s="159"/>
      <c r="Z372" s="160"/>
      <c r="AA372" s="160"/>
      <c r="AB372" s="160"/>
      <c r="AC372" s="160"/>
      <c r="AD372" s="160"/>
      <c r="AE372" s="160"/>
    </row>
    <row r="373" spans="1:31" ht="140.4">
      <c r="A373" s="151" t="s">
        <v>44</v>
      </c>
      <c r="B373" s="152" t="s">
        <v>307</v>
      </c>
      <c r="C373" s="153" t="str">
        <f>СЗИ!B115</f>
        <v>Процент покрытия инфраструктуры средствами DLP от числа закупленных лицензий (процент утилизации закупленных лицензий)</v>
      </c>
      <c r="D373" s="153" t="str">
        <f>СЗИ!C115</f>
        <v>СЗИ.DLP.3</v>
      </c>
      <c r="E373" s="153">
        <f>СЗИ!D115</f>
        <v>5</v>
      </c>
      <c r="F373" s="153">
        <f>СЗИ!E115</f>
        <v>0</v>
      </c>
      <c r="G373" s="153">
        <f>СЗИ!F115</f>
        <v>0</v>
      </c>
      <c r="H373" s="153">
        <f>СЗИ!Y115</f>
        <v>325.02999999999997</v>
      </c>
      <c r="I373" s="154" t="str">
        <f t="shared" si="52"/>
        <v>КБ3</v>
      </c>
      <c r="J373" s="154">
        <f>СЗИ!K115</f>
        <v>5</v>
      </c>
      <c r="K373" s="163">
        <f>СЗИ!I115</f>
        <v>0</v>
      </c>
      <c r="L373" s="153">
        <f>СЗИ!L115</f>
        <v>0</v>
      </c>
      <c r="M373" s="153">
        <f t="shared" si="51"/>
        <v>0</v>
      </c>
      <c r="N373" s="153">
        <f t="shared" si="53"/>
        <v>5</v>
      </c>
      <c r="O373" s="153" t="str">
        <f>СЗИ!Z115</f>
        <v xml:space="preserve"> - Обеспечить установку DLP на 100% необходимой инфраструктуры</v>
      </c>
      <c r="P373" s="155" t="s">
        <v>97</v>
      </c>
      <c r="Q373" s="156" t="s">
        <v>308</v>
      </c>
      <c r="R373" s="153"/>
      <c r="S373" s="157"/>
      <c r="T373" s="151" t="s">
        <v>99</v>
      </c>
      <c r="U373" s="158">
        <v>0</v>
      </c>
      <c r="V373" s="158">
        <v>0</v>
      </c>
      <c r="W373" s="158">
        <v>0</v>
      </c>
      <c r="X373" s="158">
        <f t="shared" si="54"/>
        <v>0</v>
      </c>
      <c r="Y373" s="159"/>
      <c r="Z373" s="160"/>
      <c r="AA373" s="160"/>
      <c r="AB373" s="160"/>
      <c r="AC373" s="160"/>
      <c r="AD373" s="160"/>
      <c r="AE373" s="160"/>
    </row>
    <row r="374" spans="1:31" ht="117">
      <c r="A374" s="151" t="s">
        <v>44</v>
      </c>
      <c r="B374" s="152" t="s">
        <v>307</v>
      </c>
      <c r="C374" s="153" t="str">
        <f>СЗИ!B116</f>
        <v>Осуществляется централизованное управление DLP</v>
      </c>
      <c r="D374" s="153" t="str">
        <f>СЗИ!C116</f>
        <v>СЗИ.DLP.4</v>
      </c>
      <c r="E374" s="153">
        <f>СЗИ!D116</f>
        <v>5</v>
      </c>
      <c r="F374" s="153">
        <f>СЗИ!E116</f>
        <v>0</v>
      </c>
      <c r="G374" s="153">
        <f>СЗИ!F116</f>
        <v>0</v>
      </c>
      <c r="H374" s="153">
        <f>СЗИ!Y116</f>
        <v>325.03999999999996</v>
      </c>
      <c r="I374" s="154" t="str">
        <f t="shared" si="52"/>
        <v>КБ3</v>
      </c>
      <c r="J374" s="154">
        <f>СЗИ!K116</f>
        <v>5</v>
      </c>
      <c r="K374" s="153">
        <f>СЗИ!I116</f>
        <v>0</v>
      </c>
      <c r="L374" s="153">
        <f>СЗИ!L116</f>
        <v>0</v>
      </c>
      <c r="M374" s="153">
        <f t="shared" si="51"/>
        <v>0</v>
      </c>
      <c r="N374" s="153">
        <f t="shared" si="53"/>
        <v>5</v>
      </c>
      <c r="O374" s="153" t="str">
        <f>СЗИ!Z116</f>
        <v xml:space="preserve"> - Создать систему централизованного управления средствами DLP и обеспечить подключение к ней всех элементов инфраструктуры</v>
      </c>
      <c r="P374" s="155" t="s">
        <v>97</v>
      </c>
      <c r="Q374" s="156" t="s">
        <v>308</v>
      </c>
      <c r="R374" s="153"/>
      <c r="S374" s="157"/>
      <c r="T374" s="151" t="s">
        <v>99</v>
      </c>
      <c r="U374" s="158">
        <v>0</v>
      </c>
      <c r="V374" s="158">
        <v>0</v>
      </c>
      <c r="W374" s="158">
        <v>0</v>
      </c>
      <c r="X374" s="158">
        <f t="shared" si="54"/>
        <v>0</v>
      </c>
      <c r="Y374" s="159"/>
      <c r="Z374" s="160"/>
      <c r="AA374" s="160"/>
      <c r="AB374" s="160"/>
      <c r="AC374" s="160"/>
      <c r="AD374" s="160"/>
      <c r="AE374" s="160"/>
    </row>
    <row r="375" spans="1:31" ht="70.2">
      <c r="A375" s="151" t="s">
        <v>44</v>
      </c>
      <c r="B375" s="152" t="s">
        <v>307</v>
      </c>
      <c r="C375" s="153" t="str">
        <f>СЗИ!B117</f>
        <v>Настроенные политики соответствуют ТТР Блока ИБ</v>
      </c>
      <c r="D375" s="153" t="str">
        <f>СЗИ!C117</f>
        <v>СЗИ.DLP.5</v>
      </c>
      <c r="E375" s="153">
        <f>СЗИ!D117</f>
        <v>5</v>
      </c>
      <c r="F375" s="153">
        <f>СЗИ!E117</f>
        <v>0</v>
      </c>
      <c r="G375" s="153">
        <f>СЗИ!F117</f>
        <v>0</v>
      </c>
      <c r="H375" s="153">
        <f>СЗИ!Y117</f>
        <v>325.04999999999995</v>
      </c>
      <c r="I375" s="154" t="str">
        <f t="shared" si="52"/>
        <v>КБ3</v>
      </c>
      <c r="J375" s="154">
        <f>СЗИ!K117</f>
        <v>5</v>
      </c>
      <c r="K375" s="153">
        <f>СЗИ!I117</f>
        <v>0</v>
      </c>
      <c r="L375" s="153">
        <f>СЗИ!L117</f>
        <v>0</v>
      </c>
      <c r="M375" s="153">
        <f t="shared" si="51"/>
        <v>0</v>
      </c>
      <c r="N375" s="153">
        <f t="shared" si="53"/>
        <v>5</v>
      </c>
      <c r="O375" s="153" t="str">
        <f>СЗИ!Z117</f>
        <v xml:space="preserve"> - Получить от Блока ИБ ТТР по применению DLP и реализовать рекомендуемые решения</v>
      </c>
      <c r="P375" s="155" t="s">
        <v>97</v>
      </c>
      <c r="Q375" s="156" t="s">
        <v>308</v>
      </c>
      <c r="R375" s="153"/>
      <c r="S375" s="157"/>
      <c r="T375" s="151" t="s">
        <v>99</v>
      </c>
      <c r="U375" s="158">
        <v>0</v>
      </c>
      <c r="V375" s="158">
        <v>0</v>
      </c>
      <c r="W375" s="158">
        <v>0</v>
      </c>
      <c r="X375" s="158">
        <f t="shared" si="54"/>
        <v>0</v>
      </c>
      <c r="Y375" s="159"/>
      <c r="Z375" s="160"/>
      <c r="AA375" s="160"/>
      <c r="AB375" s="160"/>
      <c r="AC375" s="160"/>
      <c r="AD375" s="160"/>
      <c r="AE375" s="160"/>
    </row>
    <row r="376" spans="1:31" ht="409.6">
      <c r="A376" s="151" t="s">
        <v>44</v>
      </c>
      <c r="B376" s="152" t="s">
        <v>307</v>
      </c>
      <c r="C376" s="153" t="str">
        <f>СЗИ!B118</f>
        <v>Процесс контроля утечек информации по техническим каналам средствами DLP</v>
      </c>
      <c r="D376" s="153" t="str">
        <f>СЗИ!C118</f>
        <v>СЗИ.DLP.6</v>
      </c>
      <c r="E376" s="153">
        <f>СЗИ!D118</f>
        <v>4</v>
      </c>
      <c r="F376" s="153">
        <f>СЗИ!E118</f>
        <v>0</v>
      </c>
      <c r="G376" s="153">
        <f>СЗИ!F118</f>
        <v>0</v>
      </c>
      <c r="H376" s="153">
        <f>СЗИ!Y118</f>
        <v>325.05999999999995</v>
      </c>
      <c r="I376" s="154" t="str">
        <f t="shared" si="52"/>
        <v>КБ3</v>
      </c>
      <c r="J376" s="154">
        <f>СЗИ!K118</f>
        <v>4</v>
      </c>
      <c r="K376" s="153">
        <f>СЗИ!I118</f>
        <v>0</v>
      </c>
      <c r="L376" s="153">
        <f>СЗИ!L118</f>
        <v>0</v>
      </c>
      <c r="M376" s="153">
        <f t="shared" si="51"/>
        <v>0</v>
      </c>
      <c r="N376" s="153">
        <f t="shared" si="53"/>
        <v>4</v>
      </c>
      <c r="O376" s="153" t="str">
        <f>СЗИ!Z118</f>
        <v xml:space="preserve"> - Разработать процесс контроля  утечек информации по техническим каналам средствами DLP;
 - Утвердить в Обществе ВНД, описывающий процесс контроля  утечек информации по техническим каналам средствами DLP;
 - Реализовать в Обществе процесс контроля контроля  утечек информации по техническим каналам средствами DLP;
 - Разработать систему метрик для процесса контроля  утечек информации по техническим каналам средствами DLP;
  - Реализовать мониторинг параметров процесса контроля  утечек информации по техническим каналам средствами DLP;
 - Реализовать реагирование на факты отклонения параметров процесса контроля  утечек информации по техническим каналам средствами DLP</v>
      </c>
      <c r="P376" s="155" t="s">
        <v>97</v>
      </c>
      <c r="Q376" s="156" t="s">
        <v>309</v>
      </c>
      <c r="R376" s="153"/>
      <c r="S376" s="157"/>
      <c r="T376" s="151" t="s">
        <v>99</v>
      </c>
      <c r="U376" s="158">
        <v>0</v>
      </c>
      <c r="V376" s="158">
        <v>0</v>
      </c>
      <c r="W376" s="158">
        <v>0</v>
      </c>
      <c r="X376" s="158">
        <f t="shared" si="54"/>
        <v>0</v>
      </c>
      <c r="Y376" s="159"/>
      <c r="Z376" s="160"/>
      <c r="AA376" s="160"/>
      <c r="AB376" s="160"/>
      <c r="AC376" s="160"/>
      <c r="AD376" s="160"/>
      <c r="AE376" s="160"/>
    </row>
    <row r="377" spans="1:31" ht="187.2">
      <c r="A377" s="151" t="s">
        <v>44</v>
      </c>
      <c r="B377" s="152" t="s">
        <v>106</v>
      </c>
      <c r="C377" s="153" t="str">
        <f>СЗИ!B78</f>
        <v>Осуществляется централизованное управление и контроль настроек</v>
      </c>
      <c r="D377" s="153" t="str">
        <f>СЗИ!C78</f>
        <v>СЗИ.NGFW.3</v>
      </c>
      <c r="E377" s="153">
        <f>СЗИ!D78</f>
        <v>5</v>
      </c>
      <c r="F377" s="153">
        <f>СЗИ!E78</f>
        <v>3.2</v>
      </c>
      <c r="G377" s="153">
        <f>СЗИ!F78</f>
        <v>0</v>
      </c>
      <c r="H377" s="153">
        <f>СЗИ!Y78</f>
        <v>311.02999999999997</v>
      </c>
      <c r="I377" s="154" t="str">
        <f t="shared" si="52"/>
        <v>КБ3</v>
      </c>
      <c r="J377" s="154">
        <f>СЗИ!K78</f>
        <v>5</v>
      </c>
      <c r="K377" s="153">
        <f>СЗИ!I78</f>
        <v>0</v>
      </c>
      <c r="L377" s="153">
        <f>СЗИ!L78</f>
        <v>0</v>
      </c>
      <c r="M377" s="153">
        <f t="shared" si="51"/>
        <v>0</v>
      </c>
      <c r="N377" s="153">
        <f t="shared" si="53"/>
        <v>5</v>
      </c>
      <c r="O377" s="153" t="str">
        <f>СЗИ!Z78</f>
        <v xml:space="preserve"> - Подключить все МСЭ к системе централизованного управления. Реализовать процесс инвентаризации, контроля и аудита правил межсетевых экранов. Обеспечить актуальность правил МСЭ.</v>
      </c>
      <c r="P377" s="155" t="s">
        <v>97</v>
      </c>
      <c r="Q377" s="156" t="s">
        <v>109</v>
      </c>
      <c r="R377" s="153"/>
      <c r="S377" s="157"/>
      <c r="T377" s="151" t="s">
        <v>99</v>
      </c>
      <c r="U377" s="158">
        <v>0</v>
      </c>
      <c r="V377" s="158">
        <v>0</v>
      </c>
      <c r="W377" s="158">
        <v>0</v>
      </c>
      <c r="X377" s="158">
        <f t="shared" si="54"/>
        <v>0</v>
      </c>
      <c r="Y377" s="159"/>
      <c r="Z377" s="160"/>
      <c r="AA377" s="160"/>
      <c r="AB377" s="160"/>
      <c r="AC377" s="160"/>
      <c r="AD377" s="160"/>
      <c r="AE377" s="160"/>
    </row>
    <row r="378" spans="1:31" ht="70.2">
      <c r="A378" s="151" t="s">
        <v>44</v>
      </c>
      <c r="B378" s="152" t="s">
        <v>106</v>
      </c>
      <c r="C378" s="153" t="str">
        <f>СЗИ!B79</f>
        <v>Настроенные политики соответствуют ТТР Блока ИБ</v>
      </c>
      <c r="D378" s="153" t="str">
        <f>СЗИ!C79</f>
        <v>СЗИ.NGFW.4</v>
      </c>
      <c r="E378" s="153">
        <f>СЗИ!D79</f>
        <v>5</v>
      </c>
      <c r="F378" s="153">
        <f>СЗИ!E79</f>
        <v>3.2</v>
      </c>
      <c r="G378" s="153">
        <f>СЗИ!F79</f>
        <v>0</v>
      </c>
      <c r="H378" s="153">
        <f>СЗИ!Y79</f>
        <v>311.03999999999996</v>
      </c>
      <c r="I378" s="154" t="str">
        <f t="shared" si="52"/>
        <v>КБ3</v>
      </c>
      <c r="J378" s="154">
        <f>СЗИ!K79</f>
        <v>5</v>
      </c>
      <c r="K378" s="153">
        <f>СЗИ!I79</f>
        <v>0</v>
      </c>
      <c r="L378" s="153">
        <f>СЗИ!L79</f>
        <v>0</v>
      </c>
      <c r="M378" s="153">
        <f t="shared" si="51"/>
        <v>0</v>
      </c>
      <c r="N378" s="153">
        <f t="shared" si="53"/>
        <v>5</v>
      </c>
      <c r="O378" s="153" t="str">
        <f>СЗИ!Z79</f>
        <v xml:space="preserve"> - Получить от Блока ИБ ТТР и реализовать рекомендуемые решения (в полном объеме)</v>
      </c>
      <c r="P378" s="155" t="s">
        <v>97</v>
      </c>
      <c r="Q378" s="156" t="s">
        <v>109</v>
      </c>
      <c r="R378" s="153"/>
      <c r="S378" s="157"/>
      <c r="T378" s="151" t="s">
        <v>99</v>
      </c>
      <c r="U378" s="158">
        <v>0</v>
      </c>
      <c r="V378" s="158">
        <v>0</v>
      </c>
      <c r="W378" s="158">
        <v>0</v>
      </c>
      <c r="X378" s="158">
        <f t="shared" si="54"/>
        <v>0</v>
      </c>
      <c r="Y378" s="159"/>
      <c r="Z378" s="160"/>
      <c r="AA378" s="160"/>
      <c r="AB378" s="160"/>
      <c r="AC378" s="160"/>
      <c r="AD378" s="160"/>
      <c r="AE378" s="160"/>
    </row>
    <row r="379" spans="1:31" ht="140.4">
      <c r="A379" s="151" t="s">
        <v>44</v>
      </c>
      <c r="B379" s="152" t="s">
        <v>305</v>
      </c>
      <c r="C379" s="153" t="str">
        <f>СЗИ!B106</f>
        <v>Процент покрытия инфраструктуры JumpHost</v>
      </c>
      <c r="D379" s="153" t="str">
        <f>СЗИ!C106</f>
        <v>СЗИ.PAM.1</v>
      </c>
      <c r="E379" s="153">
        <f>СЗИ!D106</f>
        <v>5</v>
      </c>
      <c r="F379" s="153">
        <f>СЗИ!E106</f>
        <v>0</v>
      </c>
      <c r="G379" s="153">
        <f>СЗИ!F106</f>
        <v>0</v>
      </c>
      <c r="H379" s="153">
        <f>СЗИ!Y106</f>
        <v>324.01</v>
      </c>
      <c r="I379" s="154" t="str">
        <f t="shared" si="52"/>
        <v>КБ3</v>
      </c>
      <c r="J379" s="154">
        <f>СЗИ!K106</f>
        <v>5</v>
      </c>
      <c r="K379" s="174">
        <f>СЗИ!I106</f>
        <v>0</v>
      </c>
      <c r="L379" s="153">
        <f>СЗИ!L106</f>
        <v>0</v>
      </c>
      <c r="M379" s="153">
        <f t="shared" si="51"/>
        <v>0</v>
      </c>
      <c r="N379" s="153">
        <f t="shared" si="53"/>
        <v>5</v>
      </c>
      <c r="O379" s="153" t="str">
        <f>СЗИ!Z106</f>
        <v xml:space="preserve"> - Обеспечить достаточное количество Jump-хостов для администрирования всех ИС
(опционально при наличии PAM решения)</v>
      </c>
      <c r="P379" s="155" t="s">
        <v>97</v>
      </c>
      <c r="Q379" s="156" t="s">
        <v>306</v>
      </c>
      <c r="R379" s="153"/>
      <c r="S379" s="157"/>
      <c r="T379" s="151" t="s">
        <v>99</v>
      </c>
      <c r="U379" s="158">
        <v>0</v>
      </c>
      <c r="V379" s="158">
        <v>0</v>
      </c>
      <c r="W379" s="158">
        <v>0</v>
      </c>
      <c r="X379" s="158">
        <f t="shared" si="54"/>
        <v>0</v>
      </c>
      <c r="Y379" s="159"/>
      <c r="Z379" s="160"/>
      <c r="AA379" s="160"/>
      <c r="AB379" s="160"/>
      <c r="AC379" s="160"/>
      <c r="AD379" s="160"/>
      <c r="AE379" s="160"/>
    </row>
    <row r="380" spans="1:31" ht="140.4">
      <c r="A380" s="151" t="s">
        <v>44</v>
      </c>
      <c r="B380" s="152" t="s">
        <v>305</v>
      </c>
      <c r="C380" s="153" t="str">
        <f>СЗИ!B107</f>
        <v>JumpHost настроены в соответствии с требованиями ТТР</v>
      </c>
      <c r="D380" s="153" t="str">
        <f>СЗИ!C107</f>
        <v>СЗИ.PAM.2</v>
      </c>
      <c r="E380" s="153">
        <f>СЗИ!D107</f>
        <v>5</v>
      </c>
      <c r="F380" s="153">
        <f>СЗИ!E107</f>
        <v>0</v>
      </c>
      <c r="G380" s="153">
        <f>СЗИ!F107</f>
        <v>0</v>
      </c>
      <c r="H380" s="153">
        <f>СЗИ!Y107</f>
        <v>324.02</v>
      </c>
      <c r="I380" s="154" t="str">
        <f t="shared" si="52"/>
        <v>КБ3</v>
      </c>
      <c r="J380" s="154">
        <f>СЗИ!K107</f>
        <v>5</v>
      </c>
      <c r="K380" s="153">
        <f>СЗИ!I107</f>
        <v>0</v>
      </c>
      <c r="L380" s="153">
        <f>СЗИ!L107</f>
        <v>0</v>
      </c>
      <c r="M380" s="153">
        <f t="shared" si="51"/>
        <v>0</v>
      </c>
      <c r="N380" s="153">
        <f t="shared" si="53"/>
        <v>5</v>
      </c>
      <c r="O380" s="153" t="str">
        <f>СЗИ!Z107</f>
        <v xml:space="preserve"> - Получить от Блока ИБ ТТР по организации и настройке JH и реализовать рекомендуемые решения
(опционально при наличии PAM решения)</v>
      </c>
      <c r="P380" s="155" t="s">
        <v>97</v>
      </c>
      <c r="Q380" s="156" t="s">
        <v>306</v>
      </c>
      <c r="R380" s="153"/>
      <c r="S380" s="157"/>
      <c r="T380" s="151" t="s">
        <v>99</v>
      </c>
      <c r="U380" s="158">
        <v>0</v>
      </c>
      <c r="V380" s="158">
        <v>0</v>
      </c>
      <c r="W380" s="158">
        <v>0</v>
      </c>
      <c r="X380" s="158">
        <f t="shared" si="54"/>
        <v>0</v>
      </c>
      <c r="Y380" s="159"/>
      <c r="Z380" s="160"/>
      <c r="AA380" s="160"/>
      <c r="AB380" s="160"/>
      <c r="AC380" s="160"/>
      <c r="AD380" s="160"/>
      <c r="AE380" s="160"/>
    </row>
    <row r="381" spans="1:31" ht="140.4">
      <c r="A381" s="151" t="s">
        <v>44</v>
      </c>
      <c r="B381" s="152" t="s">
        <v>305</v>
      </c>
      <c r="C381" s="153" t="str">
        <f>СЗИ!B108</f>
        <v>Процент покрытия инфраструктуры лицензиями PAM</v>
      </c>
      <c r="D381" s="153" t="str">
        <f>СЗИ!C108</f>
        <v>СЗИ.PAM.3</v>
      </c>
      <c r="E381" s="153">
        <f>СЗИ!D108</f>
        <v>5</v>
      </c>
      <c r="F381" s="153">
        <f>СЗИ!E108</f>
        <v>0</v>
      </c>
      <c r="G381" s="153">
        <f>СЗИ!F108</f>
        <v>0</v>
      </c>
      <c r="H381" s="153">
        <f>СЗИ!Y108</f>
        <v>324.02999999999997</v>
      </c>
      <c r="I381" s="154" t="str">
        <f t="shared" si="52"/>
        <v>КБ3</v>
      </c>
      <c r="J381" s="154">
        <f>СЗИ!K108</f>
        <v>5</v>
      </c>
      <c r="K381" s="153">
        <f>СЗИ!I108</f>
        <v>0</v>
      </c>
      <c r="L381" s="153">
        <f>СЗИ!L108</f>
        <v>0</v>
      </c>
      <c r="M381" s="153">
        <f t="shared" si="51"/>
        <v>0</v>
      </c>
      <c r="N381" s="153">
        <f t="shared" si="53"/>
        <v>5</v>
      </c>
      <c r="O381" s="153" t="str">
        <f>СЗИ!Z108</f>
        <v xml:space="preserve"> - Приобрести лицензии на PAM в объеме, достаточном для покрытия 100 % инфраструктуры
(опционально при покрытии инфраструктуры JH)</v>
      </c>
      <c r="P381" s="155" t="s">
        <v>97</v>
      </c>
      <c r="Q381" s="156" t="s">
        <v>253</v>
      </c>
      <c r="R381" s="153"/>
      <c r="S381" s="157"/>
      <c r="T381" s="151" t="s">
        <v>99</v>
      </c>
      <c r="U381" s="158">
        <v>0</v>
      </c>
      <c r="V381" s="158">
        <v>0</v>
      </c>
      <c r="W381" s="158">
        <v>0</v>
      </c>
      <c r="X381" s="158">
        <f t="shared" si="54"/>
        <v>0</v>
      </c>
      <c r="Y381" s="159"/>
      <c r="Z381" s="160"/>
      <c r="AA381" s="160"/>
      <c r="AB381" s="160"/>
      <c r="AC381" s="160"/>
      <c r="AD381" s="160"/>
      <c r="AE381" s="160"/>
    </row>
    <row r="382" spans="1:31" ht="140.4">
      <c r="A382" s="151" t="s">
        <v>44</v>
      </c>
      <c r="B382" s="152" t="s">
        <v>305</v>
      </c>
      <c r="C382" s="153" t="str">
        <f>СЗИ!B109</f>
        <v>Процент активов, администрируемых через PAM</v>
      </c>
      <c r="D382" s="153" t="str">
        <f>СЗИ!C109</f>
        <v>СЗИ.PAM.4</v>
      </c>
      <c r="E382" s="153">
        <f>СЗИ!D109</f>
        <v>5</v>
      </c>
      <c r="F382" s="153">
        <f>СЗИ!E109</f>
        <v>0</v>
      </c>
      <c r="G382" s="153">
        <f>СЗИ!F109</f>
        <v>0</v>
      </c>
      <c r="H382" s="153">
        <f>СЗИ!Y109</f>
        <v>324.04000000000002</v>
      </c>
      <c r="I382" s="154" t="str">
        <f t="shared" si="52"/>
        <v>КБ3</v>
      </c>
      <c r="J382" s="154">
        <f>СЗИ!K109</f>
        <v>5</v>
      </c>
      <c r="K382" s="153">
        <f>СЗИ!I109</f>
        <v>0</v>
      </c>
      <c r="L382" s="153">
        <f>СЗИ!L109</f>
        <v>0</v>
      </c>
      <c r="M382" s="153">
        <f t="shared" si="51"/>
        <v>0</v>
      </c>
      <c r="N382" s="153">
        <f t="shared" si="53"/>
        <v>5</v>
      </c>
      <c r="O382" s="153" t="str">
        <f>СЗИ!Z109</f>
        <v xml:space="preserve"> - Реализовать процесс администрирования 100% информационных активов исключительно через PAM.
(опционально при покрытии инфраструктуры JH)</v>
      </c>
      <c r="P382" s="155" t="s">
        <v>97</v>
      </c>
      <c r="Q382" s="156" t="s">
        <v>306</v>
      </c>
      <c r="R382" s="153"/>
      <c r="S382" s="157"/>
      <c r="T382" s="151" t="s">
        <v>99</v>
      </c>
      <c r="U382" s="158">
        <v>0</v>
      </c>
      <c r="V382" s="158">
        <v>0</v>
      </c>
      <c r="W382" s="158">
        <v>0</v>
      </c>
      <c r="X382" s="158">
        <f t="shared" si="54"/>
        <v>0</v>
      </c>
      <c r="Y382" s="159"/>
      <c r="Z382" s="160"/>
      <c r="AA382" s="160"/>
      <c r="AB382" s="160"/>
      <c r="AC382" s="160"/>
      <c r="AD382" s="160"/>
      <c r="AE382" s="160"/>
    </row>
    <row r="383" spans="1:31" ht="140.4">
      <c r="A383" s="151" t="s">
        <v>44</v>
      </c>
      <c r="B383" s="152" t="s">
        <v>305</v>
      </c>
      <c r="C383" s="153" t="str">
        <f>СЗИ!B110</f>
        <v>Настроенные политики соответствуют ТТР Блока ИБ</v>
      </c>
      <c r="D383" s="153" t="str">
        <f>СЗИ!C110</f>
        <v>СЗИ.PAM.5</v>
      </c>
      <c r="E383" s="153">
        <f>СЗИ!D110</f>
        <v>5</v>
      </c>
      <c r="F383" s="153">
        <f>СЗИ!E110</f>
        <v>0</v>
      </c>
      <c r="G383" s="153">
        <f>СЗИ!F110</f>
        <v>0</v>
      </c>
      <c r="H383" s="153">
        <f>СЗИ!Y110</f>
        <v>324.05</v>
      </c>
      <c r="I383" s="154" t="str">
        <f t="shared" si="52"/>
        <v>КБ3</v>
      </c>
      <c r="J383" s="154">
        <f>СЗИ!K110</f>
        <v>5</v>
      </c>
      <c r="K383" s="153">
        <f>СЗИ!I110</f>
        <v>0</v>
      </c>
      <c r="L383" s="153">
        <f>СЗИ!L110</f>
        <v>0</v>
      </c>
      <c r="M383" s="153">
        <f t="shared" si="51"/>
        <v>0</v>
      </c>
      <c r="N383" s="153">
        <f t="shared" si="53"/>
        <v>5</v>
      </c>
      <c r="O383" s="153" t="str">
        <f>СЗИ!Z110</f>
        <v xml:space="preserve"> - Получить от Блока ИБ ТТР по применению PAM и реализовать рекомендуемые решения
(опционально при покрытии инфраструктуры JH)</v>
      </c>
      <c r="P383" s="155" t="s">
        <v>97</v>
      </c>
      <c r="Q383" s="156" t="s">
        <v>306</v>
      </c>
      <c r="R383" s="153"/>
      <c r="S383" s="157"/>
      <c r="T383" s="151" t="s">
        <v>99</v>
      </c>
      <c r="U383" s="158">
        <v>0</v>
      </c>
      <c r="V383" s="158">
        <v>0</v>
      </c>
      <c r="W383" s="158">
        <v>0</v>
      </c>
      <c r="X383" s="158">
        <f t="shared" si="54"/>
        <v>0</v>
      </c>
      <c r="Y383" s="159"/>
      <c r="Z383" s="160"/>
      <c r="AA383" s="160"/>
      <c r="AB383" s="160"/>
      <c r="AC383" s="160"/>
      <c r="AD383" s="160"/>
      <c r="AE383" s="160"/>
    </row>
    <row r="384" spans="1:31" ht="93.6">
      <c r="A384" s="151" t="s">
        <v>44</v>
      </c>
      <c r="B384" s="152" t="s">
        <v>110</v>
      </c>
      <c r="C384" s="153" t="str">
        <f>СЗИ!B81</f>
        <v>Доступ пользователей в интернет организован через PROXY</v>
      </c>
      <c r="D384" s="153" t="str">
        <f>СЗИ!C81</f>
        <v>СЗИ.PROXY.1</v>
      </c>
      <c r="E384" s="153">
        <f>СЗИ!D81</f>
        <v>5</v>
      </c>
      <c r="F384" s="153">
        <f>СЗИ!E81</f>
        <v>3.2</v>
      </c>
      <c r="G384" s="153">
        <f>СЗИ!F81</f>
        <v>0</v>
      </c>
      <c r="H384" s="153">
        <f>СЗИ!Y81</f>
        <v>312.01</v>
      </c>
      <c r="I384" s="154" t="str">
        <f t="shared" si="52"/>
        <v>КБ3</v>
      </c>
      <c r="J384" s="154">
        <f>СЗИ!K81</f>
        <v>5</v>
      </c>
      <c r="K384" s="153">
        <f>СЗИ!I81</f>
        <v>0</v>
      </c>
      <c r="L384" s="153">
        <f>СЗИ!L81</f>
        <v>0</v>
      </c>
      <c r="M384" s="153">
        <f t="shared" ref="M384:M415" si="55">IF(K384=J384," ",L384-K384)</f>
        <v>0</v>
      </c>
      <c r="N384" s="153">
        <f t="shared" si="53"/>
        <v>5</v>
      </c>
      <c r="O384" s="153" t="str">
        <f>СЗИ!Z81</f>
        <v xml:space="preserve"> - Обеспечить полное покрытие (все АРМ во всех подсетях должны взаимодействовать с интернетом через прокси) </v>
      </c>
      <c r="P384" s="155" t="s">
        <v>97</v>
      </c>
      <c r="Q384" s="156" t="s">
        <v>112</v>
      </c>
      <c r="R384" s="153"/>
      <c r="S384" s="157"/>
      <c r="T384" s="151" t="s">
        <v>99</v>
      </c>
      <c r="U384" s="158">
        <v>0</v>
      </c>
      <c r="V384" s="158">
        <v>0</v>
      </c>
      <c r="W384" s="158">
        <v>0</v>
      </c>
      <c r="X384" s="158">
        <f t="shared" si="54"/>
        <v>0</v>
      </c>
      <c r="Y384" s="159"/>
      <c r="Z384" s="160"/>
      <c r="AA384" s="160"/>
      <c r="AB384" s="160"/>
      <c r="AC384" s="160"/>
      <c r="AD384" s="160"/>
      <c r="AE384" s="160"/>
    </row>
    <row r="385" spans="1:31" ht="70.2">
      <c r="A385" s="151" t="s">
        <v>44</v>
      </c>
      <c r="B385" s="152" t="s">
        <v>110</v>
      </c>
      <c r="C385" s="153" t="str">
        <f>СЗИ!B82</f>
        <v>Настроены политики разграничения доступа</v>
      </c>
      <c r="D385" s="153" t="str">
        <f>СЗИ!C82</f>
        <v>СЗИ.PROXY.2</v>
      </c>
      <c r="E385" s="153">
        <f>СЗИ!D82</f>
        <v>5</v>
      </c>
      <c r="F385" s="153">
        <f>СЗИ!E82</f>
        <v>3.2</v>
      </c>
      <c r="G385" s="153">
        <f>СЗИ!F82</f>
        <v>0</v>
      </c>
      <c r="H385" s="153">
        <f>СЗИ!Y82</f>
        <v>312.02</v>
      </c>
      <c r="I385" s="154" t="str">
        <f t="shared" si="52"/>
        <v>КБ3</v>
      </c>
      <c r="J385" s="154">
        <f>СЗИ!K82</f>
        <v>5</v>
      </c>
      <c r="K385" s="153">
        <f>СЗИ!I82</f>
        <v>0</v>
      </c>
      <c r="L385" s="153">
        <f>СЗИ!L82</f>
        <v>0</v>
      </c>
      <c r="M385" s="153">
        <f t="shared" si="55"/>
        <v>0</v>
      </c>
      <c r="N385" s="153">
        <f t="shared" si="53"/>
        <v>5</v>
      </c>
      <c r="O385" s="153" t="str">
        <f>СЗИ!Z82</f>
        <v xml:space="preserve"> - Обеспечить обновление списков вредоносных сайтов</v>
      </c>
      <c r="P385" s="155" t="s">
        <v>97</v>
      </c>
      <c r="Q385" s="156" t="s">
        <v>112</v>
      </c>
      <c r="R385" s="153"/>
      <c r="S385" s="157"/>
      <c r="T385" s="151" t="s">
        <v>99</v>
      </c>
      <c r="U385" s="158">
        <v>0</v>
      </c>
      <c r="V385" s="158">
        <v>0</v>
      </c>
      <c r="W385" s="158">
        <v>0</v>
      </c>
      <c r="X385" s="158">
        <f t="shared" si="54"/>
        <v>0</v>
      </c>
      <c r="Y385" s="159"/>
      <c r="Z385" s="160"/>
      <c r="AA385" s="160"/>
      <c r="AB385" s="160"/>
      <c r="AC385" s="160"/>
      <c r="AD385" s="160"/>
      <c r="AE385" s="160"/>
    </row>
    <row r="386" spans="1:31" ht="70.2">
      <c r="A386" s="151" t="s">
        <v>44</v>
      </c>
      <c r="B386" s="152" t="s">
        <v>110</v>
      </c>
      <c r="C386" s="153" t="str">
        <f>СЗИ!B83</f>
        <v>Проведена интеграция со средствами защиты от ВПО и AD</v>
      </c>
      <c r="D386" s="153" t="str">
        <f>СЗИ!C83</f>
        <v>СЗИ.PROXY.3</v>
      </c>
      <c r="E386" s="153">
        <f>СЗИ!D83</f>
        <v>5</v>
      </c>
      <c r="F386" s="153">
        <f>СЗИ!E83</f>
        <v>2.5</v>
      </c>
      <c r="G386" s="153">
        <f>СЗИ!F83</f>
        <v>0</v>
      </c>
      <c r="H386" s="153">
        <f>СЗИ!Y83</f>
        <v>312.02999999999997</v>
      </c>
      <c r="I386" s="154" t="str">
        <f t="shared" si="52"/>
        <v>КБ3</v>
      </c>
      <c r="J386" s="154">
        <f>СЗИ!K83</f>
        <v>5</v>
      </c>
      <c r="K386" s="153">
        <f>СЗИ!I83</f>
        <v>0</v>
      </c>
      <c r="L386" s="153">
        <f>СЗИ!L83</f>
        <v>0</v>
      </c>
      <c r="M386" s="153">
        <f t="shared" si="55"/>
        <v>0</v>
      </c>
      <c r="N386" s="153">
        <f t="shared" si="53"/>
        <v>5</v>
      </c>
      <c r="O386" s="153" t="str">
        <f>СЗИ!Z83</f>
        <v>- Реализовать интеграцию с AD, применять политики доступа в интернет на основе групп AD</v>
      </c>
      <c r="P386" s="155" t="s">
        <v>97</v>
      </c>
      <c r="Q386" s="156" t="s">
        <v>112</v>
      </c>
      <c r="R386" s="153"/>
      <c r="S386" s="157"/>
      <c r="T386" s="151" t="s">
        <v>99</v>
      </c>
      <c r="U386" s="158">
        <v>0</v>
      </c>
      <c r="V386" s="158">
        <v>0</v>
      </c>
      <c r="W386" s="158">
        <v>0</v>
      </c>
      <c r="X386" s="158">
        <f t="shared" si="54"/>
        <v>0</v>
      </c>
      <c r="Y386" s="159"/>
      <c r="Z386" s="160"/>
      <c r="AA386" s="160"/>
      <c r="AB386" s="160"/>
      <c r="AC386" s="160"/>
      <c r="AD386" s="160"/>
      <c r="AE386" s="160"/>
    </row>
    <row r="387" spans="1:31" ht="70.2">
      <c r="A387" s="151" t="s">
        <v>44</v>
      </c>
      <c r="B387" s="152" t="s">
        <v>110</v>
      </c>
      <c r="C387" s="153" t="str">
        <f>СЗИ!B84</f>
        <v>Настроенные политики соответствуют ТТР Блока ИБ</v>
      </c>
      <c r="D387" s="153" t="str">
        <f>СЗИ!C84</f>
        <v>СЗИ.PROXY.4</v>
      </c>
      <c r="E387" s="153">
        <f>СЗИ!D84</f>
        <v>5</v>
      </c>
      <c r="F387" s="153">
        <f>СЗИ!E84</f>
        <v>3.2</v>
      </c>
      <c r="G387" s="153">
        <f>СЗИ!F84</f>
        <v>0</v>
      </c>
      <c r="H387" s="153">
        <f>СЗИ!Y84</f>
        <v>312.03999999999996</v>
      </c>
      <c r="I387" s="154" t="str">
        <f t="shared" si="52"/>
        <v>КБ3</v>
      </c>
      <c r="J387" s="154">
        <f>СЗИ!K84</f>
        <v>5</v>
      </c>
      <c r="K387" s="153">
        <f>СЗИ!I84</f>
        <v>0</v>
      </c>
      <c r="L387" s="153">
        <f>СЗИ!L84</f>
        <v>0</v>
      </c>
      <c r="M387" s="153">
        <f t="shared" si="55"/>
        <v>0</v>
      </c>
      <c r="N387" s="153">
        <f t="shared" si="53"/>
        <v>5</v>
      </c>
      <c r="O387" s="153" t="str">
        <f>СЗИ!Z84</f>
        <v xml:space="preserve"> - Получить от Блока ИБ ТТР и реализовать рекомендуемые решения (в полном объеме)</v>
      </c>
      <c r="P387" s="155" t="s">
        <v>97</v>
      </c>
      <c r="Q387" s="156" t="s">
        <v>112</v>
      </c>
      <c r="R387" s="153"/>
      <c r="S387" s="157"/>
      <c r="T387" s="151" t="s">
        <v>99</v>
      </c>
      <c r="U387" s="158">
        <v>0</v>
      </c>
      <c r="V387" s="158">
        <v>0</v>
      </c>
      <c r="W387" s="158">
        <v>0</v>
      </c>
      <c r="X387" s="158">
        <f t="shared" si="54"/>
        <v>0</v>
      </c>
      <c r="Y387" s="159"/>
      <c r="Z387" s="160"/>
      <c r="AA387" s="160"/>
      <c r="AB387" s="160"/>
      <c r="AC387" s="160"/>
      <c r="AD387" s="160"/>
      <c r="AE387" s="160"/>
    </row>
    <row r="388" spans="1:31" s="171" customFormat="1" ht="163.80000000000001">
      <c r="A388" s="151" t="s">
        <v>44</v>
      </c>
      <c r="B388" s="152" t="s">
        <v>234</v>
      </c>
      <c r="C388" s="153" t="str">
        <f>СЗИ!B100</f>
        <v>Процент покрытия внешних активов лицензиями и/или услугами</v>
      </c>
      <c r="D388" s="153" t="str">
        <f>СЗИ!C100</f>
        <v>СЗИ.WAF.1</v>
      </c>
      <c r="E388" s="153">
        <f>СЗИ!D100</f>
        <v>5</v>
      </c>
      <c r="F388" s="153">
        <f>СЗИ!E100</f>
        <v>0</v>
      </c>
      <c r="G388" s="153">
        <f>СЗИ!F100</f>
        <v>0</v>
      </c>
      <c r="H388" s="153">
        <f>СЗИ!Y100</f>
        <v>323.01</v>
      </c>
      <c r="I388" s="154" t="str">
        <f t="shared" si="52"/>
        <v>КБ3</v>
      </c>
      <c r="J388" s="154">
        <f>СЗИ!K100</f>
        <v>5</v>
      </c>
      <c r="K388" s="163">
        <f>СЗИ!I100</f>
        <v>0</v>
      </c>
      <c r="L388" s="153">
        <f>СЗИ!L100</f>
        <v>0</v>
      </c>
      <c r="M388" s="153">
        <f t="shared" si="55"/>
        <v>0</v>
      </c>
      <c r="N388" s="153">
        <f t="shared" si="53"/>
        <v>5</v>
      </c>
      <c r="O388" s="153" t="str">
        <f>СЗИ!Z100</f>
        <v xml:space="preserve"> - Спроектировать, приобрести и внедрить систему защитыweb-приложений;
 - Обеспечить достаточное количество лицензий, услуг и оборудования для покрытия всех опубликованных сервисов.</v>
      </c>
      <c r="P388" s="155" t="s">
        <v>97</v>
      </c>
      <c r="Q388" s="156" t="s">
        <v>303</v>
      </c>
      <c r="R388" s="153"/>
      <c r="S388" s="157"/>
      <c r="T388" s="151" t="s">
        <v>99</v>
      </c>
      <c r="U388" s="158">
        <v>0</v>
      </c>
      <c r="V388" s="158">
        <v>0</v>
      </c>
      <c r="W388" s="158">
        <v>0</v>
      </c>
      <c r="X388" s="158">
        <f t="shared" si="54"/>
        <v>0</v>
      </c>
      <c r="Y388" s="172"/>
      <c r="Z388" s="128"/>
      <c r="AA388" s="128"/>
      <c r="AB388" s="128"/>
      <c r="AC388" s="128"/>
      <c r="AD388" s="128"/>
      <c r="AE388" s="128"/>
    </row>
    <row r="389" spans="1:31" ht="187.2">
      <c r="A389" s="151" t="s">
        <v>44</v>
      </c>
      <c r="B389" s="152" t="s">
        <v>234</v>
      </c>
      <c r="C389" s="153" t="str">
        <f>'Управление ИБ'!B116</f>
        <v xml:space="preserve">Процедура публикации внешних ресурсов описана и контролируется службой ИБ </v>
      </c>
      <c r="D389" s="153" t="str">
        <f>'Управление ИБ'!C116</f>
        <v>СЗИ.WAF.2</v>
      </c>
      <c r="E389" s="153">
        <f>'Управление ИБ'!D116</f>
        <v>4</v>
      </c>
      <c r="F389" s="153">
        <f>'Управление ИБ'!E116</f>
        <v>3</v>
      </c>
      <c r="G389" s="153">
        <f>'Управление ИБ'!F116</f>
        <v>1</v>
      </c>
      <c r="H389" s="153">
        <f>'Управление ИБ'!Y116</f>
        <v>315.06999999999994</v>
      </c>
      <c r="I389" s="154" t="str">
        <f t="shared" si="52"/>
        <v>КБ3</v>
      </c>
      <c r="J389" s="154">
        <f>'Управление ИБ'!K116</f>
        <v>4</v>
      </c>
      <c r="K389" s="153">
        <f>'Управление ИБ'!L116</f>
        <v>0</v>
      </c>
      <c r="L389" s="153">
        <f>'Управление ИБ'!L116</f>
        <v>0</v>
      </c>
      <c r="M389" s="153">
        <f t="shared" si="55"/>
        <v>0</v>
      </c>
      <c r="N389" s="153">
        <f t="shared" si="53"/>
        <v>4</v>
      </c>
      <c r="O389" s="153" t="str">
        <f>'Управление ИБ'!Z116</f>
        <v xml:space="preserve"> - Разработать систему метрик для процесса публикации сервиса в сети интернет;
 - Создать средство визуального мониторинга параметров процесса 
 - Реализовать мониторинг параметров процесса;</v>
      </c>
      <c r="P389" s="155" t="s">
        <v>97</v>
      </c>
      <c r="Q389" s="156" t="s">
        <v>286</v>
      </c>
      <c r="R389" s="153"/>
      <c r="S389" s="157"/>
      <c r="T389" s="151" t="s">
        <v>99</v>
      </c>
      <c r="U389" s="158">
        <v>0</v>
      </c>
      <c r="V389" s="158">
        <v>0</v>
      </c>
      <c r="W389" s="158">
        <v>0</v>
      </c>
      <c r="X389" s="158">
        <f t="shared" si="54"/>
        <v>0</v>
      </c>
      <c r="Y389" s="159"/>
      <c r="Z389" s="160"/>
      <c r="AA389" s="160"/>
      <c r="AB389" s="160"/>
      <c r="AC389" s="160"/>
      <c r="AD389" s="160"/>
      <c r="AE389" s="160"/>
    </row>
    <row r="390" spans="1:31" ht="70.2">
      <c r="A390" s="151" t="s">
        <v>44</v>
      </c>
      <c r="B390" s="152" t="s">
        <v>234</v>
      </c>
      <c r="C390" s="153" t="str">
        <f>СЗИ!B104</f>
        <v>Как часто обновляются правила и сигнатуры в WAF и проверяются настройки</v>
      </c>
      <c r="D390" s="153" t="str">
        <f>СЗИ!C104</f>
        <v>СЗИ.WAF.3</v>
      </c>
      <c r="E390" s="153">
        <f>СЗИ!D104</f>
        <v>5</v>
      </c>
      <c r="F390" s="153">
        <f>СЗИ!E104</f>
        <v>0</v>
      </c>
      <c r="G390" s="153">
        <f>СЗИ!F104</f>
        <v>0</v>
      </c>
      <c r="H390" s="153">
        <f>СЗИ!Y104</f>
        <v>323.05</v>
      </c>
      <c r="I390" s="154" t="str">
        <f t="shared" si="52"/>
        <v>КБ3</v>
      </c>
      <c r="J390" s="154">
        <f>СЗИ!K104</f>
        <v>5</v>
      </c>
      <c r="K390" s="153">
        <f>СЗИ!I104</f>
        <v>0</v>
      </c>
      <c r="L390" s="153">
        <f>СЗИ!L104</f>
        <v>0</v>
      </c>
      <c r="M390" s="153">
        <f t="shared" si="55"/>
        <v>0</v>
      </c>
      <c r="N390" s="153">
        <f t="shared" si="53"/>
        <v>5</v>
      </c>
      <c r="O390" s="153" t="str">
        <f>СЗИ!Z104</f>
        <v xml:space="preserve"> - Реализовать процесс непрерывного обновления сигнатур WAF.</v>
      </c>
      <c r="P390" s="155" t="s">
        <v>97</v>
      </c>
      <c r="Q390" s="156" t="s">
        <v>304</v>
      </c>
      <c r="R390" s="153"/>
      <c r="S390" s="157"/>
      <c r="T390" s="151" t="s">
        <v>99</v>
      </c>
      <c r="U390" s="158">
        <v>0</v>
      </c>
      <c r="V390" s="158">
        <v>0</v>
      </c>
      <c r="W390" s="158">
        <v>0</v>
      </c>
      <c r="X390" s="158">
        <f t="shared" si="54"/>
        <v>0</v>
      </c>
      <c r="Y390" s="159"/>
      <c r="Z390" s="160"/>
      <c r="AA390" s="160"/>
      <c r="AB390" s="160"/>
      <c r="AC390" s="160"/>
      <c r="AD390" s="160"/>
      <c r="AE390" s="160"/>
    </row>
    <row r="391" spans="1:31" ht="70.2">
      <c r="A391" s="151" t="s">
        <v>44</v>
      </c>
      <c r="B391" s="152" t="s">
        <v>236</v>
      </c>
      <c r="C391" s="153" t="str">
        <f>СЗИ!B47</f>
        <v>Процент покрытия инфраструктуры средствами антивирусного ПО</v>
      </c>
      <c r="D391" s="153" t="str">
        <f>СЗИ!C47</f>
        <v>СЗИ.ВПО.2</v>
      </c>
      <c r="E391" s="153">
        <f>СЗИ!D47</f>
        <v>4.75</v>
      </c>
      <c r="F391" s="153">
        <f>СЗИ!E47</f>
        <v>4.5</v>
      </c>
      <c r="G391" s="153">
        <f>СЗИ!F47</f>
        <v>3.75</v>
      </c>
      <c r="H391" s="153">
        <f>СЗИ!Y47</f>
        <v>301.02</v>
      </c>
      <c r="I391" s="154" t="str">
        <f t="shared" si="52"/>
        <v>КБ3</v>
      </c>
      <c r="J391" s="154">
        <f>СЗИ!K47</f>
        <v>4.75</v>
      </c>
      <c r="K391" s="163">
        <f>СЗИ!I47</f>
        <v>0</v>
      </c>
      <c r="L391" s="153">
        <f>СЗИ!L47</f>
        <v>0</v>
      </c>
      <c r="M391" s="153">
        <f t="shared" si="55"/>
        <v>0</v>
      </c>
      <c r="N391" s="153">
        <f t="shared" si="53"/>
        <v>4.75</v>
      </c>
      <c r="O391" s="153" t="str">
        <f>СЗИ!Z47</f>
        <v>- Обеспечить установку средств АВЗ не менее чем на 95% хостов инфраструктуры Общества</v>
      </c>
      <c r="P391" s="155" t="s">
        <v>97</v>
      </c>
      <c r="Q391" s="156" t="s">
        <v>238</v>
      </c>
      <c r="R391" s="153"/>
      <c r="S391" s="157"/>
      <c r="T391" s="151" t="s">
        <v>99</v>
      </c>
      <c r="U391" s="158">
        <v>0</v>
      </c>
      <c r="V391" s="158">
        <v>0</v>
      </c>
      <c r="W391" s="158">
        <v>0</v>
      </c>
      <c r="X391" s="158">
        <f t="shared" si="54"/>
        <v>0</v>
      </c>
      <c r="Y391" s="159"/>
      <c r="Z391" s="160"/>
      <c r="AA391" s="160"/>
      <c r="AB391" s="160"/>
      <c r="AC391" s="160"/>
      <c r="AD391" s="160"/>
      <c r="AE391" s="160"/>
    </row>
    <row r="392" spans="1:31" ht="351">
      <c r="A392" s="151" t="s">
        <v>44</v>
      </c>
      <c r="B392" s="152" t="s">
        <v>236</v>
      </c>
      <c r="C392" s="153" t="str">
        <f>СЗИ!B51</f>
        <v>Процесс контроля работоспособности САВЗ</v>
      </c>
      <c r="D392" s="153" t="str">
        <f>СЗИ!C51</f>
        <v>СЗИ.ВПО.6</v>
      </c>
      <c r="E392" s="153">
        <f>СЗИ!D51</f>
        <v>4</v>
      </c>
      <c r="F392" s="153">
        <f>СЗИ!E51</f>
        <v>3</v>
      </c>
      <c r="G392" s="153">
        <f>СЗИ!F51</f>
        <v>2</v>
      </c>
      <c r="H392" s="153">
        <f>СЗИ!Y51</f>
        <v>301.05999999999995</v>
      </c>
      <c r="I392" s="154" t="str">
        <f t="shared" si="52"/>
        <v>КБ3</v>
      </c>
      <c r="J392" s="154">
        <f>СЗИ!K51</f>
        <v>4</v>
      </c>
      <c r="K392" s="153">
        <f>СЗИ!I51</f>
        <v>0</v>
      </c>
      <c r="L392" s="153">
        <f>СЗИ!L51</f>
        <v>0</v>
      </c>
      <c r="M392" s="153">
        <f t="shared" si="55"/>
        <v>0</v>
      </c>
      <c r="N392" s="153">
        <f t="shared" si="53"/>
        <v>4</v>
      </c>
      <c r="O392" s="153" t="str">
        <f>СЗИ!Z51</f>
        <v>- Разработать систему метрик для процесса контроля рабоспособности средств АВЗ
_x000D_- Создать средство визуального мониторинга параметров процесса контроля работоспособности средств АВЗ 
_x000D_- Реализовать мониторинг параметров процесса контроля работоспособности средств АВЗ
_x000D_- Реализовать реагирование на факты отклонения параметров процесса контроля работоспособности средств АВЗ от определенных показателей</v>
      </c>
      <c r="P392" s="155" t="s">
        <v>97</v>
      </c>
      <c r="Q392" s="156" t="s">
        <v>285</v>
      </c>
      <c r="R392" s="153"/>
      <c r="S392" s="157"/>
      <c r="T392" s="151" t="s">
        <v>99</v>
      </c>
      <c r="U392" s="158">
        <v>0</v>
      </c>
      <c r="V392" s="158">
        <v>0</v>
      </c>
      <c r="W392" s="158">
        <v>0</v>
      </c>
      <c r="X392" s="158">
        <f t="shared" si="54"/>
        <v>0</v>
      </c>
      <c r="Y392" s="159"/>
      <c r="Z392" s="160"/>
      <c r="AA392" s="160"/>
      <c r="AB392" s="160"/>
      <c r="AC392" s="160"/>
      <c r="AD392" s="160"/>
      <c r="AE392" s="160"/>
    </row>
    <row r="393" spans="1:31" ht="351">
      <c r="A393" s="151" t="s">
        <v>44</v>
      </c>
      <c r="B393" s="152" t="s">
        <v>236</v>
      </c>
      <c r="C393" s="153" t="str">
        <f>СЗИ!B52</f>
        <v>Процесс обновления антивирусных средств</v>
      </c>
      <c r="D393" s="153" t="str">
        <f>СЗИ!C52</f>
        <v>СЗИ.ВПО.7</v>
      </c>
      <c r="E393" s="153">
        <f>СЗИ!D52</f>
        <v>4</v>
      </c>
      <c r="F393" s="153">
        <f>СЗИ!E52</f>
        <v>3</v>
      </c>
      <c r="G393" s="153">
        <f>СЗИ!F52</f>
        <v>2</v>
      </c>
      <c r="H393" s="153">
        <f>СЗИ!Y52</f>
        <v>301.06999999999994</v>
      </c>
      <c r="I393" s="154" t="str">
        <f t="shared" si="52"/>
        <v>КБ3</v>
      </c>
      <c r="J393" s="154">
        <f>СЗИ!K52</f>
        <v>4</v>
      </c>
      <c r="K393" s="153">
        <f>СЗИ!I52</f>
        <v>0</v>
      </c>
      <c r="L393" s="153">
        <f>СЗИ!L52</f>
        <v>0</v>
      </c>
      <c r="M393" s="153">
        <f t="shared" si="55"/>
        <v>0</v>
      </c>
      <c r="N393" s="153">
        <f t="shared" si="53"/>
        <v>4</v>
      </c>
      <c r="O393" s="153" t="str">
        <f>СЗИ!Z52</f>
        <v>- Разработать систему метрик для процесса обновления средств АВЗ
_x000D_- Создать средство визуального мониторинга параметров процесса обновления средств АВЗ 
_x000D_- Реализовать мониторинг параметров процесса обновления средств АВЗ
_x000D_- Реализовать реагирование на факты отклонения параметров процесса обновления средств АВЗ от определенных показателей</v>
      </c>
      <c r="P393" s="155" t="s">
        <v>97</v>
      </c>
      <c r="Q393" s="156" t="s">
        <v>285</v>
      </c>
      <c r="R393" s="153"/>
      <c r="S393" s="157"/>
      <c r="T393" s="151" t="s">
        <v>99</v>
      </c>
      <c r="U393" s="158">
        <v>0</v>
      </c>
      <c r="V393" s="158">
        <v>0</v>
      </c>
      <c r="W393" s="158">
        <v>0</v>
      </c>
      <c r="X393" s="158">
        <f t="shared" si="54"/>
        <v>0</v>
      </c>
      <c r="Y393" s="159"/>
      <c r="Z393" s="160"/>
      <c r="AA393" s="160"/>
      <c r="AB393" s="160"/>
      <c r="AC393" s="160"/>
      <c r="AD393" s="160"/>
      <c r="AE393" s="160"/>
    </row>
    <row r="394" spans="1:31" ht="374.4">
      <c r="A394" s="151" t="s">
        <v>44</v>
      </c>
      <c r="B394" s="152" t="s">
        <v>236</v>
      </c>
      <c r="C394" s="153" t="str">
        <f>СЗИ!B53</f>
        <v>Процесс реагирования на события САВЗ</v>
      </c>
      <c r="D394" s="153" t="str">
        <f>СЗИ!C53</f>
        <v>СЗИ.ВПО.8</v>
      </c>
      <c r="E394" s="153">
        <f>СЗИ!D53</f>
        <v>4</v>
      </c>
      <c r="F394" s="153">
        <f>СЗИ!E53</f>
        <v>3</v>
      </c>
      <c r="G394" s="153">
        <f>СЗИ!F53</f>
        <v>2</v>
      </c>
      <c r="H394" s="153">
        <f>СЗИ!Y53</f>
        <v>301.07999999999993</v>
      </c>
      <c r="I394" s="154" t="str">
        <f t="shared" si="52"/>
        <v>КБ3</v>
      </c>
      <c r="J394" s="154">
        <f>СЗИ!K53</f>
        <v>4</v>
      </c>
      <c r="K394" s="153">
        <f>СЗИ!I53</f>
        <v>0</v>
      </c>
      <c r="L394" s="153">
        <f>СЗИ!L53</f>
        <v>0</v>
      </c>
      <c r="M394" s="153">
        <f t="shared" si="55"/>
        <v>0</v>
      </c>
      <c r="N394" s="153">
        <f t="shared" si="53"/>
        <v>4</v>
      </c>
      <c r="O394" s="153" t="str">
        <f>СЗИ!Z53</f>
        <v>- Разработать систему метрик для процесса реагирования на события  средств АВЗ
_x000D_- Создать средство визуального мониторинга параметров процесса реагирования на события  средств АВЗ 
_x000D_- Реализовать мониторинг параметров процесса реагирования на события  средств АВЗ
_x000D_- Реализовать реагирование на факты отклонения параметров процесса реагирования на события средств АВЗ от определенных показателей</v>
      </c>
      <c r="P394" s="155" t="s">
        <v>97</v>
      </c>
      <c r="Q394" s="156" t="s">
        <v>285</v>
      </c>
      <c r="R394" s="153"/>
      <c r="S394" s="157"/>
      <c r="T394" s="151" t="s">
        <v>99</v>
      </c>
      <c r="U394" s="158">
        <v>0</v>
      </c>
      <c r="V394" s="158">
        <v>0</v>
      </c>
      <c r="W394" s="158">
        <v>0</v>
      </c>
      <c r="X394" s="158">
        <f t="shared" si="54"/>
        <v>0</v>
      </c>
      <c r="Y394" s="159"/>
      <c r="Z394" s="160"/>
      <c r="AA394" s="160"/>
      <c r="AB394" s="160"/>
      <c r="AC394" s="160"/>
      <c r="AD394" s="160"/>
      <c r="AE394" s="160"/>
    </row>
    <row r="395" spans="1:31" ht="70.2">
      <c r="A395" s="151" t="s">
        <v>44</v>
      </c>
      <c r="B395" s="152" t="s">
        <v>252</v>
      </c>
      <c r="C395" s="153" t="str">
        <f>СЗИ!B87</f>
        <v>Процент охваченных регулярным сканированием активов</v>
      </c>
      <c r="D395" s="153" t="str">
        <f>СЗИ!C87</f>
        <v>СЗИ.САЗ.2</v>
      </c>
      <c r="E395" s="153">
        <f>СЗИ!D87</f>
        <v>5</v>
      </c>
      <c r="F395" s="153">
        <f>СЗИ!E87</f>
        <v>3.2</v>
      </c>
      <c r="G395" s="153">
        <f>СЗИ!F87</f>
        <v>0</v>
      </c>
      <c r="H395" s="153">
        <f>СЗИ!Y87</f>
        <v>310.02</v>
      </c>
      <c r="I395" s="154" t="str">
        <f t="shared" si="52"/>
        <v>КБ3</v>
      </c>
      <c r="J395" s="154">
        <f>СЗИ!K87</f>
        <v>5</v>
      </c>
      <c r="K395" s="163">
        <f>СЗИ!I87</f>
        <v>0</v>
      </c>
      <c r="L395" s="153">
        <f>СЗИ!L87</f>
        <v>0</v>
      </c>
      <c r="M395" s="153">
        <f t="shared" si="55"/>
        <v>0</v>
      </c>
      <c r="N395" s="153">
        <f t="shared" si="53"/>
        <v>5</v>
      </c>
      <c r="O395" s="153" t="str">
        <f>СЗИ!Z87</f>
        <v xml:space="preserve"> - Реализовать процесс регулярного сканирования 100% активов.</v>
      </c>
      <c r="P395" s="155" t="s">
        <v>97</v>
      </c>
      <c r="Q395" s="156" t="s">
        <v>254</v>
      </c>
      <c r="R395" s="153"/>
      <c r="S395" s="157"/>
      <c r="T395" s="151" t="s">
        <v>99</v>
      </c>
      <c r="U395" s="158">
        <v>0</v>
      </c>
      <c r="V395" s="158">
        <v>0</v>
      </c>
      <c r="W395" s="158">
        <v>0</v>
      </c>
      <c r="X395" s="158">
        <f t="shared" si="54"/>
        <v>0</v>
      </c>
      <c r="Y395" s="159"/>
      <c r="Z395" s="160"/>
      <c r="AA395" s="160"/>
      <c r="AB395" s="160"/>
      <c r="AC395" s="160"/>
      <c r="AD395" s="160"/>
      <c r="AE395" s="160"/>
    </row>
    <row r="396" spans="1:31" ht="409.6">
      <c r="A396" s="151" t="s">
        <v>44</v>
      </c>
      <c r="B396" s="152" t="s">
        <v>252</v>
      </c>
      <c r="C396" s="153" t="str">
        <f>СЗИ!B88</f>
        <v>Внедрен процесс управления уязвимостями</v>
      </c>
      <c r="D396" s="153" t="str">
        <f>СЗИ!C88</f>
        <v>СЗИ.САЗ.3</v>
      </c>
      <c r="E396" s="153">
        <f>СЗИ!D88</f>
        <v>4</v>
      </c>
      <c r="F396" s="153">
        <f>СЗИ!E88</f>
        <v>3</v>
      </c>
      <c r="G396" s="153">
        <f>СЗИ!F88</f>
        <v>0</v>
      </c>
      <c r="H396" s="153">
        <f>СЗИ!Y88</f>
        <v>310.02999999999997</v>
      </c>
      <c r="I396" s="154" t="str">
        <f t="shared" si="52"/>
        <v>КБ3</v>
      </c>
      <c r="J396" s="154">
        <f>СЗИ!K88</f>
        <v>4</v>
      </c>
      <c r="K396" s="153">
        <f>СЗИ!I88</f>
        <v>0</v>
      </c>
      <c r="L396" s="153">
        <f>СЗИ!L88</f>
        <v>0</v>
      </c>
      <c r="M396" s="153">
        <f t="shared" si="55"/>
        <v>0</v>
      </c>
      <c r="N396" s="153">
        <f t="shared" si="53"/>
        <v>4</v>
      </c>
      <c r="O396" s="153" t="str">
        <f>СЗИ!Z88</f>
        <v xml:space="preserve"> - Автоматизировать процесс управления уязвимостями. Обеспечить устранение уязвимостей критичного уровня в срок не более 24 часов, высокого уровня в срок не более 72 часов;
 - Разработать систему метрик для процесса управления уязвимостями;
 - Создать средство визуального мониторинга параметров процесса управления уязвимостями;
 - Реализовать мониторинг параметров процесса управления уязвимостями;
 - Реализовать реагирование на факты отклонения параметров процесса управления уязвимостями от определенных показателей.</v>
      </c>
      <c r="P396" s="155" t="s">
        <v>97</v>
      </c>
      <c r="Q396" s="156" t="s">
        <v>291</v>
      </c>
      <c r="R396" s="153"/>
      <c r="S396" s="157"/>
      <c r="T396" s="151" t="s">
        <v>99</v>
      </c>
      <c r="U396" s="158">
        <v>0</v>
      </c>
      <c r="V396" s="158">
        <v>0</v>
      </c>
      <c r="W396" s="158">
        <v>0</v>
      </c>
      <c r="X396" s="158">
        <f t="shared" si="54"/>
        <v>0</v>
      </c>
      <c r="Y396" s="159"/>
      <c r="Z396" s="160"/>
      <c r="AA396" s="160"/>
      <c r="AB396" s="160"/>
      <c r="AC396" s="160"/>
      <c r="AD396" s="160"/>
      <c r="AE396" s="160"/>
    </row>
    <row r="397" spans="1:31" ht="93.6" hidden="1">
      <c r="A397" s="151" t="s">
        <v>156</v>
      </c>
      <c r="B397" s="152" t="s">
        <v>157</v>
      </c>
      <c r="C397" s="153" t="str">
        <f>'Управление ИБ'!B66</f>
        <v>Статус достижения целей ИБ регулярно доводится до руководства Общества</v>
      </c>
      <c r="D397" s="153" t="str">
        <f>'Управление ИБ'!C66</f>
        <v>СУИБ.УР.6</v>
      </c>
      <c r="E397" s="153">
        <f>'Управление ИБ'!D66</f>
        <v>5</v>
      </c>
      <c r="F397" s="153">
        <f>'Управление ИБ'!E66</f>
        <v>3.2</v>
      </c>
      <c r="G397" s="153">
        <f>'Управление ИБ'!F66</f>
        <v>0</v>
      </c>
      <c r="H397" s="153">
        <f>'Управление ИБ'!Y66</f>
        <v>314.05999999999995</v>
      </c>
      <c r="I397" s="154" t="str">
        <f t="shared" si="52"/>
        <v>КБ3</v>
      </c>
      <c r="J397" s="154">
        <f>'Управление ИБ'!K66</f>
        <v>5</v>
      </c>
      <c r="K397" s="153">
        <f>'Управление ИБ'!I66</f>
        <v>0</v>
      </c>
      <c r="L397" s="153">
        <f>'Управление ИБ'!L66</f>
        <v>0</v>
      </c>
      <c r="M397" s="153">
        <f t="shared" si="55"/>
        <v>0</v>
      </c>
      <c r="N397" s="153">
        <f t="shared" si="53"/>
        <v>5</v>
      </c>
      <c r="O397" s="153" t="str">
        <f>'Управление ИБ'!Z66</f>
        <v>Организовать процесс регулярной отчетности перед руководством по достижению целей ИБ</v>
      </c>
      <c r="P397" s="155" t="s">
        <v>97</v>
      </c>
      <c r="Q397" s="156" t="s">
        <v>204</v>
      </c>
      <c r="R397" s="153"/>
      <c r="S397" s="157"/>
      <c r="T397" s="151" t="s">
        <v>99</v>
      </c>
      <c r="U397" s="158">
        <v>0</v>
      </c>
      <c r="V397" s="158">
        <v>0</v>
      </c>
      <c r="W397" s="158">
        <v>0</v>
      </c>
      <c r="X397" s="158">
        <f t="shared" si="54"/>
        <v>0</v>
      </c>
      <c r="Y397" s="159"/>
      <c r="Z397" s="160"/>
      <c r="AA397" s="160"/>
      <c r="AB397" s="160"/>
      <c r="AC397" s="160"/>
      <c r="AD397" s="160"/>
      <c r="AE397" s="160"/>
    </row>
    <row r="398" spans="1:31" ht="117" hidden="1">
      <c r="A398" s="151" t="s">
        <v>156</v>
      </c>
      <c r="B398" s="152" t="s">
        <v>157</v>
      </c>
      <c r="C398" s="153" t="str">
        <f>'Управление ИБ'!B69</f>
        <v>Требования по ИБ к информационным активам (ИА) предьявляются на стадиях принятия решения о создании/приобретении ИА</v>
      </c>
      <c r="D398" s="153" t="str">
        <f>'Управление ИБ'!C69</f>
        <v>СУИБ.УР.9</v>
      </c>
      <c r="E398" s="153">
        <f>'Управление ИБ'!D69</f>
        <v>5</v>
      </c>
      <c r="F398" s="153">
        <f>'Управление ИБ'!E69</f>
        <v>3.2</v>
      </c>
      <c r="G398" s="153">
        <f>'Управление ИБ'!F69</f>
        <v>0</v>
      </c>
      <c r="H398" s="153">
        <f>'Управление ИБ'!Y69</f>
        <v>314.08999999999992</v>
      </c>
      <c r="I398" s="154" t="str">
        <f t="shared" si="52"/>
        <v>КБ3</v>
      </c>
      <c r="J398" s="154">
        <f>'Управление ИБ'!K69</f>
        <v>5</v>
      </c>
      <c r="K398" s="153">
        <f>'Управление ИБ'!I69</f>
        <v>0</v>
      </c>
      <c r="L398" s="153">
        <f>'Управление ИБ'!L69</f>
        <v>0</v>
      </c>
      <c r="M398" s="153">
        <f t="shared" si="55"/>
        <v>0</v>
      </c>
      <c r="N398" s="153">
        <f t="shared" si="53"/>
        <v>5</v>
      </c>
      <c r="O398" s="153" t="str">
        <f>'Управление ИБ'!Z69</f>
        <v>- Обеспечить формирование, коректировку, согласование, контроль исполнения требований ИБ на каждом этапе жизненного цикла ИА</v>
      </c>
      <c r="P398" s="155" t="s">
        <v>97</v>
      </c>
      <c r="Q398" s="156" t="s">
        <v>1191</v>
      </c>
      <c r="R398" s="153"/>
      <c r="S398" s="157"/>
      <c r="T398" s="151" t="s">
        <v>99</v>
      </c>
      <c r="U398" s="158">
        <v>0</v>
      </c>
      <c r="V398" s="158">
        <v>0</v>
      </c>
      <c r="W398" s="158">
        <v>0</v>
      </c>
      <c r="X398" s="158">
        <f t="shared" si="54"/>
        <v>0</v>
      </c>
      <c r="Y398" s="159"/>
      <c r="Z398" s="160"/>
      <c r="AA398" s="160"/>
      <c r="AB398" s="160"/>
      <c r="AC398" s="160"/>
      <c r="AD398" s="160"/>
      <c r="AE398" s="160"/>
    </row>
    <row r="399" spans="1:31" ht="234" hidden="1">
      <c r="A399" s="151" t="s">
        <v>156</v>
      </c>
      <c r="B399" s="152" t="s">
        <v>205</v>
      </c>
      <c r="C399" s="153" t="str">
        <f>'Управление ИБ'!B153</f>
        <v>Проводится регулярное профессиональное обучение и повышение квалификации работников ИБ</v>
      </c>
      <c r="D399" s="153" t="str">
        <f>'Управление ИБ'!C153</f>
        <v>УИБ.AW.1</v>
      </c>
      <c r="E399" s="153">
        <f>'Управление ИБ'!D153</f>
        <v>5</v>
      </c>
      <c r="F399" s="153">
        <f>'Управление ИБ'!E153</f>
        <v>3.2</v>
      </c>
      <c r="G399" s="153">
        <f>'Управление ИБ'!F153</f>
        <v>1.6</v>
      </c>
      <c r="H399" s="170">
        <f>'Нормативное соответствие'!Y50</f>
        <v>326.01</v>
      </c>
      <c r="I399" s="154" t="str">
        <f t="shared" si="52"/>
        <v>КБ3</v>
      </c>
      <c r="J399" s="154">
        <f>'Управление ИБ'!K153</f>
        <v>5</v>
      </c>
      <c r="K399" s="153">
        <f>'Управление ИБ'!I153</f>
        <v>0</v>
      </c>
      <c r="L399" s="153">
        <f>'Управление ИБ'!L153</f>
        <v>0</v>
      </c>
      <c r="M399" s="153">
        <f t="shared" si="55"/>
        <v>0</v>
      </c>
      <c r="N399" s="153">
        <f t="shared" si="53"/>
        <v>5</v>
      </c>
      <c r="O399" s="153" t="str">
        <f>'Управление ИБ'!Z153</f>
        <v xml:space="preserve"> - Проводить плановое профессиональное обучение и повышение квалификации работников ИБ на основе плана, сформированного в предыдущем году по заявкам от работников с учетом потребностей подразделений в зависимости от выполняемых подразделением задач</v>
      </c>
      <c r="P399" s="155" t="s">
        <v>97</v>
      </c>
      <c r="Q399" s="156" t="s">
        <v>1193</v>
      </c>
      <c r="R399" s="153"/>
      <c r="S399" s="157"/>
      <c r="T399" s="151" t="s">
        <v>99</v>
      </c>
      <c r="U399" s="158">
        <v>0</v>
      </c>
      <c r="V399" s="158">
        <v>0</v>
      </c>
      <c r="W399" s="158">
        <v>0</v>
      </c>
      <c r="X399" s="158">
        <f t="shared" si="54"/>
        <v>0</v>
      </c>
      <c r="Y399" s="159"/>
      <c r="Z399" s="160"/>
      <c r="AA399" s="160"/>
      <c r="AB399" s="160"/>
      <c r="AC399" s="160"/>
      <c r="AD399" s="160"/>
      <c r="AE399" s="160"/>
    </row>
    <row r="400" spans="1:31" ht="117" hidden="1">
      <c r="A400" s="151" t="s">
        <v>156</v>
      </c>
      <c r="B400" s="152" t="s">
        <v>205</v>
      </c>
      <c r="C400" s="153" t="str">
        <f>'Управление ИБ'!B162</f>
        <v>Осуществляется обучение привелигированных пользователей приемам безопасной работы</v>
      </c>
      <c r="D400" s="153" t="str">
        <f>'Управление ИБ'!C162</f>
        <v>УИБ.AW.10</v>
      </c>
      <c r="E400" s="153">
        <f>'Управление ИБ'!D162</f>
        <v>5</v>
      </c>
      <c r="F400" s="153">
        <f>'Управление ИБ'!E162</f>
        <v>3.2</v>
      </c>
      <c r="G400" s="153">
        <f>'Управление ИБ'!F162</f>
        <v>1.6</v>
      </c>
      <c r="H400" s="170">
        <f>'Нормативное соответствие'!Y55</f>
        <v>326.05999999999995</v>
      </c>
      <c r="I400" s="154" t="str">
        <f t="shared" ref="I400:I403" si="56">IF(H400&lt;=200,"КБ1",IF(H400&lt;=300,"КБ2","КБ3"))</f>
        <v>КБ3</v>
      </c>
      <c r="J400" s="154">
        <f>'Управление ИБ'!K162</f>
        <v>5</v>
      </c>
      <c r="K400" s="153">
        <f>'Управление ИБ'!I162</f>
        <v>0</v>
      </c>
      <c r="L400" s="153">
        <f>'Управление ИБ'!L162</f>
        <v>0</v>
      </c>
      <c r="M400" s="153">
        <f t="shared" si="55"/>
        <v>0</v>
      </c>
      <c r="N400" s="153">
        <f t="shared" si="53"/>
        <v>5</v>
      </c>
      <c r="O400" s="153" t="str">
        <f>'Управление ИБ'!Z162</f>
        <v xml:space="preserve"> - Осуществлять регулярный мониторинг и отслеживание динамики обучения. Выработать показатели эффективности обучения</v>
      </c>
      <c r="P400" s="155" t="s">
        <v>97</v>
      </c>
      <c r="Q400" s="156" t="s">
        <v>204</v>
      </c>
      <c r="R400" s="153"/>
      <c r="S400" s="157"/>
      <c r="T400" s="151" t="s">
        <v>99</v>
      </c>
      <c r="U400" s="158">
        <v>0</v>
      </c>
      <c r="V400" s="158">
        <v>0</v>
      </c>
      <c r="W400" s="158">
        <v>0</v>
      </c>
      <c r="X400" s="158">
        <f t="shared" si="54"/>
        <v>0</v>
      </c>
      <c r="Y400" s="159"/>
      <c r="Z400" s="160"/>
      <c r="AA400" s="160"/>
      <c r="AB400" s="160"/>
      <c r="AC400" s="160"/>
      <c r="AD400" s="160"/>
      <c r="AE400" s="160"/>
    </row>
    <row r="401" spans="1:31" ht="327.60000000000002" hidden="1">
      <c r="A401" s="151" t="s">
        <v>156</v>
      </c>
      <c r="B401" s="152" t="s">
        <v>205</v>
      </c>
      <c r="C401" s="153" t="str">
        <f>'Управление ИБ'!B154</f>
        <v>Проводится регулярное повышение осведомленности работников Общества</v>
      </c>
      <c r="D401" s="153" t="str">
        <f>'Управление ИБ'!C154</f>
        <v>УИБ.AW.2</v>
      </c>
      <c r="E401" s="153">
        <f>'Управление ИБ'!D154</f>
        <v>5</v>
      </c>
      <c r="F401" s="153">
        <f>'Управление ИБ'!E154</f>
        <v>3.2</v>
      </c>
      <c r="G401" s="153">
        <f>'Управление ИБ'!F154</f>
        <v>1.6</v>
      </c>
      <c r="H401" s="170">
        <f>'Нормативное соответствие'!Y51</f>
        <v>326.02</v>
      </c>
      <c r="I401" s="154" t="str">
        <f t="shared" si="56"/>
        <v>КБ3</v>
      </c>
      <c r="J401" s="154">
        <f>'Управление ИБ'!K154</f>
        <v>5</v>
      </c>
      <c r="K401" s="153">
        <f>'Управление ИБ'!I154</f>
        <v>0</v>
      </c>
      <c r="L401" s="153">
        <f>'Управление ИБ'!L154</f>
        <v>0</v>
      </c>
      <c r="M401" s="153">
        <f t="shared" si="55"/>
        <v>0</v>
      </c>
      <c r="N401" s="153">
        <f t="shared" si="53"/>
        <v>5</v>
      </c>
      <c r="O401" s="153" t="str">
        <f>'Управление ИБ'!Z154</f>
        <v>-- Проводить регулярное повышение осведемленности по вопросам ИБ (рассылки в почте, тг, внутренние порталы и т.д); 
Проводить на регулярной основе провокационные фишинговые рассылки для всех сотрудников Общества; 
- Отрабатывать  ошибки,  корректировать сценарии рассылок в зависимости от полученных резульатов, отслежвать динамику</v>
      </c>
      <c r="P401" s="155" t="s">
        <v>97</v>
      </c>
      <c r="Q401" s="156" t="s">
        <v>1197</v>
      </c>
      <c r="R401" s="153"/>
      <c r="S401" s="157"/>
      <c r="T401" s="151" t="s">
        <v>99</v>
      </c>
      <c r="U401" s="158">
        <v>0</v>
      </c>
      <c r="V401" s="158">
        <v>0</v>
      </c>
      <c r="W401" s="158">
        <v>0</v>
      </c>
      <c r="X401" s="158">
        <f t="shared" si="54"/>
        <v>0</v>
      </c>
      <c r="Y401" s="159"/>
      <c r="Z401" s="160"/>
      <c r="AA401" s="160"/>
      <c r="AB401" s="160"/>
      <c r="AC401" s="160"/>
      <c r="AD401" s="160"/>
      <c r="AE401" s="160"/>
    </row>
    <row r="402" spans="1:31" ht="117" hidden="1">
      <c r="A402" s="151" t="s">
        <v>156</v>
      </c>
      <c r="B402" s="152" t="s">
        <v>205</v>
      </c>
      <c r="C402" s="153" t="str">
        <f>'Управление ИБ'!B155</f>
        <v xml:space="preserve">При приеме на работу проводится инструктаж по информационной безопасности  и повторяется раз в год или чаще. </v>
      </c>
      <c r="D402" s="153" t="str">
        <f>'Управление ИБ'!C155</f>
        <v>УИБ.AW.3</v>
      </c>
      <c r="E402" s="153">
        <f>'Управление ИБ'!D155</f>
        <v>5</v>
      </c>
      <c r="F402" s="153">
        <f>'Управление ИБ'!E155</f>
        <v>3.2</v>
      </c>
      <c r="G402" s="153">
        <f>'Управление ИБ'!F155</f>
        <v>1.6</v>
      </c>
      <c r="H402" s="170">
        <f>'Управление ИБ'!Y155</f>
        <v>331.03</v>
      </c>
      <c r="I402" s="154" t="str">
        <f t="shared" si="56"/>
        <v>КБ3</v>
      </c>
      <c r="J402" s="154">
        <f>'Управление ИБ'!K155</f>
        <v>5</v>
      </c>
      <c r="K402" s="153">
        <f>'Управление ИБ'!I155</f>
        <v>0</v>
      </c>
      <c r="L402" s="153">
        <f>'Управление ИБ'!L155</f>
        <v>0</v>
      </c>
      <c r="M402" s="153">
        <f t="shared" si="55"/>
        <v>0</v>
      </c>
      <c r="N402" s="153">
        <f t="shared" si="53"/>
        <v>5</v>
      </c>
      <c r="O402" s="153" t="str">
        <f>'Управление ИБ'!W155</f>
        <v xml:space="preserve"> - Максимально автоматизировать процесс назначения и отслеживания обучения при помощи образовательной платформы</v>
      </c>
      <c r="P402" s="155" t="s">
        <v>97</v>
      </c>
      <c r="Q402" s="156" t="s">
        <v>1199</v>
      </c>
      <c r="R402" s="153"/>
      <c r="S402" s="157"/>
      <c r="T402" s="151" t="s">
        <v>99</v>
      </c>
      <c r="U402" s="158">
        <v>0</v>
      </c>
      <c r="V402" s="158">
        <v>0</v>
      </c>
      <c r="W402" s="158">
        <v>0</v>
      </c>
      <c r="X402" s="158">
        <f t="shared" si="54"/>
        <v>0</v>
      </c>
      <c r="Y402" s="159"/>
      <c r="Z402" s="160"/>
      <c r="AA402" s="160"/>
      <c r="AB402" s="160"/>
      <c r="AC402" s="160"/>
      <c r="AD402" s="160"/>
      <c r="AE402" s="160"/>
    </row>
    <row r="403" spans="1:31" ht="93.6" hidden="1">
      <c r="A403" s="151" t="s">
        <v>156</v>
      </c>
      <c r="B403" s="152" t="s">
        <v>205</v>
      </c>
      <c r="C403" s="153" t="str">
        <f>'Управление ИБ'!B156</f>
        <v>Учебные материалы пересматриваются раз в год или чаще.</v>
      </c>
      <c r="D403" s="153" t="str">
        <f>'Управление ИБ'!C156</f>
        <v>УИБ.AW.4</v>
      </c>
      <c r="E403" s="153">
        <f>'Управление ИБ'!D156</f>
        <v>5</v>
      </c>
      <c r="F403" s="153">
        <f>'Управление ИБ'!E156</f>
        <v>3.2</v>
      </c>
      <c r="G403" s="153">
        <f>'Управление ИБ'!F156</f>
        <v>1.6</v>
      </c>
      <c r="H403" s="170">
        <f>'Управление ИБ'!Y156</f>
        <v>331.03999999999996</v>
      </c>
      <c r="I403" s="154" t="str">
        <f t="shared" si="56"/>
        <v>КБ3</v>
      </c>
      <c r="J403" s="154">
        <f>'Управление ИБ'!K156</f>
        <v>5</v>
      </c>
      <c r="K403" s="153">
        <f>'Управление ИБ'!I156</f>
        <v>0</v>
      </c>
      <c r="L403" s="153">
        <f>'Управление ИБ'!L156</f>
        <v>0</v>
      </c>
      <c r="M403" s="153">
        <f t="shared" si="55"/>
        <v>0</v>
      </c>
      <c r="N403" s="153">
        <f t="shared" si="53"/>
        <v>5</v>
      </c>
      <c r="O403" s="153" t="str">
        <f>'Управление ИБ'!Z156</f>
        <v xml:space="preserve"> - Раз в год пересматривать учебные материалы и при необходимости актуализировать</v>
      </c>
      <c r="P403" s="155" t="s">
        <v>97</v>
      </c>
      <c r="Q403" s="156" t="s">
        <v>204</v>
      </c>
      <c r="R403" s="153"/>
      <c r="S403" s="157"/>
      <c r="T403" s="151" t="s">
        <v>99</v>
      </c>
      <c r="U403" s="158">
        <v>0</v>
      </c>
      <c r="V403" s="158">
        <v>0</v>
      </c>
      <c r="W403" s="158">
        <v>0</v>
      </c>
      <c r="X403" s="158">
        <f t="shared" si="54"/>
        <v>0</v>
      </c>
      <c r="Y403" s="159"/>
      <c r="Z403" s="160"/>
      <c r="AA403" s="160"/>
      <c r="AB403" s="160"/>
      <c r="AC403" s="160"/>
      <c r="AD403" s="160"/>
      <c r="AE403" s="160"/>
    </row>
    <row r="404" spans="1:31" ht="117" hidden="1">
      <c r="A404" s="151" t="s">
        <v>156</v>
      </c>
      <c r="B404" s="152" t="s">
        <v>205</v>
      </c>
      <c r="C404" s="153" t="str">
        <f>'Управление ИБ'!B157</f>
        <v>Осуществляется обучение работников распознавать атаки с использованием социальной инженерии</v>
      </c>
      <c r="D404" s="153" t="str">
        <f>'Управление ИБ'!C157</f>
        <v>УИБ.AW.5</v>
      </c>
      <c r="E404" s="153">
        <f>'Управление ИБ'!D157</f>
        <v>5</v>
      </c>
      <c r="F404" s="153">
        <f>'Управление ИБ'!E157</f>
        <v>3.2</v>
      </c>
      <c r="G404" s="153">
        <f>'Управление ИБ'!F157</f>
        <v>1.6</v>
      </c>
      <c r="H404" s="153">
        <f>'Управление ИБ'!Y157</f>
        <v>331.04999999999995</v>
      </c>
      <c r="I404" s="154" t="str">
        <f>IF(H404&lt;=200, "КБ1", IF(H404&lt;=300, "КБ2", "КБ3"))</f>
        <v>КБ3</v>
      </c>
      <c r="J404" s="154">
        <f>'Управление ИБ'!K157</f>
        <v>5</v>
      </c>
      <c r="K404" s="153">
        <f>'Управление ИБ'!I157</f>
        <v>0</v>
      </c>
      <c r="L404" s="153">
        <f>'Управление ИБ'!L157</f>
        <v>0</v>
      </c>
      <c r="M404" s="153">
        <f t="shared" si="55"/>
        <v>0</v>
      </c>
      <c r="N404" s="153">
        <f>IF(H404&lt;100,    IF(L404&gt;=G404,0,J404-L404),       IF(H404&lt;300,     IF(L404&gt;=F404,0,J404-L404),                  IF(L404&gt;=E404,0,J404-L404)))</f>
        <v>5</v>
      </c>
      <c r="O404" s="153" t="str">
        <f>'Управление ИБ'!Z157</f>
        <v xml:space="preserve"> - Осуществлять регулярный мониторинг и отслеживание динамики обучения. Выработать показатели эффективности обучения</v>
      </c>
      <c r="P404" s="155" t="s">
        <v>97</v>
      </c>
      <c r="Q404" s="156" t="s">
        <v>204</v>
      </c>
      <c r="R404" s="153"/>
      <c r="S404" s="157"/>
      <c r="T404" s="151" t="s">
        <v>99</v>
      </c>
      <c r="U404" s="158">
        <v>0</v>
      </c>
      <c r="V404" s="158">
        <v>0</v>
      </c>
      <c r="W404" s="158">
        <v>0</v>
      </c>
      <c r="X404" s="158">
        <f t="shared" si="54"/>
        <v>0</v>
      </c>
      <c r="Y404" s="159"/>
      <c r="Z404" s="160"/>
      <c r="AA404" s="160"/>
      <c r="AB404" s="160"/>
      <c r="AC404" s="160"/>
      <c r="AD404" s="160"/>
      <c r="AE404" s="160"/>
    </row>
    <row r="405" spans="1:31" ht="163.80000000000001" hidden="1">
      <c r="A405" s="151" t="s">
        <v>156</v>
      </c>
      <c r="B405" s="152" t="s">
        <v>205</v>
      </c>
      <c r="C405" s="153" t="str">
        <f>'Управление ИБ'!B158</f>
        <v>Осуществляется обучение работников по теме многофакторной аутентификации, создании сильных паролей и управлении учетными записями.</v>
      </c>
      <c r="D405" s="153" t="str">
        <f>'Управление ИБ'!C158</f>
        <v>УИБ.AW.6</v>
      </c>
      <c r="E405" s="153">
        <f>'Управление ИБ'!D158</f>
        <v>5</v>
      </c>
      <c r="F405" s="153">
        <f>'Управление ИБ'!E158</f>
        <v>3.2</v>
      </c>
      <c r="G405" s="153">
        <f>'Управление ИБ'!F158</f>
        <v>1.6</v>
      </c>
      <c r="H405" s="170">
        <f>'Нормативное соответствие'!Y52</f>
        <v>326.02999999999997</v>
      </c>
      <c r="I405" s="154" t="str">
        <f t="shared" ref="I405:I436" si="57">IF(H405&lt;=200,"КБ1",IF(H405&lt;=300,"КБ2","КБ3"))</f>
        <v>КБ3</v>
      </c>
      <c r="J405" s="154">
        <f>'Управление ИБ'!K158</f>
        <v>5</v>
      </c>
      <c r="K405" s="153">
        <f>'Управление ИБ'!I158</f>
        <v>0</v>
      </c>
      <c r="L405" s="153">
        <f>'Управление ИБ'!L158</f>
        <v>0</v>
      </c>
      <c r="M405" s="153">
        <f t="shared" si="55"/>
        <v>0</v>
      </c>
      <c r="N405" s="153">
        <f t="shared" ref="N405:N436" si="58">IF(H405&lt;100,IF(L405&gt;=G405,0,J405-L405),IF(H405&lt;300,IF(L405&gt;=F405,0,J405-L405),IF(L405&gt;=E405,0,J405-L405)))</f>
        <v>5</v>
      </c>
      <c r="O405" s="153" t="str">
        <f>'Управление ИБ'!Z158</f>
        <v xml:space="preserve"> - Осуществлять регулярный мониторинг и отслеживание динамики обучения. Выработать показатели эффективности обучения</v>
      </c>
      <c r="P405" s="155" t="s">
        <v>97</v>
      </c>
      <c r="Q405" s="156" t="s">
        <v>204</v>
      </c>
      <c r="R405" s="153"/>
      <c r="S405" s="157"/>
      <c r="T405" s="151" t="s">
        <v>99</v>
      </c>
      <c r="U405" s="158">
        <v>0</v>
      </c>
      <c r="V405" s="158">
        <v>0</v>
      </c>
      <c r="W405" s="158">
        <v>0</v>
      </c>
      <c r="X405" s="158">
        <f t="shared" si="54"/>
        <v>0</v>
      </c>
      <c r="Y405" s="159"/>
      <c r="Z405" s="160"/>
      <c r="AA405" s="160"/>
      <c r="AB405" s="160"/>
      <c r="AC405" s="160"/>
      <c r="AD405" s="160"/>
      <c r="AE405" s="160"/>
    </row>
    <row r="406" spans="1:31" ht="187.2" hidden="1">
      <c r="A406" s="151" t="s">
        <v>156</v>
      </c>
      <c r="B406" s="152" t="s">
        <v>205</v>
      </c>
      <c r="C406" s="153" t="str">
        <f>'Управление ИБ'!B159</f>
        <v>Осуществляется обучение работников о необходимости блокировать рабочие станции, стирать информацию с флипчартов и виртуальных досок после совещаний и хранить данные в защищенном месте.</v>
      </c>
      <c r="D406" s="153" t="str">
        <f>'Управление ИБ'!C159</f>
        <v>УИБ.AW.7</v>
      </c>
      <c r="E406" s="153">
        <f>'Управление ИБ'!D159</f>
        <v>5</v>
      </c>
      <c r="F406" s="153">
        <f>'Управление ИБ'!E159</f>
        <v>3.2</v>
      </c>
      <c r="G406" s="153">
        <f>'Управление ИБ'!F159</f>
        <v>1.6</v>
      </c>
      <c r="H406" s="170">
        <f>'Управление ИБ'!Y159</f>
        <v>331.06999999999994</v>
      </c>
      <c r="I406" s="154" t="str">
        <f t="shared" si="57"/>
        <v>КБ3</v>
      </c>
      <c r="J406" s="154">
        <f>'Управление ИБ'!K159</f>
        <v>5</v>
      </c>
      <c r="K406" s="153">
        <f>'Управление ИБ'!I159</f>
        <v>0</v>
      </c>
      <c r="L406" s="153">
        <f>'Управление ИБ'!L159</f>
        <v>0</v>
      </c>
      <c r="M406" s="153">
        <f t="shared" si="55"/>
        <v>0</v>
      </c>
      <c r="N406" s="153">
        <f t="shared" si="58"/>
        <v>5</v>
      </c>
      <c r="O406" s="153" t="str">
        <f>'Управление ИБ'!Z159</f>
        <v xml:space="preserve"> - Осуществлять регулярный мониторинг и отслеживание динамики обучения. Выработать показатели эффективности обучения</v>
      </c>
      <c r="P406" s="155" t="s">
        <v>97</v>
      </c>
      <c r="Q406" s="156" t="s">
        <v>204</v>
      </c>
      <c r="R406" s="153"/>
      <c r="S406" s="157"/>
      <c r="T406" s="151" t="s">
        <v>99</v>
      </c>
      <c r="U406" s="158">
        <v>0</v>
      </c>
      <c r="V406" s="158">
        <v>0</v>
      </c>
      <c r="W406" s="158">
        <v>0</v>
      </c>
      <c r="X406" s="158">
        <f t="shared" si="54"/>
        <v>0</v>
      </c>
      <c r="Y406" s="159"/>
      <c r="Z406" s="160"/>
      <c r="AA406" s="160"/>
      <c r="AB406" s="160"/>
      <c r="AC406" s="160"/>
      <c r="AD406" s="160"/>
      <c r="AE406" s="160"/>
    </row>
    <row r="407" spans="1:31" ht="117" hidden="1">
      <c r="A407" s="151" t="s">
        <v>156</v>
      </c>
      <c r="B407" s="152" t="s">
        <v>205</v>
      </c>
      <c r="C407" s="153" t="str">
        <f>'Управление ИБ'!B161</f>
        <v>Осуществляется обучение работников распознавать инциденты безопасности и сообщать о них</v>
      </c>
      <c r="D407" s="153" t="str">
        <f>'Управление ИБ'!C161</f>
        <v>УИБ.AW.9</v>
      </c>
      <c r="E407" s="153">
        <f>'Управление ИБ'!D161</f>
        <v>5</v>
      </c>
      <c r="F407" s="153">
        <f>'Управление ИБ'!E161</f>
        <v>3.2</v>
      </c>
      <c r="G407" s="153">
        <f>'Управление ИБ'!F161</f>
        <v>1.6</v>
      </c>
      <c r="H407" s="170">
        <f>'Управление ИБ'!Y161</f>
        <v>331.08999999999992</v>
      </c>
      <c r="I407" s="154" t="str">
        <f t="shared" si="57"/>
        <v>КБ3</v>
      </c>
      <c r="J407" s="154">
        <f>'Управление ИБ'!K161</f>
        <v>5</v>
      </c>
      <c r="K407" s="153">
        <f>'Управление ИБ'!I161</f>
        <v>0</v>
      </c>
      <c r="L407" s="153">
        <f>'Управление ИБ'!L161</f>
        <v>0</v>
      </c>
      <c r="M407" s="153">
        <f t="shared" si="55"/>
        <v>0</v>
      </c>
      <c r="N407" s="153">
        <f t="shared" si="58"/>
        <v>5</v>
      </c>
      <c r="O407" s="153" t="str">
        <f>'Управление ИБ'!Z161</f>
        <v xml:space="preserve"> - Осуществлять регулярный мониторинг и отслеживание динамики обучения. Выработать показатели эффективности обучения</v>
      </c>
      <c r="P407" s="155" t="s">
        <v>97</v>
      </c>
      <c r="Q407" s="156" t="s">
        <v>204</v>
      </c>
      <c r="R407" s="153"/>
      <c r="S407" s="157"/>
      <c r="T407" s="151" t="s">
        <v>99</v>
      </c>
      <c r="U407" s="158">
        <v>0</v>
      </c>
      <c r="V407" s="158">
        <v>0</v>
      </c>
      <c r="W407" s="158">
        <v>0</v>
      </c>
      <c r="X407" s="158">
        <f t="shared" si="54"/>
        <v>0</v>
      </c>
      <c r="Y407" s="159"/>
      <c r="Z407" s="160"/>
      <c r="AA407" s="160"/>
      <c r="AB407" s="160"/>
      <c r="AC407" s="160"/>
      <c r="AD407" s="160"/>
      <c r="AE407" s="160"/>
    </row>
    <row r="408" spans="1:31" ht="140.4" hidden="1">
      <c r="A408" s="151" t="s">
        <v>156</v>
      </c>
      <c r="B408" s="152" t="s">
        <v>260</v>
      </c>
      <c r="C408" s="153" t="str">
        <f>СЗИ!B90</f>
        <v>Покрытие инфраструктуры внедренным решением или используемым внешним сервисом по защите от DDoS</v>
      </c>
      <c r="D408" s="153" t="str">
        <f>СЗИ!C90</f>
        <v>УИБ.DDoS.1</v>
      </c>
      <c r="E408" s="153">
        <f>СЗИ!D90</f>
        <v>5</v>
      </c>
      <c r="F408" s="153">
        <f>СЗИ!E90</f>
        <v>3.2</v>
      </c>
      <c r="G408" s="153">
        <f>СЗИ!F90</f>
        <v>0</v>
      </c>
      <c r="H408" s="153">
        <f>СЗИ!Y90</f>
        <v>319.01</v>
      </c>
      <c r="I408" s="154" t="str">
        <f t="shared" si="57"/>
        <v>КБ3</v>
      </c>
      <c r="J408" s="154">
        <f>СЗИ!K90</f>
        <v>5</v>
      </c>
      <c r="K408" s="153">
        <f>СЗИ!I90</f>
        <v>0</v>
      </c>
      <c r="L408" s="153">
        <f>СЗИ!L90</f>
        <v>0</v>
      </c>
      <c r="M408" s="153">
        <f t="shared" si="55"/>
        <v>0</v>
      </c>
      <c r="N408" s="153">
        <f t="shared" si="58"/>
        <v>5</v>
      </c>
      <c r="O408" s="153" t="str">
        <f>СЗИ!Z90</f>
        <v xml:space="preserve"> - Внедрить решение или подключить сервис по защите от DDoS для критичных ИА на сетевом,  транспорном и прикладном (при необходимости) уровнях</v>
      </c>
      <c r="P408" s="155" t="s">
        <v>97</v>
      </c>
      <c r="Q408" s="633" t="s">
        <v>1295</v>
      </c>
      <c r="R408" s="153"/>
      <c r="S408" s="157"/>
      <c r="T408" s="151" t="s">
        <v>99</v>
      </c>
      <c r="U408" s="158">
        <v>0</v>
      </c>
      <c r="V408" s="158">
        <v>0</v>
      </c>
      <c r="W408" s="158">
        <v>0</v>
      </c>
      <c r="X408" s="158">
        <f t="shared" si="54"/>
        <v>0</v>
      </c>
      <c r="Y408" s="159"/>
      <c r="Z408" s="160"/>
      <c r="AA408" s="160"/>
      <c r="AB408" s="160"/>
      <c r="AC408" s="160"/>
      <c r="AD408" s="160"/>
      <c r="AE408" s="160"/>
    </row>
    <row r="409" spans="1:31" ht="117" hidden="1">
      <c r="A409" s="151" t="s">
        <v>156</v>
      </c>
      <c r="B409" s="152" t="s">
        <v>260</v>
      </c>
      <c r="C409" s="153" t="str">
        <f>СЗИ!B92</f>
        <v>Проводится актуализация защищаемых ресурсов и порогов срабатывания защиты от отказа в обслуживании</v>
      </c>
      <c r="D409" s="153" t="str">
        <f>СЗИ!C92</f>
        <v>УИБ.DDoS.2</v>
      </c>
      <c r="E409" s="153">
        <f>СЗИ!D92</f>
        <v>5</v>
      </c>
      <c r="F409" s="153">
        <f>СЗИ!E92</f>
        <v>3.2</v>
      </c>
      <c r="G409" s="153">
        <f>СЗИ!F92</f>
        <v>0</v>
      </c>
      <c r="H409" s="153">
        <f>СЗИ!Y92</f>
        <v>319.02999999999997</v>
      </c>
      <c r="I409" s="154" t="str">
        <f t="shared" si="57"/>
        <v>КБ3</v>
      </c>
      <c r="J409" s="154">
        <f>СЗИ!K92</f>
        <v>5</v>
      </c>
      <c r="K409" s="153">
        <f>СЗИ!I92</f>
        <v>0</v>
      </c>
      <c r="L409" s="153">
        <f>СЗИ!L92</f>
        <v>0</v>
      </c>
      <c r="M409" s="153">
        <f t="shared" si="55"/>
        <v>0</v>
      </c>
      <c r="N409" s="153">
        <f t="shared" si="58"/>
        <v>5</v>
      </c>
      <c r="O409" s="153" t="str">
        <f>СЗИ!Z92</f>
        <v xml:space="preserve"> - Обеспечить актуализацию защищаемых ресурсов и порогов срабатывания защиты от отказа в обслуживании не реже 1 раза в квартал</v>
      </c>
      <c r="P409" s="155" t="s">
        <v>97</v>
      </c>
      <c r="Q409" s="633" t="s">
        <v>1296</v>
      </c>
      <c r="R409" s="153"/>
      <c r="S409" s="157"/>
      <c r="T409" s="151" t="s">
        <v>99</v>
      </c>
      <c r="U409" s="158">
        <v>0</v>
      </c>
      <c r="V409" s="158">
        <v>0</v>
      </c>
      <c r="W409" s="158">
        <v>0</v>
      </c>
      <c r="X409" s="158">
        <f t="shared" si="54"/>
        <v>0</v>
      </c>
      <c r="Y409" s="159"/>
      <c r="Z409" s="160"/>
      <c r="AA409" s="160"/>
      <c r="AB409" s="160"/>
      <c r="AC409" s="160"/>
      <c r="AD409" s="160"/>
      <c r="AE409" s="160"/>
    </row>
    <row r="410" spans="1:31" ht="117" hidden="1">
      <c r="A410" s="151" t="s">
        <v>156</v>
      </c>
      <c r="B410" s="152" t="s">
        <v>232</v>
      </c>
      <c r="C410" s="153" t="str">
        <f>'Управление ИБ'!B186</f>
        <v>Данные на носимых устройствах хранятся в зашифрованном виде</v>
      </c>
      <c r="D410" s="153" t="str">
        <f>'Управление ИБ'!C186</f>
        <v>УИБ.Д.2</v>
      </c>
      <c r="E410" s="153">
        <f>'Управление ИБ'!D186</f>
        <v>5</v>
      </c>
      <c r="F410" s="153">
        <f>'Управление ИБ'!E186</f>
        <v>3.2</v>
      </c>
      <c r="G410" s="153">
        <f>'Управление ИБ'!F186</f>
        <v>1.6</v>
      </c>
      <c r="H410" s="153">
        <f>'Управление ИБ'!Y186</f>
        <v>342.02</v>
      </c>
      <c r="I410" s="154" t="str">
        <f t="shared" si="57"/>
        <v>КБ3</v>
      </c>
      <c r="J410" s="154">
        <f>'Управление ИБ'!K186</f>
        <v>5</v>
      </c>
      <c r="K410" s="153">
        <f>'Управление ИБ'!I186</f>
        <v>0</v>
      </c>
      <c r="L410" s="153">
        <f>'Управление ИБ'!L186</f>
        <v>0</v>
      </c>
      <c r="M410" s="153">
        <f t="shared" si="55"/>
        <v>0</v>
      </c>
      <c r="N410" s="153">
        <f t="shared" si="58"/>
        <v>5</v>
      </c>
      <c r="O410" s="153" t="str">
        <f>'Управление ИБ'!Z186</f>
        <v xml:space="preserve"> - Приобрести и установить средства шифрования данных на носимых устройствах (ноутбуки, планшеты, телефоны): 100% устройств</v>
      </c>
      <c r="P410" s="155" t="s">
        <v>97</v>
      </c>
      <c r="Q410" s="156" t="s">
        <v>1202</v>
      </c>
      <c r="R410" s="153"/>
      <c r="S410" s="157"/>
      <c r="T410" s="151" t="s">
        <v>99</v>
      </c>
      <c r="U410" s="158">
        <v>0</v>
      </c>
      <c r="V410" s="158">
        <v>0</v>
      </c>
      <c r="W410" s="158">
        <v>0</v>
      </c>
      <c r="X410" s="158">
        <f t="shared" si="54"/>
        <v>0</v>
      </c>
      <c r="Y410" s="159"/>
      <c r="Z410" s="160"/>
      <c r="AA410" s="160"/>
      <c r="AB410" s="160"/>
      <c r="AC410" s="160"/>
      <c r="AD410" s="160"/>
      <c r="AE410" s="160"/>
    </row>
    <row r="411" spans="1:31" ht="163.80000000000001" hidden="1">
      <c r="A411" s="151" t="s">
        <v>156</v>
      </c>
      <c r="B411" s="152" t="s">
        <v>232</v>
      </c>
      <c r="C411" s="153" t="str">
        <f>'Управление ИБ'!B188</f>
        <v>Осуществляется контроль использования личных мобильных устройств</v>
      </c>
      <c r="D411" s="153" t="str">
        <f>'Управление ИБ'!C188</f>
        <v>УИБ.Д.4</v>
      </c>
      <c r="E411" s="153">
        <f>'Управление ИБ'!D188</f>
        <v>3.2</v>
      </c>
      <c r="F411" s="153">
        <f>'Управление ИБ'!E188</f>
        <v>1.6</v>
      </c>
      <c r="G411" s="153">
        <f>'Управление ИБ'!F188</f>
        <v>0</v>
      </c>
      <c r="H411" s="153">
        <f>'Управление ИБ'!Y188</f>
        <v>342.03999999999996</v>
      </c>
      <c r="I411" s="154" t="str">
        <f t="shared" si="57"/>
        <v>КБ3</v>
      </c>
      <c r="J411" s="154">
        <f>'Управление ИБ'!K188</f>
        <v>3.2</v>
      </c>
      <c r="K411" s="153">
        <f>'Управление ИБ'!I188</f>
        <v>0</v>
      </c>
      <c r="L411" s="153">
        <f>'Управление ИБ'!L188</f>
        <v>0</v>
      </c>
      <c r="M411" s="153">
        <f t="shared" si="55"/>
        <v>0</v>
      </c>
      <c r="N411" s="153">
        <f t="shared" si="58"/>
        <v>3.2</v>
      </c>
      <c r="O411" s="153" t="str">
        <f>'Управление ИБ'!Z188</f>
        <v xml:space="preserve"> - Контролировать использование личных устройств при работе с критичными ИС и данными. Реализовать ограничения на доступ к критичным ИС с личных устройств.</v>
      </c>
      <c r="P411" s="155" t="s">
        <v>97</v>
      </c>
      <c r="Q411" s="156" t="s">
        <v>1207</v>
      </c>
      <c r="R411" s="153"/>
      <c r="S411" s="157"/>
      <c r="T411" s="151" t="s">
        <v>99</v>
      </c>
      <c r="U411" s="158">
        <v>0</v>
      </c>
      <c r="V411" s="158">
        <v>0</v>
      </c>
      <c r="W411" s="158">
        <v>0</v>
      </c>
      <c r="X411" s="158">
        <f t="shared" si="54"/>
        <v>0</v>
      </c>
      <c r="Y411" s="159"/>
      <c r="Z411" s="160"/>
      <c r="AA411" s="160"/>
      <c r="AB411" s="160"/>
      <c r="AC411" s="160"/>
      <c r="AD411" s="160"/>
      <c r="AE411" s="160"/>
    </row>
    <row r="412" spans="1:31" ht="117" hidden="1">
      <c r="A412" s="151" t="s">
        <v>156</v>
      </c>
      <c r="B412" s="152" t="s">
        <v>167</v>
      </c>
      <c r="C412" s="153" t="str">
        <f>'Управление ИБ'!B179</f>
        <v>Пароли локальных УЗ администраторов на АРМ с ОС Windows хранятся с применением технологии LAPS</v>
      </c>
      <c r="D412" s="153" t="str">
        <f>'Управление ИБ'!C179</f>
        <v>УИБ.ИА.5</v>
      </c>
      <c r="E412" s="153">
        <f>'Управление ИБ'!D179</f>
        <v>5</v>
      </c>
      <c r="F412" s="153">
        <f>'Управление ИБ'!E179</f>
        <v>3.2</v>
      </c>
      <c r="G412" s="153">
        <f>'Управление ИБ'!F179</f>
        <v>0</v>
      </c>
      <c r="H412" s="153">
        <f>'Управление ИБ'!Y179</f>
        <v>317.04999999999995</v>
      </c>
      <c r="I412" s="154" t="str">
        <f t="shared" si="57"/>
        <v>КБ3</v>
      </c>
      <c r="J412" s="154">
        <f>'Управление ИБ'!K179</f>
        <v>5</v>
      </c>
      <c r="K412" s="153">
        <f>'Управление ИБ'!I179</f>
        <v>0</v>
      </c>
      <c r="L412" s="153">
        <f>'Управление ИБ'!L179</f>
        <v>0</v>
      </c>
      <c r="M412" s="153">
        <f t="shared" si="55"/>
        <v>0</v>
      </c>
      <c r="N412" s="153">
        <f t="shared" si="58"/>
        <v>5</v>
      </c>
      <c r="O412" s="153" t="str">
        <f>'Управление ИБ'!Z179</f>
        <v xml:space="preserve"> - Рализовать применение технологии LAPS на 100% АРМ.</v>
      </c>
      <c r="P412" s="155" t="s">
        <v>97</v>
      </c>
      <c r="Q412" s="156" t="s">
        <v>1210</v>
      </c>
      <c r="R412" s="153"/>
      <c r="S412" s="157"/>
      <c r="T412" s="151" t="s">
        <v>99</v>
      </c>
      <c r="U412" s="158">
        <v>0</v>
      </c>
      <c r="V412" s="158">
        <v>0</v>
      </c>
      <c r="W412" s="158">
        <v>0</v>
      </c>
      <c r="X412" s="158">
        <f t="shared" si="54"/>
        <v>0</v>
      </c>
      <c r="Y412" s="159"/>
      <c r="Z412" s="160"/>
      <c r="AA412" s="160"/>
      <c r="AB412" s="160"/>
      <c r="AC412" s="160"/>
      <c r="AD412" s="160"/>
      <c r="AE412" s="160"/>
    </row>
    <row r="413" spans="1:31" ht="140.4" hidden="1">
      <c r="A413" s="151" t="s">
        <v>156</v>
      </c>
      <c r="B413" s="152" t="s">
        <v>167</v>
      </c>
      <c r="C413" s="153" t="str">
        <f>'Управление ИБ'!B183</f>
        <v>Наличие специализированного ПО для хранения аутентификационных данных (оценить покрытие средством)</v>
      </c>
      <c r="D413" s="153" t="str">
        <f>'Управление ИБ'!C183</f>
        <v>УИБ.ИА.9</v>
      </c>
      <c r="E413" s="153">
        <f>'Управление ИБ'!D183</f>
        <v>5</v>
      </c>
      <c r="F413" s="153">
        <f>'Управление ИБ'!E183</f>
        <v>3.2</v>
      </c>
      <c r="G413" s="153">
        <f>'Управление ИБ'!F183</f>
        <v>0</v>
      </c>
      <c r="H413" s="153">
        <f>'Управление ИБ'!Y183</f>
        <v>317.08999999999992</v>
      </c>
      <c r="I413" s="154" t="str">
        <f t="shared" si="57"/>
        <v>КБ3</v>
      </c>
      <c r="J413" s="154">
        <f>'Управление ИБ'!K183</f>
        <v>5</v>
      </c>
      <c r="K413" s="153">
        <f>'Управление ИБ'!I183</f>
        <v>0</v>
      </c>
      <c r="L413" s="153">
        <f>'Управление ИБ'!L183</f>
        <v>0</v>
      </c>
      <c r="M413" s="153">
        <f t="shared" si="55"/>
        <v>0</v>
      </c>
      <c r="N413" s="153">
        <f t="shared" si="58"/>
        <v>5</v>
      </c>
      <c r="O413" s="153" t="str">
        <f>'Управление ИБ'!Z183</f>
        <v xml:space="preserve"> - Обеспечить применение средства хранения аутентификационных данных всеми пользователями.</v>
      </c>
      <c r="P413" s="155" t="s">
        <v>97</v>
      </c>
      <c r="Q413" s="156" t="s">
        <v>1215</v>
      </c>
      <c r="R413" s="153"/>
      <c r="S413" s="157"/>
      <c r="T413" s="151" t="s">
        <v>99</v>
      </c>
      <c r="U413" s="158">
        <v>0</v>
      </c>
      <c r="V413" s="158">
        <v>0</v>
      </c>
      <c r="W413" s="158">
        <v>0</v>
      </c>
      <c r="X413" s="158">
        <f t="shared" si="54"/>
        <v>0</v>
      </c>
      <c r="Y413" s="159"/>
      <c r="Z413" s="160"/>
      <c r="AA413" s="160"/>
      <c r="AB413" s="160"/>
      <c r="AC413" s="160"/>
      <c r="AD413" s="160"/>
      <c r="AE413" s="160"/>
    </row>
    <row r="414" spans="1:31" ht="409.6" hidden="1">
      <c r="A414" s="151" t="s">
        <v>156</v>
      </c>
      <c r="B414" s="167" t="s">
        <v>163</v>
      </c>
      <c r="C414" s="161" t="str">
        <f>'Управление ИБ'!B110</f>
        <v>Ведется учет используемых и (или) эксплуатируемых физических устройств (АРМ, сервера, принтеры, коммутационное оборудование и т.п.)</v>
      </c>
      <c r="D414" s="161" t="str">
        <f>'Управление ИБ'!C110</f>
        <v>УИБ.ИН.1</v>
      </c>
      <c r="E414" s="161">
        <f>'Управление ИБ'!D110</f>
        <v>5</v>
      </c>
      <c r="F414" s="161">
        <f>'Управление ИБ'!E110</f>
        <v>3.2</v>
      </c>
      <c r="G414" s="161">
        <f>'Управление ИБ'!F110</f>
        <v>1.6</v>
      </c>
      <c r="H414" s="168">
        <f>'Управление ИБ'!Y110</f>
        <v>315.01</v>
      </c>
      <c r="I414" s="154" t="str">
        <f t="shared" si="57"/>
        <v>КБ3</v>
      </c>
      <c r="J414" s="169">
        <f>'Управление ИБ'!K110</f>
        <v>5</v>
      </c>
      <c r="K414" s="161">
        <f>'Управление ИБ'!I110</f>
        <v>0</v>
      </c>
      <c r="L414" s="153">
        <f>'Управление ИБ'!L110</f>
        <v>0</v>
      </c>
      <c r="M414" s="153">
        <f t="shared" si="55"/>
        <v>0</v>
      </c>
      <c r="N414" s="153">
        <f t="shared" si="58"/>
        <v>5</v>
      </c>
      <c r="O414" s="153" t="str">
        <f>'Управление ИБ'!Z110</f>
        <v xml:space="preserve"> - Разработать и поддерживать реестр эксплуатируемых АРМ,  серверов, коммутационного оборудования, перефирийных устройств, машинных носителей информации;
  - В реестр должны быть внесены все устройства, которые регулярно подключаются к корпоративной сетевой инфраструктуре;
  - На всех DHCP-серверах вести журналы для обновления реестра/ Данные в реестре обновлять раз в неделю или чаще;
  - При выявлении неучтенных устройств, обеспечить их вывод из эксплуатации.</v>
      </c>
      <c r="P414" s="155" t="s">
        <v>97</v>
      </c>
      <c r="Q414" s="156" t="s">
        <v>1149</v>
      </c>
      <c r="R414" s="153"/>
      <c r="S414" s="157"/>
      <c r="T414" s="151" t="s">
        <v>99</v>
      </c>
      <c r="U414" s="158">
        <v>0</v>
      </c>
      <c r="V414" s="158">
        <v>0</v>
      </c>
      <c r="W414" s="158">
        <v>0</v>
      </c>
      <c r="X414" s="158">
        <f t="shared" si="54"/>
        <v>0</v>
      </c>
      <c r="Y414" s="159"/>
      <c r="Z414" s="160"/>
      <c r="AA414" s="160"/>
      <c r="AB414" s="160"/>
      <c r="AC414" s="160"/>
      <c r="AD414" s="160"/>
      <c r="AE414" s="160"/>
    </row>
    <row r="415" spans="1:31" ht="234" hidden="1">
      <c r="A415" s="151" t="s">
        <v>156</v>
      </c>
      <c r="B415" s="167" t="s">
        <v>163</v>
      </c>
      <c r="C415" s="161" t="str">
        <f>'Управление ИБ'!B120</f>
        <v>Используется инструментарий активного/пассивного обнаружения активов</v>
      </c>
      <c r="D415" s="161" t="str">
        <f>'Управление ИБ'!C120</f>
        <v>УИБ.ИН.10</v>
      </c>
      <c r="E415" s="161">
        <f>'Управление ИБ'!D120</f>
        <v>5</v>
      </c>
      <c r="F415" s="161">
        <f>'Управление ИБ'!E120</f>
        <v>3.2</v>
      </c>
      <c r="G415" s="161">
        <f>'Управление ИБ'!F120</f>
        <v>0</v>
      </c>
      <c r="H415" s="168">
        <f>'Управление ИБ'!Y120</f>
        <v>315.1099999999999</v>
      </c>
      <c r="I415" s="154" t="str">
        <f t="shared" si="57"/>
        <v>КБ3</v>
      </c>
      <c r="J415" s="169">
        <f>'Управление ИБ'!K120</f>
        <v>5</v>
      </c>
      <c r="K415" s="161">
        <f>'Управление ИБ'!I120</f>
        <v>0</v>
      </c>
      <c r="L415" s="153">
        <f>'Управление ИБ'!L120</f>
        <v>0</v>
      </c>
      <c r="M415" s="153">
        <f t="shared" si="55"/>
        <v>0</v>
      </c>
      <c r="N415" s="153">
        <f t="shared" si="58"/>
        <v>5</v>
      </c>
      <c r="O415" s="153" t="str">
        <f>'Управление ИБ'!Z120</f>
        <v xml:space="preserve"> - Для обнаружения новых активов применять инструменты для пассивного обнаружения устройств;
  - Результаты сканирования используются для обновления реестра устройств не реже одного раза в неделю;
  - Выполнять авторизацию каждого выявленного актива. </v>
      </c>
      <c r="P415" s="155" t="s">
        <v>97</v>
      </c>
      <c r="Q415" s="156" t="s">
        <v>1218</v>
      </c>
      <c r="R415" s="153"/>
      <c r="S415" s="157"/>
      <c r="T415" s="151" t="s">
        <v>99</v>
      </c>
      <c r="U415" s="158">
        <v>0</v>
      </c>
      <c r="V415" s="158">
        <v>0</v>
      </c>
      <c r="W415" s="158">
        <v>0</v>
      </c>
      <c r="X415" s="158">
        <f t="shared" si="54"/>
        <v>0</v>
      </c>
      <c r="Y415" s="159"/>
      <c r="Z415" s="160"/>
      <c r="AA415" s="160"/>
      <c r="AB415" s="160"/>
      <c r="AC415" s="160"/>
      <c r="AD415" s="160"/>
      <c r="AE415" s="160"/>
    </row>
    <row r="416" spans="1:31" ht="93.6" hidden="1">
      <c r="A416" s="151" t="s">
        <v>156</v>
      </c>
      <c r="B416" s="167" t="s">
        <v>163</v>
      </c>
      <c r="C416" s="161" t="str">
        <f>'Управление ИБ'!B121</f>
        <v>Результаты работы сканеров уязвимости являются источниками для пополнения БД систем инвентаризации</v>
      </c>
      <c r="D416" s="161" t="str">
        <f>'Управление ИБ'!C121</f>
        <v>УИБ.ИН.11</v>
      </c>
      <c r="E416" s="161">
        <f>'Управление ИБ'!D121</f>
        <v>5</v>
      </c>
      <c r="F416" s="161">
        <f>'Управление ИБ'!E121</f>
        <v>3.2</v>
      </c>
      <c r="G416" s="161">
        <f>'Управление ИБ'!F121</f>
        <v>0</v>
      </c>
      <c r="H416" s="168">
        <f>'Управление ИБ'!Y121</f>
        <v>315.11999999999989</v>
      </c>
      <c r="I416" s="154" t="str">
        <f t="shared" si="57"/>
        <v>КБ3</v>
      </c>
      <c r="J416" s="169">
        <f>'Управление ИБ'!K121</f>
        <v>5</v>
      </c>
      <c r="K416" s="161">
        <f>'Управление ИБ'!I121</f>
        <v>0</v>
      </c>
      <c r="L416" s="153">
        <f>'Управление ИБ'!L121</f>
        <v>0</v>
      </c>
      <c r="M416" s="153">
        <f t="shared" ref="M416:M447" si="59">IF(K416=J416," ",L416-K416)</f>
        <v>0</v>
      </c>
      <c r="N416" s="153">
        <f t="shared" si="58"/>
        <v>5</v>
      </c>
      <c r="O416" s="153" t="str">
        <f>'Управление ИБ'!Z121</f>
        <v xml:space="preserve"> - Интегрировать инструменты анализа защищенности и СРТ  с автоматизированной системой учета активов.</v>
      </c>
      <c r="P416" s="155" t="s">
        <v>97</v>
      </c>
      <c r="Q416" s="156" t="s">
        <v>1220</v>
      </c>
      <c r="R416" s="153"/>
      <c r="S416" s="157"/>
      <c r="T416" s="151" t="s">
        <v>99</v>
      </c>
      <c r="U416" s="158">
        <v>0</v>
      </c>
      <c r="V416" s="158">
        <v>0</v>
      </c>
      <c r="W416" s="158">
        <v>0</v>
      </c>
      <c r="X416" s="158">
        <f t="shared" si="54"/>
        <v>0</v>
      </c>
      <c r="Y416" s="159"/>
      <c r="Z416" s="160"/>
      <c r="AA416" s="160"/>
      <c r="AB416" s="160"/>
      <c r="AC416" s="160"/>
      <c r="AD416" s="160"/>
      <c r="AE416" s="160"/>
    </row>
    <row r="417" spans="1:31" ht="210.6" hidden="1">
      <c r="A417" s="151" t="s">
        <v>156</v>
      </c>
      <c r="B417" s="167" t="s">
        <v>163</v>
      </c>
      <c r="C417" s="161" t="str">
        <f>'Управление ИБ'!B122</f>
        <v>Производится регулярный контроль фактического состава созданных, используемых и (или) эксплуатируемых информационных активов и их корректного размещения в сегментах вычислительных сетей</v>
      </c>
      <c r="D417" s="161" t="str">
        <f>'Управление ИБ'!C122</f>
        <v>УИБ.ИН.12</v>
      </c>
      <c r="E417" s="161">
        <f>'Управление ИБ'!D122</f>
        <v>5</v>
      </c>
      <c r="F417" s="161">
        <f>'Управление ИБ'!E122</f>
        <v>3.2</v>
      </c>
      <c r="G417" s="161">
        <f>'Управление ИБ'!F122</f>
        <v>0</v>
      </c>
      <c r="H417" s="168">
        <f>'Управление ИБ'!Y122</f>
        <v>315.12999999999988</v>
      </c>
      <c r="I417" s="154" t="str">
        <f t="shared" si="57"/>
        <v>КБ3</v>
      </c>
      <c r="J417" s="169">
        <f>'Управление ИБ'!K122</f>
        <v>5</v>
      </c>
      <c r="K417" s="161">
        <f>'Управление ИБ'!I122</f>
        <v>0</v>
      </c>
      <c r="L417" s="153">
        <f>'Управление ИБ'!L122</f>
        <v>0</v>
      </c>
      <c r="M417" s="153">
        <f t="shared" si="59"/>
        <v>0</v>
      </c>
      <c r="N417" s="153">
        <f t="shared" si="58"/>
        <v>5</v>
      </c>
      <c r="O417" s="153" t="str">
        <f>'Управление ИБ'!Z122</f>
        <v xml:space="preserve"> - Процесс контроля осуществляется с применением средств автоматизации</v>
      </c>
      <c r="P417" s="155" t="s">
        <v>97</v>
      </c>
      <c r="Q417" s="156" t="s">
        <v>1222</v>
      </c>
      <c r="R417" s="153"/>
      <c r="S417" s="157"/>
      <c r="T417" s="151" t="s">
        <v>99</v>
      </c>
      <c r="U417" s="158">
        <v>0</v>
      </c>
      <c r="V417" s="158">
        <v>0</v>
      </c>
      <c r="W417" s="158">
        <v>0</v>
      </c>
      <c r="X417" s="158">
        <f t="shared" si="54"/>
        <v>0</v>
      </c>
      <c r="Y417" s="159"/>
      <c r="Z417" s="160"/>
      <c r="AA417" s="160"/>
      <c r="AB417" s="160"/>
      <c r="AC417" s="160"/>
      <c r="AD417" s="160"/>
      <c r="AE417" s="160"/>
    </row>
    <row r="418" spans="1:31" ht="210.6" hidden="1">
      <c r="A418" s="151" t="s">
        <v>156</v>
      </c>
      <c r="B418" s="167" t="s">
        <v>163</v>
      </c>
      <c r="C418" s="161" t="str">
        <f>'Управление ИБ'!B123</f>
        <v>Осуществляется разработка, ведение, актуализация, хранение проектной, рабочей, эксплуатационной документации на информационные системы</v>
      </c>
      <c r="D418" s="161" t="str">
        <f>'Управление ИБ'!C123</f>
        <v>УИБ.ИН.13</v>
      </c>
      <c r="E418" s="161">
        <f>'Управление ИБ'!D123</f>
        <v>5</v>
      </c>
      <c r="F418" s="161">
        <f>'Управление ИБ'!E123</f>
        <v>3.2</v>
      </c>
      <c r="G418" s="161">
        <f>'Управление ИБ'!F123</f>
        <v>0</v>
      </c>
      <c r="H418" s="168">
        <f>'Управление ИБ'!Y123</f>
        <v>315.13999999999987</v>
      </c>
      <c r="I418" s="154" t="str">
        <f t="shared" si="57"/>
        <v>КБ3</v>
      </c>
      <c r="J418" s="169">
        <f>'Управление ИБ'!K123</f>
        <v>5</v>
      </c>
      <c r="K418" s="161">
        <f>'Управление ИБ'!I123</f>
        <v>0</v>
      </c>
      <c r="L418" s="153">
        <f>'Управление ИБ'!L123</f>
        <v>0</v>
      </c>
      <c r="M418" s="153">
        <f t="shared" si="59"/>
        <v>0</v>
      </c>
      <c r="N418" s="153">
        <f t="shared" si="58"/>
        <v>5</v>
      </c>
      <c r="O418" s="153" t="str">
        <f>'Управление ИБ'!Z123</f>
        <v xml:space="preserve"> - Сведения и артефакты о проектной, рабочей, эксплуатационной документации на информационные системы необходимо хранить и актуализировать в единой автоматизированной системе учета</v>
      </c>
      <c r="P418" s="155" t="s">
        <v>97</v>
      </c>
      <c r="Q418" s="156" t="s">
        <v>1223</v>
      </c>
      <c r="R418" s="153"/>
      <c r="S418" s="157"/>
      <c r="T418" s="151" t="s">
        <v>99</v>
      </c>
      <c r="U418" s="158">
        <v>0</v>
      </c>
      <c r="V418" s="158">
        <v>0</v>
      </c>
      <c r="W418" s="158">
        <v>0</v>
      </c>
      <c r="X418" s="158">
        <f t="shared" si="54"/>
        <v>0</v>
      </c>
      <c r="Y418" s="159"/>
      <c r="Z418" s="160"/>
      <c r="AA418" s="160"/>
      <c r="AB418" s="160"/>
      <c r="AC418" s="160"/>
      <c r="AD418" s="160"/>
      <c r="AE418" s="160"/>
    </row>
    <row r="419" spans="1:31" ht="187.2" hidden="1">
      <c r="A419" s="151" t="s">
        <v>156</v>
      </c>
      <c r="B419" s="167" t="s">
        <v>163</v>
      </c>
      <c r="C419" s="161" t="str">
        <f>'Управление ИБ'!B111</f>
        <v>Ведется учет имеющегося и используемого ПО</v>
      </c>
      <c r="D419" s="161" t="str">
        <f>'Управление ИБ'!C111</f>
        <v>УИБ.ИН.2</v>
      </c>
      <c r="E419" s="161">
        <f>'Управление ИБ'!D111</f>
        <v>5</v>
      </c>
      <c r="F419" s="161">
        <f>'Управление ИБ'!E111</f>
        <v>3.2</v>
      </c>
      <c r="G419" s="161">
        <f>'Управление ИБ'!F111</f>
        <v>1.6</v>
      </c>
      <c r="H419" s="168">
        <f>'Управление ИБ'!Y111</f>
        <v>315.02</v>
      </c>
      <c r="I419" s="154" t="str">
        <f t="shared" si="57"/>
        <v>КБ3</v>
      </c>
      <c r="J419" s="169">
        <f>'Управление ИБ'!K111</f>
        <v>5</v>
      </c>
      <c r="K419" s="161">
        <f>'Управление ИБ'!I111</f>
        <v>0</v>
      </c>
      <c r="L419" s="153">
        <f>'Управление ИБ'!L111</f>
        <v>0</v>
      </c>
      <c r="M419" s="153">
        <f t="shared" si="59"/>
        <v>0</v>
      </c>
      <c r="N419" s="153">
        <f t="shared" si="58"/>
        <v>5</v>
      </c>
      <c r="O419" s="153" t="str">
        <f>'Управление ИБ'!Z111</f>
        <v xml:space="preserve"> - Проверять, что всё используемое ПО включено в реестр, при выявлении неучтенного ПО обеспечивать его удаление;
  - Автоматизировать процесс проверки использования неучтенного ПО.</v>
      </c>
      <c r="P419" s="155" t="s">
        <v>97</v>
      </c>
      <c r="Q419" s="156" t="s">
        <v>1158</v>
      </c>
      <c r="R419" s="153"/>
      <c r="S419" s="157"/>
      <c r="T419" s="151" t="s">
        <v>99</v>
      </c>
      <c r="U419" s="158">
        <v>0</v>
      </c>
      <c r="V419" s="158">
        <v>0</v>
      </c>
      <c r="W419" s="158">
        <v>0</v>
      </c>
      <c r="X419" s="158">
        <f t="shared" si="54"/>
        <v>0</v>
      </c>
      <c r="Y419" s="159"/>
      <c r="Z419" s="160"/>
      <c r="AA419" s="160"/>
      <c r="AB419" s="160"/>
      <c r="AC419" s="160"/>
      <c r="AD419" s="160"/>
      <c r="AE419" s="160"/>
    </row>
    <row r="420" spans="1:31" ht="234" hidden="1">
      <c r="A420" s="151" t="s">
        <v>156</v>
      </c>
      <c r="B420" s="167" t="s">
        <v>163</v>
      </c>
      <c r="C420" s="161" t="str">
        <f>'Управление ИБ'!B112</f>
        <v>Ведется персонифицированный учет учетных записей (УЗ), технологических УЗ, привилегированных УЗ и УЗ групповых почтовых ящиков</v>
      </c>
      <c r="D420" s="161" t="str">
        <f>'Управление ИБ'!C112</f>
        <v>УИБ.ИН.3</v>
      </c>
      <c r="E420" s="161">
        <f>'Управление ИБ'!D112</f>
        <v>5</v>
      </c>
      <c r="F420" s="161">
        <f>'Управление ИБ'!E112</f>
        <v>3.2</v>
      </c>
      <c r="G420" s="161">
        <f>'Управление ИБ'!F112</f>
        <v>1.6</v>
      </c>
      <c r="H420" s="168">
        <f>'Управление ИБ'!Y112</f>
        <v>315.02999999999997</v>
      </c>
      <c r="I420" s="154" t="str">
        <f t="shared" si="57"/>
        <v>КБ3</v>
      </c>
      <c r="J420" s="169">
        <f>'Управление ИБ'!K112</f>
        <v>5</v>
      </c>
      <c r="K420" s="161">
        <f>'Управление ИБ'!I112</f>
        <v>0</v>
      </c>
      <c r="L420" s="153">
        <f>'Управление ИБ'!L112</f>
        <v>0</v>
      </c>
      <c r="M420" s="153">
        <f t="shared" si="59"/>
        <v>0</v>
      </c>
      <c r="N420" s="153">
        <f t="shared" si="58"/>
        <v>5</v>
      </c>
      <c r="O420" s="153" t="str">
        <f>'Управление ИБ'!Z112</f>
        <v xml:space="preserve"> - Регламентировать процесс аудита учетных записей;
 - Контролировать выполнение аудита учетных записей;
 - Определить метрики процесса аудита, отслеживать результаты;
 - Обеспечить аудит 100% учетных записей во всех системах, включая локальные. </v>
      </c>
      <c r="P420" s="155" t="s">
        <v>97</v>
      </c>
      <c r="Q420" s="156" t="s">
        <v>1156</v>
      </c>
      <c r="R420" s="153"/>
      <c r="S420" s="157"/>
      <c r="T420" s="151" t="s">
        <v>99</v>
      </c>
      <c r="U420" s="158">
        <v>0</v>
      </c>
      <c r="V420" s="158">
        <v>0</v>
      </c>
      <c r="W420" s="158">
        <v>0</v>
      </c>
      <c r="X420" s="158">
        <f t="shared" si="54"/>
        <v>0</v>
      </c>
      <c r="Y420" s="159"/>
      <c r="Z420" s="160"/>
      <c r="AA420" s="160"/>
      <c r="AB420" s="160"/>
      <c r="AC420" s="160"/>
      <c r="AD420" s="160"/>
      <c r="AE420" s="160"/>
    </row>
    <row r="421" spans="1:31" ht="210.6" hidden="1">
      <c r="A421" s="151" t="s">
        <v>156</v>
      </c>
      <c r="B421" s="167" t="s">
        <v>163</v>
      </c>
      <c r="C421" s="161" t="str">
        <f>'Управление ИБ'!B113</f>
        <v>Контроль белого (разрешенного) и черного (неразрешенного) списка программного обеспечения.</v>
      </c>
      <c r="D421" s="161" t="str">
        <f>'Управление ИБ'!C113</f>
        <v>УИБ.ИН.4</v>
      </c>
      <c r="E421" s="161">
        <f>'Управление ИБ'!D113</f>
        <v>5</v>
      </c>
      <c r="F421" s="161">
        <f>'Управление ИБ'!E113</f>
        <v>3.2</v>
      </c>
      <c r="G421" s="161">
        <f>'Управление ИБ'!F113</f>
        <v>1.6</v>
      </c>
      <c r="H421" s="168">
        <f>'Управление ИБ'!Y113</f>
        <v>315.03999999999996</v>
      </c>
      <c r="I421" s="154" t="str">
        <f t="shared" si="57"/>
        <v>КБ3</v>
      </c>
      <c r="J421" s="169">
        <f>'Управление ИБ'!K113</f>
        <v>5</v>
      </c>
      <c r="K421" s="161">
        <f>'Управление ИБ'!I113</f>
        <v>0</v>
      </c>
      <c r="L421" s="153">
        <f>'Управление ИБ'!L113</f>
        <v>0</v>
      </c>
      <c r="M421" s="153">
        <f t="shared" si="59"/>
        <v>0</v>
      </c>
      <c r="N421" s="153">
        <f t="shared" si="58"/>
        <v>5</v>
      </c>
      <c r="O421" s="153" t="str">
        <f>'Управление ИБ'!Z113</f>
        <v xml:space="preserve"> - Использовать белые списки авторизованного ПО для АРМ и серверов;
 -  на этапе проектирования ИС руководствоваться 'белым' и 'черным' списками ПО ;
  - Реализовать процесс контроля состава ПО АРМ и серверов.</v>
      </c>
      <c r="P421" s="155" t="s">
        <v>97</v>
      </c>
      <c r="Q421" s="156" t="s">
        <v>1250</v>
      </c>
      <c r="R421" s="153"/>
      <c r="S421" s="157"/>
      <c r="T421" s="151" t="s">
        <v>99</v>
      </c>
      <c r="U421" s="158">
        <v>0</v>
      </c>
      <c r="V421" s="158">
        <v>0</v>
      </c>
      <c r="W421" s="158">
        <v>0</v>
      </c>
      <c r="X421" s="158">
        <f t="shared" si="54"/>
        <v>0</v>
      </c>
      <c r="Y421" s="159"/>
      <c r="Z421" s="160"/>
      <c r="AA421" s="160"/>
      <c r="AB421" s="160"/>
      <c r="AC421" s="160"/>
      <c r="AD421" s="160"/>
      <c r="AE421" s="160"/>
    </row>
    <row r="422" spans="1:31" ht="117" hidden="1">
      <c r="A422" s="151" t="s">
        <v>156</v>
      </c>
      <c r="B422" s="167" t="s">
        <v>163</v>
      </c>
      <c r="C422" s="161" t="str">
        <f>'Управление ИБ'!B114</f>
        <v>Ведется учет использования адресных пространств (IP)</v>
      </c>
      <c r="D422" s="161" t="str">
        <f>'Управление ИБ'!C114</f>
        <v>УИБ.ИН.5</v>
      </c>
      <c r="E422" s="161">
        <f>'Управление ИБ'!D114</f>
        <v>5</v>
      </c>
      <c r="F422" s="161">
        <f>'Управление ИБ'!E114</f>
        <v>3.2</v>
      </c>
      <c r="G422" s="161">
        <f>'Управление ИБ'!F114</f>
        <v>1.6</v>
      </c>
      <c r="H422" s="168">
        <f>'Управление ИБ'!Y114</f>
        <v>315.04999999999995</v>
      </c>
      <c r="I422" s="154" t="str">
        <f t="shared" si="57"/>
        <v>КБ3</v>
      </c>
      <c r="J422" s="169">
        <f>'Управление ИБ'!K114</f>
        <v>5</v>
      </c>
      <c r="K422" s="161">
        <f>'Управление ИБ'!I114</f>
        <v>0</v>
      </c>
      <c r="L422" s="153">
        <f>'Управление ИБ'!L114</f>
        <v>0</v>
      </c>
      <c r="M422" s="153">
        <f t="shared" si="59"/>
        <v>0</v>
      </c>
      <c r="N422" s="153">
        <f t="shared" si="58"/>
        <v>5</v>
      </c>
      <c r="O422" s="153" t="str">
        <f>'Управление ИБ'!Z114</f>
        <v>- Применять средства автоматизации для централизованного учета и управления IP-адресным пространством.</v>
      </c>
      <c r="P422" s="155" t="s">
        <v>97</v>
      </c>
      <c r="Q422" s="156" t="s">
        <v>1161</v>
      </c>
      <c r="R422" s="153"/>
      <c r="S422" s="157"/>
      <c r="T422" s="151" t="s">
        <v>99</v>
      </c>
      <c r="U422" s="158">
        <v>0</v>
      </c>
      <c r="V422" s="158">
        <v>0</v>
      </c>
      <c r="W422" s="158">
        <v>0</v>
      </c>
      <c r="X422" s="158">
        <f t="shared" si="54"/>
        <v>0</v>
      </c>
      <c r="Y422" s="159"/>
      <c r="Z422" s="160"/>
      <c r="AA422" s="160"/>
      <c r="AB422" s="160"/>
      <c r="AC422" s="160"/>
      <c r="AD422" s="160"/>
      <c r="AE422" s="160"/>
    </row>
    <row r="423" spans="1:31" ht="163.80000000000001" hidden="1">
      <c r="A423" s="151" t="s">
        <v>156</v>
      </c>
      <c r="B423" s="167" t="s">
        <v>163</v>
      </c>
      <c r="C423" s="161" t="str">
        <f>'Управление ИБ'!B115</f>
        <v>Ведется учет созданных, используемых и (или) эксплуатируемых ИС</v>
      </c>
      <c r="D423" s="161" t="str">
        <f>'Управление ИБ'!C115</f>
        <v>УИБ.ИН.6</v>
      </c>
      <c r="E423" s="161">
        <f>'Управление ИБ'!D115</f>
        <v>5</v>
      </c>
      <c r="F423" s="161">
        <f>'Управление ИБ'!E115</f>
        <v>3.2</v>
      </c>
      <c r="G423" s="161">
        <f>'Управление ИБ'!F115</f>
        <v>1.6</v>
      </c>
      <c r="H423" s="168">
        <f>'Управление ИБ'!Y115</f>
        <v>315.05999999999995</v>
      </c>
      <c r="I423" s="154" t="str">
        <f t="shared" si="57"/>
        <v>КБ3</v>
      </c>
      <c r="J423" s="169">
        <f>'Управление ИБ'!K115</f>
        <v>5</v>
      </c>
      <c r="K423" s="161">
        <f>'Управление ИБ'!I115</f>
        <v>0</v>
      </c>
      <c r="L423" s="153">
        <f>'Управление ИБ'!L115</f>
        <v>0</v>
      </c>
      <c r="M423" s="153">
        <f t="shared" si="59"/>
        <v>0</v>
      </c>
      <c r="N423" s="153">
        <f t="shared" si="58"/>
        <v>5</v>
      </c>
      <c r="O423" s="153" t="str">
        <f>'Управление ИБ'!Z115</f>
        <v xml:space="preserve"> - Применять средства автоматизации для учета созданных, используемых, эксплуатируемых и выведенных из эксплуатации информационных систем, Вести учет состава и компонентов ИС.</v>
      </c>
      <c r="P423" s="155" t="s">
        <v>97</v>
      </c>
      <c r="Q423" s="156" t="s">
        <v>1166</v>
      </c>
      <c r="R423" s="153"/>
      <c r="S423" s="157"/>
      <c r="T423" s="151" t="s">
        <v>99</v>
      </c>
      <c r="U423" s="158">
        <v>0</v>
      </c>
      <c r="V423" s="158">
        <v>0</v>
      </c>
      <c r="W423" s="158">
        <v>0</v>
      </c>
      <c r="X423" s="158">
        <f t="shared" si="54"/>
        <v>0</v>
      </c>
      <c r="Y423" s="159"/>
      <c r="Z423" s="160"/>
      <c r="AA423" s="160"/>
      <c r="AB423" s="160"/>
      <c r="AC423" s="160"/>
      <c r="AD423" s="160"/>
      <c r="AE423" s="160"/>
    </row>
    <row r="424" spans="1:31" ht="140.4" hidden="1">
      <c r="A424" s="151" t="s">
        <v>156</v>
      </c>
      <c r="B424" s="167" t="s">
        <v>163</v>
      </c>
      <c r="C424" s="161" t="str">
        <f>'Управление ИБ'!B117</f>
        <v>Ведется учет опубликованных на внешнем периметре информационные систем, доменов</v>
      </c>
      <c r="D424" s="161" t="str">
        <f>'Управление ИБ'!C117</f>
        <v>УИБ.ИН.7</v>
      </c>
      <c r="E424" s="161">
        <f>'Управление ИБ'!D117</f>
        <v>5</v>
      </c>
      <c r="F424" s="161">
        <f>'Управление ИБ'!E117</f>
        <v>3.2</v>
      </c>
      <c r="G424" s="161">
        <f>'Управление ИБ'!F117</f>
        <v>3.2</v>
      </c>
      <c r="H424" s="168">
        <f>'Управление ИБ'!Y117</f>
        <v>315.07999999999993</v>
      </c>
      <c r="I424" s="154" t="str">
        <f t="shared" si="57"/>
        <v>КБ3</v>
      </c>
      <c r="J424" s="169">
        <f>'Управление ИБ'!K117</f>
        <v>5</v>
      </c>
      <c r="K424" s="161">
        <f>'Управление ИБ'!I117</f>
        <v>0</v>
      </c>
      <c r="L424" s="153">
        <f>'Управление ИБ'!L117</f>
        <v>0</v>
      </c>
      <c r="M424" s="153">
        <f t="shared" si="59"/>
        <v>0</v>
      </c>
      <c r="N424" s="153">
        <f t="shared" si="58"/>
        <v>5</v>
      </c>
      <c r="O424" s="153" t="str">
        <f>'Управление ИБ'!Z117</f>
        <v xml:space="preserve"> - Для учета применять средства автоматизации;
  - Для актуализации реестра использовать инструменты активного/пассивного обнаружения активов.</v>
      </c>
      <c r="P424" s="155" t="s">
        <v>97</v>
      </c>
      <c r="Q424" s="156" t="s">
        <v>1163</v>
      </c>
      <c r="R424" s="153"/>
      <c r="S424" s="157"/>
      <c r="T424" s="151" t="s">
        <v>99</v>
      </c>
      <c r="U424" s="158">
        <v>0</v>
      </c>
      <c r="V424" s="158">
        <v>0</v>
      </c>
      <c r="W424" s="158">
        <v>0</v>
      </c>
      <c r="X424" s="158">
        <f t="shared" si="54"/>
        <v>0</v>
      </c>
      <c r="Y424" s="159"/>
      <c r="Z424" s="160"/>
      <c r="AA424" s="160"/>
      <c r="AB424" s="160"/>
      <c r="AC424" s="160"/>
      <c r="AD424" s="160"/>
      <c r="AE424" s="160"/>
    </row>
    <row r="425" spans="1:31" ht="163.80000000000001" hidden="1">
      <c r="A425" s="151" t="s">
        <v>156</v>
      </c>
      <c r="B425" s="167" t="s">
        <v>163</v>
      </c>
      <c r="C425" s="161" t="str">
        <f>'Управление ИБ'!B118</f>
        <v>За информационными активами закреплены ответственные</v>
      </c>
      <c r="D425" s="161" t="str">
        <f>'Управление ИБ'!C118</f>
        <v>УИБ.ИН.8</v>
      </c>
      <c r="E425" s="161">
        <f>'Управление ИБ'!D118</f>
        <v>5</v>
      </c>
      <c r="F425" s="161">
        <f>'Управление ИБ'!E118</f>
        <v>3.2</v>
      </c>
      <c r="G425" s="161">
        <f>'Управление ИБ'!F118</f>
        <v>3.2</v>
      </c>
      <c r="H425" s="168">
        <f>'Управление ИБ'!Y118</f>
        <v>315.08999999999992</v>
      </c>
      <c r="I425" s="154" t="str">
        <f t="shared" si="57"/>
        <v>КБ3</v>
      </c>
      <c r="J425" s="169">
        <f>'Управление ИБ'!K118</f>
        <v>5</v>
      </c>
      <c r="K425" s="161">
        <f>'Управление ИБ'!I118</f>
        <v>0</v>
      </c>
      <c r="L425" s="153">
        <f>'Управление ИБ'!L118</f>
        <v>0</v>
      </c>
      <c r="M425" s="153">
        <f t="shared" si="59"/>
        <v>0</v>
      </c>
      <c r="N425" s="153">
        <f t="shared" si="58"/>
        <v>5</v>
      </c>
      <c r="O425" s="153" t="str">
        <f>'Управление ИБ'!Z118</f>
        <v xml:space="preserve"> - Издать внутренние приказы по закреплению ответственных за каждым информационным активом;
   - Проводить периодическую сверку. Определить функции и обязанности ответственных.</v>
      </c>
      <c r="P425" s="155" t="s">
        <v>97</v>
      </c>
      <c r="Q425" s="156" t="s">
        <v>1238</v>
      </c>
      <c r="R425" s="153"/>
      <c r="S425" s="157"/>
      <c r="T425" s="151" t="s">
        <v>99</v>
      </c>
      <c r="U425" s="158">
        <v>0</v>
      </c>
      <c r="V425" s="158">
        <v>0</v>
      </c>
      <c r="W425" s="158">
        <v>0</v>
      </c>
      <c r="X425" s="158">
        <f t="shared" si="54"/>
        <v>0</v>
      </c>
      <c r="Y425" s="159"/>
      <c r="Z425" s="160"/>
      <c r="AA425" s="160"/>
      <c r="AB425" s="160"/>
      <c r="AC425" s="160"/>
      <c r="AD425" s="160"/>
      <c r="AE425" s="160"/>
    </row>
    <row r="426" spans="1:31" ht="163.80000000000001" hidden="1">
      <c r="A426" s="151" t="s">
        <v>156</v>
      </c>
      <c r="B426" s="167" t="s">
        <v>163</v>
      </c>
      <c r="C426" s="161" t="str">
        <f>'Управление ИБ'!B119</f>
        <v>Наличие специализированного ПО для хранения инвентаризационных данных</v>
      </c>
      <c r="D426" s="161" t="str">
        <f>'Управление ИБ'!C119</f>
        <v>УИБ.ИН.9</v>
      </c>
      <c r="E426" s="161">
        <f>'Управление ИБ'!D119</f>
        <v>5</v>
      </c>
      <c r="F426" s="161">
        <f>'Управление ИБ'!E119</f>
        <v>3.2</v>
      </c>
      <c r="G426" s="161">
        <f>'Управление ИБ'!F119</f>
        <v>0</v>
      </c>
      <c r="H426" s="168">
        <f>'Управление ИБ'!Y119</f>
        <v>315.09999999999991</v>
      </c>
      <c r="I426" s="154" t="str">
        <f t="shared" si="57"/>
        <v>КБ3</v>
      </c>
      <c r="J426" s="169">
        <f>'Управление ИБ'!K119</f>
        <v>5</v>
      </c>
      <c r="K426" s="161">
        <f>'Управление ИБ'!I119</f>
        <v>0</v>
      </c>
      <c r="L426" s="153">
        <f>'Управление ИБ'!L119</f>
        <v>0</v>
      </c>
      <c r="M426" s="153">
        <f t="shared" si="59"/>
        <v>0</v>
      </c>
      <c r="N426" s="153">
        <f t="shared" si="58"/>
        <v>5</v>
      </c>
      <c r="O426" s="153" t="str">
        <f>'Управление ИБ'!Z119</f>
        <v>Применять для хранения и управления инвентаризационными данными автоматизированную систему учета активов класса CMDB (Configuration Management Database)</v>
      </c>
      <c r="P426" s="155" t="s">
        <v>97</v>
      </c>
      <c r="Q426" s="156" t="s">
        <v>1240</v>
      </c>
      <c r="R426" s="153"/>
      <c r="S426" s="157"/>
      <c r="T426" s="151" t="s">
        <v>99</v>
      </c>
      <c r="U426" s="158">
        <v>0</v>
      </c>
      <c r="V426" s="158">
        <v>0</v>
      </c>
      <c r="W426" s="158">
        <v>0</v>
      </c>
      <c r="X426" s="158">
        <f t="shared" si="54"/>
        <v>0</v>
      </c>
      <c r="Y426" s="159"/>
      <c r="Z426" s="160"/>
      <c r="AA426" s="160"/>
      <c r="AB426" s="160"/>
      <c r="AC426" s="160"/>
      <c r="AD426" s="160"/>
      <c r="AE426" s="160"/>
    </row>
    <row r="427" spans="1:31" ht="187.2" hidden="1">
      <c r="A427" s="151" t="s">
        <v>156</v>
      </c>
      <c r="B427" s="167" t="s">
        <v>284</v>
      </c>
      <c r="C427" s="161" t="str">
        <f>'Управление ИБ'!B126</f>
        <v>Осуществляется дублирование инфраструктуры в разных территориально разделенных ЦОД</v>
      </c>
      <c r="D427" s="161" t="str">
        <f>'Управление ИБ'!C126</f>
        <v>УИБ.ОД.2</v>
      </c>
      <c r="E427" s="161">
        <f>'Управление ИБ'!D126</f>
        <v>5</v>
      </c>
      <c r="F427" s="161">
        <f>'Управление ИБ'!E126</f>
        <v>3.2</v>
      </c>
      <c r="G427" s="161">
        <f>'Управление ИБ'!F126</f>
        <v>0</v>
      </c>
      <c r="H427" s="161">
        <f>'Управление ИБ'!Y126</f>
        <v>339.02</v>
      </c>
      <c r="I427" s="154" t="str">
        <f t="shared" si="57"/>
        <v>КБ3</v>
      </c>
      <c r="J427" s="169">
        <f>'Управление ИБ'!K126</f>
        <v>5</v>
      </c>
      <c r="K427" s="161">
        <f>'Управление ИБ'!I126</f>
        <v>0</v>
      </c>
      <c r="L427" s="153">
        <f>'Управление ИБ'!L126</f>
        <v>0</v>
      </c>
      <c r="M427" s="153">
        <f t="shared" si="59"/>
        <v>0</v>
      </c>
      <c r="N427" s="153">
        <f t="shared" si="58"/>
        <v>5</v>
      </c>
      <c r="O427" s="153" t="str">
        <f>'Управление ИБ'!Z126</f>
        <v xml:space="preserve"> - Обеспечить дублирование инфраструктуры в разных ЦОД для всех ИС и хранилищ резервных копий;
   - Регламентировать порядок дублирования инфраструктуры в территориально разделенных ЦОД.</v>
      </c>
      <c r="P427" s="155" t="s">
        <v>97</v>
      </c>
      <c r="Q427" s="156" t="s">
        <v>1229</v>
      </c>
      <c r="R427" s="153"/>
      <c r="S427" s="157"/>
      <c r="T427" s="151" t="s">
        <v>99</v>
      </c>
      <c r="U427" s="158">
        <v>0</v>
      </c>
      <c r="V427" s="158">
        <v>0</v>
      </c>
      <c r="W427" s="158">
        <v>0</v>
      </c>
      <c r="X427" s="158">
        <f t="shared" si="54"/>
        <v>0</v>
      </c>
      <c r="Y427" s="159"/>
      <c r="Z427" s="160"/>
      <c r="AA427" s="160"/>
      <c r="AB427" s="160"/>
      <c r="AC427" s="160"/>
      <c r="AD427" s="160"/>
      <c r="AE427" s="160"/>
    </row>
    <row r="428" spans="1:31" ht="304.2" hidden="1">
      <c r="A428" s="151" t="s">
        <v>156</v>
      </c>
      <c r="B428" s="167" t="s">
        <v>284</v>
      </c>
      <c r="C428" s="161" t="str">
        <f>'Управление ИБ'!B127</f>
        <v>Осуществляется кластеризация компонентов Mission Critical и Busines Critical систем</v>
      </c>
      <c r="D428" s="161" t="str">
        <f>'Управление ИБ'!C127</f>
        <v>УИБ.ОД.3</v>
      </c>
      <c r="E428" s="161">
        <f>'Управление ИБ'!D127</f>
        <v>5</v>
      </c>
      <c r="F428" s="161">
        <f>'Управление ИБ'!E127</f>
        <v>0</v>
      </c>
      <c r="G428" s="161">
        <f>'Управление ИБ'!F127</f>
        <v>0</v>
      </c>
      <c r="H428" s="161">
        <f>'Управление ИБ'!Y127</f>
        <v>339.03</v>
      </c>
      <c r="I428" s="154" t="str">
        <f t="shared" si="57"/>
        <v>КБ3</v>
      </c>
      <c r="J428" s="169">
        <f>'Управление ИБ'!K127</f>
        <v>5</v>
      </c>
      <c r="K428" s="161">
        <f>'Управление ИБ'!I127</f>
        <v>0</v>
      </c>
      <c r="L428" s="153">
        <f>'Управление ИБ'!L127</f>
        <v>0</v>
      </c>
      <c r="M428" s="153">
        <f t="shared" si="59"/>
        <v>0</v>
      </c>
      <c r="N428" s="153">
        <f t="shared" si="58"/>
        <v>5</v>
      </c>
      <c r="O428" s="153" t="str">
        <f>'Управление ИБ'!Z127</f>
        <v xml:space="preserve"> - Определить требования к кластеризации компонентов ИС;
  - Обеспечить кластеризацию критичных ИС;
  - Реализовать мониторинг состояния кластеров;
  - Обеспечить отказоустойчивость кластеров при сбоях
- Реализовать процесс периодического тестирования кластеризованных компонентов на отказоустойчивость.</v>
      </c>
      <c r="P428" s="155" t="s">
        <v>97</v>
      </c>
      <c r="Q428" s="156" t="s">
        <v>1231</v>
      </c>
      <c r="R428" s="153"/>
      <c r="S428" s="157"/>
      <c r="T428" s="151" t="s">
        <v>99</v>
      </c>
      <c r="U428" s="158">
        <v>0</v>
      </c>
      <c r="V428" s="158">
        <v>0</v>
      </c>
      <c r="W428" s="158">
        <v>0</v>
      </c>
      <c r="X428" s="158">
        <f t="shared" si="54"/>
        <v>0</v>
      </c>
      <c r="Y428" s="159"/>
      <c r="Z428" s="160"/>
      <c r="AA428" s="160"/>
      <c r="AB428" s="160"/>
      <c r="AC428" s="160"/>
      <c r="AD428" s="160"/>
      <c r="AE428" s="160"/>
    </row>
    <row r="429" spans="1:31" ht="409.6" hidden="1">
      <c r="A429" s="151" t="s">
        <v>156</v>
      </c>
      <c r="B429" s="167" t="s">
        <v>284</v>
      </c>
      <c r="C429" s="161" t="str">
        <f>'Управление ИБ'!B128</f>
        <v>Наличие достаточного перечня запасных частей и материалов, а также активной технической поддержки на оборудование и программное обеспечение</v>
      </c>
      <c r="D429" s="161" t="str">
        <f>'Управление ИБ'!C128</f>
        <v>УИБ.ОД.4</v>
      </c>
      <c r="E429" s="161">
        <f>'Управление ИБ'!D128</f>
        <v>5</v>
      </c>
      <c r="F429" s="161">
        <f>'Управление ИБ'!E128</f>
        <v>3.2</v>
      </c>
      <c r="G429" s="161">
        <f>'Управление ИБ'!F128</f>
        <v>0</v>
      </c>
      <c r="H429" s="161">
        <f>'Управление ИБ'!Y128</f>
        <v>339.03999999999996</v>
      </c>
      <c r="I429" s="154" t="str">
        <f t="shared" si="57"/>
        <v>КБ3</v>
      </c>
      <c r="J429" s="169">
        <f>'Управление ИБ'!K128</f>
        <v>5</v>
      </c>
      <c r="K429" s="161">
        <f>'Управление ИБ'!I128</f>
        <v>0</v>
      </c>
      <c r="L429" s="153">
        <f>'Управление ИБ'!L128</f>
        <v>0</v>
      </c>
      <c r="M429" s="153">
        <f t="shared" si="59"/>
        <v>0</v>
      </c>
      <c r="N429" s="153">
        <f t="shared" si="58"/>
        <v>5</v>
      </c>
      <c r="O429" s="153" t="str">
        <f>'Управление ИБ'!Z128</f>
        <v xml:space="preserve"> - Определить перечень запасных частей и материалов, необходимых для обеспечения непрерывной работы информационных систем, плановой замены, развития, восстановления при авариях;
  - Закупить в требуемом объеме запасные части и материалы;
  - Заключить договоры на техническую поддержку оборудования и ПО;
  - Регламентировать процессы обеспечения запасными частями и материалами, требуемые объемы и уровни запасов с учетом критичности информационных систем.</v>
      </c>
      <c r="P429" s="155" t="s">
        <v>97</v>
      </c>
      <c r="Q429" s="156" t="s">
        <v>1235</v>
      </c>
      <c r="R429" s="153"/>
      <c r="S429" s="157"/>
      <c r="T429" s="151" t="s">
        <v>99</v>
      </c>
      <c r="U429" s="158">
        <v>0</v>
      </c>
      <c r="V429" s="158">
        <v>0</v>
      </c>
      <c r="W429" s="158">
        <v>0</v>
      </c>
      <c r="X429" s="158">
        <f t="shared" ref="X429:X455" si="60">SUM(U429:W429)</f>
        <v>0</v>
      </c>
      <c r="Y429" s="159"/>
      <c r="Z429" s="160"/>
      <c r="AA429" s="160"/>
      <c r="AB429" s="160"/>
      <c r="AC429" s="160"/>
      <c r="AD429" s="160"/>
      <c r="AE429" s="160"/>
    </row>
    <row r="430" spans="1:31" ht="140.4" hidden="1">
      <c r="A430" s="151" t="s">
        <v>156</v>
      </c>
      <c r="B430" s="167" t="s">
        <v>284</v>
      </c>
      <c r="C430" s="161" t="str">
        <f>'Управление ИБ'!B129</f>
        <v>Обеспечивается уровень доступности систем и средств защиты не ниже, чем уровень доступности защищаемых информационных систем</v>
      </c>
      <c r="D430" s="161" t="str">
        <f>'Управление ИБ'!C129</f>
        <v>УИБ.ОД.5</v>
      </c>
      <c r="E430" s="161">
        <f>'Управление ИБ'!D129</f>
        <v>5</v>
      </c>
      <c r="F430" s="161">
        <f>'Управление ИБ'!E129</f>
        <v>3.2</v>
      </c>
      <c r="G430" s="161">
        <f>'Управление ИБ'!F129</f>
        <v>0</v>
      </c>
      <c r="H430" s="161">
        <f>'Управление ИБ'!Y129</f>
        <v>339.04999999999995</v>
      </c>
      <c r="I430" s="154" t="str">
        <f t="shared" si="57"/>
        <v>КБ3</v>
      </c>
      <c r="J430" s="169">
        <f>'Управление ИБ'!K129</f>
        <v>5</v>
      </c>
      <c r="K430" s="161">
        <f>'Управление ИБ'!I129</f>
        <v>0</v>
      </c>
      <c r="L430" s="153">
        <f>'Управление ИБ'!L129</f>
        <v>0</v>
      </c>
      <c r="M430" s="153">
        <f t="shared" si="59"/>
        <v>0</v>
      </c>
      <c r="N430" s="153">
        <f t="shared" si="58"/>
        <v>5</v>
      </c>
      <c r="O430" s="153" t="str">
        <f>'Управление ИБ'!Z129</f>
        <v xml:space="preserve"> - Реализовать процесс периодического тестирования средств защиты в рамках общего процесса тестирования ИС на отказоустойчивость.</v>
      </c>
      <c r="P430" s="155" t="s">
        <v>97</v>
      </c>
      <c r="Q430" s="156" t="s">
        <v>1252</v>
      </c>
      <c r="R430" s="153"/>
      <c r="S430" s="157"/>
      <c r="T430" s="151" t="s">
        <v>99</v>
      </c>
      <c r="U430" s="158">
        <v>0</v>
      </c>
      <c r="V430" s="158">
        <v>0</v>
      </c>
      <c r="W430" s="158">
        <v>0</v>
      </c>
      <c r="X430" s="158">
        <f t="shared" si="60"/>
        <v>0</v>
      </c>
      <c r="Y430" s="159"/>
      <c r="Z430" s="160"/>
      <c r="AA430" s="160"/>
      <c r="AB430" s="160"/>
      <c r="AC430" s="160"/>
      <c r="AD430" s="160"/>
      <c r="AE430" s="160"/>
    </row>
    <row r="431" spans="1:31" ht="234" hidden="1">
      <c r="A431" s="151" t="s">
        <v>156</v>
      </c>
      <c r="B431" s="167" t="s">
        <v>1236</v>
      </c>
      <c r="C431" s="161" t="str">
        <f>'Управление ИБ'!B131</f>
        <v>Требования ИБ формируются на этапе разработки требований к ПО</v>
      </c>
      <c r="D431" s="161" t="str">
        <f>'Управление ИБ'!C131</f>
        <v>УИБ.ПРС.1</v>
      </c>
      <c r="E431" s="161">
        <f>'Управление ИБ'!D131</f>
        <v>5</v>
      </c>
      <c r="F431" s="161">
        <f>'Управление ИБ'!E131</f>
        <v>3.2</v>
      </c>
      <c r="G431" s="161">
        <f>'Управление ИБ'!F131</f>
        <v>1.6</v>
      </c>
      <c r="H431" s="168">
        <f>'Управление ИБ'!Y131</f>
        <v>333.01</v>
      </c>
      <c r="I431" s="154" t="str">
        <f t="shared" si="57"/>
        <v>КБ3</v>
      </c>
      <c r="J431" s="169">
        <f>'Управление ИБ'!K131</f>
        <v>5</v>
      </c>
      <c r="K431" s="161">
        <f>'Управление ИБ'!I131</f>
        <v>0</v>
      </c>
      <c r="L431" s="153">
        <f>'Управление ИБ'!L131</f>
        <v>0</v>
      </c>
      <c r="M431" s="153">
        <f t="shared" si="59"/>
        <v>0</v>
      </c>
      <c r="N431" s="153">
        <f t="shared" si="58"/>
        <v>5</v>
      </c>
      <c r="O431" s="153" t="str">
        <f>'Управление ИБ'!Z131</f>
        <v xml:space="preserve"> Для всех систем формализовать:
-требования безопасности ПО; 
-типовой набор требований безопасности ПО.</v>
      </c>
      <c r="P431" s="155" t="s">
        <v>97</v>
      </c>
      <c r="Q431" s="156" t="s">
        <v>1273</v>
      </c>
      <c r="R431" s="153"/>
      <c r="S431" s="157"/>
      <c r="T431" s="151" t="s">
        <v>99</v>
      </c>
      <c r="U431" s="158">
        <v>0</v>
      </c>
      <c r="V431" s="158">
        <v>0</v>
      </c>
      <c r="W431" s="158">
        <v>0</v>
      </c>
      <c r="X431" s="158">
        <f t="shared" si="60"/>
        <v>0</v>
      </c>
      <c r="Y431" s="159"/>
      <c r="Z431" s="160"/>
      <c r="AA431" s="160"/>
      <c r="AB431" s="160"/>
      <c r="AC431" s="160"/>
      <c r="AD431" s="160"/>
      <c r="AE431" s="160"/>
    </row>
    <row r="432" spans="1:31" ht="409.6" hidden="1">
      <c r="A432" s="151" t="s">
        <v>156</v>
      </c>
      <c r="B432" s="167" t="s">
        <v>1236</v>
      </c>
      <c r="C432" s="161" t="str">
        <f>'Управление ИБ'!B133</f>
        <v>Организован процесс приемки и инсталляции ПО: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v>
      </c>
      <c r="D432" s="161" t="str">
        <f>'Управление ИБ'!C133</f>
        <v>УИБ.ПРС.3</v>
      </c>
      <c r="E432" s="161">
        <f>'Управление ИБ'!D133</f>
        <v>5</v>
      </c>
      <c r="F432" s="161">
        <f>'Управление ИБ'!E133</f>
        <v>3.2</v>
      </c>
      <c r="G432" s="161">
        <f>'Управление ИБ'!F133</f>
        <v>1.6</v>
      </c>
      <c r="H432" s="168">
        <f>'Управление ИБ'!Y133</f>
        <v>333.03</v>
      </c>
      <c r="I432" s="154" t="str">
        <f t="shared" si="57"/>
        <v>КБ3</v>
      </c>
      <c r="J432" s="169">
        <f>'Управление ИБ'!K133</f>
        <v>5</v>
      </c>
      <c r="K432" s="161">
        <f>'Управление ИБ'!I133</f>
        <v>0</v>
      </c>
      <c r="L432" s="153">
        <f>'Управление ИБ'!L133</f>
        <v>0</v>
      </c>
      <c r="M432" s="153">
        <f t="shared" si="59"/>
        <v>0</v>
      </c>
      <c r="N432" s="153">
        <f t="shared" si="58"/>
        <v>5</v>
      </c>
      <c r="O432" s="153" t="str">
        <f>'Управление ИБ'!Z133</f>
        <v>Для всех систем формализовать: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v>
      </c>
      <c r="P432" s="155" t="s">
        <v>97</v>
      </c>
      <c r="Q432" s="156" t="s">
        <v>1280</v>
      </c>
      <c r="R432" s="153"/>
      <c r="S432" s="157"/>
      <c r="T432" s="151" t="s">
        <v>99</v>
      </c>
      <c r="U432" s="158">
        <v>0</v>
      </c>
      <c r="V432" s="158">
        <v>0</v>
      </c>
      <c r="W432" s="158">
        <v>0</v>
      </c>
      <c r="X432" s="158">
        <f t="shared" si="60"/>
        <v>0</v>
      </c>
      <c r="Y432" s="159"/>
      <c r="Z432" s="160"/>
      <c r="AA432" s="160"/>
      <c r="AB432" s="160"/>
      <c r="AC432" s="160"/>
      <c r="AD432" s="160"/>
      <c r="AE432" s="160"/>
    </row>
    <row r="433" spans="1:31" ht="409.6" hidden="1">
      <c r="A433" s="151" t="s">
        <v>156</v>
      </c>
      <c r="B433" s="167" t="s">
        <v>1236</v>
      </c>
      <c r="C433" s="161" t="str">
        <f>'Управление ИБ'!B134</f>
        <v>Организован процесс эксплуатации ПО:
- назначены ответственные за техническую поддержку пользователей ПО
- сформирован порядок информирования пользователей об обновлениях ПО, обнаруженных уязвимостях и окончании технической поддержки
- назначены ответственные за поиск уязвимостей ПО и их устранение</v>
      </c>
      <c r="D433" s="161" t="str">
        <f>'Управление ИБ'!C134</f>
        <v>УИБ.ПРС.4</v>
      </c>
      <c r="E433" s="161">
        <f>'Управление ИБ'!D134</f>
        <v>5</v>
      </c>
      <c r="F433" s="161">
        <f>'Управление ИБ'!E134</f>
        <v>3.2</v>
      </c>
      <c r="G433" s="161">
        <f>'Управление ИБ'!F134</f>
        <v>1.6</v>
      </c>
      <c r="H433" s="168">
        <f>'Управление ИБ'!Y134</f>
        <v>333.03999999999996</v>
      </c>
      <c r="I433" s="154" t="str">
        <f t="shared" si="57"/>
        <v>КБ3</v>
      </c>
      <c r="J433" s="169">
        <f>'Управление ИБ'!K134</f>
        <v>5</v>
      </c>
      <c r="K433" s="161">
        <f>'Управление ИБ'!I134</f>
        <v>0</v>
      </c>
      <c r="L433" s="153">
        <f>'Управление ИБ'!L134</f>
        <v>0</v>
      </c>
      <c r="M433" s="153">
        <f t="shared" si="59"/>
        <v>0</v>
      </c>
      <c r="N433" s="153">
        <f t="shared" si="58"/>
        <v>5</v>
      </c>
      <c r="O433" s="153" t="str">
        <f>'Управление ИБ'!Z134</f>
        <v xml:space="preserve">Для всех систем:
- назначить ответственных за техническую поддержку пользователей ПО;
- формализовать порядок информирования пользователей об обновлениях ПО,обнаруженных уязвимостях и окончании технической поддержки
- назначить о ответственных за поиск уязвимостей ПО и их устранение. </v>
      </c>
      <c r="P433" s="155" t="s">
        <v>97</v>
      </c>
      <c r="Q433" s="156" t="s">
        <v>1281</v>
      </c>
      <c r="R433" s="153"/>
      <c r="S433" s="157"/>
      <c r="T433" s="151" t="s">
        <v>99</v>
      </c>
      <c r="U433" s="158">
        <v>0</v>
      </c>
      <c r="V433" s="158">
        <v>0</v>
      </c>
      <c r="W433" s="158">
        <v>0</v>
      </c>
      <c r="X433" s="158">
        <f t="shared" si="60"/>
        <v>0</v>
      </c>
      <c r="Y433" s="159"/>
      <c r="Z433" s="160"/>
      <c r="AA433" s="160"/>
      <c r="AB433" s="160"/>
      <c r="AC433" s="160"/>
      <c r="AD433" s="160"/>
      <c r="AE433" s="160"/>
    </row>
    <row r="434" spans="1:31" ht="409.6" hidden="1">
      <c r="A434" s="151" t="s">
        <v>156</v>
      </c>
      <c r="B434" s="167" t="s">
        <v>1236</v>
      </c>
      <c r="C434" s="161" t="str">
        <f>'Управление ИБ'!B136</f>
        <v>Формализованы и определены процедуры контроля сторонней разработки.
Заказчиком осуществляется контроль безопасности ПО при заказе разработки ПО</v>
      </c>
      <c r="D434" s="161" t="str">
        <f>'Управление ИБ'!C136</f>
        <v>УИБ.ПРС.6</v>
      </c>
      <c r="E434" s="161">
        <f>'Управление ИБ'!D136</f>
        <v>5</v>
      </c>
      <c r="F434" s="161">
        <f>'Управление ИБ'!E136</f>
        <v>3.2</v>
      </c>
      <c r="G434" s="161">
        <f>'Управление ИБ'!F136</f>
        <v>1.6</v>
      </c>
      <c r="H434" s="168">
        <f>'Управление ИБ'!Y136</f>
        <v>333.05999999999995</v>
      </c>
      <c r="I434" s="154" t="str">
        <f t="shared" si="57"/>
        <v>КБ3</v>
      </c>
      <c r="J434" s="169">
        <f>'Управление ИБ'!K136</f>
        <v>5</v>
      </c>
      <c r="K434" s="161">
        <f>'Управление ИБ'!I136</f>
        <v>0</v>
      </c>
      <c r="L434" s="153">
        <f>'Управление ИБ'!L136</f>
        <v>0</v>
      </c>
      <c r="M434" s="153">
        <f t="shared" si="59"/>
        <v>0</v>
      </c>
      <c r="N434" s="153">
        <f t="shared" si="58"/>
        <v>5</v>
      </c>
      <c r="O434" s="153" t="str">
        <f>'Управление ИБ'!Z136</f>
        <v>1. Вести отчетность по анализу кода ПО, полученного через цепочки поставок, на предмет внедрения вредоносного программного обеспечения для всех систем ;
2. Автоматизировать контроль безопасности ПО для всех систем;</v>
      </c>
      <c r="P434" s="155" t="s">
        <v>97</v>
      </c>
      <c r="Q434" s="156" t="s">
        <v>1284</v>
      </c>
      <c r="R434" s="153"/>
      <c r="S434" s="157"/>
      <c r="T434" s="151" t="s">
        <v>99</v>
      </c>
      <c r="U434" s="158">
        <v>0</v>
      </c>
      <c r="V434" s="158">
        <v>0</v>
      </c>
      <c r="W434" s="158">
        <v>0</v>
      </c>
      <c r="X434" s="158">
        <f t="shared" si="60"/>
        <v>0</v>
      </c>
      <c r="Y434" s="159"/>
      <c r="Z434" s="160"/>
      <c r="AA434" s="160"/>
      <c r="AB434" s="160"/>
      <c r="AC434" s="160"/>
      <c r="AD434" s="160"/>
      <c r="AE434" s="160"/>
    </row>
    <row r="435" spans="1:31" ht="327.60000000000002" hidden="1">
      <c r="A435" s="151" t="s">
        <v>156</v>
      </c>
      <c r="B435" s="167" t="s">
        <v>1236</v>
      </c>
      <c r="C435" s="161" t="str">
        <f>'Управление ИБ'!B137</f>
        <v>Создан и актуален реестр одобренных компонентов ПО, принадлежащих сторонним производителям. 
Отслеживаются  обновления и свежие версии компонентов не реже раз в месяц.</v>
      </c>
      <c r="D435" s="161" t="str">
        <f>'Управление ИБ'!C137</f>
        <v>УИБ.ПРС.7</v>
      </c>
      <c r="E435" s="161">
        <f>'Управление ИБ'!D137</f>
        <v>5</v>
      </c>
      <c r="F435" s="161">
        <f>'Управление ИБ'!E137</f>
        <v>3.2</v>
      </c>
      <c r="G435" s="161">
        <f>'Управление ИБ'!F137</f>
        <v>1.6</v>
      </c>
      <c r="H435" s="168">
        <f>'Управление ИБ'!Y137</f>
        <v>333.06999999999994</v>
      </c>
      <c r="I435" s="154" t="str">
        <f t="shared" si="57"/>
        <v>КБ3</v>
      </c>
      <c r="J435" s="169">
        <f>'Управление ИБ'!K137</f>
        <v>5</v>
      </c>
      <c r="K435" s="161">
        <f>'Управление ИБ'!I137</f>
        <v>0</v>
      </c>
      <c r="L435" s="153">
        <f>'Управление ИБ'!L137</f>
        <v>0</v>
      </c>
      <c r="M435" s="153">
        <f t="shared" si="59"/>
        <v>0</v>
      </c>
      <c r="N435" s="153">
        <f t="shared" si="58"/>
        <v>5</v>
      </c>
      <c r="O435" s="153" t="str">
        <f>'Управление ИБ'!Z137</f>
        <v>1.Мониторить процесс  поиска узявимостей в реестре одобренных компонентов ПО;
2.Отслеживать с помощью метрик процесс обновления ПО и информации об уязвимостях не реже одного раза в месяц.</v>
      </c>
      <c r="P435" s="155" t="s">
        <v>97</v>
      </c>
      <c r="Q435" s="156" t="s">
        <v>1287</v>
      </c>
      <c r="R435" s="153"/>
      <c r="S435" s="157"/>
      <c r="T435" s="151" t="s">
        <v>99</v>
      </c>
      <c r="U435" s="158">
        <v>0</v>
      </c>
      <c r="V435" s="158">
        <v>0</v>
      </c>
      <c r="W435" s="158">
        <v>0</v>
      </c>
      <c r="X435" s="158">
        <f t="shared" si="60"/>
        <v>0</v>
      </c>
      <c r="Y435" s="159"/>
      <c r="Z435" s="160"/>
      <c r="AA435" s="160"/>
      <c r="AB435" s="160"/>
      <c r="AC435" s="160"/>
      <c r="AD435" s="160"/>
      <c r="AE435" s="160"/>
    </row>
    <row r="436" spans="1:31" ht="117" hidden="1">
      <c r="A436" s="151" t="s">
        <v>156</v>
      </c>
      <c r="B436" s="167" t="s">
        <v>1236</v>
      </c>
      <c r="C436" s="161" t="str">
        <f>'Управление ИБ'!B138</f>
        <v>Компоненты Реестра ПО скачиваются из проверенных источников и проверяются на безопасность перед установкой</v>
      </c>
      <c r="D436" s="161" t="str">
        <f>'Управление ИБ'!C138</f>
        <v>УИБ.ПРС.8</v>
      </c>
      <c r="E436" s="161">
        <f>'Управление ИБ'!D138</f>
        <v>5</v>
      </c>
      <c r="F436" s="161">
        <f>'Управление ИБ'!E138</f>
        <v>3.2</v>
      </c>
      <c r="G436" s="161">
        <f>'Управление ИБ'!F138</f>
        <v>1.6</v>
      </c>
      <c r="H436" s="168">
        <f>'Управление ИБ'!Y138</f>
        <v>333.07999999999993</v>
      </c>
      <c r="I436" s="154" t="str">
        <f t="shared" si="57"/>
        <v>КБ3</v>
      </c>
      <c r="J436" s="169">
        <f>'Управление ИБ'!K138</f>
        <v>5</v>
      </c>
      <c r="K436" s="161">
        <f>'Управление ИБ'!I138</f>
        <v>0</v>
      </c>
      <c r="L436" s="153">
        <f>'Управление ИБ'!L138</f>
        <v>0</v>
      </c>
      <c r="M436" s="153">
        <f t="shared" si="59"/>
        <v>0</v>
      </c>
      <c r="N436" s="153">
        <f t="shared" si="58"/>
        <v>5</v>
      </c>
      <c r="O436" s="153" t="str">
        <f>'Управление ИБ'!Z138</f>
        <v xml:space="preserve">
Отслеживать с помощью метрик процесс проверки компонентов на уязвимости и угрозы безопасности.</v>
      </c>
      <c r="P436" s="155" t="s">
        <v>97</v>
      </c>
      <c r="Q436" s="156" t="s">
        <v>1290</v>
      </c>
      <c r="R436" s="153"/>
      <c r="S436" s="157"/>
      <c r="T436" s="151" t="s">
        <v>99</v>
      </c>
      <c r="U436" s="158">
        <v>0</v>
      </c>
      <c r="V436" s="158">
        <v>0</v>
      </c>
      <c r="W436" s="158">
        <v>0</v>
      </c>
      <c r="X436" s="158">
        <f t="shared" si="60"/>
        <v>0</v>
      </c>
      <c r="Y436" s="159"/>
      <c r="Z436" s="160"/>
      <c r="AA436" s="160"/>
      <c r="AB436" s="160"/>
      <c r="AC436" s="160"/>
      <c r="AD436" s="160"/>
      <c r="AE436" s="160"/>
    </row>
    <row r="437" spans="1:31" ht="140.4" hidden="1">
      <c r="A437" s="151" t="s">
        <v>156</v>
      </c>
      <c r="B437" s="167" t="s">
        <v>1236</v>
      </c>
      <c r="C437" s="161" t="str">
        <f>'Управление ИБ'!B139</f>
        <v>Для обеспечения безопасности критичных компонентов ПО используются механизмы безопасности системного уровня</v>
      </c>
      <c r="D437" s="161" t="str">
        <f>'Управление ИБ'!C139</f>
        <v>УИБ.ПРС.9</v>
      </c>
      <c r="E437" s="161">
        <f>'Управление ИБ'!D139</f>
        <v>5</v>
      </c>
      <c r="F437" s="161">
        <f>'Управление ИБ'!E139</f>
        <v>3.2</v>
      </c>
      <c r="G437" s="161">
        <f>'Управление ИБ'!F139</f>
        <v>1.6</v>
      </c>
      <c r="H437" s="168">
        <f>'Управление ИБ'!Y139</f>
        <v>333.08999999999992</v>
      </c>
      <c r="I437" s="154" t="str">
        <f t="shared" ref="I437:I455" si="61">IF(H437&lt;=200,"КБ1",IF(H437&lt;=300,"КБ2","КБ3"))</f>
        <v>КБ3</v>
      </c>
      <c r="J437" s="169">
        <f>'Управление ИБ'!K139</f>
        <v>5</v>
      </c>
      <c r="K437" s="161">
        <f>'Управление ИБ'!I139</f>
        <v>0</v>
      </c>
      <c r="L437" s="153">
        <f>'Управление ИБ'!L139</f>
        <v>0</v>
      </c>
      <c r="M437" s="153">
        <f t="shared" si="59"/>
        <v>0</v>
      </c>
      <c r="N437" s="153">
        <f t="shared" ref="N437:N455" si="62">IF(H437&lt;100,IF(L437&gt;=G437,0,J437-L437),IF(H437&lt;300,IF(L437&gt;=F437,0,J437-L437),IF(L437&gt;=E437,0,J437-L437)))</f>
        <v>5</v>
      </c>
      <c r="O437" s="153" t="str">
        <f>'Управление ИБ'!Z139</f>
        <v xml:space="preserve"> Для всех систем формализовать механизмы безопасности системного уровня для обеспечения безопасности критичных компонентов ПО.</v>
      </c>
      <c r="P437" s="155" t="s">
        <v>97</v>
      </c>
      <c r="Q437" s="156" t="s">
        <v>1278</v>
      </c>
      <c r="R437" s="153"/>
      <c r="S437" s="157"/>
      <c r="T437" s="151" t="s">
        <v>99</v>
      </c>
      <c r="U437" s="158">
        <v>0</v>
      </c>
      <c r="V437" s="158">
        <v>0</v>
      </c>
      <c r="W437" s="158">
        <v>0</v>
      </c>
      <c r="X437" s="158">
        <f t="shared" si="60"/>
        <v>0</v>
      </c>
      <c r="Y437" s="159"/>
      <c r="Z437" s="160"/>
      <c r="AA437" s="160"/>
      <c r="AB437" s="160"/>
      <c r="AC437" s="160"/>
      <c r="AD437" s="160"/>
      <c r="AE437" s="160"/>
    </row>
    <row r="438" spans="1:31" ht="163.80000000000001" hidden="1">
      <c r="A438" s="151" t="s">
        <v>156</v>
      </c>
      <c r="B438" s="152" t="s">
        <v>201</v>
      </c>
      <c r="C438" s="153" t="str">
        <f>'Управление ИБ'!B100</f>
        <v>Информационные системы Общества соотнесены с ИТ-инфраструктурой, на которой они функциониуют, а также с информационными ресурсами, относящимися к данным ИС</v>
      </c>
      <c r="D438" s="153" t="str">
        <f>'Управление ИБ'!C100</f>
        <v>УИБ.УА.1</v>
      </c>
      <c r="E438" s="153">
        <f>'Управление ИБ'!D100</f>
        <v>5</v>
      </c>
      <c r="F438" s="153">
        <f>'Управление ИБ'!E100</f>
        <v>3.2</v>
      </c>
      <c r="G438" s="153">
        <f>'Управление ИБ'!F100</f>
        <v>1.6</v>
      </c>
      <c r="H438" s="153">
        <f>'Управление ИБ'!Y100</f>
        <v>329.01</v>
      </c>
      <c r="I438" s="154" t="str">
        <f t="shared" si="61"/>
        <v>КБ3</v>
      </c>
      <c r="J438" s="154">
        <f>'Управление ИБ'!K100</f>
        <v>5</v>
      </c>
      <c r="K438" s="153">
        <f>'Управление ИБ'!I100</f>
        <v>0</v>
      </c>
      <c r="L438" s="153">
        <f>'Управление ИБ'!L100</f>
        <v>0</v>
      </c>
      <c r="M438" s="153">
        <f t="shared" si="59"/>
        <v>0</v>
      </c>
      <c r="N438" s="153">
        <f t="shared" si="62"/>
        <v>5</v>
      </c>
      <c r="O438" s="153" t="str">
        <f>'Управление ИБ'!Z100</f>
        <v xml:space="preserve"> - Обеспечить непрерывный учет и актуальность данных об ИС и их ресурсах.</v>
      </c>
      <c r="P438" s="155" t="s">
        <v>97</v>
      </c>
      <c r="Q438" s="156" t="s">
        <v>1222</v>
      </c>
      <c r="R438" s="153"/>
      <c r="S438" s="157"/>
      <c r="T438" s="151" t="s">
        <v>99</v>
      </c>
      <c r="U438" s="158">
        <v>0</v>
      </c>
      <c r="V438" s="158">
        <v>0</v>
      </c>
      <c r="W438" s="158">
        <v>0</v>
      </c>
      <c r="X438" s="158">
        <f t="shared" si="60"/>
        <v>0</v>
      </c>
      <c r="Y438" s="159"/>
      <c r="Z438" s="160"/>
      <c r="AA438" s="160"/>
      <c r="AB438" s="160"/>
      <c r="AC438" s="160"/>
      <c r="AD438" s="160"/>
      <c r="AE438" s="160"/>
    </row>
    <row r="439" spans="1:31" ht="93.6" hidden="1">
      <c r="A439" s="151" t="s">
        <v>156</v>
      </c>
      <c r="B439" s="152" t="s">
        <v>201</v>
      </c>
      <c r="C439" s="153" t="str">
        <f>'Управление ИБ'!B101</f>
        <v>Внедрен процесс инвентаризации и категорирования информационных активов</v>
      </c>
      <c r="D439" s="153" t="str">
        <f>'Управление ИБ'!C101</f>
        <v>УИБ.УА.2</v>
      </c>
      <c r="E439" s="153">
        <f>'Управление ИБ'!D101</f>
        <v>4</v>
      </c>
      <c r="F439" s="153">
        <f>'Управление ИБ'!E101</f>
        <v>3</v>
      </c>
      <c r="G439" s="153">
        <f>'Управление ИБ'!F101</f>
        <v>1</v>
      </c>
      <c r="H439" s="153">
        <f>'Управление ИБ'!Y101</f>
        <v>329.02</v>
      </c>
      <c r="I439" s="154" t="str">
        <f t="shared" si="61"/>
        <v>КБ3</v>
      </c>
      <c r="J439" s="154">
        <f>'Управление ИБ'!K101</f>
        <v>4</v>
      </c>
      <c r="K439" s="153">
        <f>'Управление ИБ'!I101</f>
        <v>0</v>
      </c>
      <c r="L439" s="153">
        <f>'Управление ИБ'!L101</f>
        <v>0</v>
      </c>
      <c r="M439" s="153">
        <f t="shared" si="59"/>
        <v>0</v>
      </c>
      <c r="N439" s="153">
        <f t="shared" si="62"/>
        <v>4</v>
      </c>
      <c r="O439" s="153" t="str">
        <f>'Управление ИБ'!Z101</f>
        <v xml:space="preserve"> Разработаны и внедрены метрики процесса инвентаризации и категорирования ИА.</v>
      </c>
      <c r="P439" s="155" t="s">
        <v>97</v>
      </c>
      <c r="Q439" s="156" t="s">
        <v>1169</v>
      </c>
      <c r="R439" s="153"/>
      <c r="S439" s="157"/>
      <c r="T439" s="151" t="s">
        <v>99</v>
      </c>
      <c r="U439" s="158">
        <v>0</v>
      </c>
      <c r="V439" s="158">
        <v>0</v>
      </c>
      <c r="W439" s="158">
        <v>0</v>
      </c>
      <c r="X439" s="158">
        <f t="shared" si="60"/>
        <v>0</v>
      </c>
      <c r="Y439" s="159"/>
      <c r="Z439" s="160"/>
      <c r="AA439" s="160"/>
      <c r="AB439" s="160"/>
      <c r="AC439" s="160"/>
      <c r="AD439" s="160"/>
      <c r="AE439" s="160"/>
    </row>
    <row r="440" spans="1:31" ht="351" hidden="1">
      <c r="A440" s="151" t="s">
        <v>156</v>
      </c>
      <c r="B440" s="152" t="s">
        <v>201</v>
      </c>
      <c r="C440" s="153" t="str">
        <f>'Управление ИБ'!B102</f>
        <v>Описаны все сетевые взаимодействия между компонентами инфраструктуры и информационными системами</v>
      </c>
      <c r="D440" s="153" t="str">
        <f>'Управление ИБ'!C102</f>
        <v>УИБ.УА.3</v>
      </c>
      <c r="E440" s="153">
        <f>'Управление ИБ'!D102</f>
        <v>5</v>
      </c>
      <c r="F440" s="153">
        <f>'Управление ИБ'!E102</f>
        <v>3.2</v>
      </c>
      <c r="G440" s="153">
        <f>'Управление ИБ'!F102</f>
        <v>0</v>
      </c>
      <c r="H440" s="153">
        <f>'Управление ИБ'!Y102</f>
        <v>329.03</v>
      </c>
      <c r="I440" s="154" t="str">
        <f t="shared" si="61"/>
        <v>КБ3</v>
      </c>
      <c r="J440" s="629">
        <f>'Управление ИБ'!K102</f>
        <v>5</v>
      </c>
      <c r="K440" s="628">
        <f>'Управление ИБ'!I102</f>
        <v>0</v>
      </c>
      <c r="L440" s="628">
        <f>'Управление ИБ'!L102</f>
        <v>0</v>
      </c>
      <c r="M440" s="628">
        <f t="shared" si="59"/>
        <v>0</v>
      </c>
      <c r="N440" s="153">
        <f t="shared" si="62"/>
        <v>5</v>
      </c>
      <c r="O440" s="153" t="str">
        <f>'Управление ИБ'!Z102</f>
        <v xml:space="preserve"> - Документировать перечень разрешенных сетевых взаимодействий для всех ИС;
  - Документировать конфигурацию сети (состав сетевых сегментов, сетевые маршруты, правила межсетевых экранов);
- Для каждого сетевого правила определить владельца и врям жизни
  - Регламентировать и реализовать процесс  согласования и изменения конфигурации сети.</v>
      </c>
      <c r="P440" s="155" t="s">
        <v>97</v>
      </c>
      <c r="Q440" s="156" t="s">
        <v>1297</v>
      </c>
      <c r="R440" s="153"/>
      <c r="S440" s="157"/>
      <c r="T440" s="151" t="s">
        <v>99</v>
      </c>
      <c r="U440" s="158">
        <v>0</v>
      </c>
      <c r="V440" s="158">
        <v>0</v>
      </c>
      <c r="W440" s="158">
        <v>0</v>
      </c>
      <c r="X440" s="158">
        <f t="shared" si="60"/>
        <v>0</v>
      </c>
      <c r="Y440" s="159"/>
      <c r="Z440" s="160"/>
      <c r="AA440" s="160"/>
      <c r="AB440" s="160"/>
      <c r="AC440" s="160"/>
      <c r="AD440" s="160"/>
      <c r="AE440" s="160"/>
    </row>
    <row r="441" spans="1:31" ht="140.4" hidden="1">
      <c r="A441" s="151" t="s">
        <v>156</v>
      </c>
      <c r="B441" s="152" t="s">
        <v>201</v>
      </c>
      <c r="C441" s="153" t="str">
        <f>'Управление ИБ'!B103</f>
        <v>Определены правила конфигурирования ативов (Харденинг)</v>
      </c>
      <c r="D441" s="153" t="str">
        <f>'Управление ИБ'!C103</f>
        <v>УИБ.УА.4</v>
      </c>
      <c r="E441" s="153">
        <f>'Управление ИБ'!D103</f>
        <v>5</v>
      </c>
      <c r="F441" s="153">
        <f>'Управление ИБ'!E103</f>
        <v>3.2</v>
      </c>
      <c r="G441" s="153">
        <f>'Управление ИБ'!F103</f>
        <v>0</v>
      </c>
      <c r="H441" s="153">
        <f>'Управление ИБ'!Y103</f>
        <v>329.03999999999996</v>
      </c>
      <c r="I441" s="154" t="str">
        <f t="shared" si="61"/>
        <v>КБ3</v>
      </c>
      <c r="J441" s="154">
        <f>'Управление ИБ'!K103</f>
        <v>5</v>
      </c>
      <c r="K441" s="153">
        <f>'Управление ИБ'!I103</f>
        <v>0</v>
      </c>
      <c r="L441" s="153">
        <f>'Управление ИБ'!L103</f>
        <v>0</v>
      </c>
      <c r="M441" s="153">
        <f t="shared" si="59"/>
        <v>0</v>
      </c>
      <c r="N441" s="153">
        <f t="shared" si="62"/>
        <v>5</v>
      </c>
      <c r="O441" s="153" t="str">
        <f>'Управление ИБ'!Z103</f>
        <v xml:space="preserve"> - Обеспечить применение безопасных конфигураций на 100% хостов;
  - Разработать безопасные конфигурации для видов ПО, применяемых в Обществе.</v>
      </c>
      <c r="P441" s="155" t="s">
        <v>97</v>
      </c>
      <c r="Q441" s="156" t="s">
        <v>1256</v>
      </c>
      <c r="R441" s="153"/>
      <c r="S441" s="157"/>
      <c r="T441" s="151" t="s">
        <v>99</v>
      </c>
      <c r="U441" s="158">
        <v>0</v>
      </c>
      <c r="V441" s="158">
        <v>0</v>
      </c>
      <c r="W441" s="158">
        <v>0</v>
      </c>
      <c r="X441" s="158">
        <f t="shared" si="60"/>
        <v>0</v>
      </c>
      <c r="Y441" s="159"/>
      <c r="Z441" s="160"/>
      <c r="AA441" s="160"/>
      <c r="AB441" s="160"/>
      <c r="AC441" s="160"/>
      <c r="AD441" s="160"/>
      <c r="AE441" s="160"/>
    </row>
    <row r="442" spans="1:31" ht="163.80000000000001" hidden="1">
      <c r="A442" s="151" t="s">
        <v>156</v>
      </c>
      <c r="B442" s="152" t="s">
        <v>201</v>
      </c>
      <c r="C442" s="153" t="str">
        <f>'Управление ИБ'!B104</f>
        <v>Осуществляется контроль изменений конфигураций оборудования (АРМ, Серверы, Активное сетевое оборудование)</v>
      </c>
      <c r="D442" s="153" t="str">
        <f>'Управление ИБ'!C104</f>
        <v>УИБ.УА.5</v>
      </c>
      <c r="E442" s="153">
        <f>'Управление ИБ'!D104</f>
        <v>5</v>
      </c>
      <c r="F442" s="153">
        <f>'Управление ИБ'!E104</f>
        <v>3.2</v>
      </c>
      <c r="G442" s="153">
        <f>'Управление ИБ'!F104</f>
        <v>0</v>
      </c>
      <c r="H442" s="153">
        <f>'Управление ИБ'!Y104</f>
        <v>329.04999999999995</v>
      </c>
      <c r="I442" s="154" t="str">
        <f t="shared" si="61"/>
        <v>КБ3</v>
      </c>
      <c r="J442" s="154">
        <f>'Управление ИБ'!K104</f>
        <v>5</v>
      </c>
      <c r="K442" s="153">
        <f>'Управление ИБ'!I104</f>
        <v>0</v>
      </c>
      <c r="L442" s="153">
        <f>'Управление ИБ'!L104</f>
        <v>0</v>
      </c>
      <c r="M442" s="153">
        <f t="shared" si="59"/>
        <v>0</v>
      </c>
      <c r="N442" s="153">
        <f t="shared" si="62"/>
        <v>5</v>
      </c>
      <c r="O442" s="153" t="str">
        <f>'Управление ИБ'!Z104</f>
        <v xml:space="preserve"> Осуществлять автоматизированный контроль конфигураций активного сетевого оборудования, серверов и конечных устройств;
 -  Отслеживать события изменения конфигурации.</v>
      </c>
      <c r="P442" s="155" t="s">
        <v>97</v>
      </c>
      <c r="Q442" s="156" t="s">
        <v>1299</v>
      </c>
      <c r="R442" s="153"/>
      <c r="S442" s="157"/>
      <c r="T442" s="151" t="s">
        <v>99</v>
      </c>
      <c r="U442" s="158">
        <v>0</v>
      </c>
      <c r="V442" s="158">
        <v>0</v>
      </c>
      <c r="W442" s="158">
        <v>0</v>
      </c>
      <c r="X442" s="158">
        <f t="shared" si="60"/>
        <v>0</v>
      </c>
      <c r="Y442" s="159"/>
      <c r="Z442" s="160"/>
      <c r="AA442" s="160"/>
      <c r="AB442" s="160"/>
      <c r="AC442" s="160"/>
      <c r="AD442" s="160"/>
      <c r="AE442" s="160"/>
    </row>
    <row r="443" spans="1:31" ht="210.6" hidden="1">
      <c r="A443" s="151" t="s">
        <v>156</v>
      </c>
      <c r="B443" s="152" t="s">
        <v>165</v>
      </c>
      <c r="C443" s="153" t="str">
        <f>'Управление ИБ'!B164</f>
        <v>Наличие политики/регламентов управления доступом к ИА</v>
      </c>
      <c r="D443" s="153" t="str">
        <f>'Управление ИБ'!C164</f>
        <v>УИБ.УД.1</v>
      </c>
      <c r="E443" s="153">
        <f>'Управление ИБ'!D164</f>
        <v>3.2</v>
      </c>
      <c r="F443" s="153">
        <f>'Управление ИБ'!E164</f>
        <v>1.6</v>
      </c>
      <c r="G443" s="153">
        <f>'Управление ИБ'!F164</f>
        <v>0</v>
      </c>
      <c r="H443" s="170">
        <f>'Управление ИБ'!Y164</f>
        <v>316.01</v>
      </c>
      <c r="I443" s="154" t="str">
        <f t="shared" si="61"/>
        <v>КБ3</v>
      </c>
      <c r="J443" s="154">
        <f>'Управление ИБ'!K164</f>
        <v>3.2</v>
      </c>
      <c r="K443" s="153">
        <f>'Управление ИБ'!I164</f>
        <v>0</v>
      </c>
      <c r="L443" s="153">
        <f>'Управление ИБ'!L164</f>
        <v>0</v>
      </c>
      <c r="M443" s="153">
        <f t="shared" si="59"/>
        <v>0</v>
      </c>
      <c r="N443" s="153">
        <f t="shared" si="62"/>
        <v>3.2</v>
      </c>
      <c r="O443" s="153" t="str">
        <f>'Управление ИБ'!Z164</f>
        <v xml:space="preserve"> - Разработать регламенты, описывающие процессы отзыва прав доступа, аудита прав доступа, порядок формирования и изменения ролевых моделей;
- Утвердить в Обществе ВНД, описывающий процесс защиты привилегированного доступа</v>
      </c>
      <c r="P443" s="155" t="s">
        <v>97</v>
      </c>
      <c r="Q443" s="156" t="s">
        <v>1243</v>
      </c>
      <c r="R443" s="153"/>
      <c r="S443" s="157"/>
      <c r="T443" s="151" t="s">
        <v>99</v>
      </c>
      <c r="U443" s="158">
        <v>0</v>
      </c>
      <c r="V443" s="158">
        <v>0</v>
      </c>
      <c r="W443" s="158">
        <v>0</v>
      </c>
      <c r="X443" s="158">
        <f t="shared" si="60"/>
        <v>0</v>
      </c>
      <c r="Y443" s="159"/>
      <c r="Z443" s="160"/>
      <c r="AA443" s="160"/>
      <c r="AB443" s="160"/>
      <c r="AC443" s="160"/>
      <c r="AD443" s="160"/>
      <c r="AE443" s="160"/>
    </row>
    <row r="444" spans="1:31" ht="117" hidden="1">
      <c r="A444" s="151" t="s">
        <v>156</v>
      </c>
      <c r="B444" s="152" t="s">
        <v>165</v>
      </c>
      <c r="C444" s="153" t="str">
        <f>'Управление ИБ'!B173</f>
        <v xml:space="preserve">При организации доступа к сети Интернет осуществляется контроль сетевых  протоколов и портов, URL адресов </v>
      </c>
      <c r="D444" s="153" t="str">
        <f>'Управление ИБ'!C173</f>
        <v>УИБ.УД.10</v>
      </c>
      <c r="E444" s="153">
        <f>'Управление ИБ'!D173</f>
        <v>5</v>
      </c>
      <c r="F444" s="153">
        <f>'Управление ИБ'!E173</f>
        <v>3.2</v>
      </c>
      <c r="G444" s="153">
        <f>'Управление ИБ'!F173</f>
        <v>1.6</v>
      </c>
      <c r="H444" s="170">
        <f>'Управление ИБ'!Y173</f>
        <v>316.09999999999991</v>
      </c>
      <c r="I444" s="154" t="str">
        <f t="shared" si="61"/>
        <v>КБ3</v>
      </c>
      <c r="J444" s="154">
        <f>'Управление ИБ'!K173</f>
        <v>5</v>
      </c>
      <c r="K444" s="153">
        <f>'Управление ИБ'!I173</f>
        <v>0</v>
      </c>
      <c r="L444" s="153">
        <f>'Управление ИБ'!L173</f>
        <v>0</v>
      </c>
      <c r="M444" s="153">
        <f t="shared" si="59"/>
        <v>0</v>
      </c>
      <c r="N444" s="153">
        <f t="shared" si="62"/>
        <v>5</v>
      </c>
      <c r="O444" s="153" t="str">
        <f>'Управление ИБ'!Z173</f>
        <v xml:space="preserve"> - Обеспечить взаимодействие с интернетом только по безопасным протоколам для всех существующих ИС.</v>
      </c>
      <c r="P444" s="155" t="s">
        <v>97</v>
      </c>
      <c r="Q444" s="156" t="s">
        <v>1259</v>
      </c>
      <c r="R444" s="153"/>
      <c r="S444" s="157"/>
      <c r="T444" s="151" t="s">
        <v>99</v>
      </c>
      <c r="U444" s="158">
        <v>0</v>
      </c>
      <c r="V444" s="158">
        <v>0</v>
      </c>
      <c r="W444" s="158">
        <v>0</v>
      </c>
      <c r="X444" s="158">
        <f t="shared" si="60"/>
        <v>0</v>
      </c>
      <c r="Y444" s="159"/>
      <c r="Z444" s="160"/>
      <c r="AA444" s="160"/>
      <c r="AB444" s="160"/>
      <c r="AC444" s="160"/>
      <c r="AD444" s="160"/>
      <c r="AE444" s="160"/>
    </row>
    <row r="445" spans="1:31" ht="327.60000000000002" hidden="1">
      <c r="A445" s="151" t="s">
        <v>156</v>
      </c>
      <c r="B445" s="152" t="s">
        <v>165</v>
      </c>
      <c r="C445" s="153" t="str">
        <f>'Управление ИБ'!B165</f>
        <v>Доступ к ИА Осуществляется на основе согласованных с ИБ ролевых моделей (исключение SoD-конфликтов)</v>
      </c>
      <c r="D445" s="153" t="str">
        <f>'Управление ИБ'!C165</f>
        <v>УИБ.УД.2</v>
      </c>
      <c r="E445" s="153">
        <f>'Управление ИБ'!D165</f>
        <v>5</v>
      </c>
      <c r="F445" s="153">
        <f>'Управление ИБ'!E165</f>
        <v>3.2</v>
      </c>
      <c r="G445" s="153">
        <f>'Управление ИБ'!F165</f>
        <v>1.6</v>
      </c>
      <c r="H445" s="170">
        <f>'Управление ИБ'!Y165</f>
        <v>316.02</v>
      </c>
      <c r="I445" s="154" t="str">
        <f t="shared" si="61"/>
        <v>КБ3</v>
      </c>
      <c r="J445" s="154">
        <f>'Управление ИБ'!K165</f>
        <v>5</v>
      </c>
      <c r="K445" s="153">
        <f>'Управление ИБ'!I165</f>
        <v>0</v>
      </c>
      <c r="L445" s="153">
        <f>'Управление ИБ'!L165</f>
        <v>0</v>
      </c>
      <c r="M445" s="153">
        <f t="shared" si="59"/>
        <v>0</v>
      </c>
      <c r="N445" s="153">
        <f t="shared" si="62"/>
        <v>5</v>
      </c>
      <c r="O445" s="153" t="str">
        <f>'Управление ИБ'!Z165</f>
        <v xml:space="preserve"> - Для всех ИС провести аудит прав доступа в ИС и назначить всем пользователям роли в соответствии с ролевой моделью;
  - Реализовать процесс определения ролей, совмещение явялется конфликтом разделения полномочий/Вести учет таких ролей;
  - Реализовать процесс назначения ролей с учетом исключения SoD-конфликтов</v>
      </c>
      <c r="P445" s="155" t="s">
        <v>97</v>
      </c>
      <c r="Q445" s="156" t="s">
        <v>1262</v>
      </c>
      <c r="R445" s="153"/>
      <c r="S445" s="157"/>
      <c r="T445" s="151" t="s">
        <v>99</v>
      </c>
      <c r="U445" s="158">
        <v>0</v>
      </c>
      <c r="V445" s="158">
        <v>0</v>
      </c>
      <c r="W445" s="158">
        <v>0</v>
      </c>
      <c r="X445" s="158">
        <f t="shared" si="60"/>
        <v>0</v>
      </c>
      <c r="Y445" s="159"/>
      <c r="Z445" s="160"/>
      <c r="AA445" s="160"/>
      <c r="AB445" s="160"/>
      <c r="AC445" s="160"/>
      <c r="AD445" s="160"/>
      <c r="AE445" s="160"/>
    </row>
    <row r="446" spans="1:31" ht="117" hidden="1">
      <c r="A446" s="151" t="s">
        <v>156</v>
      </c>
      <c r="B446" s="152" t="s">
        <v>165</v>
      </c>
      <c r="C446" s="153" t="str">
        <f>'Управление ИБ'!B166</f>
        <v>ИБ участвует в согласовании и предоставлении доступа</v>
      </c>
      <c r="D446" s="153" t="str">
        <f>'Управление ИБ'!C166</f>
        <v>УИБ.УД.3</v>
      </c>
      <c r="E446" s="153">
        <f>'Управление ИБ'!D166</f>
        <v>5</v>
      </c>
      <c r="F446" s="153">
        <f>'Управление ИБ'!E166</f>
        <v>3.2</v>
      </c>
      <c r="G446" s="153">
        <f>'Управление ИБ'!F166</f>
        <v>1.6</v>
      </c>
      <c r="H446" s="170">
        <f>'Управление ИБ'!Y166</f>
        <v>316.02999999999997</v>
      </c>
      <c r="I446" s="154" t="str">
        <f t="shared" si="61"/>
        <v>КБ3</v>
      </c>
      <c r="J446" s="154">
        <f>'Управление ИБ'!K166</f>
        <v>5</v>
      </c>
      <c r="K446" s="153">
        <f>'Управление ИБ'!I166</f>
        <v>0</v>
      </c>
      <c r="L446" s="153">
        <f>'Управление ИБ'!L166</f>
        <v>0</v>
      </c>
      <c r="M446" s="153">
        <f t="shared" si="59"/>
        <v>0</v>
      </c>
      <c r="N446" s="153">
        <f t="shared" si="62"/>
        <v>5</v>
      </c>
      <c r="O446" s="153" t="str">
        <f>'Управление ИБ'!Z166</f>
        <v xml:space="preserve"> - Реализовать процесс согласование доступа для административных учетных записей, создаваемых владельцем ИС.</v>
      </c>
      <c r="P446" s="155" t="s">
        <v>97</v>
      </c>
      <c r="Q446" s="156" t="s">
        <v>1264</v>
      </c>
      <c r="R446" s="153"/>
      <c r="S446" s="157"/>
      <c r="T446" s="151" t="s">
        <v>99</v>
      </c>
      <c r="U446" s="158">
        <v>0</v>
      </c>
      <c r="V446" s="158">
        <v>0</v>
      </c>
      <c r="W446" s="158">
        <v>0</v>
      </c>
      <c r="X446" s="158">
        <f t="shared" si="60"/>
        <v>0</v>
      </c>
      <c r="Y446" s="159"/>
      <c r="Z446" s="160"/>
      <c r="AA446" s="160"/>
      <c r="AB446" s="160"/>
      <c r="AC446" s="160"/>
      <c r="AD446" s="160"/>
      <c r="AE446" s="160"/>
    </row>
    <row r="447" spans="1:31" ht="140.4" hidden="1">
      <c r="A447" s="151" t="s">
        <v>156</v>
      </c>
      <c r="B447" s="152" t="s">
        <v>165</v>
      </c>
      <c r="C447" s="153" t="str">
        <f>'Управление ИБ'!B167</f>
        <v>При приеме нового сотрудника, изменении должности или роли осуществляется автоматическое назначение прав доступа</v>
      </c>
      <c r="D447" s="153" t="str">
        <f>'Управление ИБ'!C167</f>
        <v>УИБ.УД.4</v>
      </c>
      <c r="E447" s="153">
        <f>'Управление ИБ'!D167</f>
        <v>3.2</v>
      </c>
      <c r="F447" s="153">
        <f>'Управление ИБ'!E167</f>
        <v>1.6</v>
      </c>
      <c r="G447" s="153">
        <f>'Управление ИБ'!F167</f>
        <v>0</v>
      </c>
      <c r="H447" s="170">
        <f>'Управление ИБ'!Y167</f>
        <v>316.03999999999996</v>
      </c>
      <c r="I447" s="154" t="str">
        <f t="shared" si="61"/>
        <v>КБ3</v>
      </c>
      <c r="J447" s="154">
        <f>'Управление ИБ'!K167</f>
        <v>3.2</v>
      </c>
      <c r="K447" s="153">
        <f>'Управление ИБ'!I167</f>
        <v>0</v>
      </c>
      <c r="L447" s="153">
        <f>'Управление ИБ'!L167</f>
        <v>0</v>
      </c>
      <c r="M447" s="153">
        <f t="shared" si="59"/>
        <v>0</v>
      </c>
      <c r="N447" s="153">
        <f t="shared" si="62"/>
        <v>3.2</v>
      </c>
      <c r="O447" s="153" t="str">
        <f>'Управление ИБ'!Z167</f>
        <v xml:space="preserve"> - Реализовать автоматическое назначение прав в соответствии с должностью при приеме на работу или смене должности.</v>
      </c>
      <c r="P447" s="155" t="s">
        <v>97</v>
      </c>
      <c r="Q447" s="156" t="s">
        <v>1265</v>
      </c>
      <c r="R447" s="153"/>
      <c r="S447" s="157"/>
      <c r="T447" s="151" t="s">
        <v>99</v>
      </c>
      <c r="U447" s="158">
        <v>0</v>
      </c>
      <c r="V447" s="158">
        <v>0</v>
      </c>
      <c r="W447" s="158">
        <v>0</v>
      </c>
      <c r="X447" s="158">
        <f t="shared" si="60"/>
        <v>0</v>
      </c>
      <c r="Y447" s="159"/>
      <c r="Z447" s="160"/>
      <c r="AA447" s="160"/>
      <c r="AB447" s="160"/>
      <c r="AC447" s="160"/>
      <c r="AD447" s="160"/>
      <c r="AE447" s="160"/>
    </row>
    <row r="448" spans="1:31" ht="117" hidden="1">
      <c r="A448" s="151" t="s">
        <v>156</v>
      </c>
      <c r="B448" s="152" t="s">
        <v>165</v>
      </c>
      <c r="C448" s="153" t="str">
        <f>'Управление ИБ'!B168</f>
        <v>При увольнении работника происходит автоматический отзыв прав и блокировка УЗ</v>
      </c>
      <c r="D448" s="153" t="str">
        <f>'Управление ИБ'!C168</f>
        <v>УИБ.УД.5</v>
      </c>
      <c r="E448" s="153">
        <f>'Управление ИБ'!D168</f>
        <v>3.2</v>
      </c>
      <c r="F448" s="153">
        <f>'Управление ИБ'!E168</f>
        <v>1.6</v>
      </c>
      <c r="G448" s="153">
        <f>'Управление ИБ'!F168</f>
        <v>0</v>
      </c>
      <c r="H448" s="170">
        <f>'Управление ИБ'!Y168</f>
        <v>316.04999999999995</v>
      </c>
      <c r="I448" s="154" t="str">
        <f t="shared" si="61"/>
        <v>КБ3</v>
      </c>
      <c r="J448" s="154">
        <f>'Управление ИБ'!K168</f>
        <v>3.2</v>
      </c>
      <c r="K448" s="153">
        <f>'Управление ИБ'!I168</f>
        <v>0</v>
      </c>
      <c r="L448" s="153">
        <f>'Управление ИБ'!L168</f>
        <v>0</v>
      </c>
      <c r="M448" s="153">
        <f t="shared" ref="M448:M455" si="63">IF(K448=J448," ",L448-K448)</f>
        <v>0</v>
      </c>
      <c r="N448" s="153">
        <f t="shared" si="62"/>
        <v>3.2</v>
      </c>
      <c r="O448" s="153" t="str">
        <f>'Управление ИБ'!Z168</f>
        <v xml:space="preserve"> - Реализовать автоматический отзыв прав доступа при увольнении работника на основе данных из систем кадрового учета.</v>
      </c>
      <c r="P448" s="155" t="s">
        <v>97</v>
      </c>
      <c r="Q448" s="156" t="s">
        <v>1267</v>
      </c>
      <c r="R448" s="153"/>
      <c r="S448" s="157"/>
      <c r="T448" s="151" t="s">
        <v>99</v>
      </c>
      <c r="U448" s="158">
        <v>0</v>
      </c>
      <c r="V448" s="158">
        <v>0</v>
      </c>
      <c r="W448" s="158">
        <v>0</v>
      </c>
      <c r="X448" s="158">
        <f t="shared" si="60"/>
        <v>0</v>
      </c>
      <c r="Y448" s="159"/>
      <c r="Z448" s="160"/>
      <c r="AA448" s="160"/>
      <c r="AB448" s="160"/>
      <c r="AC448" s="160"/>
      <c r="AD448" s="160"/>
      <c r="AE448" s="160"/>
    </row>
    <row r="449" spans="1:31" ht="117" hidden="1">
      <c r="A449" s="151" t="s">
        <v>156</v>
      </c>
      <c r="B449" s="152" t="s">
        <v>165</v>
      </c>
      <c r="C449" s="153" t="str">
        <f>'Управление ИБ'!B169</f>
        <v>Проводится регулярный аудит УЗ и доступов не реже одного раза в год</v>
      </c>
      <c r="D449" s="153" t="str">
        <f>'Управление ИБ'!C169</f>
        <v>УИБ.УД.6</v>
      </c>
      <c r="E449" s="153">
        <f>'Управление ИБ'!D169</f>
        <v>5</v>
      </c>
      <c r="F449" s="153">
        <f>'Управление ИБ'!E169</f>
        <v>3.2</v>
      </c>
      <c r="G449" s="153">
        <f>'Управление ИБ'!F169</f>
        <v>1.6</v>
      </c>
      <c r="H449" s="170">
        <f>'Управление ИБ'!Y169</f>
        <v>316.05999999999995</v>
      </c>
      <c r="I449" s="154" t="str">
        <f t="shared" si="61"/>
        <v>КБ3</v>
      </c>
      <c r="J449" s="154">
        <f>'Управление ИБ'!K169</f>
        <v>5</v>
      </c>
      <c r="K449" s="153">
        <f>'Управление ИБ'!I169</f>
        <v>0</v>
      </c>
      <c r="L449" s="153">
        <f>'Управление ИБ'!L169</f>
        <v>0</v>
      </c>
      <c r="M449" s="153">
        <f t="shared" si="63"/>
        <v>0</v>
      </c>
      <c r="N449" s="153">
        <f t="shared" si="62"/>
        <v>5</v>
      </c>
      <c r="O449" s="153" t="str">
        <f>'Управление ИБ'!Z169</f>
        <v xml:space="preserve"> - Реализовать процесс регулярного аудита всех учетных записей для всех ИС. Обеспечить проведение аудита не реже чем раз в 6 месяцев.</v>
      </c>
      <c r="P449" s="155" t="s">
        <v>97</v>
      </c>
      <c r="Q449" s="156" t="s">
        <v>1269</v>
      </c>
      <c r="R449" s="153"/>
      <c r="S449" s="157"/>
      <c r="T449" s="151" t="s">
        <v>99</v>
      </c>
      <c r="U449" s="158">
        <v>0</v>
      </c>
      <c r="V449" s="158">
        <v>0</v>
      </c>
      <c r="W449" s="158">
        <v>0</v>
      </c>
      <c r="X449" s="158">
        <f t="shared" si="60"/>
        <v>0</v>
      </c>
      <c r="Y449" s="159"/>
      <c r="Z449" s="160"/>
      <c r="AA449" s="160"/>
      <c r="AB449" s="160"/>
      <c r="AC449" s="160"/>
      <c r="AD449" s="160"/>
      <c r="AE449" s="160"/>
    </row>
    <row r="450" spans="1:31" ht="140.4" hidden="1">
      <c r="A450" s="151" t="s">
        <v>156</v>
      </c>
      <c r="B450" s="152" t="s">
        <v>231</v>
      </c>
      <c r="C450" s="153" t="str">
        <f>'Управление ИБ'!B73</f>
        <v>Разработана и утверждена Политика управления рисками ИБ</v>
      </c>
      <c r="D450" s="153" t="str">
        <f>'Управление ИБ'!C73</f>
        <v>УИБ.УР.2</v>
      </c>
      <c r="E450" s="153">
        <f>'Управление ИБ'!D73</f>
        <v>5</v>
      </c>
      <c r="F450" s="153">
        <f>'Управление ИБ'!E73</f>
        <v>0</v>
      </c>
      <c r="G450" s="153">
        <f>'Управление ИБ'!F73</f>
        <v>0</v>
      </c>
      <c r="H450" s="153">
        <f>'Управление ИБ'!Y73</f>
        <v>341.02</v>
      </c>
      <c r="I450" s="154" t="str">
        <f t="shared" si="61"/>
        <v>КБ3</v>
      </c>
      <c r="J450" s="154">
        <f>'Управление ИБ'!K73</f>
        <v>5</v>
      </c>
      <c r="K450" s="153">
        <f>'Управление ИБ'!I73</f>
        <v>0</v>
      </c>
      <c r="L450" s="153">
        <f>'Управление ИБ'!L73</f>
        <v>0</v>
      </c>
      <c r="M450" s="153">
        <f t="shared" si="63"/>
        <v>0</v>
      </c>
      <c r="N450" s="153">
        <f t="shared" si="62"/>
        <v>5</v>
      </c>
      <c r="O450" s="153" t="str">
        <f>'Управление ИБ'!Z73</f>
        <v>- Разработать или Получить в Блоке ИБ ПАО Ростелеком типовую политику  управления рисками;
- Утвердить в Обществе политику  управления рисками</v>
      </c>
      <c r="P450" s="155" t="s">
        <v>97</v>
      </c>
      <c r="Q450" s="156" t="s">
        <v>1292</v>
      </c>
      <c r="R450" s="153"/>
      <c r="S450" s="157"/>
      <c r="T450" s="151" t="s">
        <v>99</v>
      </c>
      <c r="U450" s="158">
        <v>0</v>
      </c>
      <c r="V450" s="158">
        <v>0</v>
      </c>
      <c r="W450" s="158">
        <v>0</v>
      </c>
      <c r="X450" s="158">
        <f t="shared" si="60"/>
        <v>0</v>
      </c>
      <c r="Y450" s="159"/>
      <c r="Z450" s="160"/>
      <c r="AA450" s="160"/>
      <c r="AB450" s="160"/>
      <c r="AC450" s="160"/>
      <c r="AD450" s="160"/>
      <c r="AE450" s="160"/>
    </row>
    <row r="451" spans="1:31" ht="374.4" hidden="1">
      <c r="A451" s="151" t="s">
        <v>156</v>
      </c>
      <c r="B451" s="152" t="s">
        <v>231</v>
      </c>
      <c r="C451" s="153" t="str">
        <f>'Управление ИБ'!B75</f>
        <v>Внедрен процесс количественной оценки рисков ИБ</v>
      </c>
      <c r="D451" s="153" t="str">
        <f>'Управление ИБ'!C75</f>
        <v>УИБ.УР.4</v>
      </c>
      <c r="E451" s="153">
        <f>'Управление ИБ'!D75</f>
        <v>4</v>
      </c>
      <c r="F451" s="153">
        <f>'Управление ИБ'!E75</f>
        <v>0</v>
      </c>
      <c r="G451" s="153">
        <f>'Управление ИБ'!F75</f>
        <v>0</v>
      </c>
      <c r="H451" s="153">
        <f>'Управление ИБ'!Y75</f>
        <v>341.03999999999996</v>
      </c>
      <c r="I451" s="154" t="str">
        <f t="shared" si="61"/>
        <v>КБ3</v>
      </c>
      <c r="J451" s="154">
        <f>'Управление ИБ'!K75</f>
        <v>4</v>
      </c>
      <c r="K451" s="153">
        <f>'Управление ИБ'!I75</f>
        <v>0</v>
      </c>
      <c r="L451" s="153">
        <f>'Управление ИБ'!L75</f>
        <v>0</v>
      </c>
      <c r="M451" s="153">
        <f t="shared" si="63"/>
        <v>0</v>
      </c>
      <c r="N451" s="153">
        <f t="shared" si="62"/>
        <v>4</v>
      </c>
      <c r="O451" s="153" t="str">
        <f>'Управление ИБ'!Z75</f>
        <v>- Разработать и утвердить методику количественной оценки рисков ИБ;
- Реализовать процесс количественной оценки рисков ИБ на основе методологии ПАО Ростелеком
- Автоматизировать систему оценки рисков ИБ
- разработаны и внедрены ключевые индикаторы риска (КИР), 
- организован мониторинг значений КИР, определены процедуры при выходе КИР в красную зону</v>
      </c>
      <c r="P451" s="155" t="s">
        <v>97</v>
      </c>
      <c r="Q451" s="156" t="s">
        <v>1301</v>
      </c>
      <c r="R451" s="153"/>
      <c r="S451" s="157"/>
      <c r="T451" s="151" t="s">
        <v>99</v>
      </c>
      <c r="U451" s="158">
        <v>0</v>
      </c>
      <c r="V451" s="158">
        <v>0</v>
      </c>
      <c r="W451" s="158">
        <v>0</v>
      </c>
      <c r="X451" s="158">
        <f t="shared" si="60"/>
        <v>0</v>
      </c>
      <c r="Y451" s="159"/>
      <c r="Z451" s="160"/>
      <c r="AA451" s="160"/>
      <c r="AB451" s="160"/>
      <c r="AC451" s="160"/>
      <c r="AD451" s="160"/>
      <c r="AE451" s="160"/>
    </row>
    <row r="452" spans="1:31" ht="93.6" hidden="1">
      <c r="A452" s="151" t="s">
        <v>156</v>
      </c>
      <c r="B452" s="152" t="s">
        <v>231</v>
      </c>
      <c r="C452" s="153" t="str">
        <f>'Управление ИБ'!B76</f>
        <v>Процесс оценки рисков ИБ интегрирован в общую систему управления рисками Общества</v>
      </c>
      <c r="D452" s="153" t="str">
        <f>'Управление ИБ'!C76</f>
        <v>УИБ.УР.5</v>
      </c>
      <c r="E452" s="153">
        <f>'Управление ИБ'!D76</f>
        <v>5</v>
      </c>
      <c r="F452" s="153">
        <f>'Управление ИБ'!E76</f>
        <v>0</v>
      </c>
      <c r="G452" s="153">
        <f>'Управление ИБ'!F76</f>
        <v>0</v>
      </c>
      <c r="H452" s="153">
        <f>'Управление ИБ'!Y76</f>
        <v>341.04999999999995</v>
      </c>
      <c r="I452" s="154" t="str">
        <f t="shared" si="61"/>
        <v>КБ3</v>
      </c>
      <c r="J452" s="629">
        <f>'Управление ИБ'!K76</f>
        <v>5</v>
      </c>
      <c r="K452" s="628">
        <f>'Управление ИБ'!I76</f>
        <v>0</v>
      </c>
      <c r="L452" s="628">
        <f>'Управление ИБ'!L76</f>
        <v>0</v>
      </c>
      <c r="M452" s="628">
        <f t="shared" si="63"/>
        <v>0</v>
      </c>
      <c r="N452" s="153">
        <f t="shared" si="62"/>
        <v>5</v>
      </c>
      <c r="O452" s="153" t="str">
        <f>'Управление ИБ'!Z76</f>
        <v>-Интегрировать риски ИБ в общую систему управления рисками Общества</v>
      </c>
      <c r="P452" s="155" t="s">
        <v>97</v>
      </c>
      <c r="Q452" s="156" t="s">
        <v>1302</v>
      </c>
      <c r="R452" s="153"/>
      <c r="S452" s="157"/>
      <c r="T452" s="151" t="s">
        <v>99</v>
      </c>
      <c r="U452" s="158">
        <v>0</v>
      </c>
      <c r="V452" s="158">
        <v>0</v>
      </c>
      <c r="W452" s="158">
        <v>0</v>
      </c>
      <c r="X452" s="158">
        <f t="shared" si="60"/>
        <v>0</v>
      </c>
      <c r="Y452" s="159"/>
      <c r="Z452" s="160"/>
      <c r="AA452" s="160"/>
      <c r="AB452" s="160"/>
      <c r="AC452" s="160"/>
      <c r="AD452" s="160"/>
      <c r="AE452" s="160"/>
    </row>
    <row r="453" spans="1:31" ht="280.8" hidden="1">
      <c r="A453" s="151" t="s">
        <v>156</v>
      </c>
      <c r="B453" s="152" t="s">
        <v>206</v>
      </c>
      <c r="C453" s="153" t="str">
        <f>'Управление ИБ'!B150</f>
        <v>Управление устройствами хранения информации должно осуществляться на всем протяжении их жизненного цикла, включающего приобретение, использование, транспортировку и уничтожение, в соответствии с классификационной схемой Общества и требованиями к обращению.</v>
      </c>
      <c r="D453" s="153" t="str">
        <f>'Управление ИБ'!C150</f>
        <v>УИБ.ФД.4</v>
      </c>
      <c r="E453" s="153">
        <f>'Управление ИБ'!D150</f>
        <v>5</v>
      </c>
      <c r="F453" s="153">
        <f>'Управление ИБ'!E150</f>
        <v>3.2</v>
      </c>
      <c r="G453" s="153">
        <f>'Управление ИБ'!F150</f>
        <v>1.6</v>
      </c>
      <c r="H453" s="170">
        <f>'Управление ИБ'!Y150</f>
        <v>334.03999999999996</v>
      </c>
      <c r="I453" s="154" t="str">
        <f t="shared" si="61"/>
        <v>КБ3</v>
      </c>
      <c r="J453" s="154">
        <f>'Управление ИБ'!K150</f>
        <v>5</v>
      </c>
      <c r="K453" s="153">
        <f>'Управление ИБ'!I150</f>
        <v>0</v>
      </c>
      <c r="L453" s="153">
        <f>'Управление ИБ'!L150</f>
        <v>0</v>
      </c>
      <c r="M453" s="153">
        <f t="shared" si="63"/>
        <v>0</v>
      </c>
      <c r="N453" s="153">
        <f t="shared" si="62"/>
        <v>5</v>
      </c>
      <c r="O453" s="153" t="str">
        <f>'Управление ИБ'!Z150</f>
        <v xml:space="preserve"> - Управление устройствами хранения информации и их учет осуществлять в автоматизированном режиме;</v>
      </c>
      <c r="P453" s="155" t="s">
        <v>97</v>
      </c>
      <c r="Q453" s="156" t="s">
        <v>1303</v>
      </c>
      <c r="R453" s="153"/>
      <c r="S453" s="157"/>
      <c r="T453" s="151" t="s">
        <v>99</v>
      </c>
      <c r="U453" s="158">
        <v>0</v>
      </c>
      <c r="V453" s="158">
        <v>0</v>
      </c>
      <c r="W453" s="158">
        <v>0</v>
      </c>
      <c r="X453" s="158">
        <f t="shared" si="60"/>
        <v>0</v>
      </c>
      <c r="Y453" s="159"/>
      <c r="Z453" s="160"/>
      <c r="AA453" s="160"/>
      <c r="AB453" s="160"/>
      <c r="AC453" s="160"/>
      <c r="AD453" s="160"/>
      <c r="AE453" s="160"/>
    </row>
    <row r="454" spans="1:31" ht="163.80000000000001" hidden="1">
      <c r="A454" s="151" t="s">
        <v>156</v>
      </c>
      <c r="B454" s="152" t="s">
        <v>207</v>
      </c>
      <c r="C454" s="153" t="str">
        <f>'Управление ИБ'!B106</f>
        <v>Процессы взаимодействия в ИТ цепочке c участниками цепочки поставок определены, управляются и согласовываются заинтересованными сторонами Общества</v>
      </c>
      <c r="D454" s="153" t="str">
        <f>'Управление ИБ'!C106</f>
        <v>УИБ.ЦП.1</v>
      </c>
      <c r="E454" s="153">
        <f>'Управление ИБ'!D106</f>
        <v>5</v>
      </c>
      <c r="F454" s="153">
        <f>'Управление ИБ'!E106</f>
        <v>3.2</v>
      </c>
      <c r="G454" s="153">
        <f>'Управление ИБ'!F106</f>
        <v>1.6</v>
      </c>
      <c r="H454" s="153">
        <f>'Управление ИБ'!Y106</f>
        <v>335.01</v>
      </c>
      <c r="I454" s="154" t="str">
        <f t="shared" si="61"/>
        <v>КБ3</v>
      </c>
      <c r="J454" s="154">
        <f>'Управление ИБ'!K106</f>
        <v>5</v>
      </c>
      <c r="K454" s="153">
        <f>'Управление ИБ'!I106</f>
        <v>0</v>
      </c>
      <c r="L454" s="153">
        <f>'Управление ИБ'!L106</f>
        <v>0</v>
      </c>
      <c r="M454" s="153">
        <f t="shared" si="63"/>
        <v>0</v>
      </c>
      <c r="N454" s="628">
        <f t="shared" si="62"/>
        <v>5</v>
      </c>
      <c r="O454" s="153" t="str">
        <f>'Управление ИБ'!Z106</f>
        <v>Для договоров, подразумевающих интеграцию\сетевые взаимодействие, обязательно наличие утвержденных схем</v>
      </c>
      <c r="P454" s="155" t="s">
        <v>97</v>
      </c>
      <c r="Q454" s="156" t="s">
        <v>1308</v>
      </c>
      <c r="R454" s="153"/>
      <c r="S454" s="157"/>
      <c r="T454" s="151" t="s">
        <v>99</v>
      </c>
      <c r="U454" s="158">
        <v>0</v>
      </c>
      <c r="V454" s="158">
        <v>0</v>
      </c>
      <c r="W454" s="158">
        <v>0</v>
      </c>
      <c r="X454" s="158">
        <f t="shared" si="60"/>
        <v>0</v>
      </c>
      <c r="Y454" s="159"/>
      <c r="Z454" s="160"/>
      <c r="AA454" s="160"/>
      <c r="AB454" s="160"/>
      <c r="AC454" s="160"/>
      <c r="AD454" s="160"/>
      <c r="AE454" s="160"/>
    </row>
    <row r="455" spans="1:31" ht="257.39999999999998" hidden="1">
      <c r="A455" s="151" t="s">
        <v>156</v>
      </c>
      <c r="B455" s="152" t="s">
        <v>207</v>
      </c>
      <c r="C455" s="153" t="str">
        <f>'Управление ИБ'!B108</f>
        <v>Поставщики и сторонние партнеры (имеющие доступ в инфраструктуру Общества) регулярно проходят оценку, чтобы подтвердить, что они выполняют свои договорные обязательства. Проводятся обзоры аудитов, резюме результатов испытаний или другие эквивалентные оценки поставщиков</v>
      </c>
      <c r="D455" s="153" t="str">
        <f>'Управление ИБ'!C108</f>
        <v>УИБ.ЦП.3</v>
      </c>
      <c r="E455" s="153">
        <f>'Управление ИБ'!D108</f>
        <v>5</v>
      </c>
      <c r="F455" s="153">
        <f>'Управление ИБ'!E108</f>
        <v>3.2</v>
      </c>
      <c r="G455" s="153">
        <f>'Управление ИБ'!F108</f>
        <v>1.6</v>
      </c>
      <c r="H455" s="153">
        <f>'Управление ИБ'!Y108</f>
        <v>335.03</v>
      </c>
      <c r="I455" s="154" t="str">
        <f t="shared" si="61"/>
        <v>КБ3</v>
      </c>
      <c r="J455" s="154">
        <f>'Управление ИБ'!K108</f>
        <v>5</v>
      </c>
      <c r="K455" s="153">
        <f>'Управление ИБ'!I108</f>
        <v>0</v>
      </c>
      <c r="L455" s="153">
        <f>'Управление ИБ'!L108</f>
        <v>0</v>
      </c>
      <c r="M455" s="153">
        <f t="shared" si="63"/>
        <v>0</v>
      </c>
      <c r="N455" s="153">
        <f t="shared" si="62"/>
        <v>5</v>
      </c>
      <c r="O455" s="153" t="str">
        <f>'Управление ИБ'!Z108</f>
        <v xml:space="preserve"> - Регулярно запрашивать у подрядчиков отчеты о пройденных аудитах.</v>
      </c>
      <c r="P455" s="155" t="s">
        <v>97</v>
      </c>
      <c r="Q455" s="156" t="s">
        <v>315</v>
      </c>
      <c r="R455" s="153"/>
      <c r="S455" s="157"/>
      <c r="T455" s="151" t="s">
        <v>99</v>
      </c>
      <c r="U455" s="158">
        <v>0</v>
      </c>
      <c r="V455" s="158">
        <v>0</v>
      </c>
      <c r="W455" s="158">
        <v>0</v>
      </c>
      <c r="X455" s="158">
        <f t="shared" si="60"/>
        <v>0</v>
      </c>
      <c r="Y455" s="159"/>
      <c r="Z455" s="160"/>
      <c r="AA455" s="160"/>
      <c r="AB455" s="160"/>
      <c r="AC455" s="160"/>
      <c r="AD455" s="160"/>
      <c r="AE455" s="160"/>
    </row>
    <row r="456" spans="1:31" ht="23.4">
      <c r="A456" s="175"/>
      <c r="B456" s="142"/>
      <c r="C456" s="143"/>
      <c r="D456" s="143"/>
      <c r="E456" s="143"/>
      <c r="F456" s="143"/>
      <c r="G456" s="143"/>
      <c r="H456" s="143"/>
      <c r="I456" s="142"/>
      <c r="J456" s="142"/>
      <c r="K456" s="143"/>
      <c r="L456" s="143"/>
      <c r="M456" s="143"/>
      <c r="N456" s="143"/>
      <c r="O456" s="143"/>
      <c r="P456" s="143"/>
      <c r="Q456" s="176"/>
      <c r="R456" s="143"/>
      <c r="S456" s="177"/>
      <c r="T456" s="177"/>
      <c r="U456" s="177"/>
      <c r="V456" s="177"/>
      <c r="W456" s="177"/>
      <c r="X456" s="177"/>
      <c r="Y456" s="159"/>
      <c r="Z456" s="160"/>
      <c r="AA456" s="160"/>
      <c r="AB456" s="160"/>
      <c r="AC456" s="160"/>
      <c r="AD456" s="160"/>
      <c r="AE456" s="160"/>
    </row>
    <row r="457" spans="1:31" ht="23.4">
      <c r="A457" s="175"/>
      <c r="B457" s="142"/>
      <c r="C457" s="143"/>
      <c r="D457" s="143"/>
      <c r="E457" s="143"/>
      <c r="F457" s="143"/>
      <c r="G457" s="143"/>
      <c r="H457" s="143"/>
      <c r="I457" s="142"/>
      <c r="J457" s="142"/>
      <c r="K457" s="143"/>
      <c r="L457" s="143"/>
      <c r="M457" s="143"/>
      <c r="N457" s="143"/>
      <c r="O457" s="143"/>
      <c r="P457" s="143"/>
      <c r="Q457" s="176"/>
      <c r="R457" s="143"/>
      <c r="S457" s="177"/>
      <c r="T457" s="177"/>
      <c r="U457" s="177"/>
      <c r="V457" s="177"/>
      <c r="W457" s="177"/>
      <c r="X457" s="177"/>
      <c r="Y457" s="159"/>
      <c r="Z457" s="160"/>
      <c r="AA457" s="160"/>
      <c r="AB457" s="160"/>
      <c r="AC457" s="160"/>
      <c r="AD457" s="160"/>
      <c r="AE457" s="160"/>
    </row>
    <row r="458" spans="1:31" ht="23.4">
      <c r="A458" s="175"/>
      <c r="B458" s="142"/>
      <c r="C458" s="143"/>
      <c r="D458" s="143"/>
      <c r="E458" s="143"/>
      <c r="F458" s="143"/>
      <c r="G458" s="143"/>
      <c r="H458" s="143"/>
      <c r="I458" s="142"/>
      <c r="J458" s="142"/>
      <c r="K458" s="143"/>
      <c r="L458" s="143"/>
      <c r="M458" s="143"/>
      <c r="N458" s="143"/>
      <c r="O458" s="143"/>
      <c r="P458" s="143"/>
      <c r="Q458" s="176"/>
      <c r="R458" s="143"/>
      <c r="S458" s="177"/>
      <c r="T458" s="177"/>
      <c r="U458" s="177"/>
      <c r="V458" s="177"/>
      <c r="W458" s="177"/>
      <c r="X458" s="177"/>
      <c r="Y458" s="159"/>
      <c r="Z458" s="160"/>
      <c r="AA458" s="160"/>
      <c r="AB458" s="160"/>
      <c r="AC458" s="160"/>
      <c r="AD458" s="160"/>
      <c r="AE458" s="160"/>
    </row>
    <row r="459" spans="1:31" ht="23.4">
      <c r="A459" s="175"/>
      <c r="B459" s="142"/>
      <c r="C459" s="143"/>
      <c r="D459" s="143"/>
      <c r="E459" s="143"/>
      <c r="F459" s="143"/>
      <c r="G459" s="143"/>
      <c r="H459" s="143"/>
      <c r="I459" s="142"/>
      <c r="J459" s="142"/>
      <c r="K459" s="143"/>
      <c r="L459" s="143"/>
      <c r="M459" s="143"/>
      <c r="N459" s="143"/>
      <c r="O459" s="143"/>
      <c r="P459" s="143"/>
      <c r="Q459" s="176"/>
      <c r="R459" s="143"/>
      <c r="S459" s="177"/>
      <c r="T459" s="177"/>
      <c r="U459" s="177"/>
      <c r="V459" s="177"/>
      <c r="W459" s="177"/>
      <c r="X459" s="177"/>
      <c r="Y459" s="159"/>
      <c r="Z459" s="160"/>
      <c r="AA459" s="160"/>
      <c r="AB459" s="160"/>
      <c r="AC459" s="160"/>
      <c r="AD459" s="160"/>
      <c r="AE459" s="160"/>
    </row>
    <row r="460" spans="1:31" ht="23.4">
      <c r="A460" s="175"/>
      <c r="B460" s="142"/>
      <c r="C460" s="143"/>
      <c r="D460" s="143"/>
      <c r="E460" s="143"/>
      <c r="F460" s="143"/>
      <c r="G460" s="143"/>
      <c r="H460" s="143"/>
      <c r="I460" s="142"/>
      <c r="J460" s="142"/>
      <c r="K460" s="143"/>
      <c r="L460" s="143"/>
      <c r="M460" s="143"/>
      <c r="N460" s="143"/>
      <c r="O460" s="143"/>
      <c r="P460" s="143"/>
      <c r="Q460" s="176"/>
      <c r="R460" s="143"/>
      <c r="S460" s="177"/>
      <c r="T460" s="177"/>
      <c r="U460" s="177"/>
      <c r="V460" s="177"/>
      <c r="W460" s="177"/>
      <c r="X460" s="177"/>
      <c r="Y460" s="159"/>
      <c r="Z460" s="160"/>
      <c r="AA460" s="160"/>
      <c r="AB460" s="160"/>
      <c r="AC460" s="160"/>
      <c r="AD460" s="160"/>
      <c r="AE460" s="160"/>
    </row>
    <row r="461" spans="1:31" ht="23.4">
      <c r="A461" s="175"/>
      <c r="B461" s="142"/>
      <c r="C461" s="143"/>
      <c r="D461" s="143"/>
      <c r="E461" s="143"/>
      <c r="F461" s="143"/>
      <c r="G461" s="143"/>
      <c r="H461" s="143"/>
      <c r="I461" s="142"/>
      <c r="J461" s="142"/>
      <c r="K461" s="143"/>
      <c r="L461" s="143"/>
      <c r="M461" s="143"/>
      <c r="N461" s="143"/>
      <c r="O461" s="143"/>
      <c r="P461" s="143"/>
      <c r="Q461" s="176"/>
      <c r="R461" s="143"/>
      <c r="S461" s="177"/>
      <c r="T461" s="177"/>
      <c r="U461" s="177"/>
      <c r="V461" s="177"/>
      <c r="W461" s="177"/>
      <c r="X461" s="177"/>
      <c r="Y461" s="159"/>
      <c r="Z461" s="160"/>
      <c r="AA461" s="160"/>
      <c r="AB461" s="160"/>
      <c r="AC461" s="160"/>
      <c r="AD461" s="160"/>
      <c r="AE461" s="160"/>
    </row>
    <row r="462" spans="1:31" ht="23.4">
      <c r="A462" s="175"/>
      <c r="B462" s="142"/>
      <c r="C462" s="143"/>
      <c r="D462" s="143"/>
      <c r="E462" s="143"/>
      <c r="F462" s="143"/>
      <c r="G462" s="143"/>
      <c r="H462" s="143"/>
      <c r="I462" s="142"/>
      <c r="J462" s="142"/>
      <c r="K462" s="143"/>
      <c r="L462" s="143"/>
      <c r="M462" s="143"/>
      <c r="N462" s="143"/>
      <c r="O462" s="143"/>
      <c r="P462" s="143"/>
      <c r="Q462" s="176"/>
      <c r="R462" s="143"/>
      <c r="S462" s="177"/>
      <c r="T462" s="177"/>
      <c r="U462" s="177"/>
      <c r="V462" s="177"/>
      <c r="W462" s="177"/>
      <c r="X462" s="177"/>
      <c r="Y462" s="159"/>
      <c r="Z462" s="160"/>
      <c r="AA462" s="160"/>
      <c r="AB462" s="160"/>
      <c r="AC462" s="160"/>
      <c r="AD462" s="160"/>
      <c r="AE462" s="160"/>
    </row>
    <row r="463" spans="1:31" ht="23.4">
      <c r="A463" s="175"/>
      <c r="B463" s="142"/>
      <c r="C463" s="143"/>
      <c r="D463" s="143"/>
      <c r="E463" s="143"/>
      <c r="F463" s="143"/>
      <c r="G463" s="143"/>
      <c r="H463" s="143"/>
      <c r="I463" s="142"/>
      <c r="J463" s="142"/>
      <c r="K463" s="143"/>
      <c r="L463" s="143"/>
      <c r="M463" s="143"/>
      <c r="N463" s="143"/>
      <c r="O463" s="143"/>
      <c r="P463" s="143"/>
      <c r="Q463" s="176"/>
      <c r="R463" s="143"/>
      <c r="S463" s="177"/>
      <c r="T463" s="177"/>
      <c r="U463" s="177"/>
      <c r="V463" s="177"/>
      <c r="W463" s="177"/>
      <c r="X463" s="177"/>
      <c r="Y463" s="159"/>
      <c r="Z463" s="160"/>
      <c r="AA463" s="160"/>
      <c r="AB463" s="160"/>
      <c r="AC463" s="160"/>
      <c r="AD463" s="160"/>
      <c r="AE463" s="160"/>
    </row>
    <row r="464" spans="1:31" ht="23.4">
      <c r="A464" s="175"/>
      <c r="B464" s="142"/>
      <c r="C464" s="143"/>
      <c r="D464" s="143"/>
      <c r="E464" s="143"/>
      <c r="F464" s="143"/>
      <c r="G464" s="143"/>
      <c r="H464" s="143"/>
      <c r="I464" s="142"/>
      <c r="J464" s="142"/>
      <c r="K464" s="143"/>
      <c r="L464" s="143"/>
      <c r="M464" s="143"/>
      <c r="N464" s="143"/>
      <c r="O464" s="143"/>
      <c r="P464" s="143"/>
      <c r="Q464" s="176"/>
      <c r="R464" s="143"/>
      <c r="S464" s="177"/>
      <c r="T464" s="177"/>
      <c r="U464" s="177"/>
      <c r="V464" s="177"/>
      <c r="W464" s="177"/>
      <c r="X464" s="177"/>
      <c r="Y464" s="159"/>
      <c r="Z464" s="160"/>
      <c r="AA464" s="160"/>
      <c r="AB464" s="160"/>
      <c r="AC464" s="160"/>
      <c r="AD464" s="160"/>
      <c r="AE464" s="160"/>
    </row>
    <row r="465" spans="1:31" ht="23.4">
      <c r="A465" s="175"/>
      <c r="B465" s="142"/>
      <c r="C465" s="143"/>
      <c r="D465" s="143"/>
      <c r="E465" s="143"/>
      <c r="F465" s="143"/>
      <c r="G465" s="143"/>
      <c r="H465" s="143"/>
      <c r="I465" s="142"/>
      <c r="J465" s="142"/>
      <c r="K465" s="143"/>
      <c r="L465" s="143"/>
      <c r="M465" s="143"/>
      <c r="N465" s="143"/>
      <c r="O465" s="143"/>
      <c r="P465" s="143"/>
      <c r="Q465" s="176"/>
      <c r="R465" s="143"/>
      <c r="S465" s="177"/>
      <c r="T465" s="177"/>
      <c r="U465" s="177"/>
      <c r="V465" s="177"/>
      <c r="W465" s="177"/>
      <c r="X465" s="177"/>
      <c r="Y465" s="159"/>
      <c r="Z465" s="160"/>
      <c r="AA465" s="160"/>
      <c r="AB465" s="160"/>
      <c r="AC465" s="160"/>
      <c r="AD465" s="160"/>
      <c r="AE465" s="160"/>
    </row>
    <row r="466" spans="1:31" ht="23.4">
      <c r="A466" s="175"/>
      <c r="B466" s="142"/>
      <c r="C466" s="143"/>
      <c r="D466" s="143"/>
      <c r="E466" s="143"/>
      <c r="F466" s="143"/>
      <c r="G466" s="143"/>
      <c r="H466" s="143"/>
      <c r="I466" s="142"/>
      <c r="J466" s="142"/>
      <c r="K466" s="143"/>
      <c r="L466" s="143"/>
      <c r="M466" s="143"/>
      <c r="N466" s="143"/>
      <c r="O466" s="143"/>
      <c r="P466" s="143"/>
      <c r="Q466" s="176"/>
      <c r="R466" s="143"/>
      <c r="S466" s="177"/>
      <c r="T466" s="177"/>
      <c r="U466" s="177"/>
      <c r="V466" s="177"/>
      <c r="W466" s="177"/>
      <c r="X466" s="177"/>
      <c r="Y466" s="159"/>
      <c r="Z466" s="160"/>
      <c r="AA466" s="160"/>
      <c r="AB466" s="160"/>
      <c r="AC466" s="160"/>
      <c r="AD466" s="160"/>
      <c r="AE466" s="160"/>
    </row>
    <row r="467" spans="1:31" ht="23.4">
      <c r="A467" s="175"/>
      <c r="B467" s="142"/>
      <c r="C467" s="143"/>
      <c r="D467" s="143"/>
      <c r="E467" s="143"/>
      <c r="F467" s="143"/>
      <c r="G467" s="143"/>
      <c r="H467" s="143"/>
      <c r="I467" s="142"/>
      <c r="J467" s="142"/>
      <c r="K467" s="143"/>
      <c r="L467" s="143"/>
      <c r="M467" s="143"/>
      <c r="N467" s="143"/>
      <c r="O467" s="143"/>
      <c r="P467" s="143"/>
      <c r="Q467" s="176"/>
      <c r="R467" s="143"/>
      <c r="S467" s="177"/>
      <c r="T467" s="177"/>
      <c r="U467" s="177"/>
      <c r="V467" s="177"/>
      <c r="W467" s="177"/>
      <c r="X467" s="177"/>
      <c r="Y467" s="159"/>
      <c r="Z467" s="160"/>
      <c r="AA467" s="160"/>
      <c r="AB467" s="160"/>
      <c r="AC467" s="160"/>
      <c r="AD467" s="160"/>
      <c r="AE467" s="160"/>
    </row>
    <row r="468" spans="1:31" ht="23.4">
      <c r="A468" s="175"/>
      <c r="B468" s="142"/>
      <c r="C468" s="143"/>
      <c r="D468" s="143"/>
      <c r="E468" s="143"/>
      <c r="F468" s="143"/>
      <c r="G468" s="143"/>
      <c r="H468" s="143"/>
      <c r="I468" s="142"/>
      <c r="J468" s="142"/>
      <c r="K468" s="143"/>
      <c r="L468" s="143"/>
      <c r="M468" s="143"/>
      <c r="N468" s="143"/>
      <c r="O468" s="143"/>
      <c r="P468" s="143"/>
      <c r="Q468" s="176"/>
      <c r="R468" s="143"/>
      <c r="S468" s="177"/>
      <c r="T468" s="177"/>
      <c r="U468" s="177"/>
      <c r="V468" s="177"/>
      <c r="W468" s="177"/>
      <c r="X468" s="177"/>
      <c r="Y468" s="159"/>
      <c r="Z468" s="160"/>
      <c r="AA468" s="160"/>
      <c r="AB468" s="160"/>
      <c r="AC468" s="160"/>
      <c r="AD468" s="160"/>
      <c r="AE468" s="160"/>
    </row>
    <row r="469" spans="1:31" ht="23.4">
      <c r="A469" s="175"/>
      <c r="B469" s="142"/>
      <c r="C469" s="143"/>
      <c r="D469" s="143"/>
      <c r="E469" s="143"/>
      <c r="F469" s="143"/>
      <c r="G469" s="143"/>
      <c r="H469" s="143"/>
      <c r="I469" s="142"/>
      <c r="J469" s="142"/>
      <c r="K469" s="143"/>
      <c r="L469" s="143"/>
      <c r="M469" s="143"/>
      <c r="N469" s="143"/>
      <c r="O469" s="143"/>
      <c r="P469" s="143"/>
      <c r="Q469" s="176"/>
      <c r="R469" s="143"/>
      <c r="S469" s="177"/>
      <c r="T469" s="177"/>
      <c r="U469" s="177"/>
      <c r="V469" s="177"/>
      <c r="W469" s="177"/>
      <c r="X469" s="177"/>
      <c r="Y469" s="159"/>
      <c r="Z469" s="160"/>
      <c r="AA469" s="160"/>
      <c r="AB469" s="160"/>
      <c r="AC469" s="160"/>
      <c r="AD469" s="160"/>
      <c r="AE469" s="160"/>
    </row>
    <row r="470" spans="1:31" ht="23.4">
      <c r="A470" s="175"/>
      <c r="B470" s="142"/>
      <c r="C470" s="143"/>
      <c r="D470" s="143"/>
      <c r="E470" s="143"/>
      <c r="F470" s="143"/>
      <c r="G470" s="143"/>
      <c r="H470" s="143"/>
      <c r="I470" s="142"/>
      <c r="J470" s="142"/>
      <c r="K470" s="143"/>
      <c r="L470" s="143"/>
      <c r="M470" s="143"/>
      <c r="N470" s="143"/>
      <c r="O470" s="143"/>
      <c r="P470" s="143"/>
      <c r="Q470" s="176"/>
      <c r="R470" s="143"/>
      <c r="S470" s="177"/>
      <c r="T470" s="177"/>
      <c r="U470" s="177"/>
      <c r="V470" s="177"/>
      <c r="W470" s="177"/>
      <c r="X470" s="177"/>
      <c r="Y470" s="159"/>
      <c r="Z470" s="160"/>
      <c r="AA470" s="160"/>
      <c r="AB470" s="160"/>
      <c r="AC470" s="160"/>
      <c r="AD470" s="160"/>
      <c r="AE470" s="160"/>
    </row>
    <row r="471" spans="1:31" ht="23.4">
      <c r="A471" s="175"/>
      <c r="B471" s="142"/>
      <c r="C471" s="143"/>
      <c r="D471" s="143"/>
      <c r="E471" s="143"/>
      <c r="F471" s="143"/>
      <c r="G471" s="143"/>
      <c r="H471" s="143"/>
      <c r="I471" s="142"/>
      <c r="J471" s="142"/>
      <c r="K471" s="143"/>
      <c r="L471" s="143"/>
      <c r="M471" s="143"/>
      <c r="N471" s="143"/>
      <c r="O471" s="143"/>
      <c r="P471" s="143"/>
      <c r="Q471" s="176"/>
      <c r="R471" s="143"/>
      <c r="S471" s="177"/>
      <c r="T471" s="177"/>
      <c r="U471" s="177"/>
      <c r="V471" s="177"/>
      <c r="W471" s="177"/>
      <c r="X471" s="177"/>
      <c r="Y471" s="159"/>
      <c r="Z471" s="160"/>
      <c r="AA471" s="160"/>
      <c r="AB471" s="160"/>
      <c r="AC471" s="160"/>
      <c r="AD471" s="160"/>
      <c r="AE471" s="160"/>
    </row>
    <row r="472" spans="1:31" ht="23.4">
      <c r="A472" s="175"/>
      <c r="B472" s="142"/>
      <c r="C472" s="143"/>
      <c r="D472" s="143"/>
      <c r="E472" s="143"/>
      <c r="F472" s="143"/>
      <c r="G472" s="143"/>
      <c r="H472" s="143"/>
      <c r="I472" s="142"/>
      <c r="J472" s="142"/>
      <c r="K472" s="143"/>
      <c r="L472" s="143"/>
      <c r="M472" s="143"/>
      <c r="N472" s="143"/>
      <c r="O472" s="143"/>
      <c r="P472" s="143"/>
      <c r="Q472" s="176"/>
      <c r="R472" s="143"/>
      <c r="S472" s="177"/>
      <c r="T472" s="177"/>
      <c r="U472" s="177"/>
      <c r="V472" s="177"/>
      <c r="W472" s="177"/>
      <c r="X472" s="177"/>
      <c r="Y472" s="159"/>
      <c r="Z472" s="160"/>
      <c r="AA472" s="160"/>
      <c r="AB472" s="160"/>
      <c r="AC472" s="160"/>
      <c r="AD472" s="160"/>
      <c r="AE472" s="160"/>
    </row>
    <row r="473" spans="1:31" ht="23.4">
      <c r="A473" s="175"/>
      <c r="B473" s="142"/>
      <c r="C473" s="143"/>
      <c r="D473" s="143"/>
      <c r="E473" s="143"/>
      <c r="F473" s="143"/>
      <c r="G473" s="143"/>
      <c r="H473" s="143"/>
      <c r="I473" s="142"/>
      <c r="J473" s="142"/>
      <c r="K473" s="143"/>
      <c r="L473" s="143"/>
      <c r="M473" s="143"/>
      <c r="N473" s="143"/>
      <c r="O473" s="143"/>
      <c r="P473" s="143"/>
      <c r="Q473" s="176"/>
      <c r="R473" s="143"/>
      <c r="S473" s="177"/>
      <c r="T473" s="177"/>
      <c r="U473" s="177"/>
      <c r="V473" s="177"/>
      <c r="W473" s="177"/>
      <c r="X473" s="177"/>
      <c r="Y473" s="159"/>
      <c r="Z473" s="160"/>
      <c r="AA473" s="160"/>
      <c r="AB473" s="160"/>
      <c r="AC473" s="160"/>
      <c r="AD473" s="160"/>
      <c r="AE473" s="160"/>
    </row>
    <row r="474" spans="1:31" ht="23.4">
      <c r="A474" s="175"/>
      <c r="B474" s="142"/>
      <c r="C474" s="143"/>
      <c r="D474" s="143"/>
      <c r="E474" s="143"/>
      <c r="F474" s="143"/>
      <c r="G474" s="143"/>
      <c r="H474" s="143"/>
      <c r="I474" s="142"/>
      <c r="J474" s="142"/>
      <c r="K474" s="143"/>
      <c r="L474" s="143"/>
      <c r="M474" s="143"/>
      <c r="N474" s="143"/>
      <c r="O474" s="143"/>
      <c r="P474" s="143"/>
      <c r="Q474" s="176"/>
      <c r="R474" s="143"/>
      <c r="S474" s="177"/>
      <c r="T474" s="177"/>
      <c r="U474" s="177"/>
      <c r="V474" s="177"/>
      <c r="W474" s="177"/>
      <c r="X474" s="177"/>
      <c r="Y474" s="159"/>
      <c r="Z474" s="160"/>
      <c r="AA474" s="160"/>
      <c r="AB474" s="160"/>
      <c r="AC474" s="160"/>
      <c r="AD474" s="160"/>
      <c r="AE474" s="160"/>
    </row>
    <row r="475" spans="1:31" ht="23.4">
      <c r="A475" s="175"/>
      <c r="B475" s="142"/>
      <c r="C475" s="143"/>
      <c r="D475" s="143"/>
      <c r="E475" s="143"/>
      <c r="F475" s="143"/>
      <c r="G475" s="143"/>
      <c r="H475" s="143"/>
      <c r="I475" s="142"/>
      <c r="J475" s="142"/>
      <c r="K475" s="143"/>
      <c r="L475" s="143"/>
      <c r="M475" s="143"/>
      <c r="N475" s="143"/>
      <c r="O475" s="143"/>
      <c r="P475" s="143"/>
      <c r="Q475" s="176"/>
      <c r="R475" s="143"/>
      <c r="S475" s="177"/>
      <c r="T475" s="177"/>
      <c r="U475" s="177"/>
      <c r="V475" s="177"/>
      <c r="W475" s="177"/>
      <c r="X475" s="177"/>
      <c r="Y475" s="159"/>
      <c r="Z475" s="160"/>
      <c r="AA475" s="160"/>
      <c r="AB475" s="160"/>
      <c r="AC475" s="160"/>
      <c r="AD475" s="160"/>
      <c r="AE475" s="160"/>
    </row>
    <row r="476" spans="1:31" ht="23.4">
      <c r="A476" s="175"/>
      <c r="B476" s="142"/>
      <c r="C476" s="143"/>
      <c r="D476" s="143"/>
      <c r="E476" s="143"/>
      <c r="F476" s="143"/>
      <c r="G476" s="143"/>
      <c r="H476" s="143"/>
      <c r="I476" s="142"/>
      <c r="J476" s="142"/>
      <c r="K476" s="143"/>
      <c r="L476" s="143"/>
      <c r="M476" s="143"/>
      <c r="N476" s="143"/>
      <c r="O476" s="143"/>
      <c r="P476" s="143"/>
      <c r="Q476" s="176"/>
      <c r="R476" s="143"/>
      <c r="S476" s="177"/>
      <c r="T476" s="177"/>
      <c r="U476" s="177"/>
      <c r="V476" s="177"/>
      <c r="W476" s="177"/>
      <c r="X476" s="177"/>
      <c r="Y476" s="159"/>
      <c r="Z476" s="160"/>
      <c r="AA476" s="160"/>
      <c r="AB476" s="160"/>
      <c r="AC476" s="160"/>
      <c r="AD476" s="160"/>
      <c r="AE476" s="160"/>
    </row>
    <row r="477" spans="1:31" ht="23.4">
      <c r="A477" s="175"/>
      <c r="B477" s="142"/>
      <c r="C477" s="143"/>
      <c r="D477" s="143"/>
      <c r="E477" s="143"/>
      <c r="F477" s="143"/>
      <c r="G477" s="143"/>
      <c r="H477" s="143"/>
      <c r="I477" s="142"/>
      <c r="J477" s="142"/>
      <c r="K477" s="143"/>
      <c r="L477" s="143"/>
      <c r="M477" s="143"/>
      <c r="N477" s="143"/>
      <c r="O477" s="143"/>
      <c r="P477" s="143"/>
      <c r="Q477" s="176"/>
      <c r="R477" s="143"/>
      <c r="S477" s="177"/>
      <c r="T477" s="177"/>
      <c r="U477" s="177"/>
      <c r="V477" s="177"/>
      <c r="W477" s="177"/>
      <c r="X477" s="177"/>
      <c r="Y477" s="159"/>
      <c r="Z477" s="160"/>
      <c r="AA477" s="160"/>
      <c r="AB477" s="160"/>
      <c r="AC477" s="160"/>
      <c r="AD477" s="160"/>
      <c r="AE477" s="160"/>
    </row>
    <row r="478" spans="1:31" ht="23.4">
      <c r="A478" s="175"/>
      <c r="B478" s="142"/>
      <c r="C478" s="143"/>
      <c r="D478" s="143"/>
      <c r="E478" s="143"/>
      <c r="F478" s="143"/>
      <c r="G478" s="143"/>
      <c r="H478" s="143"/>
      <c r="I478" s="142"/>
      <c r="J478" s="142"/>
      <c r="K478" s="143"/>
      <c r="L478" s="143"/>
      <c r="M478" s="143"/>
      <c r="N478" s="143"/>
      <c r="O478" s="143"/>
      <c r="P478" s="143"/>
      <c r="Q478" s="176"/>
      <c r="R478" s="143"/>
      <c r="S478" s="177"/>
      <c r="T478" s="177"/>
      <c r="U478" s="177"/>
      <c r="V478" s="177"/>
      <c r="W478" s="177"/>
      <c r="X478" s="177"/>
      <c r="Y478" s="159"/>
      <c r="Z478" s="160"/>
      <c r="AA478" s="160"/>
      <c r="AB478" s="160"/>
      <c r="AC478" s="160"/>
      <c r="AD478" s="160"/>
      <c r="AE478" s="160"/>
    </row>
    <row r="479" spans="1:31" ht="23.4">
      <c r="A479" s="175"/>
      <c r="B479" s="142"/>
      <c r="C479" s="143"/>
      <c r="D479" s="143"/>
      <c r="E479" s="143"/>
      <c r="F479" s="143"/>
      <c r="G479" s="143"/>
      <c r="H479" s="143"/>
      <c r="I479" s="142"/>
      <c r="J479" s="142"/>
      <c r="K479" s="143"/>
      <c r="L479" s="143"/>
      <c r="M479" s="143"/>
      <c r="N479" s="143"/>
      <c r="O479" s="143"/>
      <c r="P479" s="143"/>
      <c r="Q479" s="176"/>
      <c r="R479" s="143"/>
      <c r="S479" s="177"/>
      <c r="T479" s="177"/>
      <c r="U479" s="177"/>
      <c r="V479" s="177"/>
      <c r="W479" s="177"/>
      <c r="X479" s="177"/>
      <c r="Y479" s="159"/>
      <c r="Z479" s="160"/>
      <c r="AA479" s="160"/>
      <c r="AB479" s="160"/>
      <c r="AC479" s="160"/>
      <c r="AD479" s="160"/>
      <c r="AE479" s="160"/>
    </row>
    <row r="480" spans="1:31" ht="23.4">
      <c r="A480" s="175"/>
      <c r="B480" s="142"/>
      <c r="C480" s="143"/>
      <c r="D480" s="143"/>
      <c r="E480" s="143"/>
      <c r="F480" s="143"/>
      <c r="G480" s="143"/>
      <c r="H480" s="143"/>
      <c r="I480" s="142"/>
      <c r="J480" s="142"/>
      <c r="K480" s="143"/>
      <c r="L480" s="178"/>
      <c r="M480" s="143"/>
      <c r="N480" s="143"/>
      <c r="O480" s="143"/>
      <c r="P480" s="143"/>
      <c r="Q480" s="176"/>
      <c r="R480" s="143"/>
      <c r="S480" s="177"/>
      <c r="T480" s="177"/>
      <c r="U480" s="177"/>
      <c r="V480" s="177"/>
      <c r="W480" s="177"/>
      <c r="X480" s="177"/>
      <c r="Y480" s="159"/>
      <c r="Z480" s="160"/>
      <c r="AA480" s="160"/>
      <c r="AB480" s="160"/>
      <c r="AC480" s="160"/>
      <c r="AD480" s="160"/>
      <c r="AE480" s="160"/>
    </row>
    <row r="481" spans="1:31" ht="23.4">
      <c r="A481" s="175"/>
      <c r="B481" s="142"/>
      <c r="C481" s="143"/>
      <c r="D481" s="143"/>
      <c r="E481" s="143"/>
      <c r="F481" s="143"/>
      <c r="G481" s="143"/>
      <c r="H481" s="143"/>
      <c r="I481" s="142"/>
      <c r="J481" s="142"/>
      <c r="K481" s="143"/>
      <c r="L481" s="178"/>
      <c r="M481" s="143"/>
      <c r="N481" s="143"/>
      <c r="O481" s="143"/>
      <c r="P481" s="143"/>
      <c r="Q481" s="176"/>
      <c r="R481" s="143"/>
      <c r="S481" s="177"/>
      <c r="T481" s="177"/>
      <c r="U481" s="177"/>
      <c r="V481" s="177"/>
      <c r="W481" s="177"/>
      <c r="X481" s="177"/>
      <c r="Y481" s="159"/>
      <c r="Z481" s="160"/>
      <c r="AA481" s="160"/>
      <c r="AB481" s="160"/>
      <c r="AC481" s="160"/>
      <c r="AD481" s="160"/>
      <c r="AE481" s="160"/>
    </row>
    <row r="482" spans="1:31" ht="23.4">
      <c r="A482" s="175"/>
      <c r="B482" s="142"/>
      <c r="C482" s="143"/>
      <c r="D482" s="143"/>
      <c r="E482" s="143"/>
      <c r="F482" s="143"/>
      <c r="G482" s="143"/>
      <c r="H482" s="143"/>
      <c r="I482" s="142"/>
      <c r="J482" s="142"/>
      <c r="K482" s="143"/>
      <c r="L482" s="178"/>
      <c r="M482" s="143"/>
      <c r="N482" s="143"/>
      <c r="O482" s="143"/>
      <c r="P482" s="143"/>
      <c r="Q482" s="176"/>
      <c r="R482" s="143"/>
      <c r="S482" s="177"/>
      <c r="T482" s="177"/>
      <c r="U482" s="177"/>
      <c r="V482" s="177"/>
      <c r="W482" s="177"/>
      <c r="X482" s="177"/>
      <c r="Y482" s="159"/>
      <c r="Z482" s="160"/>
      <c r="AA482" s="160"/>
      <c r="AB482" s="160"/>
      <c r="AC482" s="160"/>
      <c r="AD482" s="160"/>
      <c r="AE482" s="160"/>
    </row>
    <row r="483" spans="1:31" ht="23.4">
      <c r="A483" s="175"/>
      <c r="B483" s="142"/>
      <c r="C483" s="143"/>
      <c r="D483" s="143"/>
      <c r="E483" s="143"/>
      <c r="F483" s="143"/>
      <c r="G483" s="143"/>
      <c r="H483" s="143"/>
      <c r="I483" s="142"/>
      <c r="J483" s="142"/>
      <c r="K483" s="143"/>
      <c r="L483" s="178"/>
      <c r="M483" s="143"/>
      <c r="N483" s="143"/>
      <c r="O483" s="143"/>
      <c r="P483" s="143"/>
      <c r="Q483" s="176"/>
      <c r="R483" s="143"/>
      <c r="S483" s="177"/>
      <c r="T483" s="177"/>
      <c r="U483" s="177"/>
      <c r="V483" s="177"/>
      <c r="W483" s="177"/>
      <c r="X483" s="177"/>
      <c r="Y483" s="159"/>
      <c r="Z483" s="160"/>
      <c r="AA483" s="160"/>
      <c r="AB483" s="160"/>
      <c r="AC483" s="160"/>
      <c r="AD483" s="160"/>
      <c r="AE483" s="160"/>
    </row>
    <row r="484" spans="1:31" ht="23.4">
      <c r="A484" s="175"/>
      <c r="B484" s="142"/>
      <c r="C484" s="143"/>
      <c r="D484" s="143"/>
      <c r="E484" s="143"/>
      <c r="F484" s="143"/>
      <c r="G484" s="143"/>
      <c r="H484" s="143"/>
      <c r="I484" s="142"/>
      <c r="J484" s="142"/>
      <c r="K484" s="143"/>
      <c r="L484" s="178"/>
      <c r="M484" s="143"/>
      <c r="N484" s="143"/>
      <c r="O484" s="143"/>
      <c r="P484" s="143"/>
      <c r="Q484" s="176"/>
      <c r="R484" s="143"/>
      <c r="S484" s="177"/>
      <c r="T484" s="177"/>
      <c r="U484" s="177"/>
      <c r="V484" s="177"/>
      <c r="W484" s="177"/>
      <c r="X484" s="177"/>
      <c r="Y484" s="159"/>
      <c r="Z484" s="160"/>
      <c r="AA484" s="160"/>
      <c r="AB484" s="160"/>
      <c r="AC484" s="160"/>
      <c r="AD484" s="160"/>
      <c r="AE484" s="160"/>
    </row>
    <row r="485" spans="1:31" ht="23.4">
      <c r="A485" s="175"/>
      <c r="B485" s="142"/>
      <c r="C485" s="143"/>
      <c r="D485" s="143"/>
      <c r="E485" s="143"/>
      <c r="F485" s="143"/>
      <c r="G485" s="143"/>
      <c r="H485" s="143"/>
      <c r="I485" s="142"/>
      <c r="J485" s="142"/>
      <c r="K485" s="143"/>
      <c r="L485" s="178"/>
      <c r="M485" s="143"/>
      <c r="N485" s="143"/>
      <c r="O485" s="143"/>
      <c r="P485" s="143"/>
      <c r="Q485" s="176"/>
      <c r="R485" s="143"/>
      <c r="S485" s="177"/>
      <c r="T485" s="177"/>
      <c r="U485" s="177"/>
      <c r="V485" s="177"/>
      <c r="W485" s="177"/>
      <c r="X485" s="177"/>
      <c r="Y485" s="159"/>
      <c r="Z485" s="160"/>
      <c r="AA485" s="160"/>
      <c r="AB485" s="160"/>
      <c r="AC485" s="160"/>
      <c r="AD485" s="160"/>
      <c r="AE485" s="160"/>
    </row>
    <row r="486" spans="1:31" ht="23.4">
      <c r="A486" s="175"/>
      <c r="B486" s="142"/>
      <c r="C486" s="143"/>
      <c r="D486" s="143"/>
      <c r="E486" s="143"/>
      <c r="F486" s="143"/>
      <c r="G486" s="143"/>
      <c r="H486" s="143"/>
      <c r="I486" s="142"/>
      <c r="J486" s="142"/>
      <c r="K486" s="143"/>
      <c r="L486" s="178"/>
      <c r="M486" s="143"/>
      <c r="N486" s="143"/>
      <c r="O486" s="143"/>
      <c r="P486" s="143"/>
      <c r="Q486" s="176"/>
      <c r="R486" s="143"/>
      <c r="S486" s="177"/>
      <c r="T486" s="177"/>
      <c r="U486" s="177"/>
      <c r="V486" s="177"/>
      <c r="W486" s="177"/>
      <c r="X486" s="177"/>
      <c r="Y486" s="159"/>
      <c r="Z486" s="160"/>
      <c r="AA486" s="160"/>
      <c r="AB486" s="160"/>
      <c r="AC486" s="160"/>
      <c r="AD486" s="160"/>
      <c r="AE486" s="160"/>
    </row>
    <row r="487" spans="1:31" ht="23.4">
      <c r="A487" s="175"/>
      <c r="B487" s="142"/>
      <c r="C487" s="143"/>
      <c r="D487" s="143"/>
      <c r="E487" s="143"/>
      <c r="F487" s="143"/>
      <c r="G487" s="143"/>
      <c r="H487" s="143"/>
      <c r="I487" s="142"/>
      <c r="J487" s="142"/>
      <c r="K487" s="143"/>
      <c r="L487" s="178"/>
      <c r="M487" s="143"/>
      <c r="N487" s="143"/>
      <c r="O487" s="143"/>
      <c r="P487" s="143"/>
      <c r="Q487" s="176"/>
      <c r="R487" s="143"/>
      <c r="S487" s="177"/>
      <c r="T487" s="177"/>
      <c r="U487" s="177"/>
      <c r="V487" s="177"/>
      <c r="W487" s="177"/>
      <c r="X487" s="177"/>
      <c r="Y487" s="159"/>
      <c r="Z487" s="160"/>
      <c r="AA487" s="160"/>
      <c r="AB487" s="160"/>
      <c r="AC487" s="160"/>
      <c r="AD487" s="160"/>
      <c r="AE487" s="160"/>
    </row>
    <row r="488" spans="1:31" ht="23.4">
      <c r="A488" s="175"/>
      <c r="B488" s="142"/>
      <c r="C488" s="143"/>
      <c r="D488" s="143"/>
      <c r="E488" s="143"/>
      <c r="F488" s="143"/>
      <c r="G488" s="143"/>
      <c r="H488" s="143"/>
      <c r="I488" s="142"/>
      <c r="J488" s="142"/>
      <c r="K488" s="143"/>
      <c r="L488" s="178"/>
      <c r="M488" s="143"/>
      <c r="N488" s="143"/>
      <c r="O488" s="143"/>
      <c r="P488" s="143"/>
      <c r="Q488" s="176"/>
      <c r="R488" s="143"/>
      <c r="S488" s="177"/>
      <c r="T488" s="177"/>
      <c r="U488" s="177"/>
      <c r="V488" s="177"/>
      <c r="W488" s="177"/>
      <c r="X488" s="177"/>
      <c r="Y488" s="159"/>
      <c r="Z488" s="160"/>
      <c r="AA488" s="160"/>
      <c r="AB488" s="160"/>
      <c r="AC488" s="160"/>
      <c r="AD488" s="160"/>
      <c r="AE488" s="160"/>
    </row>
    <row r="489" spans="1:31" ht="23.4">
      <c r="A489" s="175"/>
      <c r="B489" s="142"/>
      <c r="C489" s="143"/>
      <c r="D489" s="143"/>
      <c r="E489" s="143"/>
      <c r="F489" s="143"/>
      <c r="G489" s="143"/>
      <c r="H489" s="143"/>
      <c r="I489" s="142"/>
      <c r="J489" s="142"/>
      <c r="K489" s="143"/>
      <c r="L489" s="178"/>
      <c r="M489" s="143"/>
      <c r="N489" s="143"/>
      <c r="O489" s="143"/>
      <c r="P489" s="143"/>
      <c r="Q489" s="176"/>
      <c r="R489" s="143"/>
      <c r="S489" s="177"/>
      <c r="T489" s="177"/>
      <c r="U489" s="177"/>
      <c r="V489" s="177"/>
      <c r="W489" s="177"/>
      <c r="X489" s="177"/>
      <c r="Y489" s="159"/>
      <c r="Z489" s="160"/>
      <c r="AA489" s="160"/>
      <c r="AB489" s="160"/>
      <c r="AC489" s="160"/>
      <c r="AD489" s="160"/>
      <c r="AE489" s="160"/>
    </row>
    <row r="490" spans="1:31" ht="23.4">
      <c r="A490" s="175"/>
      <c r="B490" s="142"/>
      <c r="C490" s="143"/>
      <c r="D490" s="143"/>
      <c r="E490" s="143"/>
      <c r="F490" s="143"/>
      <c r="G490" s="143"/>
      <c r="H490" s="143"/>
      <c r="I490" s="142"/>
      <c r="J490" s="142"/>
      <c r="K490" s="143"/>
      <c r="L490" s="178"/>
      <c r="M490" s="143"/>
      <c r="N490" s="143"/>
      <c r="O490" s="143"/>
      <c r="P490" s="143"/>
      <c r="Q490" s="176"/>
      <c r="R490" s="143"/>
      <c r="S490" s="177"/>
      <c r="T490" s="177"/>
      <c r="U490" s="177"/>
      <c r="V490" s="177"/>
      <c r="W490" s="177"/>
      <c r="X490" s="177"/>
      <c r="Y490" s="159"/>
      <c r="Z490" s="160"/>
      <c r="AA490" s="160"/>
      <c r="AB490" s="160"/>
      <c r="AC490" s="160"/>
      <c r="AD490" s="160"/>
      <c r="AE490" s="160"/>
    </row>
    <row r="491" spans="1:31" ht="23.4">
      <c r="A491" s="175"/>
      <c r="B491" s="142"/>
      <c r="C491" s="143"/>
      <c r="D491" s="143"/>
      <c r="E491" s="143"/>
      <c r="F491" s="143"/>
      <c r="G491" s="143"/>
      <c r="H491" s="143"/>
      <c r="I491" s="142"/>
      <c r="J491" s="142"/>
      <c r="K491" s="143"/>
      <c r="L491" s="178"/>
      <c r="M491" s="143"/>
      <c r="N491" s="143"/>
      <c r="O491" s="143"/>
      <c r="P491" s="143"/>
      <c r="Q491" s="176"/>
      <c r="R491" s="143"/>
      <c r="S491" s="177"/>
      <c r="T491" s="177"/>
      <c r="U491" s="177"/>
      <c r="V491" s="177"/>
      <c r="W491" s="177"/>
      <c r="X491" s="177"/>
      <c r="Y491" s="159"/>
      <c r="Z491" s="160"/>
      <c r="AA491" s="160"/>
      <c r="AB491" s="160"/>
      <c r="AC491" s="160"/>
      <c r="AD491" s="160"/>
      <c r="AE491" s="160"/>
    </row>
    <row r="492" spans="1:31" ht="23.4">
      <c r="A492" s="175"/>
      <c r="B492" s="142"/>
      <c r="C492" s="143"/>
      <c r="D492" s="143"/>
      <c r="E492" s="143"/>
      <c r="F492" s="143"/>
      <c r="G492" s="143"/>
      <c r="H492" s="143"/>
      <c r="I492" s="142"/>
      <c r="J492" s="142"/>
      <c r="K492" s="143"/>
      <c r="L492" s="178"/>
      <c r="M492" s="143"/>
      <c r="N492" s="143"/>
      <c r="O492" s="143"/>
      <c r="P492" s="143"/>
      <c r="Q492" s="176"/>
      <c r="R492" s="143"/>
      <c r="S492" s="177"/>
      <c r="T492" s="177"/>
      <c r="U492" s="177"/>
      <c r="V492" s="177"/>
      <c r="W492" s="177"/>
      <c r="X492" s="177"/>
      <c r="Y492" s="159"/>
      <c r="Z492" s="160"/>
      <c r="AA492" s="160"/>
      <c r="AB492" s="160"/>
      <c r="AC492" s="160"/>
      <c r="AD492" s="160"/>
      <c r="AE492" s="160"/>
    </row>
    <row r="493" spans="1:31" ht="23.4">
      <c r="A493" s="175"/>
      <c r="B493" s="142"/>
      <c r="C493" s="143"/>
      <c r="D493" s="143"/>
      <c r="E493" s="143"/>
      <c r="F493" s="143"/>
      <c r="G493" s="143"/>
      <c r="H493" s="143"/>
      <c r="I493" s="142"/>
      <c r="J493" s="142"/>
      <c r="K493" s="143"/>
      <c r="L493" s="178"/>
      <c r="M493" s="143"/>
      <c r="N493" s="143"/>
      <c r="O493" s="143"/>
      <c r="P493" s="143"/>
      <c r="Q493" s="176"/>
      <c r="R493" s="143"/>
      <c r="S493" s="177"/>
      <c r="T493" s="177"/>
      <c r="U493" s="177"/>
      <c r="V493" s="177"/>
      <c r="W493" s="177"/>
      <c r="X493" s="177"/>
      <c r="Y493" s="159"/>
      <c r="Z493" s="160"/>
      <c r="AA493" s="160"/>
      <c r="AB493" s="160"/>
      <c r="AC493" s="160"/>
      <c r="AD493" s="160"/>
      <c r="AE493" s="160"/>
    </row>
    <row r="494" spans="1:31" ht="23.4">
      <c r="A494" s="175"/>
      <c r="B494" s="142"/>
      <c r="C494" s="143"/>
      <c r="D494" s="143"/>
      <c r="E494" s="143"/>
      <c r="F494" s="143"/>
      <c r="G494" s="143"/>
      <c r="H494" s="143"/>
      <c r="I494" s="142"/>
      <c r="J494" s="142"/>
      <c r="K494" s="143"/>
      <c r="L494" s="178"/>
      <c r="M494" s="143"/>
      <c r="N494" s="143"/>
      <c r="O494" s="143"/>
      <c r="P494" s="143"/>
      <c r="Q494" s="176"/>
      <c r="R494" s="143"/>
      <c r="S494" s="177"/>
      <c r="T494" s="177"/>
      <c r="U494" s="177"/>
      <c r="V494" s="177"/>
      <c r="W494" s="177"/>
      <c r="X494" s="177"/>
      <c r="Y494" s="159"/>
      <c r="Z494" s="160"/>
      <c r="AA494" s="160"/>
      <c r="AB494" s="160"/>
      <c r="AC494" s="160"/>
      <c r="AD494" s="160"/>
      <c r="AE494" s="160"/>
    </row>
    <row r="495" spans="1:31" ht="23.4">
      <c r="A495" s="175"/>
      <c r="B495" s="142"/>
      <c r="C495" s="143"/>
      <c r="D495" s="143"/>
      <c r="E495" s="143"/>
      <c r="F495" s="143"/>
      <c r="G495" s="143"/>
      <c r="H495" s="143"/>
      <c r="I495" s="142"/>
      <c r="J495" s="142"/>
      <c r="K495" s="143"/>
      <c r="L495" s="178"/>
      <c r="M495" s="143"/>
      <c r="N495" s="143"/>
      <c r="O495" s="143"/>
      <c r="P495" s="143"/>
      <c r="Q495" s="176"/>
      <c r="R495" s="143"/>
      <c r="S495" s="177"/>
      <c r="T495" s="177"/>
      <c r="U495" s="177"/>
      <c r="V495" s="177"/>
      <c r="W495" s="177"/>
      <c r="X495" s="177"/>
      <c r="Y495" s="159"/>
      <c r="Z495" s="160"/>
      <c r="AA495" s="160"/>
      <c r="AB495" s="160"/>
      <c r="AC495" s="160"/>
      <c r="AD495" s="160"/>
      <c r="AE495" s="160"/>
    </row>
    <row r="496" spans="1:31" ht="23.4">
      <c r="A496" s="175"/>
      <c r="B496" s="142"/>
      <c r="C496" s="143"/>
      <c r="D496" s="143"/>
      <c r="E496" s="143"/>
      <c r="F496" s="143"/>
      <c r="G496" s="143"/>
      <c r="H496" s="143"/>
      <c r="I496" s="142"/>
      <c r="J496" s="142"/>
      <c r="K496" s="143"/>
      <c r="L496" s="178"/>
      <c r="M496" s="143"/>
      <c r="N496" s="143"/>
      <c r="O496" s="143"/>
      <c r="P496" s="143"/>
      <c r="Q496" s="176"/>
      <c r="R496" s="143"/>
      <c r="S496" s="177"/>
      <c r="T496" s="177"/>
      <c r="U496" s="177"/>
      <c r="V496" s="177"/>
      <c r="W496" s="177"/>
      <c r="X496" s="177"/>
      <c r="Y496" s="159"/>
      <c r="Z496" s="160"/>
      <c r="AA496" s="160"/>
      <c r="AB496" s="160"/>
      <c r="AC496" s="160"/>
      <c r="AD496" s="160"/>
      <c r="AE496" s="160"/>
    </row>
    <row r="497" spans="1:31" ht="23.4">
      <c r="A497" s="175"/>
      <c r="B497" s="142"/>
      <c r="C497" s="143"/>
      <c r="D497" s="143"/>
      <c r="E497" s="143"/>
      <c r="F497" s="143"/>
      <c r="G497" s="143"/>
      <c r="H497" s="143"/>
      <c r="I497" s="142"/>
      <c r="J497" s="142"/>
      <c r="K497" s="143"/>
      <c r="L497" s="178"/>
      <c r="M497" s="143"/>
      <c r="N497" s="143"/>
      <c r="O497" s="143"/>
      <c r="P497" s="143"/>
      <c r="Q497" s="176"/>
      <c r="R497" s="143"/>
      <c r="S497" s="177"/>
      <c r="T497" s="177"/>
      <c r="U497" s="177"/>
      <c r="V497" s="177"/>
      <c r="W497" s="177"/>
      <c r="X497" s="177"/>
      <c r="Y497" s="159"/>
      <c r="Z497" s="160"/>
      <c r="AA497" s="160"/>
      <c r="AB497" s="160"/>
      <c r="AC497" s="160"/>
      <c r="AD497" s="160"/>
      <c r="AE497" s="160"/>
    </row>
    <row r="498" spans="1:31" ht="23.4">
      <c r="A498" s="175"/>
      <c r="B498" s="142"/>
      <c r="C498" s="143"/>
      <c r="D498" s="143"/>
      <c r="E498" s="143"/>
      <c r="F498" s="143"/>
      <c r="G498" s="143"/>
      <c r="H498" s="143"/>
      <c r="I498" s="142"/>
      <c r="J498" s="142"/>
      <c r="K498" s="143"/>
      <c r="L498" s="178"/>
      <c r="M498" s="143"/>
      <c r="N498" s="143"/>
      <c r="O498" s="143"/>
      <c r="P498" s="143"/>
      <c r="Q498" s="176"/>
      <c r="R498" s="143"/>
      <c r="S498" s="177"/>
      <c r="T498" s="177"/>
      <c r="U498" s="177"/>
      <c r="V498" s="177"/>
      <c r="W498" s="177"/>
      <c r="X498" s="177"/>
      <c r="Y498" s="159"/>
      <c r="Z498" s="160"/>
      <c r="AA498" s="160"/>
      <c r="AB498" s="160"/>
      <c r="AC498" s="160"/>
      <c r="AD498" s="160"/>
      <c r="AE498" s="160"/>
    </row>
    <row r="499" spans="1:31" ht="23.4">
      <c r="A499" s="175"/>
      <c r="B499" s="142"/>
      <c r="C499" s="143"/>
      <c r="D499" s="143"/>
      <c r="E499" s="143"/>
      <c r="F499" s="143"/>
      <c r="G499" s="143"/>
      <c r="H499" s="143"/>
      <c r="I499" s="142"/>
      <c r="J499" s="142"/>
      <c r="K499" s="143"/>
      <c r="L499" s="178"/>
      <c r="M499" s="143"/>
      <c r="N499" s="143"/>
      <c r="O499" s="143"/>
      <c r="P499" s="143"/>
      <c r="Q499" s="176"/>
      <c r="R499" s="143"/>
      <c r="S499" s="177"/>
      <c r="T499" s="177"/>
      <c r="U499" s="177"/>
      <c r="V499" s="177"/>
      <c r="W499" s="177"/>
      <c r="X499" s="177"/>
      <c r="Y499" s="159"/>
      <c r="Z499" s="160"/>
      <c r="AA499" s="160"/>
      <c r="AB499" s="160"/>
      <c r="AC499" s="160"/>
      <c r="AD499" s="160"/>
      <c r="AE499" s="160"/>
    </row>
    <row r="500" spans="1:31" ht="23.4">
      <c r="A500" s="175"/>
      <c r="B500" s="142"/>
      <c r="C500" s="143"/>
      <c r="D500" s="143"/>
      <c r="E500" s="143"/>
      <c r="F500" s="143"/>
      <c r="G500" s="143"/>
      <c r="H500" s="143"/>
      <c r="I500" s="142"/>
      <c r="J500" s="142"/>
      <c r="K500" s="143"/>
      <c r="L500" s="178"/>
      <c r="M500" s="143"/>
      <c r="N500" s="143"/>
      <c r="O500" s="143"/>
      <c r="P500" s="143"/>
      <c r="Q500" s="176"/>
      <c r="R500" s="143"/>
      <c r="S500" s="177"/>
      <c r="T500" s="177"/>
      <c r="U500" s="177"/>
      <c r="V500" s="177"/>
      <c r="W500" s="177"/>
      <c r="X500" s="177"/>
      <c r="Y500" s="159"/>
      <c r="Z500" s="160"/>
      <c r="AA500" s="160"/>
      <c r="AB500" s="160"/>
      <c r="AC500" s="160"/>
      <c r="AD500" s="160"/>
      <c r="AE500" s="160"/>
    </row>
    <row r="501" spans="1:31" ht="23.4">
      <c r="A501" s="175"/>
      <c r="B501" s="142"/>
      <c r="C501" s="143"/>
      <c r="D501" s="143"/>
      <c r="E501" s="143"/>
      <c r="F501" s="143"/>
      <c r="G501" s="143"/>
      <c r="H501" s="143"/>
      <c r="I501" s="142"/>
      <c r="J501" s="142"/>
      <c r="K501" s="143"/>
      <c r="L501" s="178"/>
      <c r="M501" s="143"/>
      <c r="N501" s="143"/>
      <c r="O501" s="143"/>
      <c r="P501" s="143"/>
      <c r="Q501" s="176"/>
      <c r="R501" s="143"/>
      <c r="S501" s="177"/>
      <c r="T501" s="177"/>
      <c r="U501" s="177"/>
      <c r="V501" s="177"/>
      <c r="W501" s="177"/>
      <c r="X501" s="177"/>
      <c r="Y501" s="159"/>
      <c r="Z501" s="160"/>
      <c r="AA501" s="160"/>
      <c r="AB501" s="160"/>
      <c r="AC501" s="160"/>
      <c r="AD501" s="160"/>
      <c r="AE501" s="160"/>
    </row>
    <row r="502" spans="1:31" ht="23.4">
      <c r="A502" s="175"/>
      <c r="B502" s="142"/>
      <c r="C502" s="143"/>
      <c r="D502" s="143"/>
      <c r="E502" s="143"/>
      <c r="F502" s="143"/>
      <c r="G502" s="143"/>
      <c r="H502" s="143"/>
      <c r="I502" s="142"/>
      <c r="J502" s="142"/>
      <c r="K502" s="143"/>
      <c r="L502" s="178"/>
      <c r="M502" s="143"/>
      <c r="N502" s="143"/>
      <c r="O502" s="143"/>
      <c r="P502" s="143"/>
      <c r="Q502" s="176"/>
      <c r="R502" s="143"/>
      <c r="S502" s="177"/>
      <c r="T502" s="177"/>
      <c r="U502" s="177"/>
      <c r="V502" s="177"/>
      <c r="W502" s="177"/>
      <c r="X502" s="177"/>
      <c r="Y502" s="159"/>
      <c r="Z502" s="160"/>
      <c r="AA502" s="160"/>
      <c r="AB502" s="160"/>
      <c r="AC502" s="160"/>
      <c r="AD502" s="160"/>
      <c r="AE502" s="160"/>
    </row>
    <row r="503" spans="1:31" ht="23.4">
      <c r="A503" s="175"/>
      <c r="B503" s="142"/>
      <c r="C503" s="143"/>
      <c r="D503" s="143"/>
      <c r="E503" s="143"/>
      <c r="F503" s="143"/>
      <c r="G503" s="143"/>
      <c r="H503" s="143"/>
      <c r="I503" s="142"/>
      <c r="J503" s="142"/>
      <c r="K503" s="143"/>
      <c r="L503" s="178"/>
      <c r="M503" s="143"/>
      <c r="N503" s="143"/>
      <c r="O503" s="143"/>
      <c r="P503" s="143"/>
      <c r="Q503" s="176"/>
      <c r="R503" s="143"/>
      <c r="S503" s="177"/>
      <c r="T503" s="177"/>
      <c r="U503" s="177"/>
      <c r="V503" s="177"/>
      <c r="W503" s="177"/>
      <c r="X503" s="177"/>
      <c r="Y503" s="159"/>
      <c r="Z503" s="160"/>
      <c r="AA503" s="160"/>
      <c r="AB503" s="160"/>
      <c r="AC503" s="160"/>
      <c r="AD503" s="160"/>
      <c r="AE503" s="160"/>
    </row>
    <row r="504" spans="1:31" ht="23.4">
      <c r="A504" s="175"/>
      <c r="B504" s="142"/>
      <c r="C504" s="143"/>
      <c r="D504" s="143"/>
      <c r="E504" s="143"/>
      <c r="F504" s="143"/>
      <c r="G504" s="143"/>
      <c r="H504" s="143"/>
      <c r="I504" s="142"/>
      <c r="J504" s="142"/>
      <c r="K504" s="143"/>
      <c r="L504" s="178"/>
      <c r="M504" s="143"/>
      <c r="N504" s="143"/>
      <c r="O504" s="143"/>
      <c r="P504" s="143"/>
      <c r="Q504" s="176"/>
      <c r="R504" s="143"/>
      <c r="S504" s="177"/>
      <c r="T504" s="177"/>
      <c r="U504" s="177"/>
      <c r="V504" s="177"/>
      <c r="W504" s="177"/>
      <c r="X504" s="177"/>
      <c r="Y504" s="159"/>
      <c r="Z504" s="160"/>
      <c r="AA504" s="160"/>
      <c r="AB504" s="160"/>
      <c r="AC504" s="160"/>
      <c r="AD504" s="160"/>
      <c r="AE504" s="160"/>
    </row>
    <row r="505" spans="1:31" ht="23.4">
      <c r="A505" s="175"/>
      <c r="B505" s="142"/>
      <c r="C505" s="143"/>
      <c r="D505" s="143"/>
      <c r="E505" s="143"/>
      <c r="F505" s="143"/>
      <c r="G505" s="143"/>
      <c r="H505" s="143"/>
      <c r="I505" s="142"/>
      <c r="J505" s="142"/>
      <c r="K505" s="143"/>
      <c r="L505" s="178"/>
      <c r="M505" s="143"/>
      <c r="N505" s="143"/>
      <c r="O505" s="143"/>
      <c r="P505" s="143"/>
      <c r="Q505" s="176"/>
      <c r="R505" s="143"/>
      <c r="S505" s="177"/>
      <c r="T505" s="177"/>
      <c r="U505" s="177"/>
      <c r="V505" s="177"/>
      <c r="W505" s="177"/>
      <c r="X505" s="177"/>
      <c r="Y505" s="159"/>
      <c r="Z505" s="160"/>
      <c r="AA505" s="160"/>
      <c r="AB505" s="160"/>
      <c r="AC505" s="160"/>
      <c r="AD505" s="160"/>
      <c r="AE505" s="160"/>
    </row>
    <row r="506" spans="1:31" ht="23.4">
      <c r="A506" s="175"/>
      <c r="B506" s="142"/>
      <c r="C506" s="143"/>
      <c r="D506" s="143"/>
      <c r="E506" s="143"/>
      <c r="F506" s="143"/>
      <c r="G506" s="143"/>
      <c r="H506" s="143"/>
      <c r="I506" s="142"/>
      <c r="J506" s="142"/>
      <c r="K506" s="143"/>
      <c r="L506" s="178"/>
      <c r="M506" s="143"/>
      <c r="N506" s="143"/>
      <c r="O506" s="143"/>
      <c r="P506" s="143"/>
      <c r="Q506" s="176"/>
      <c r="R506" s="143"/>
      <c r="S506" s="177"/>
      <c r="T506" s="177"/>
      <c r="U506" s="177"/>
      <c r="V506" s="177"/>
      <c r="W506" s="177"/>
      <c r="X506" s="177"/>
      <c r="Y506" s="159"/>
      <c r="Z506" s="160"/>
      <c r="AA506" s="160"/>
      <c r="AB506" s="160"/>
      <c r="AC506" s="160"/>
      <c r="AD506" s="160"/>
      <c r="AE506" s="160"/>
    </row>
    <row r="507" spans="1:31" ht="23.4">
      <c r="A507" s="175"/>
      <c r="B507" s="142"/>
      <c r="C507" s="143"/>
      <c r="D507" s="143"/>
      <c r="E507" s="143"/>
      <c r="F507" s="143"/>
      <c r="G507" s="143"/>
      <c r="H507" s="143"/>
      <c r="I507" s="142"/>
      <c r="J507" s="142"/>
      <c r="K507" s="143"/>
      <c r="L507" s="178"/>
      <c r="M507" s="143"/>
      <c r="N507" s="143"/>
      <c r="O507" s="143"/>
      <c r="P507" s="143"/>
      <c r="Q507" s="176"/>
      <c r="R507" s="143"/>
      <c r="S507" s="177"/>
      <c r="T507" s="177"/>
      <c r="U507" s="177"/>
      <c r="V507" s="177"/>
      <c r="W507" s="177"/>
      <c r="X507" s="177"/>
      <c r="Y507" s="159"/>
      <c r="Z507" s="160"/>
      <c r="AA507" s="160"/>
      <c r="AB507" s="160"/>
      <c r="AC507" s="160"/>
      <c r="AD507" s="160"/>
      <c r="AE507" s="160"/>
    </row>
    <row r="508" spans="1:31" ht="23.4">
      <c r="A508" s="175"/>
      <c r="B508" s="142"/>
      <c r="C508" s="143"/>
      <c r="D508" s="143"/>
      <c r="E508" s="143"/>
      <c r="F508" s="143"/>
      <c r="G508" s="143"/>
      <c r="H508" s="143"/>
      <c r="I508" s="142"/>
      <c r="J508" s="142"/>
      <c r="K508" s="143"/>
      <c r="L508" s="178"/>
      <c r="M508" s="143"/>
      <c r="N508" s="143"/>
      <c r="O508" s="143"/>
      <c r="P508" s="143"/>
      <c r="Q508" s="176"/>
      <c r="R508" s="143"/>
      <c r="S508" s="177"/>
      <c r="T508" s="177"/>
      <c r="U508" s="177"/>
      <c r="V508" s="177"/>
      <c r="W508" s="177"/>
      <c r="X508" s="177"/>
      <c r="Y508" s="159"/>
      <c r="Z508" s="160"/>
      <c r="AA508" s="160"/>
      <c r="AB508" s="160"/>
      <c r="AC508" s="160"/>
      <c r="AD508" s="160"/>
      <c r="AE508" s="160"/>
    </row>
    <row r="509" spans="1:31" ht="23.4">
      <c r="A509" s="175"/>
      <c r="B509" s="142"/>
      <c r="C509" s="143"/>
      <c r="D509" s="143"/>
      <c r="E509" s="143"/>
      <c r="F509" s="143"/>
      <c r="G509" s="143"/>
      <c r="H509" s="143"/>
      <c r="I509" s="142"/>
      <c r="J509" s="142"/>
      <c r="K509" s="143"/>
      <c r="L509" s="178"/>
      <c r="M509" s="143"/>
      <c r="N509" s="143"/>
      <c r="O509" s="143"/>
      <c r="P509" s="143"/>
      <c r="Q509" s="176"/>
      <c r="R509" s="143"/>
      <c r="S509" s="177"/>
      <c r="T509" s="177"/>
      <c r="U509" s="177"/>
      <c r="V509" s="177"/>
      <c r="W509" s="177"/>
      <c r="X509" s="177"/>
      <c r="Y509" s="159"/>
      <c r="Z509" s="160"/>
      <c r="AA509" s="160"/>
      <c r="AB509" s="160"/>
      <c r="AC509" s="160"/>
      <c r="AD509" s="160"/>
      <c r="AE509" s="160"/>
    </row>
    <row r="510" spans="1:31" ht="23.4">
      <c r="A510" s="175"/>
      <c r="B510" s="142"/>
      <c r="C510" s="143"/>
      <c r="D510" s="143"/>
      <c r="E510" s="143"/>
      <c r="F510" s="143"/>
      <c r="G510" s="143"/>
      <c r="H510" s="143"/>
      <c r="I510" s="142"/>
      <c r="J510" s="142"/>
      <c r="K510" s="143"/>
      <c r="L510" s="178"/>
      <c r="M510" s="143"/>
      <c r="N510" s="143"/>
      <c r="O510" s="143"/>
      <c r="P510" s="143"/>
      <c r="Q510" s="176"/>
      <c r="R510" s="143"/>
      <c r="S510" s="177"/>
      <c r="T510" s="177"/>
      <c r="U510" s="177"/>
      <c r="V510" s="177"/>
      <c r="W510" s="177"/>
      <c r="X510" s="177"/>
      <c r="Y510" s="159"/>
      <c r="Z510" s="160"/>
      <c r="AA510" s="160"/>
      <c r="AB510" s="160"/>
      <c r="AC510" s="160"/>
      <c r="AD510" s="160"/>
      <c r="AE510" s="160"/>
    </row>
    <row r="511" spans="1:31" ht="23.4">
      <c r="A511" s="175"/>
      <c r="B511" s="142"/>
      <c r="C511" s="143"/>
      <c r="D511" s="143"/>
      <c r="E511" s="143"/>
      <c r="F511" s="143"/>
      <c r="G511" s="143"/>
      <c r="H511" s="143"/>
      <c r="I511" s="142"/>
      <c r="J511" s="142"/>
      <c r="K511" s="143"/>
      <c r="L511" s="178"/>
      <c r="M511" s="143"/>
      <c r="N511" s="143"/>
      <c r="O511" s="143"/>
      <c r="P511" s="143"/>
      <c r="Q511" s="176"/>
      <c r="R511" s="143"/>
      <c r="S511" s="177"/>
      <c r="T511" s="177"/>
      <c r="U511" s="177"/>
      <c r="V511" s="177"/>
      <c r="W511" s="177"/>
      <c r="X511" s="177"/>
      <c r="Y511" s="159"/>
      <c r="Z511" s="160"/>
      <c r="AA511" s="160"/>
      <c r="AB511" s="160"/>
      <c r="AC511" s="160"/>
      <c r="AD511" s="160"/>
      <c r="AE511" s="160"/>
    </row>
    <row r="512" spans="1:31" ht="23.4">
      <c r="A512" s="175"/>
      <c r="B512" s="142"/>
      <c r="C512" s="143"/>
      <c r="D512" s="143"/>
      <c r="E512" s="143"/>
      <c r="F512" s="143"/>
      <c r="G512" s="143"/>
      <c r="H512" s="143"/>
      <c r="I512" s="142"/>
      <c r="J512" s="142"/>
      <c r="K512" s="143"/>
      <c r="L512" s="178"/>
      <c r="M512" s="143"/>
      <c r="N512" s="143"/>
      <c r="O512" s="143"/>
      <c r="P512" s="143"/>
      <c r="Q512" s="176"/>
      <c r="R512" s="143"/>
      <c r="S512" s="177"/>
      <c r="T512" s="177"/>
      <c r="U512" s="177"/>
      <c r="V512" s="177"/>
      <c r="W512" s="177"/>
      <c r="X512" s="177"/>
      <c r="Y512" s="159"/>
      <c r="Z512" s="160"/>
      <c r="AA512" s="160"/>
      <c r="AB512" s="160"/>
      <c r="AC512" s="160"/>
      <c r="AD512" s="160"/>
      <c r="AE512" s="160"/>
    </row>
    <row r="513" spans="1:31" ht="23.4">
      <c r="A513" s="175"/>
      <c r="B513" s="142"/>
      <c r="C513" s="143"/>
      <c r="D513" s="143"/>
      <c r="E513" s="143"/>
      <c r="F513" s="143"/>
      <c r="G513" s="143"/>
      <c r="H513" s="143"/>
      <c r="I513" s="142"/>
      <c r="J513" s="142"/>
      <c r="K513" s="143"/>
      <c r="L513" s="178"/>
      <c r="M513" s="143"/>
      <c r="N513" s="143"/>
      <c r="O513" s="143"/>
      <c r="P513" s="143"/>
      <c r="Q513" s="176"/>
      <c r="R513" s="143"/>
      <c r="S513" s="177"/>
      <c r="T513" s="177"/>
      <c r="U513" s="177"/>
      <c r="V513" s="177"/>
      <c r="W513" s="177"/>
      <c r="X513" s="177"/>
      <c r="Y513" s="159"/>
      <c r="Z513" s="160"/>
      <c r="AA513" s="160"/>
      <c r="AB513" s="160"/>
      <c r="AC513" s="160"/>
      <c r="AD513" s="160"/>
      <c r="AE513" s="160"/>
    </row>
    <row r="514" spans="1:31" ht="23.4">
      <c r="A514" s="175"/>
      <c r="B514" s="142"/>
      <c r="C514" s="143"/>
      <c r="D514" s="143"/>
      <c r="E514" s="143"/>
      <c r="F514" s="143"/>
      <c r="G514" s="143"/>
      <c r="H514" s="143"/>
      <c r="I514" s="142"/>
      <c r="J514" s="142"/>
      <c r="K514" s="143"/>
      <c r="L514" s="178"/>
      <c r="M514" s="143"/>
      <c r="N514" s="143"/>
      <c r="O514" s="143"/>
      <c r="P514" s="143"/>
      <c r="Q514" s="176"/>
      <c r="R514" s="143"/>
      <c r="S514" s="177"/>
      <c r="T514" s="177"/>
      <c r="U514" s="177"/>
      <c r="V514" s="177"/>
      <c r="W514" s="177"/>
      <c r="X514" s="177"/>
      <c r="Y514" s="159"/>
      <c r="Z514" s="160"/>
      <c r="AA514" s="160"/>
      <c r="AB514" s="160"/>
      <c r="AC514" s="160"/>
      <c r="AD514" s="160"/>
      <c r="AE514" s="160"/>
    </row>
    <row r="515" spans="1:31" ht="23.4">
      <c r="A515" s="175"/>
      <c r="B515" s="142"/>
      <c r="C515" s="143"/>
      <c r="D515" s="143"/>
      <c r="E515" s="143"/>
      <c r="F515" s="143"/>
      <c r="G515" s="143"/>
      <c r="H515" s="143"/>
      <c r="I515" s="142"/>
      <c r="J515" s="142"/>
      <c r="K515" s="143"/>
      <c r="L515" s="178"/>
      <c r="M515" s="143"/>
      <c r="N515" s="143"/>
      <c r="O515" s="143"/>
      <c r="P515" s="143"/>
      <c r="Q515" s="176"/>
      <c r="R515" s="143"/>
      <c r="S515" s="177"/>
      <c r="T515" s="177"/>
      <c r="U515" s="177"/>
      <c r="V515" s="177"/>
      <c r="W515" s="177"/>
      <c r="X515" s="177"/>
      <c r="Y515" s="159"/>
      <c r="Z515" s="160"/>
      <c r="AA515" s="160"/>
      <c r="AB515" s="160"/>
      <c r="AC515" s="160"/>
      <c r="AD515" s="160"/>
      <c r="AE515" s="160"/>
    </row>
    <row r="516" spans="1:31" ht="23.4">
      <c r="A516" s="175"/>
      <c r="B516" s="142"/>
      <c r="C516" s="143"/>
      <c r="D516" s="143"/>
      <c r="E516" s="143"/>
      <c r="F516" s="143"/>
      <c r="G516" s="143"/>
      <c r="H516" s="143"/>
      <c r="I516" s="142"/>
      <c r="J516" s="142"/>
      <c r="K516" s="143"/>
      <c r="L516" s="178"/>
      <c r="M516" s="143"/>
      <c r="N516" s="143"/>
      <c r="O516" s="143"/>
      <c r="P516" s="143"/>
      <c r="Q516" s="176"/>
      <c r="R516" s="143"/>
      <c r="S516" s="177"/>
      <c r="T516" s="177"/>
      <c r="U516" s="177"/>
      <c r="V516" s="177"/>
      <c r="W516" s="177"/>
      <c r="X516" s="177"/>
      <c r="Y516" s="159"/>
      <c r="Z516" s="160"/>
      <c r="AA516" s="160"/>
      <c r="AB516" s="160"/>
      <c r="AC516" s="160"/>
      <c r="AD516" s="160"/>
      <c r="AE516" s="160"/>
    </row>
    <row r="517" spans="1:31" ht="23.4">
      <c r="A517" s="175"/>
      <c r="B517" s="142"/>
      <c r="C517" s="143"/>
      <c r="D517" s="143"/>
      <c r="E517" s="143"/>
      <c r="F517" s="143"/>
      <c r="G517" s="143"/>
      <c r="H517" s="143"/>
      <c r="I517" s="142"/>
      <c r="J517" s="142"/>
      <c r="K517" s="143"/>
      <c r="L517" s="178"/>
      <c r="M517" s="143"/>
      <c r="N517" s="143"/>
      <c r="O517" s="143"/>
      <c r="P517" s="143"/>
      <c r="Q517" s="176"/>
      <c r="R517" s="143"/>
      <c r="S517" s="177"/>
      <c r="T517" s="177"/>
      <c r="U517" s="177"/>
      <c r="V517" s="177"/>
      <c r="W517" s="177"/>
      <c r="X517" s="177"/>
      <c r="Y517" s="159"/>
      <c r="Z517" s="160"/>
      <c r="AA517" s="160"/>
      <c r="AB517" s="160"/>
      <c r="AC517" s="160"/>
      <c r="AD517" s="160"/>
      <c r="AE517" s="160"/>
    </row>
    <row r="518" spans="1:31" ht="23.4">
      <c r="A518" s="175"/>
      <c r="B518" s="142"/>
      <c r="C518" s="143"/>
      <c r="D518" s="143"/>
      <c r="E518" s="143"/>
      <c r="F518" s="143"/>
      <c r="G518" s="143"/>
      <c r="H518" s="143"/>
      <c r="I518" s="142"/>
      <c r="J518" s="142"/>
      <c r="K518" s="143"/>
      <c r="L518" s="178"/>
      <c r="M518" s="143"/>
      <c r="N518" s="143"/>
      <c r="O518" s="143"/>
      <c r="P518" s="143"/>
      <c r="Q518" s="176"/>
      <c r="R518" s="143"/>
      <c r="S518" s="177"/>
      <c r="T518" s="177"/>
      <c r="U518" s="177"/>
      <c r="V518" s="177"/>
      <c r="W518" s="177"/>
      <c r="X518" s="177"/>
      <c r="Y518" s="159"/>
      <c r="Z518" s="160"/>
      <c r="AA518" s="160"/>
      <c r="AB518" s="160"/>
      <c r="AC518" s="160"/>
      <c r="AD518" s="160"/>
      <c r="AE518" s="160"/>
    </row>
    <row r="519" spans="1:31" ht="23.4">
      <c r="A519" s="175"/>
      <c r="B519" s="142"/>
      <c r="C519" s="143"/>
      <c r="D519" s="143"/>
      <c r="E519" s="143"/>
      <c r="F519" s="143"/>
      <c r="G519" s="143"/>
      <c r="H519" s="143"/>
      <c r="I519" s="142"/>
      <c r="J519" s="142"/>
      <c r="K519" s="143"/>
      <c r="L519" s="178"/>
      <c r="M519" s="143"/>
      <c r="N519" s="143"/>
      <c r="O519" s="143"/>
      <c r="P519" s="143"/>
      <c r="Q519" s="176"/>
      <c r="R519" s="143"/>
      <c r="S519" s="177"/>
      <c r="T519" s="177"/>
      <c r="U519" s="177"/>
      <c r="V519" s="177"/>
      <c r="W519" s="177"/>
      <c r="X519" s="177"/>
      <c r="Y519" s="159"/>
      <c r="Z519" s="160"/>
      <c r="AA519" s="160"/>
      <c r="AB519" s="160"/>
      <c r="AC519" s="160"/>
      <c r="AD519" s="160"/>
      <c r="AE519" s="160"/>
    </row>
    <row r="520" spans="1:31" ht="23.4">
      <c r="A520" s="175"/>
      <c r="B520" s="142"/>
      <c r="C520" s="143"/>
      <c r="D520" s="143"/>
      <c r="E520" s="143"/>
      <c r="F520" s="143"/>
      <c r="G520" s="143"/>
      <c r="H520" s="143"/>
      <c r="I520" s="142"/>
      <c r="J520" s="142"/>
      <c r="K520" s="143"/>
      <c r="L520" s="178"/>
      <c r="M520" s="143"/>
      <c r="N520" s="143"/>
      <c r="O520" s="143"/>
      <c r="P520" s="143"/>
      <c r="Q520" s="176"/>
      <c r="R520" s="143"/>
      <c r="S520" s="177"/>
      <c r="T520" s="177"/>
      <c r="U520" s="177"/>
      <c r="V520" s="177"/>
      <c r="W520" s="177"/>
      <c r="X520" s="177"/>
      <c r="Y520" s="159"/>
      <c r="Z520" s="160"/>
      <c r="AA520" s="160"/>
      <c r="AB520" s="160"/>
      <c r="AC520" s="160"/>
      <c r="AD520" s="160"/>
      <c r="AE520" s="160"/>
    </row>
    <row r="521" spans="1:31" ht="23.4">
      <c r="A521" s="175"/>
      <c r="B521" s="142"/>
      <c r="C521" s="143"/>
      <c r="D521" s="143"/>
      <c r="E521" s="143"/>
      <c r="F521" s="143"/>
      <c r="G521" s="143"/>
      <c r="H521" s="143"/>
      <c r="I521" s="142"/>
      <c r="J521" s="142"/>
      <c r="K521" s="143"/>
      <c r="L521" s="178"/>
      <c r="M521" s="143"/>
      <c r="N521" s="143"/>
      <c r="O521" s="143"/>
      <c r="P521" s="143"/>
      <c r="Q521" s="176"/>
      <c r="R521" s="143"/>
      <c r="S521" s="177"/>
      <c r="T521" s="177"/>
      <c r="U521" s="177"/>
      <c r="V521" s="177"/>
      <c r="W521" s="177"/>
      <c r="X521" s="177"/>
      <c r="Y521" s="159"/>
      <c r="Z521" s="160"/>
      <c r="AA521" s="160"/>
      <c r="AB521" s="160"/>
      <c r="AC521" s="160"/>
      <c r="AD521" s="160"/>
      <c r="AE521" s="160"/>
    </row>
    <row r="522" spans="1:31" ht="23.4">
      <c r="A522" s="175"/>
      <c r="B522" s="142"/>
      <c r="C522" s="143"/>
      <c r="D522" s="143"/>
      <c r="E522" s="143"/>
      <c r="F522" s="143"/>
      <c r="G522" s="143"/>
      <c r="H522" s="143"/>
      <c r="I522" s="142"/>
      <c r="J522" s="142"/>
      <c r="K522" s="143"/>
      <c r="L522" s="178"/>
      <c r="M522" s="143"/>
      <c r="N522" s="143"/>
      <c r="O522" s="143"/>
      <c r="P522" s="143"/>
      <c r="Q522" s="176"/>
      <c r="R522" s="143"/>
      <c r="S522" s="177"/>
      <c r="T522" s="177"/>
      <c r="U522" s="177"/>
      <c r="V522" s="177"/>
      <c r="W522" s="177"/>
      <c r="X522" s="177"/>
      <c r="Y522" s="159"/>
      <c r="Z522" s="160"/>
      <c r="AA522" s="160"/>
      <c r="AB522" s="160"/>
      <c r="AC522" s="160"/>
      <c r="AD522" s="160"/>
      <c r="AE522" s="160"/>
    </row>
    <row r="523" spans="1:31" ht="23.4">
      <c r="A523" s="175"/>
      <c r="B523" s="142"/>
      <c r="C523" s="143"/>
      <c r="D523" s="143"/>
      <c r="E523" s="143"/>
      <c r="F523" s="143"/>
      <c r="G523" s="143"/>
      <c r="H523" s="143"/>
      <c r="I523" s="142"/>
      <c r="J523" s="142"/>
      <c r="K523" s="143"/>
      <c r="L523" s="178"/>
      <c r="M523" s="143"/>
      <c r="N523" s="143"/>
      <c r="O523" s="143"/>
      <c r="P523" s="143"/>
      <c r="Q523" s="176"/>
      <c r="R523" s="143"/>
      <c r="S523" s="177"/>
      <c r="T523" s="177"/>
      <c r="U523" s="177"/>
      <c r="V523" s="177"/>
      <c r="W523" s="177"/>
      <c r="X523" s="177"/>
      <c r="Y523" s="159"/>
      <c r="Z523" s="160"/>
      <c r="AA523" s="160"/>
      <c r="AB523" s="160"/>
      <c r="AC523" s="160"/>
      <c r="AD523" s="160"/>
      <c r="AE523" s="160"/>
    </row>
    <row r="524" spans="1:31" ht="23.4">
      <c r="A524" s="175"/>
      <c r="B524" s="142"/>
      <c r="C524" s="143"/>
      <c r="D524" s="143"/>
      <c r="E524" s="143"/>
      <c r="F524" s="143"/>
      <c r="G524" s="143"/>
      <c r="H524" s="143"/>
      <c r="I524" s="142"/>
      <c r="J524" s="142"/>
      <c r="K524" s="143"/>
      <c r="L524" s="178"/>
      <c r="M524" s="143"/>
      <c r="N524" s="143"/>
      <c r="O524" s="143"/>
      <c r="P524" s="143"/>
      <c r="Q524" s="176"/>
      <c r="R524" s="143"/>
      <c r="S524" s="177"/>
      <c r="T524" s="177"/>
      <c r="U524" s="177"/>
      <c r="V524" s="177"/>
      <c r="W524" s="177"/>
      <c r="X524" s="177"/>
      <c r="Y524" s="159"/>
      <c r="Z524" s="160"/>
      <c r="AA524" s="160"/>
      <c r="AB524" s="160"/>
      <c r="AC524" s="160"/>
      <c r="AD524" s="160"/>
      <c r="AE524" s="160"/>
    </row>
    <row r="525" spans="1:31" ht="23.4">
      <c r="A525" s="175"/>
      <c r="B525" s="142"/>
      <c r="C525" s="143"/>
      <c r="D525" s="143"/>
      <c r="E525" s="143"/>
      <c r="F525" s="143"/>
      <c r="G525" s="143"/>
      <c r="H525" s="143"/>
      <c r="I525" s="142"/>
      <c r="J525" s="142"/>
      <c r="K525" s="143"/>
      <c r="L525" s="178"/>
      <c r="M525" s="143"/>
      <c r="N525" s="143"/>
      <c r="O525" s="143"/>
      <c r="P525" s="143"/>
      <c r="Q525" s="176"/>
      <c r="R525" s="143"/>
      <c r="S525" s="177"/>
      <c r="T525" s="177"/>
      <c r="U525" s="177"/>
      <c r="V525" s="177"/>
      <c r="W525" s="177"/>
      <c r="X525" s="177"/>
      <c r="Y525" s="159"/>
      <c r="Z525" s="160"/>
      <c r="AA525" s="160"/>
      <c r="AB525" s="160"/>
      <c r="AC525" s="160"/>
      <c r="AD525" s="160"/>
      <c r="AE525" s="160"/>
    </row>
    <row r="526" spans="1:31" ht="23.4">
      <c r="A526" s="175"/>
      <c r="B526" s="142"/>
      <c r="C526" s="143"/>
      <c r="D526" s="143"/>
      <c r="E526" s="143"/>
      <c r="F526" s="143"/>
      <c r="G526" s="143"/>
      <c r="H526" s="143"/>
      <c r="I526" s="142"/>
      <c r="J526" s="142"/>
      <c r="K526" s="143"/>
      <c r="L526" s="178"/>
      <c r="M526" s="143"/>
      <c r="N526" s="143"/>
      <c r="O526" s="143"/>
      <c r="P526" s="143"/>
      <c r="Q526" s="176"/>
      <c r="R526" s="143"/>
      <c r="S526" s="177"/>
      <c r="T526" s="177"/>
      <c r="U526" s="177"/>
      <c r="V526" s="177"/>
      <c r="W526" s="177"/>
      <c r="X526" s="177"/>
      <c r="Y526" s="159"/>
      <c r="Z526" s="160"/>
      <c r="AA526" s="160"/>
      <c r="AB526" s="160"/>
      <c r="AC526" s="160"/>
      <c r="AD526" s="160"/>
      <c r="AE526" s="160"/>
    </row>
    <row r="527" spans="1:31" ht="23.4">
      <c r="A527" s="175"/>
      <c r="B527" s="142"/>
      <c r="C527" s="143"/>
      <c r="D527" s="143"/>
      <c r="E527" s="143"/>
      <c r="F527" s="143"/>
      <c r="G527" s="143"/>
      <c r="H527" s="143"/>
      <c r="I527" s="142"/>
      <c r="J527" s="142"/>
      <c r="K527" s="143"/>
      <c r="L527" s="178"/>
      <c r="M527" s="143"/>
      <c r="N527" s="143"/>
      <c r="O527" s="143"/>
      <c r="P527" s="143"/>
      <c r="Q527" s="176"/>
      <c r="R527" s="143"/>
      <c r="S527" s="177"/>
      <c r="T527" s="177"/>
      <c r="U527" s="177"/>
      <c r="V527" s="177"/>
      <c r="W527" s="177"/>
      <c r="X527" s="177"/>
      <c r="Y527" s="159"/>
      <c r="Z527" s="160"/>
      <c r="AA527" s="160"/>
      <c r="AB527" s="160"/>
      <c r="AC527" s="160"/>
      <c r="AD527" s="160"/>
      <c r="AE527" s="160"/>
    </row>
    <row r="528" spans="1:31" ht="23.4">
      <c r="A528" s="175"/>
      <c r="B528" s="142"/>
      <c r="C528" s="143"/>
      <c r="D528" s="143"/>
      <c r="E528" s="143"/>
      <c r="F528" s="143"/>
      <c r="G528" s="143"/>
      <c r="H528" s="143"/>
      <c r="I528" s="142"/>
      <c r="J528" s="142"/>
      <c r="K528" s="143"/>
      <c r="L528" s="178"/>
      <c r="M528" s="143"/>
      <c r="N528" s="143"/>
      <c r="O528" s="143"/>
      <c r="P528" s="143"/>
      <c r="Q528" s="176"/>
      <c r="R528" s="143"/>
      <c r="S528" s="177"/>
      <c r="T528" s="177"/>
      <c r="U528" s="177"/>
      <c r="V528" s="177"/>
      <c r="W528" s="177"/>
      <c r="X528" s="177"/>
      <c r="Y528" s="159"/>
      <c r="Z528" s="160"/>
      <c r="AA528" s="160"/>
      <c r="AB528" s="160"/>
      <c r="AC528" s="160"/>
      <c r="AD528" s="160"/>
      <c r="AE528" s="160"/>
    </row>
    <row r="529" spans="1:31" ht="23.4">
      <c r="A529" s="175"/>
      <c r="B529" s="142"/>
      <c r="C529" s="143"/>
      <c r="D529" s="143"/>
      <c r="E529" s="143"/>
      <c r="F529" s="143"/>
      <c r="G529" s="143"/>
      <c r="H529" s="143"/>
      <c r="I529" s="142"/>
      <c r="J529" s="142"/>
      <c r="K529" s="143"/>
      <c r="L529" s="178"/>
      <c r="M529" s="143"/>
      <c r="N529" s="143"/>
      <c r="O529" s="143"/>
      <c r="P529" s="143"/>
      <c r="Q529" s="176"/>
      <c r="R529" s="143"/>
      <c r="S529" s="177"/>
      <c r="T529" s="177"/>
      <c r="U529" s="177"/>
      <c r="V529" s="177"/>
      <c r="W529" s="177"/>
      <c r="X529" s="177"/>
      <c r="Y529" s="159"/>
      <c r="Z529" s="160"/>
      <c r="AA529" s="160"/>
      <c r="AB529" s="160"/>
      <c r="AC529" s="160"/>
      <c r="AD529" s="160"/>
      <c r="AE529" s="160"/>
    </row>
    <row r="530" spans="1:31" ht="23.4">
      <c r="A530" s="175"/>
      <c r="B530" s="142"/>
      <c r="C530" s="143"/>
      <c r="D530" s="143"/>
      <c r="E530" s="143"/>
      <c r="F530" s="143"/>
      <c r="G530" s="143"/>
      <c r="H530" s="143"/>
      <c r="I530" s="142"/>
      <c r="J530" s="142"/>
      <c r="K530" s="143"/>
      <c r="L530" s="178"/>
      <c r="M530" s="143"/>
      <c r="N530" s="143"/>
      <c r="O530" s="143"/>
      <c r="P530" s="143"/>
      <c r="Q530" s="176"/>
      <c r="R530" s="143"/>
      <c r="S530" s="177"/>
      <c r="T530" s="177"/>
      <c r="U530" s="177"/>
      <c r="V530" s="177"/>
      <c r="W530" s="177"/>
      <c r="X530" s="177"/>
      <c r="Y530" s="159"/>
      <c r="Z530" s="160"/>
      <c r="AA530" s="160"/>
      <c r="AB530" s="160"/>
      <c r="AC530" s="160"/>
      <c r="AD530" s="160"/>
      <c r="AE530" s="160"/>
    </row>
    <row r="531" spans="1:31" ht="23.4">
      <c r="A531" s="175"/>
      <c r="B531" s="142"/>
      <c r="C531" s="143"/>
      <c r="D531" s="143"/>
      <c r="E531" s="143"/>
      <c r="F531" s="143"/>
      <c r="G531" s="143"/>
      <c r="H531" s="143"/>
      <c r="I531" s="142"/>
      <c r="J531" s="142"/>
      <c r="K531" s="143"/>
      <c r="L531" s="178"/>
      <c r="M531" s="143"/>
      <c r="N531" s="143"/>
      <c r="O531" s="143"/>
      <c r="P531" s="143"/>
      <c r="Q531" s="176"/>
      <c r="R531" s="143"/>
      <c r="S531" s="177"/>
      <c r="T531" s="177"/>
      <c r="U531" s="177"/>
      <c r="V531" s="177"/>
      <c r="W531" s="177"/>
      <c r="X531" s="177"/>
      <c r="Y531" s="159"/>
      <c r="Z531" s="160"/>
      <c r="AA531" s="160"/>
      <c r="AB531" s="160"/>
      <c r="AC531" s="160"/>
      <c r="AD531" s="160"/>
      <c r="AE531" s="160"/>
    </row>
    <row r="532" spans="1:31" ht="23.4">
      <c r="A532" s="175"/>
      <c r="B532" s="142"/>
      <c r="C532" s="143"/>
      <c r="D532" s="143"/>
      <c r="E532" s="143"/>
      <c r="F532" s="143"/>
      <c r="G532" s="143"/>
      <c r="H532" s="143"/>
      <c r="I532" s="142"/>
      <c r="J532" s="142"/>
      <c r="K532" s="143"/>
      <c r="L532" s="178"/>
      <c r="M532" s="143"/>
      <c r="N532" s="143"/>
      <c r="O532" s="143"/>
      <c r="P532" s="143"/>
      <c r="Q532" s="176"/>
      <c r="R532" s="143"/>
      <c r="S532" s="177"/>
      <c r="T532" s="177"/>
      <c r="U532" s="177"/>
      <c r="V532" s="177"/>
      <c r="W532" s="177"/>
      <c r="X532" s="177"/>
      <c r="Y532" s="159"/>
      <c r="Z532" s="160"/>
      <c r="AA532" s="160"/>
      <c r="AB532" s="160"/>
      <c r="AC532" s="160"/>
      <c r="AD532" s="160"/>
      <c r="AE532" s="160"/>
    </row>
    <row r="533" spans="1:31" ht="23.4">
      <c r="A533" s="175"/>
      <c r="B533" s="142"/>
      <c r="C533" s="143"/>
      <c r="D533" s="143"/>
      <c r="E533" s="143"/>
      <c r="F533" s="143"/>
      <c r="G533" s="143"/>
      <c r="H533" s="143"/>
      <c r="I533" s="142"/>
      <c r="J533" s="142"/>
      <c r="K533" s="143"/>
      <c r="L533" s="178"/>
      <c r="M533" s="143"/>
      <c r="N533" s="143"/>
      <c r="O533" s="143"/>
      <c r="P533" s="143"/>
      <c r="Q533" s="176"/>
      <c r="R533" s="143"/>
      <c r="S533" s="177"/>
      <c r="T533" s="177"/>
      <c r="U533" s="177"/>
      <c r="V533" s="177"/>
      <c r="W533" s="177"/>
      <c r="X533" s="177"/>
      <c r="Y533" s="159"/>
      <c r="Z533" s="160"/>
      <c r="AA533" s="160"/>
      <c r="AB533" s="160"/>
      <c r="AC533" s="160"/>
      <c r="AD533" s="160"/>
      <c r="AE533" s="160"/>
    </row>
    <row r="534" spans="1:31" ht="23.4">
      <c r="A534" s="175"/>
      <c r="B534" s="142"/>
      <c r="C534" s="143"/>
      <c r="D534" s="143"/>
      <c r="E534" s="143"/>
      <c r="F534" s="143"/>
      <c r="G534" s="143"/>
      <c r="H534" s="143"/>
      <c r="I534" s="142"/>
      <c r="J534" s="142"/>
      <c r="K534" s="143"/>
      <c r="L534" s="178"/>
      <c r="M534" s="143"/>
      <c r="N534" s="143"/>
      <c r="O534" s="143"/>
      <c r="P534" s="143"/>
      <c r="Q534" s="176"/>
      <c r="R534" s="143"/>
      <c r="S534" s="177"/>
      <c r="T534" s="177"/>
      <c r="U534" s="177"/>
      <c r="V534" s="177"/>
      <c r="W534" s="177"/>
      <c r="X534" s="177"/>
      <c r="Y534" s="159"/>
      <c r="Z534" s="160"/>
      <c r="AA534" s="160"/>
      <c r="AB534" s="160"/>
      <c r="AC534" s="160"/>
      <c r="AD534" s="160"/>
      <c r="AE534" s="160"/>
    </row>
    <row r="535" spans="1:31" ht="23.4">
      <c r="A535" s="175"/>
      <c r="B535" s="142"/>
      <c r="C535" s="143"/>
      <c r="D535" s="143"/>
      <c r="E535" s="143"/>
      <c r="F535" s="143"/>
      <c r="G535" s="143"/>
      <c r="H535" s="143"/>
      <c r="I535" s="142"/>
      <c r="J535" s="142"/>
      <c r="K535" s="143"/>
      <c r="L535" s="178"/>
      <c r="M535" s="143"/>
      <c r="N535" s="143"/>
      <c r="O535" s="143"/>
      <c r="P535" s="143"/>
      <c r="Q535" s="176"/>
      <c r="R535" s="143"/>
      <c r="S535" s="177"/>
      <c r="T535" s="177"/>
      <c r="U535" s="177"/>
      <c r="V535" s="177"/>
      <c r="W535" s="177"/>
      <c r="X535" s="177"/>
      <c r="Y535" s="159"/>
      <c r="Z535" s="160"/>
      <c r="AA535" s="160"/>
      <c r="AB535" s="160"/>
      <c r="AC535" s="160"/>
      <c r="AD535" s="160"/>
      <c r="AE535" s="160"/>
    </row>
    <row r="536" spans="1:31" ht="23.4">
      <c r="A536" s="175"/>
      <c r="B536" s="142"/>
      <c r="C536" s="143"/>
      <c r="D536" s="143"/>
      <c r="E536" s="143"/>
      <c r="F536" s="143"/>
      <c r="G536" s="143"/>
      <c r="H536" s="143"/>
      <c r="I536" s="142"/>
      <c r="J536" s="142"/>
      <c r="K536" s="143"/>
      <c r="L536" s="178"/>
      <c r="M536" s="143"/>
      <c r="N536" s="143"/>
      <c r="O536" s="143"/>
      <c r="P536" s="143"/>
      <c r="Q536" s="176"/>
      <c r="R536" s="143"/>
      <c r="S536" s="177"/>
      <c r="T536" s="177"/>
      <c r="U536" s="177"/>
      <c r="V536" s="177"/>
      <c r="W536" s="177"/>
      <c r="X536" s="177"/>
      <c r="Y536" s="159"/>
      <c r="Z536" s="160"/>
      <c r="AA536" s="160"/>
      <c r="AB536" s="160"/>
      <c r="AC536" s="160"/>
      <c r="AD536" s="160"/>
      <c r="AE536" s="160"/>
    </row>
    <row r="537" spans="1:31" ht="23.4">
      <c r="A537" s="175"/>
      <c r="B537" s="142"/>
      <c r="C537" s="143"/>
      <c r="D537" s="143"/>
      <c r="E537" s="143"/>
      <c r="F537" s="143"/>
      <c r="G537" s="143"/>
      <c r="H537" s="143"/>
      <c r="I537" s="142"/>
      <c r="J537" s="142"/>
      <c r="K537" s="143"/>
      <c r="L537" s="178"/>
      <c r="M537" s="143"/>
      <c r="N537" s="143"/>
      <c r="O537" s="143"/>
      <c r="P537" s="143"/>
      <c r="Q537" s="176"/>
      <c r="R537" s="143"/>
      <c r="S537" s="177"/>
      <c r="T537" s="177"/>
      <c r="U537" s="177"/>
      <c r="V537" s="177"/>
      <c r="W537" s="177"/>
      <c r="X537" s="177"/>
      <c r="Y537" s="159"/>
      <c r="Z537" s="160"/>
      <c r="AA537" s="160"/>
      <c r="AB537" s="160"/>
      <c r="AC537" s="160"/>
      <c r="AD537" s="160"/>
      <c r="AE537" s="160"/>
    </row>
    <row r="538" spans="1:31" ht="23.4">
      <c r="A538" s="175"/>
      <c r="B538" s="142"/>
      <c r="C538" s="143"/>
      <c r="D538" s="143"/>
      <c r="E538" s="143"/>
      <c r="F538" s="143"/>
      <c r="G538" s="143"/>
      <c r="H538" s="143"/>
      <c r="I538" s="142"/>
      <c r="J538" s="142"/>
      <c r="K538" s="143"/>
      <c r="L538" s="178"/>
      <c r="M538" s="143"/>
      <c r="N538" s="143"/>
      <c r="O538" s="143"/>
      <c r="P538" s="143"/>
      <c r="Q538" s="176"/>
      <c r="R538" s="143"/>
      <c r="S538" s="177"/>
      <c r="T538" s="177"/>
      <c r="U538" s="177"/>
      <c r="V538" s="177"/>
      <c r="W538" s="177"/>
      <c r="X538" s="177"/>
      <c r="Y538" s="159"/>
      <c r="Z538" s="160"/>
      <c r="AA538" s="160"/>
      <c r="AB538" s="160"/>
      <c r="AC538" s="160"/>
      <c r="AD538" s="160"/>
      <c r="AE538" s="160"/>
    </row>
    <row r="539" spans="1:31" ht="23.4">
      <c r="A539" s="175"/>
      <c r="B539" s="142"/>
      <c r="C539" s="143"/>
      <c r="D539" s="143"/>
      <c r="E539" s="143"/>
      <c r="F539" s="143"/>
      <c r="G539" s="143"/>
      <c r="H539" s="143"/>
      <c r="I539" s="142"/>
      <c r="J539" s="142"/>
      <c r="K539" s="143"/>
      <c r="L539" s="178"/>
      <c r="M539" s="143"/>
      <c r="N539" s="143"/>
      <c r="O539" s="143"/>
      <c r="P539" s="143"/>
      <c r="Q539" s="176"/>
      <c r="R539" s="143"/>
      <c r="S539" s="177"/>
      <c r="T539" s="177"/>
      <c r="U539" s="177"/>
      <c r="V539" s="177"/>
      <c r="W539" s="177"/>
      <c r="X539" s="177"/>
      <c r="Y539" s="159"/>
      <c r="Z539" s="160"/>
      <c r="AA539" s="160"/>
      <c r="AB539" s="160"/>
      <c r="AC539" s="160"/>
      <c r="AD539" s="160"/>
      <c r="AE539" s="160"/>
    </row>
    <row r="540" spans="1:31" ht="23.4">
      <c r="A540" s="175"/>
      <c r="B540" s="142"/>
      <c r="C540" s="143"/>
      <c r="D540" s="143"/>
      <c r="E540" s="143"/>
      <c r="F540" s="143"/>
      <c r="G540" s="143"/>
      <c r="H540" s="143"/>
      <c r="I540" s="142"/>
      <c r="J540" s="142"/>
      <c r="K540" s="143"/>
      <c r="L540" s="178"/>
      <c r="M540" s="143"/>
      <c r="N540" s="143"/>
      <c r="O540" s="143"/>
      <c r="P540" s="143"/>
      <c r="Q540" s="176"/>
      <c r="R540" s="143"/>
      <c r="S540" s="177"/>
      <c r="T540" s="177"/>
      <c r="U540" s="177"/>
      <c r="V540" s="177"/>
      <c r="W540" s="177"/>
      <c r="X540" s="177"/>
      <c r="Y540" s="159"/>
      <c r="Z540" s="160"/>
      <c r="AA540" s="160"/>
      <c r="AB540" s="160"/>
      <c r="AC540" s="160"/>
      <c r="AD540" s="160"/>
      <c r="AE540" s="160"/>
    </row>
    <row r="541" spans="1:31" ht="23.4">
      <c r="A541" s="175"/>
      <c r="B541" s="142"/>
      <c r="C541" s="143"/>
      <c r="D541" s="143"/>
      <c r="E541" s="143"/>
      <c r="F541" s="143"/>
      <c r="G541" s="143"/>
      <c r="H541" s="143"/>
      <c r="I541" s="142"/>
      <c r="J541" s="142"/>
      <c r="K541" s="143"/>
      <c r="L541" s="178"/>
      <c r="M541" s="143"/>
      <c r="N541" s="143"/>
      <c r="O541" s="143"/>
      <c r="P541" s="143"/>
      <c r="Q541" s="176"/>
      <c r="R541" s="143"/>
      <c r="S541" s="177"/>
      <c r="T541" s="177"/>
      <c r="U541" s="177"/>
      <c r="V541" s="177"/>
      <c r="W541" s="177"/>
      <c r="X541" s="177"/>
      <c r="Y541" s="159"/>
      <c r="Z541" s="160"/>
      <c r="AA541" s="160"/>
      <c r="AB541" s="160"/>
      <c r="AC541" s="160"/>
      <c r="AD541" s="160"/>
      <c r="AE541" s="160"/>
    </row>
    <row r="542" spans="1:31" ht="23.4">
      <c r="A542" s="175"/>
      <c r="B542" s="142"/>
      <c r="C542" s="143"/>
      <c r="D542" s="143"/>
      <c r="E542" s="143"/>
      <c r="F542" s="143"/>
      <c r="G542" s="143"/>
      <c r="H542" s="143"/>
      <c r="I542" s="142"/>
      <c r="J542" s="142"/>
      <c r="K542" s="143"/>
      <c r="L542" s="178"/>
      <c r="M542" s="143"/>
      <c r="N542" s="143"/>
      <c r="O542" s="143"/>
      <c r="P542" s="143"/>
      <c r="Q542" s="176"/>
      <c r="R542" s="143"/>
      <c r="S542" s="177"/>
      <c r="T542" s="177"/>
      <c r="U542" s="177"/>
      <c r="V542" s="177"/>
      <c r="W542" s="177"/>
      <c r="X542" s="177"/>
      <c r="Y542" s="159"/>
      <c r="Z542" s="160"/>
      <c r="AA542" s="160"/>
      <c r="AB542" s="160"/>
      <c r="AC542" s="160"/>
      <c r="AD542" s="160"/>
      <c r="AE542" s="160"/>
    </row>
    <row r="543" spans="1:31" ht="23.4">
      <c r="A543" s="175"/>
      <c r="B543" s="142"/>
      <c r="C543" s="143"/>
      <c r="D543" s="143"/>
      <c r="E543" s="143"/>
      <c r="F543" s="143"/>
      <c r="G543" s="143"/>
      <c r="H543" s="143"/>
      <c r="I543" s="142"/>
      <c r="J543" s="142"/>
      <c r="K543" s="143"/>
      <c r="L543" s="178"/>
      <c r="M543" s="143"/>
      <c r="N543" s="143"/>
      <c r="O543" s="143"/>
      <c r="P543" s="143"/>
      <c r="Q543" s="176"/>
      <c r="R543" s="143"/>
      <c r="S543" s="177"/>
      <c r="T543" s="177"/>
      <c r="U543" s="177"/>
      <c r="V543" s="177"/>
      <c r="W543" s="177"/>
      <c r="X543" s="177"/>
      <c r="Y543" s="159"/>
      <c r="Z543" s="160"/>
      <c r="AA543" s="160"/>
      <c r="AB543" s="160"/>
      <c r="AC543" s="160"/>
      <c r="AD543" s="160"/>
      <c r="AE543" s="160"/>
    </row>
    <row r="544" spans="1:31" ht="23.4">
      <c r="A544" s="175"/>
      <c r="B544" s="142"/>
      <c r="C544" s="143"/>
      <c r="D544" s="143"/>
      <c r="E544" s="143"/>
      <c r="F544" s="143"/>
      <c r="G544" s="143"/>
      <c r="H544" s="143"/>
      <c r="I544" s="142"/>
      <c r="J544" s="142"/>
      <c r="K544" s="143"/>
      <c r="L544" s="178"/>
      <c r="M544" s="143"/>
      <c r="N544" s="143"/>
      <c r="O544" s="143"/>
      <c r="P544" s="143"/>
      <c r="Q544" s="176"/>
      <c r="R544" s="143"/>
      <c r="S544" s="177"/>
      <c r="T544" s="177"/>
      <c r="U544" s="177"/>
      <c r="V544" s="177"/>
      <c r="W544" s="177"/>
      <c r="X544" s="177"/>
      <c r="Y544" s="159"/>
      <c r="Z544" s="160"/>
      <c r="AA544" s="160"/>
      <c r="AB544" s="160"/>
      <c r="AC544" s="160"/>
      <c r="AD544" s="160"/>
      <c r="AE544" s="160"/>
    </row>
    <row r="545" spans="1:31" ht="23.4">
      <c r="A545" s="175"/>
      <c r="B545" s="142"/>
      <c r="C545" s="143"/>
      <c r="D545" s="143"/>
      <c r="E545" s="143"/>
      <c r="F545" s="143"/>
      <c r="G545" s="143"/>
      <c r="H545" s="143"/>
      <c r="I545" s="142"/>
      <c r="J545" s="142"/>
      <c r="K545" s="143"/>
      <c r="L545" s="178"/>
      <c r="M545" s="143"/>
      <c r="N545" s="143"/>
      <c r="O545" s="143"/>
      <c r="P545" s="143"/>
      <c r="Q545" s="176"/>
      <c r="R545" s="143"/>
      <c r="S545" s="177"/>
      <c r="T545" s="177"/>
      <c r="U545" s="177"/>
      <c r="V545" s="177"/>
      <c r="W545" s="177"/>
      <c r="X545" s="177"/>
      <c r="Y545" s="159"/>
      <c r="Z545" s="160"/>
      <c r="AA545" s="160"/>
      <c r="AB545" s="160"/>
      <c r="AC545" s="160"/>
      <c r="AD545" s="160"/>
      <c r="AE545" s="160"/>
    </row>
    <row r="546" spans="1:31" ht="23.4">
      <c r="A546" s="175"/>
      <c r="B546" s="142"/>
      <c r="C546" s="143"/>
      <c r="D546" s="143"/>
      <c r="E546" s="143"/>
      <c r="F546" s="143"/>
      <c r="G546" s="143"/>
      <c r="H546" s="143"/>
      <c r="I546" s="142"/>
      <c r="J546" s="142"/>
      <c r="K546" s="143"/>
      <c r="L546" s="178"/>
      <c r="M546" s="143"/>
      <c r="N546" s="143"/>
      <c r="O546" s="143"/>
      <c r="P546" s="143"/>
      <c r="Q546" s="176"/>
      <c r="R546" s="143"/>
      <c r="S546" s="177"/>
      <c r="T546" s="177"/>
      <c r="U546" s="177"/>
      <c r="V546" s="177"/>
      <c r="W546" s="177"/>
      <c r="X546" s="177"/>
      <c r="Y546" s="159"/>
      <c r="Z546" s="160"/>
      <c r="AA546" s="160"/>
      <c r="AB546" s="160"/>
      <c r="AC546" s="160"/>
      <c r="AD546" s="160"/>
      <c r="AE546" s="160"/>
    </row>
    <row r="547" spans="1:31" ht="23.4">
      <c r="A547" s="175"/>
      <c r="B547" s="142"/>
      <c r="C547" s="143"/>
      <c r="D547" s="143"/>
      <c r="E547" s="143"/>
      <c r="F547" s="143"/>
      <c r="G547" s="143"/>
      <c r="H547" s="143"/>
      <c r="I547" s="142"/>
      <c r="J547" s="142"/>
      <c r="K547" s="143"/>
      <c r="L547" s="178"/>
      <c r="M547" s="143"/>
      <c r="N547" s="143"/>
      <c r="O547" s="143"/>
      <c r="P547" s="143"/>
      <c r="Q547" s="176"/>
      <c r="R547" s="143"/>
      <c r="S547" s="177"/>
      <c r="T547" s="177"/>
      <c r="U547" s="177"/>
      <c r="V547" s="177"/>
      <c r="W547" s="177"/>
      <c r="X547" s="177"/>
      <c r="Y547" s="159"/>
      <c r="Z547" s="160"/>
      <c r="AA547" s="160"/>
      <c r="AB547" s="160"/>
      <c r="AC547" s="160"/>
      <c r="AD547" s="160"/>
      <c r="AE547" s="160"/>
    </row>
    <row r="548" spans="1:31" ht="23.4">
      <c r="A548" s="175"/>
      <c r="B548" s="142"/>
      <c r="C548" s="143"/>
      <c r="D548" s="143"/>
      <c r="E548" s="143"/>
      <c r="F548" s="143"/>
      <c r="G548" s="143"/>
      <c r="H548" s="143"/>
      <c r="I548" s="142"/>
      <c r="J548" s="142"/>
      <c r="K548" s="143"/>
      <c r="L548" s="178"/>
      <c r="M548" s="143"/>
      <c r="N548" s="143"/>
      <c r="O548" s="143"/>
      <c r="P548" s="143"/>
      <c r="Q548" s="176"/>
      <c r="R548" s="143"/>
      <c r="S548" s="177"/>
      <c r="T548" s="177"/>
      <c r="U548" s="177"/>
      <c r="V548" s="177"/>
      <c r="W548" s="177"/>
      <c r="X548" s="177"/>
      <c r="Y548" s="159"/>
      <c r="Z548" s="160"/>
      <c r="AA548" s="160"/>
      <c r="AB548" s="160"/>
      <c r="AC548" s="160"/>
      <c r="AD548" s="160"/>
      <c r="AE548" s="160"/>
    </row>
    <row r="549" spans="1:31" ht="23.4">
      <c r="A549" s="175"/>
      <c r="B549" s="142"/>
      <c r="C549" s="143"/>
      <c r="D549" s="143"/>
      <c r="E549" s="143"/>
      <c r="F549" s="143"/>
      <c r="G549" s="143"/>
      <c r="H549" s="143"/>
      <c r="I549" s="142"/>
      <c r="J549" s="142"/>
      <c r="K549" s="143"/>
      <c r="L549" s="178"/>
      <c r="M549" s="143"/>
      <c r="N549" s="143"/>
      <c r="O549" s="143"/>
      <c r="P549" s="143"/>
      <c r="Q549" s="176"/>
      <c r="R549" s="143"/>
      <c r="S549" s="177"/>
      <c r="T549" s="177"/>
      <c r="U549" s="177"/>
      <c r="V549" s="177"/>
      <c r="W549" s="177"/>
      <c r="X549" s="177"/>
      <c r="Y549" s="159"/>
      <c r="Z549" s="160"/>
      <c r="AA549" s="160"/>
      <c r="AB549" s="160"/>
      <c r="AC549" s="160"/>
      <c r="AD549" s="160"/>
      <c r="AE549" s="160"/>
    </row>
    <row r="550" spans="1:31" ht="23.4">
      <c r="A550" s="175"/>
      <c r="B550" s="142"/>
      <c r="C550" s="143"/>
      <c r="D550" s="143"/>
      <c r="E550" s="143"/>
      <c r="F550" s="143"/>
      <c r="G550" s="143"/>
      <c r="H550" s="143"/>
      <c r="I550" s="142"/>
      <c r="J550" s="142"/>
      <c r="K550" s="143"/>
      <c r="L550" s="178"/>
      <c r="M550" s="143"/>
      <c r="N550" s="143"/>
      <c r="O550" s="143"/>
      <c r="P550" s="143"/>
      <c r="Q550" s="176"/>
      <c r="R550" s="143"/>
      <c r="S550" s="177"/>
      <c r="T550" s="177"/>
      <c r="U550" s="177"/>
      <c r="V550" s="177"/>
      <c r="W550" s="177"/>
      <c r="X550" s="177"/>
      <c r="Y550" s="159"/>
      <c r="Z550" s="160"/>
      <c r="AA550" s="160"/>
      <c r="AB550" s="160"/>
      <c r="AC550" s="160"/>
      <c r="AD550" s="160"/>
      <c r="AE550" s="160"/>
    </row>
    <row r="551" spans="1:31" ht="23.4">
      <c r="A551" s="175"/>
      <c r="B551" s="142"/>
      <c r="C551" s="143"/>
      <c r="D551" s="143"/>
      <c r="E551" s="143"/>
      <c r="F551" s="143"/>
      <c r="G551" s="143"/>
      <c r="H551" s="143"/>
      <c r="I551" s="142"/>
      <c r="J551" s="142"/>
      <c r="K551" s="143"/>
      <c r="L551" s="178"/>
      <c r="M551" s="143"/>
      <c r="N551" s="143"/>
      <c r="O551" s="143"/>
      <c r="P551" s="143"/>
      <c r="Q551" s="176"/>
      <c r="R551" s="143"/>
      <c r="S551" s="177"/>
      <c r="T551" s="177"/>
      <c r="U551" s="177"/>
      <c r="V551" s="177"/>
      <c r="W551" s="177"/>
      <c r="X551" s="177"/>
      <c r="Y551" s="159"/>
      <c r="Z551" s="160"/>
      <c r="AA551" s="160"/>
      <c r="AB551" s="160"/>
      <c r="AC551" s="160"/>
      <c r="AD551" s="160"/>
      <c r="AE551" s="160"/>
    </row>
    <row r="552" spans="1:31" ht="23.4">
      <c r="A552" s="175"/>
      <c r="B552" s="142"/>
      <c r="C552" s="143"/>
      <c r="D552" s="143"/>
      <c r="E552" s="143"/>
      <c r="F552" s="143"/>
      <c r="G552" s="143"/>
      <c r="H552" s="143"/>
      <c r="I552" s="142"/>
      <c r="J552" s="142"/>
      <c r="K552" s="143"/>
      <c r="L552" s="178"/>
      <c r="M552" s="143"/>
      <c r="N552" s="143"/>
      <c r="O552" s="143"/>
      <c r="P552" s="143"/>
      <c r="Q552" s="176"/>
      <c r="R552" s="143"/>
      <c r="S552" s="177"/>
      <c r="T552" s="177"/>
      <c r="U552" s="177"/>
      <c r="V552" s="177"/>
      <c r="W552" s="177"/>
      <c r="X552" s="177"/>
      <c r="Y552" s="159"/>
      <c r="Z552" s="160"/>
      <c r="AA552" s="160"/>
      <c r="AB552" s="160"/>
      <c r="AC552" s="160"/>
      <c r="AD552" s="160"/>
      <c r="AE552" s="160"/>
    </row>
    <row r="553" spans="1:31" ht="23.4">
      <c r="A553" s="175"/>
      <c r="B553" s="142"/>
      <c r="C553" s="143"/>
      <c r="D553" s="143"/>
      <c r="E553" s="143"/>
      <c r="F553" s="143"/>
      <c r="G553" s="143"/>
      <c r="H553" s="143"/>
      <c r="I553" s="142"/>
      <c r="J553" s="142"/>
      <c r="K553" s="143"/>
      <c r="L553" s="178"/>
      <c r="M553" s="143"/>
      <c r="N553" s="143"/>
      <c r="O553" s="143"/>
      <c r="P553" s="143"/>
      <c r="Q553" s="176"/>
      <c r="R553" s="143"/>
      <c r="S553" s="177"/>
      <c r="T553" s="177"/>
      <c r="U553" s="177"/>
      <c r="V553" s="177"/>
      <c r="W553" s="177"/>
      <c r="X553" s="177"/>
      <c r="Y553" s="159"/>
      <c r="Z553" s="160"/>
      <c r="AA553" s="160"/>
      <c r="AB553" s="160"/>
      <c r="AC553" s="160"/>
      <c r="AD553" s="160"/>
      <c r="AE553" s="160"/>
    </row>
    <row r="554" spans="1:31" ht="23.4">
      <c r="A554" s="175"/>
      <c r="B554" s="142"/>
      <c r="C554" s="143"/>
      <c r="D554" s="143"/>
      <c r="E554" s="143"/>
      <c r="F554" s="143"/>
      <c r="G554" s="143"/>
      <c r="H554" s="143"/>
      <c r="I554" s="142"/>
      <c r="J554" s="142"/>
      <c r="K554" s="143"/>
      <c r="L554" s="178"/>
      <c r="M554" s="143"/>
      <c r="N554" s="143"/>
      <c r="O554" s="143"/>
      <c r="P554" s="143"/>
      <c r="Q554" s="176"/>
      <c r="R554" s="143"/>
      <c r="S554" s="177"/>
      <c r="T554" s="177"/>
      <c r="U554" s="177"/>
      <c r="V554" s="177"/>
      <c r="W554" s="177"/>
      <c r="X554" s="177"/>
      <c r="Y554" s="159"/>
      <c r="Z554" s="160"/>
      <c r="AA554" s="160"/>
      <c r="AB554" s="160"/>
      <c r="AC554" s="160"/>
      <c r="AD554" s="160"/>
      <c r="AE554" s="160"/>
    </row>
    <row r="555" spans="1:31" ht="23.4">
      <c r="A555" s="175"/>
      <c r="B555" s="142"/>
      <c r="C555" s="143"/>
      <c r="D555" s="143"/>
      <c r="E555" s="143"/>
      <c r="F555" s="143"/>
      <c r="G555" s="143"/>
      <c r="H555" s="143"/>
      <c r="I555" s="142"/>
      <c r="J555" s="142"/>
      <c r="K555" s="143"/>
      <c r="L555" s="178"/>
      <c r="M555" s="143"/>
      <c r="N555" s="143"/>
      <c r="O555" s="143"/>
      <c r="P555" s="143"/>
      <c r="Q555" s="176"/>
      <c r="R555" s="143"/>
      <c r="S555" s="177"/>
      <c r="T555" s="177"/>
      <c r="U555" s="177"/>
      <c r="V555" s="177"/>
      <c r="W555" s="177"/>
      <c r="X555" s="177"/>
      <c r="Y555" s="159"/>
      <c r="Z555" s="160"/>
      <c r="AA555" s="160"/>
      <c r="AB555" s="160"/>
      <c r="AC555" s="160"/>
      <c r="AD555" s="160"/>
      <c r="AE555" s="160"/>
    </row>
    <row r="556" spans="1:31" ht="23.4">
      <c r="A556" s="175"/>
      <c r="B556" s="142"/>
      <c r="C556" s="143"/>
      <c r="D556" s="143"/>
      <c r="E556" s="143"/>
      <c r="F556" s="143"/>
      <c r="G556" s="143"/>
      <c r="H556" s="143"/>
      <c r="I556" s="142"/>
      <c r="J556" s="142"/>
      <c r="K556" s="143"/>
      <c r="L556" s="178"/>
      <c r="M556" s="143"/>
      <c r="N556" s="143"/>
      <c r="O556" s="143"/>
      <c r="P556" s="143"/>
      <c r="Q556" s="176"/>
      <c r="R556" s="143"/>
      <c r="S556" s="177"/>
      <c r="T556" s="177"/>
      <c r="U556" s="177"/>
      <c r="V556" s="177"/>
      <c r="W556" s="177"/>
      <c r="X556" s="177"/>
      <c r="Y556" s="159"/>
      <c r="Z556" s="160"/>
      <c r="AA556" s="160"/>
      <c r="AB556" s="160"/>
      <c r="AC556" s="160"/>
      <c r="AD556" s="160"/>
      <c r="AE556" s="160"/>
    </row>
    <row r="557" spans="1:31" ht="23.4">
      <c r="A557" s="175"/>
      <c r="B557" s="142"/>
      <c r="C557" s="143"/>
      <c r="D557" s="143"/>
      <c r="E557" s="143"/>
      <c r="F557" s="143"/>
      <c r="G557" s="143"/>
      <c r="H557" s="143"/>
      <c r="I557" s="142"/>
      <c r="J557" s="142"/>
      <c r="K557" s="143"/>
      <c r="L557" s="178"/>
      <c r="M557" s="143"/>
      <c r="N557" s="143"/>
      <c r="O557" s="143"/>
      <c r="P557" s="143"/>
      <c r="Q557" s="176"/>
      <c r="R557" s="143"/>
      <c r="S557" s="177"/>
      <c r="T557" s="177"/>
      <c r="U557" s="177"/>
      <c r="V557" s="177"/>
      <c r="W557" s="177"/>
      <c r="X557" s="177"/>
      <c r="Y557" s="159"/>
      <c r="Z557" s="160"/>
      <c r="AA557" s="160"/>
      <c r="AB557" s="160"/>
      <c r="AC557" s="160"/>
      <c r="AD557" s="160"/>
      <c r="AE557" s="160"/>
    </row>
    <row r="558" spans="1:31" ht="23.4">
      <c r="A558" s="175"/>
      <c r="B558" s="142"/>
      <c r="C558" s="143"/>
      <c r="D558" s="143"/>
      <c r="E558" s="143"/>
      <c r="F558" s="143"/>
      <c r="G558" s="143"/>
      <c r="H558" s="143"/>
      <c r="I558" s="142"/>
      <c r="J558" s="142"/>
      <c r="K558" s="143"/>
      <c r="L558" s="178"/>
      <c r="M558" s="143"/>
      <c r="N558" s="143"/>
      <c r="O558" s="143"/>
      <c r="P558" s="143"/>
      <c r="Q558" s="176"/>
      <c r="R558" s="143"/>
      <c r="S558" s="177"/>
      <c r="T558" s="177"/>
      <c r="U558" s="177"/>
      <c r="V558" s="177"/>
      <c r="W558" s="177"/>
      <c r="X558" s="177"/>
      <c r="Y558" s="159"/>
      <c r="Z558" s="160"/>
      <c r="AA558" s="160"/>
      <c r="AB558" s="160"/>
      <c r="AC558" s="160"/>
      <c r="AD558" s="160"/>
      <c r="AE558" s="160"/>
    </row>
    <row r="559" spans="1:31" ht="23.4">
      <c r="A559" s="175"/>
      <c r="B559" s="142"/>
      <c r="C559" s="143"/>
      <c r="D559" s="143"/>
      <c r="E559" s="143"/>
      <c r="F559" s="143"/>
      <c r="G559" s="143"/>
      <c r="H559" s="143"/>
      <c r="I559" s="142"/>
      <c r="J559" s="142"/>
      <c r="K559" s="143"/>
      <c r="L559" s="178"/>
      <c r="M559" s="143"/>
      <c r="N559" s="143"/>
      <c r="O559" s="143"/>
      <c r="P559" s="143"/>
      <c r="Q559" s="176"/>
      <c r="R559" s="143"/>
      <c r="S559" s="177"/>
      <c r="T559" s="177"/>
      <c r="U559" s="177"/>
      <c r="V559" s="177"/>
      <c r="W559" s="177"/>
      <c r="X559" s="177"/>
      <c r="Y559" s="159"/>
      <c r="Z559" s="160"/>
      <c r="AA559" s="160"/>
      <c r="AB559" s="160"/>
      <c r="AC559" s="160"/>
      <c r="AD559" s="160"/>
      <c r="AE559" s="160"/>
    </row>
    <row r="560" spans="1:31" ht="23.4">
      <c r="A560" s="175"/>
      <c r="B560" s="142"/>
      <c r="C560" s="143"/>
      <c r="D560" s="143"/>
      <c r="E560" s="143"/>
      <c r="F560" s="143"/>
      <c r="G560" s="143"/>
      <c r="H560" s="143"/>
      <c r="I560" s="142"/>
      <c r="J560" s="142"/>
      <c r="K560" s="143"/>
      <c r="L560" s="178"/>
      <c r="M560" s="143"/>
      <c r="N560" s="143"/>
      <c r="O560" s="143"/>
      <c r="P560" s="143"/>
      <c r="Q560" s="176"/>
      <c r="R560" s="143"/>
      <c r="S560" s="177"/>
      <c r="T560" s="177"/>
      <c r="U560" s="177"/>
      <c r="V560" s="177"/>
      <c r="W560" s="177"/>
      <c r="X560" s="177"/>
      <c r="Y560" s="159"/>
      <c r="Z560" s="160"/>
      <c r="AA560" s="160"/>
      <c r="AB560" s="160"/>
      <c r="AC560" s="160"/>
      <c r="AD560" s="160"/>
      <c r="AE560" s="160"/>
    </row>
    <row r="561" spans="1:31" ht="23.4">
      <c r="A561" s="175"/>
      <c r="B561" s="142"/>
      <c r="C561" s="143"/>
      <c r="D561" s="143"/>
      <c r="E561" s="143"/>
      <c r="F561" s="143"/>
      <c r="G561" s="143"/>
      <c r="H561" s="143"/>
      <c r="I561" s="142"/>
      <c r="J561" s="142"/>
      <c r="K561" s="143"/>
      <c r="L561" s="178"/>
      <c r="M561" s="143"/>
      <c r="N561" s="143"/>
      <c r="O561" s="143"/>
      <c r="P561" s="143"/>
      <c r="Q561" s="176"/>
      <c r="R561" s="143"/>
      <c r="S561" s="177"/>
      <c r="T561" s="177"/>
      <c r="U561" s="177"/>
      <c r="V561" s="177"/>
      <c r="W561" s="177"/>
      <c r="X561" s="177"/>
      <c r="Y561" s="159"/>
      <c r="Z561" s="160"/>
      <c r="AA561" s="160"/>
      <c r="AB561" s="160"/>
      <c r="AC561" s="160"/>
      <c r="AD561" s="160"/>
      <c r="AE561" s="160"/>
    </row>
    <row r="562" spans="1:31" ht="23.4">
      <c r="A562" s="175"/>
      <c r="B562" s="142"/>
      <c r="C562" s="143"/>
      <c r="D562" s="143"/>
      <c r="E562" s="143"/>
      <c r="F562" s="143"/>
      <c r="G562" s="143"/>
      <c r="H562" s="143"/>
      <c r="I562" s="142"/>
      <c r="J562" s="142"/>
      <c r="K562" s="143"/>
      <c r="L562" s="178"/>
      <c r="M562" s="143"/>
      <c r="N562" s="143"/>
      <c r="O562" s="143"/>
      <c r="P562" s="143"/>
      <c r="Q562" s="176"/>
      <c r="R562" s="143"/>
      <c r="S562" s="177"/>
      <c r="T562" s="177"/>
      <c r="U562" s="177"/>
      <c r="V562" s="177"/>
      <c r="W562" s="177"/>
      <c r="X562" s="177"/>
      <c r="Y562" s="159"/>
      <c r="Z562" s="160"/>
      <c r="AA562" s="160"/>
      <c r="AB562" s="160"/>
      <c r="AC562" s="160"/>
      <c r="AD562" s="160"/>
      <c r="AE562" s="160"/>
    </row>
    <row r="563" spans="1:31" ht="23.4">
      <c r="A563" s="175"/>
      <c r="B563" s="142"/>
      <c r="C563" s="143"/>
      <c r="D563" s="143"/>
      <c r="E563" s="143"/>
      <c r="F563" s="143"/>
      <c r="G563" s="143"/>
      <c r="H563" s="143"/>
      <c r="I563" s="142"/>
      <c r="J563" s="142"/>
      <c r="K563" s="143"/>
      <c r="L563" s="178"/>
      <c r="M563" s="143"/>
      <c r="N563" s="143"/>
      <c r="O563" s="143"/>
      <c r="P563" s="143"/>
      <c r="Q563" s="176"/>
      <c r="R563" s="143"/>
      <c r="S563" s="177"/>
      <c r="T563" s="177"/>
      <c r="U563" s="177"/>
      <c r="V563" s="177"/>
      <c r="W563" s="177"/>
      <c r="X563" s="177"/>
      <c r="Y563" s="159"/>
      <c r="Z563" s="160"/>
      <c r="AA563" s="160"/>
      <c r="AB563" s="160"/>
      <c r="AC563" s="160"/>
      <c r="AD563" s="160"/>
      <c r="AE563" s="160"/>
    </row>
    <row r="564" spans="1:31" ht="23.4">
      <c r="A564" s="175"/>
      <c r="B564" s="142"/>
      <c r="C564" s="143"/>
      <c r="D564" s="143"/>
      <c r="E564" s="143"/>
      <c r="F564" s="143"/>
      <c r="G564" s="143"/>
      <c r="H564" s="143"/>
      <c r="I564" s="142"/>
      <c r="J564" s="142"/>
      <c r="K564" s="143"/>
      <c r="L564" s="178"/>
      <c r="M564" s="143"/>
      <c r="N564" s="143"/>
      <c r="O564" s="143"/>
      <c r="P564" s="143"/>
      <c r="Q564" s="176"/>
      <c r="R564" s="143"/>
      <c r="S564" s="177"/>
      <c r="T564" s="177"/>
      <c r="U564" s="177"/>
      <c r="V564" s="177"/>
      <c r="W564" s="177"/>
      <c r="X564" s="177"/>
      <c r="Y564" s="159"/>
      <c r="Z564" s="160"/>
      <c r="AA564" s="160"/>
      <c r="AB564" s="160"/>
      <c r="AC564" s="160"/>
      <c r="AD564" s="160"/>
      <c r="AE564" s="160"/>
    </row>
    <row r="565" spans="1:31" ht="23.4">
      <c r="A565" s="175"/>
      <c r="B565" s="142"/>
      <c r="C565" s="143"/>
      <c r="D565" s="143"/>
      <c r="E565" s="143"/>
      <c r="F565" s="143"/>
      <c r="G565" s="143"/>
      <c r="H565" s="143"/>
      <c r="I565" s="142"/>
      <c r="J565" s="142"/>
      <c r="K565" s="143"/>
      <c r="L565" s="178"/>
      <c r="M565" s="143"/>
      <c r="N565" s="143"/>
      <c r="O565" s="143"/>
      <c r="P565" s="143"/>
      <c r="Q565" s="176"/>
      <c r="R565" s="143"/>
      <c r="S565" s="177"/>
      <c r="T565" s="177"/>
      <c r="U565" s="177"/>
      <c r="V565" s="177"/>
      <c r="W565" s="177"/>
      <c r="X565" s="177"/>
      <c r="Y565" s="159"/>
      <c r="Z565" s="160"/>
      <c r="AA565" s="160"/>
      <c r="AB565" s="160"/>
      <c r="AC565" s="160"/>
      <c r="AD565" s="160"/>
      <c r="AE565" s="160"/>
    </row>
    <row r="566" spans="1:31" ht="23.4">
      <c r="A566" s="175"/>
      <c r="B566" s="142"/>
      <c r="C566" s="143"/>
      <c r="D566" s="143"/>
      <c r="E566" s="143"/>
      <c r="F566" s="143"/>
      <c r="G566" s="143"/>
      <c r="H566" s="143"/>
      <c r="I566" s="142"/>
      <c r="J566" s="142"/>
      <c r="K566" s="143"/>
      <c r="L566" s="178"/>
      <c r="M566" s="143"/>
      <c r="N566" s="143"/>
      <c r="O566" s="143"/>
      <c r="P566" s="143"/>
      <c r="Q566" s="176"/>
      <c r="R566" s="143"/>
      <c r="S566" s="177"/>
      <c r="T566" s="177"/>
      <c r="U566" s="177"/>
      <c r="V566" s="177"/>
      <c r="W566" s="177"/>
      <c r="X566" s="177"/>
      <c r="Y566" s="159"/>
      <c r="Z566" s="160"/>
      <c r="AA566" s="160"/>
      <c r="AB566" s="160"/>
      <c r="AC566" s="160"/>
      <c r="AD566" s="160"/>
      <c r="AE566" s="160"/>
    </row>
    <row r="567" spans="1:31" ht="23.4">
      <c r="A567" s="175"/>
      <c r="B567" s="142"/>
      <c r="C567" s="143"/>
      <c r="D567" s="143"/>
      <c r="E567" s="143"/>
      <c r="F567" s="143"/>
      <c r="G567" s="143"/>
      <c r="H567" s="143"/>
      <c r="I567" s="142"/>
      <c r="J567" s="142"/>
      <c r="K567" s="143"/>
      <c r="L567" s="178"/>
      <c r="M567" s="143"/>
      <c r="N567" s="143"/>
      <c r="O567" s="143"/>
      <c r="P567" s="143"/>
      <c r="Q567" s="176"/>
      <c r="R567" s="143"/>
      <c r="S567" s="177"/>
      <c r="T567" s="177"/>
      <c r="U567" s="177"/>
      <c r="V567" s="177"/>
      <c r="W567" s="177"/>
      <c r="X567" s="177"/>
      <c r="Y567" s="159"/>
      <c r="Z567" s="160"/>
      <c r="AA567" s="160"/>
      <c r="AB567" s="160"/>
      <c r="AC567" s="160"/>
      <c r="AD567" s="160"/>
      <c r="AE567" s="160"/>
    </row>
    <row r="568" spans="1:31" ht="23.4">
      <c r="A568" s="175"/>
      <c r="B568" s="142"/>
      <c r="C568" s="143"/>
      <c r="D568" s="143"/>
      <c r="E568" s="143"/>
      <c r="F568" s="143"/>
      <c r="G568" s="143"/>
      <c r="H568" s="143"/>
      <c r="I568" s="142"/>
      <c r="J568" s="142"/>
      <c r="K568" s="143"/>
      <c r="L568" s="178"/>
      <c r="M568" s="143"/>
      <c r="N568" s="143"/>
      <c r="O568" s="143"/>
      <c r="P568" s="143"/>
      <c r="Q568" s="176"/>
      <c r="R568" s="143"/>
      <c r="S568" s="177"/>
      <c r="T568" s="177"/>
      <c r="U568" s="177"/>
      <c r="V568" s="177"/>
      <c r="W568" s="177"/>
      <c r="X568" s="177"/>
      <c r="Y568" s="159"/>
      <c r="Z568" s="160"/>
      <c r="AA568" s="160"/>
      <c r="AB568" s="160"/>
      <c r="AC568" s="160"/>
      <c r="AD568" s="160"/>
      <c r="AE568" s="160"/>
    </row>
    <row r="569" spans="1:31" ht="23.4">
      <c r="A569" s="175"/>
      <c r="B569" s="142"/>
      <c r="C569" s="143"/>
      <c r="D569" s="143"/>
      <c r="E569" s="143"/>
      <c r="F569" s="143"/>
      <c r="G569" s="143"/>
      <c r="H569" s="143"/>
      <c r="I569" s="142"/>
      <c r="J569" s="142"/>
      <c r="K569" s="143"/>
      <c r="L569" s="178"/>
      <c r="M569" s="143"/>
      <c r="N569" s="143"/>
      <c r="O569" s="143"/>
      <c r="P569" s="143"/>
      <c r="Q569" s="176"/>
      <c r="R569" s="143"/>
      <c r="S569" s="177"/>
      <c r="T569" s="177"/>
      <c r="U569" s="177"/>
      <c r="V569" s="177"/>
      <c r="W569" s="177"/>
      <c r="X569" s="177"/>
      <c r="Y569" s="159"/>
      <c r="Z569" s="160"/>
      <c r="AA569" s="160"/>
      <c r="AB569" s="160"/>
      <c r="AC569" s="160"/>
      <c r="AD569" s="160"/>
      <c r="AE569" s="160"/>
    </row>
    <row r="570" spans="1:31" ht="23.4">
      <c r="A570" s="175"/>
      <c r="B570" s="142"/>
      <c r="C570" s="143"/>
      <c r="D570" s="143"/>
      <c r="E570" s="143"/>
      <c r="F570" s="143"/>
      <c r="G570" s="143"/>
      <c r="H570" s="143"/>
      <c r="I570" s="142"/>
      <c r="J570" s="142"/>
      <c r="K570" s="143"/>
      <c r="L570" s="178"/>
      <c r="M570" s="143"/>
      <c r="N570" s="143"/>
      <c r="O570" s="143"/>
      <c r="P570" s="143"/>
      <c r="Q570" s="176"/>
      <c r="R570" s="143"/>
      <c r="S570" s="177"/>
      <c r="T570" s="177"/>
      <c r="U570" s="177"/>
      <c r="V570" s="177"/>
      <c r="W570" s="177"/>
      <c r="X570" s="177"/>
      <c r="Y570" s="159"/>
      <c r="Z570" s="160"/>
      <c r="AA570" s="160"/>
      <c r="AB570" s="160"/>
      <c r="AC570" s="160"/>
      <c r="AD570" s="160"/>
      <c r="AE570" s="160"/>
    </row>
    <row r="571" spans="1:31" ht="23.4">
      <c r="A571" s="175"/>
      <c r="B571" s="142"/>
      <c r="C571" s="143"/>
      <c r="D571" s="143"/>
      <c r="E571" s="143"/>
      <c r="F571" s="143"/>
      <c r="G571" s="143"/>
      <c r="H571" s="143"/>
      <c r="I571" s="142"/>
      <c r="J571" s="142"/>
      <c r="K571" s="143"/>
      <c r="L571" s="178"/>
      <c r="M571" s="143"/>
      <c r="N571" s="143"/>
      <c r="O571" s="143"/>
      <c r="P571" s="143"/>
      <c r="Q571" s="176"/>
      <c r="R571" s="143"/>
      <c r="S571" s="177"/>
      <c r="T571" s="177"/>
      <c r="U571" s="177"/>
      <c r="V571" s="177"/>
      <c r="W571" s="177"/>
      <c r="X571" s="177"/>
      <c r="Y571" s="159"/>
      <c r="Z571" s="160"/>
      <c r="AA571" s="160"/>
      <c r="AB571" s="160"/>
      <c r="AC571" s="160"/>
      <c r="AD571" s="160"/>
      <c r="AE571" s="160"/>
    </row>
    <row r="572" spans="1:31" ht="23.4">
      <c r="A572" s="175"/>
      <c r="B572" s="142"/>
      <c r="C572" s="143"/>
      <c r="D572" s="143"/>
      <c r="E572" s="143"/>
      <c r="F572" s="143"/>
      <c r="G572" s="143"/>
      <c r="H572" s="143"/>
      <c r="I572" s="142"/>
      <c r="J572" s="142"/>
      <c r="K572" s="143"/>
      <c r="L572" s="178"/>
      <c r="M572" s="143"/>
      <c r="N572" s="143"/>
      <c r="O572" s="143"/>
      <c r="P572" s="143"/>
      <c r="Q572" s="176"/>
      <c r="R572" s="143"/>
      <c r="S572" s="177"/>
      <c r="T572" s="177"/>
      <c r="U572" s="177"/>
      <c r="V572" s="177"/>
      <c r="W572" s="177"/>
      <c r="X572" s="177"/>
      <c r="Y572" s="159"/>
      <c r="Z572" s="160"/>
      <c r="AA572" s="160"/>
      <c r="AB572" s="160"/>
      <c r="AC572" s="160"/>
      <c r="AD572" s="160"/>
      <c r="AE572" s="160"/>
    </row>
    <row r="573" spans="1:31" ht="23.4">
      <c r="A573" s="175"/>
      <c r="B573" s="142"/>
      <c r="C573" s="143"/>
      <c r="D573" s="143"/>
      <c r="E573" s="143"/>
      <c r="F573" s="143"/>
      <c r="G573" s="143"/>
      <c r="H573" s="143"/>
      <c r="I573" s="142"/>
      <c r="J573" s="142"/>
      <c r="K573" s="143"/>
      <c r="L573" s="178"/>
      <c r="M573" s="143"/>
      <c r="N573" s="143"/>
      <c r="O573" s="143"/>
      <c r="P573" s="143"/>
      <c r="Q573" s="176"/>
      <c r="R573" s="143"/>
      <c r="S573" s="177"/>
      <c r="T573" s="177"/>
      <c r="U573" s="177"/>
      <c r="V573" s="177"/>
      <c r="W573" s="177"/>
      <c r="X573" s="177"/>
      <c r="Y573" s="159"/>
      <c r="Z573" s="160"/>
      <c r="AA573" s="160"/>
      <c r="AB573" s="160"/>
      <c r="AC573" s="160"/>
      <c r="AD573" s="160"/>
      <c r="AE573" s="160"/>
    </row>
    <row r="574" spans="1:31" ht="23.4">
      <c r="A574" s="175"/>
      <c r="B574" s="142"/>
      <c r="C574" s="143"/>
      <c r="D574" s="143"/>
      <c r="E574" s="143"/>
      <c r="F574" s="143"/>
      <c r="G574" s="143"/>
      <c r="H574" s="143"/>
      <c r="I574" s="142"/>
      <c r="J574" s="142"/>
      <c r="K574" s="143"/>
      <c r="L574" s="178"/>
      <c r="M574" s="143"/>
      <c r="N574" s="143"/>
      <c r="O574" s="143"/>
      <c r="P574" s="143"/>
      <c r="Q574" s="176"/>
      <c r="R574" s="143"/>
      <c r="S574" s="177"/>
      <c r="T574" s="177"/>
      <c r="U574" s="177"/>
      <c r="V574" s="177"/>
      <c r="W574" s="177"/>
      <c r="X574" s="177"/>
      <c r="Y574" s="159"/>
      <c r="Z574" s="160"/>
      <c r="AA574" s="160"/>
      <c r="AB574" s="160"/>
      <c r="AC574" s="160"/>
      <c r="AD574" s="160"/>
      <c r="AE574" s="160"/>
    </row>
    <row r="575" spans="1:31" ht="23.4">
      <c r="A575" s="175"/>
      <c r="B575" s="142"/>
      <c r="C575" s="143"/>
      <c r="D575" s="143"/>
      <c r="E575" s="143"/>
      <c r="F575" s="143"/>
      <c r="G575" s="143"/>
      <c r="H575" s="143"/>
      <c r="I575" s="142"/>
      <c r="J575" s="142"/>
      <c r="K575" s="143"/>
      <c r="L575" s="178"/>
      <c r="M575" s="143"/>
      <c r="N575" s="143"/>
      <c r="O575" s="143"/>
      <c r="P575" s="143"/>
      <c r="Q575" s="176"/>
      <c r="R575" s="143"/>
      <c r="S575" s="177"/>
      <c r="T575" s="177"/>
      <c r="U575" s="177"/>
      <c r="V575" s="177"/>
      <c r="W575" s="177"/>
      <c r="X575" s="177"/>
      <c r="Y575" s="159"/>
      <c r="Z575" s="160"/>
      <c r="AA575" s="160"/>
      <c r="AB575" s="160"/>
      <c r="AC575" s="160"/>
      <c r="AD575" s="160"/>
      <c r="AE575" s="160"/>
    </row>
    <row r="576" spans="1:31" ht="23.4">
      <c r="A576" s="175"/>
      <c r="B576" s="142"/>
      <c r="C576" s="143"/>
      <c r="D576" s="143"/>
      <c r="E576" s="143"/>
      <c r="F576" s="143"/>
      <c r="G576" s="143"/>
      <c r="H576" s="143"/>
      <c r="I576" s="142"/>
      <c r="J576" s="142"/>
      <c r="K576" s="143"/>
      <c r="L576" s="178"/>
      <c r="M576" s="143"/>
      <c r="N576" s="143"/>
      <c r="O576" s="143"/>
      <c r="P576" s="143"/>
      <c r="Q576" s="176"/>
      <c r="R576" s="143"/>
      <c r="S576" s="177"/>
      <c r="T576" s="177"/>
      <c r="U576" s="177"/>
      <c r="V576" s="177"/>
      <c r="W576" s="177"/>
      <c r="X576" s="177"/>
      <c r="Y576" s="159"/>
      <c r="Z576" s="160"/>
      <c r="AA576" s="160"/>
      <c r="AB576" s="160"/>
      <c r="AC576" s="160"/>
      <c r="AD576" s="160"/>
      <c r="AE576" s="160"/>
    </row>
    <row r="577" spans="1:31" ht="23.4">
      <c r="A577" s="175"/>
      <c r="B577" s="142"/>
      <c r="C577" s="143"/>
      <c r="D577" s="143"/>
      <c r="E577" s="143"/>
      <c r="F577" s="143"/>
      <c r="G577" s="143"/>
      <c r="H577" s="143"/>
      <c r="I577" s="142"/>
      <c r="J577" s="142"/>
      <c r="K577" s="143"/>
      <c r="L577" s="178"/>
      <c r="M577" s="143"/>
      <c r="N577" s="143"/>
      <c r="O577" s="143"/>
      <c r="P577" s="143"/>
      <c r="Q577" s="176"/>
      <c r="R577" s="143"/>
      <c r="S577" s="177"/>
      <c r="T577" s="177"/>
      <c r="U577" s="177"/>
      <c r="V577" s="177"/>
      <c r="W577" s="177"/>
      <c r="X577" s="177"/>
      <c r="Y577" s="159"/>
      <c r="Z577" s="160"/>
      <c r="AA577" s="160"/>
      <c r="AB577" s="160"/>
      <c r="AC577" s="160"/>
      <c r="AD577" s="160"/>
      <c r="AE577" s="160"/>
    </row>
    <row r="578" spans="1:31" ht="23.4">
      <c r="A578" s="175"/>
      <c r="B578" s="142"/>
      <c r="C578" s="143"/>
      <c r="D578" s="143"/>
      <c r="E578" s="143"/>
      <c r="F578" s="143"/>
      <c r="G578" s="143"/>
      <c r="H578" s="143"/>
      <c r="I578" s="142"/>
      <c r="J578" s="142"/>
      <c r="K578" s="143"/>
      <c r="L578" s="178"/>
      <c r="M578" s="143"/>
      <c r="N578" s="143"/>
      <c r="O578" s="143"/>
      <c r="P578" s="143"/>
      <c r="Q578" s="176"/>
      <c r="R578" s="143"/>
      <c r="S578" s="177"/>
      <c r="T578" s="177"/>
      <c r="U578" s="177"/>
      <c r="V578" s="177"/>
      <c r="W578" s="177"/>
      <c r="X578" s="177"/>
      <c r="Y578" s="159"/>
      <c r="Z578" s="160"/>
      <c r="AA578" s="160"/>
      <c r="AB578" s="160"/>
      <c r="AC578" s="160"/>
      <c r="AD578" s="160"/>
      <c r="AE578" s="160"/>
    </row>
    <row r="579" spans="1:31" ht="23.4">
      <c r="A579" s="175"/>
      <c r="B579" s="142"/>
      <c r="C579" s="143"/>
      <c r="D579" s="143"/>
      <c r="E579" s="143"/>
      <c r="F579" s="143"/>
      <c r="G579" s="143"/>
      <c r="H579" s="143"/>
      <c r="I579" s="142"/>
      <c r="J579" s="142"/>
      <c r="K579" s="143"/>
      <c r="L579" s="178"/>
      <c r="M579" s="143"/>
      <c r="N579" s="143"/>
      <c r="O579" s="143"/>
      <c r="P579" s="143"/>
      <c r="Q579" s="176"/>
      <c r="R579" s="143"/>
      <c r="S579" s="177"/>
      <c r="T579" s="177"/>
      <c r="U579" s="177"/>
      <c r="V579" s="177"/>
      <c r="W579" s="177"/>
      <c r="X579" s="177"/>
      <c r="Y579" s="159"/>
      <c r="Z579" s="160"/>
      <c r="AA579" s="160"/>
      <c r="AB579" s="160"/>
      <c r="AC579" s="160"/>
      <c r="AD579" s="160"/>
      <c r="AE579" s="160"/>
    </row>
    <row r="580" spans="1:31" ht="23.4">
      <c r="A580" s="175"/>
      <c r="B580" s="142"/>
      <c r="C580" s="143"/>
      <c r="D580" s="143"/>
      <c r="E580" s="143"/>
      <c r="F580" s="143"/>
      <c r="G580" s="143"/>
      <c r="H580" s="143"/>
      <c r="I580" s="142"/>
      <c r="J580" s="142"/>
      <c r="K580" s="143"/>
      <c r="L580" s="178"/>
      <c r="M580" s="143"/>
      <c r="N580" s="143"/>
      <c r="O580" s="143"/>
      <c r="P580" s="143"/>
      <c r="Q580" s="176"/>
      <c r="R580" s="143"/>
      <c r="S580" s="177"/>
      <c r="T580" s="177"/>
      <c r="U580" s="177"/>
      <c r="V580" s="177"/>
      <c r="W580" s="177"/>
      <c r="X580" s="177"/>
      <c r="Y580" s="159"/>
      <c r="Z580" s="160"/>
      <c r="AA580" s="160"/>
      <c r="AB580" s="160"/>
      <c r="AC580" s="160"/>
      <c r="AD580" s="160"/>
      <c r="AE580" s="160"/>
    </row>
    <row r="581" spans="1:31" ht="23.4">
      <c r="A581" s="175"/>
      <c r="B581" s="142"/>
      <c r="C581" s="143"/>
      <c r="D581" s="143"/>
      <c r="E581" s="143"/>
      <c r="F581" s="143"/>
      <c r="G581" s="143"/>
      <c r="H581" s="143"/>
      <c r="I581" s="142"/>
      <c r="J581" s="142"/>
      <c r="K581" s="143"/>
      <c r="L581" s="178"/>
      <c r="M581" s="143"/>
      <c r="N581" s="143"/>
      <c r="O581" s="143"/>
      <c r="P581" s="143"/>
      <c r="Q581" s="176"/>
      <c r="R581" s="143"/>
      <c r="S581" s="177"/>
      <c r="T581" s="177"/>
      <c r="U581" s="177"/>
      <c r="V581" s="177"/>
      <c r="W581" s="177"/>
      <c r="X581" s="177"/>
      <c r="Y581" s="159"/>
      <c r="Z581" s="160"/>
      <c r="AA581" s="160"/>
      <c r="AB581" s="160"/>
      <c r="AC581" s="160"/>
      <c r="AD581" s="160"/>
      <c r="AE581" s="160"/>
    </row>
    <row r="582" spans="1:31" ht="23.4">
      <c r="A582" s="175"/>
      <c r="B582" s="142"/>
      <c r="C582" s="143"/>
      <c r="D582" s="143"/>
      <c r="E582" s="143"/>
      <c r="F582" s="143"/>
      <c r="G582" s="143"/>
      <c r="H582" s="143"/>
      <c r="I582" s="142"/>
      <c r="J582" s="142"/>
      <c r="K582" s="143"/>
      <c r="L582" s="178"/>
      <c r="M582" s="143"/>
      <c r="N582" s="143"/>
      <c r="O582" s="143"/>
      <c r="P582" s="143"/>
      <c r="Q582" s="176"/>
      <c r="R582" s="143"/>
      <c r="S582" s="177"/>
      <c r="T582" s="177"/>
      <c r="U582" s="177"/>
      <c r="V582" s="177"/>
      <c r="W582" s="177"/>
      <c r="X582" s="177"/>
      <c r="Y582" s="159"/>
      <c r="Z582" s="160"/>
      <c r="AA582" s="160"/>
      <c r="AB582" s="160"/>
      <c r="AC582" s="160"/>
      <c r="AD582" s="160"/>
      <c r="AE582" s="160"/>
    </row>
    <row r="583" spans="1:31" ht="23.4">
      <c r="A583" s="175"/>
      <c r="B583" s="142"/>
      <c r="C583" s="143"/>
      <c r="D583" s="143"/>
      <c r="E583" s="143"/>
      <c r="F583" s="143"/>
      <c r="G583" s="143"/>
      <c r="H583" s="143"/>
      <c r="I583" s="142"/>
      <c r="J583" s="142"/>
      <c r="K583" s="143"/>
      <c r="L583" s="178"/>
      <c r="M583" s="143"/>
      <c r="N583" s="143"/>
      <c r="O583" s="143"/>
      <c r="P583" s="143"/>
      <c r="Q583" s="176"/>
      <c r="R583" s="143"/>
      <c r="S583" s="177"/>
      <c r="T583" s="177"/>
      <c r="U583" s="177"/>
      <c r="V583" s="177"/>
      <c r="W583" s="177"/>
      <c r="X583" s="177"/>
      <c r="Y583" s="159"/>
      <c r="Z583" s="160"/>
      <c r="AA583" s="160"/>
      <c r="AB583" s="160"/>
      <c r="AC583" s="160"/>
      <c r="AD583" s="160"/>
      <c r="AE583" s="160"/>
    </row>
    <row r="584" spans="1:31" ht="23.4">
      <c r="A584" s="175"/>
      <c r="B584" s="142"/>
      <c r="C584" s="143"/>
      <c r="D584" s="143"/>
      <c r="E584" s="143"/>
      <c r="F584" s="143"/>
      <c r="G584" s="143"/>
      <c r="H584" s="143"/>
      <c r="I584" s="142"/>
      <c r="J584" s="142"/>
      <c r="K584" s="143"/>
      <c r="L584" s="178"/>
      <c r="M584" s="143"/>
      <c r="N584" s="143"/>
      <c r="O584" s="143"/>
      <c r="P584" s="143"/>
      <c r="Q584" s="176"/>
      <c r="R584" s="143"/>
      <c r="S584" s="177"/>
      <c r="T584" s="177"/>
      <c r="U584" s="177"/>
      <c r="V584" s="177"/>
      <c r="W584" s="177"/>
      <c r="X584" s="177"/>
      <c r="Y584" s="159"/>
      <c r="Z584" s="160"/>
      <c r="AA584" s="160"/>
      <c r="AB584" s="160"/>
      <c r="AC584" s="160"/>
      <c r="AD584" s="160"/>
      <c r="AE584" s="160"/>
    </row>
    <row r="585" spans="1:31" ht="23.4">
      <c r="A585" s="175"/>
      <c r="B585" s="142"/>
      <c r="C585" s="143"/>
      <c r="D585" s="143"/>
      <c r="E585" s="143"/>
      <c r="F585" s="143"/>
      <c r="G585" s="143"/>
      <c r="H585" s="143"/>
      <c r="I585" s="142"/>
      <c r="J585" s="142"/>
      <c r="K585" s="143"/>
      <c r="L585" s="178"/>
      <c r="M585" s="143"/>
      <c r="N585" s="143"/>
      <c r="O585" s="143"/>
      <c r="P585" s="143"/>
      <c r="Q585" s="176"/>
      <c r="R585" s="143"/>
      <c r="S585" s="177"/>
      <c r="T585" s="177"/>
      <c r="U585" s="177"/>
      <c r="V585" s="177"/>
      <c r="W585" s="177"/>
      <c r="X585" s="177"/>
      <c r="Y585" s="159"/>
      <c r="Z585" s="160"/>
      <c r="AA585" s="160"/>
      <c r="AB585" s="160"/>
      <c r="AC585" s="160"/>
      <c r="AD585" s="160"/>
      <c r="AE585" s="160"/>
    </row>
    <row r="586" spans="1:31" ht="23.4">
      <c r="A586" s="175"/>
      <c r="B586" s="142"/>
      <c r="C586" s="143"/>
      <c r="D586" s="143"/>
      <c r="E586" s="143"/>
      <c r="F586" s="143"/>
      <c r="G586" s="143"/>
      <c r="H586" s="143"/>
      <c r="I586" s="142"/>
      <c r="J586" s="142"/>
      <c r="K586" s="143"/>
      <c r="L586" s="178"/>
      <c r="M586" s="143"/>
      <c r="N586" s="143"/>
      <c r="O586" s="143"/>
      <c r="P586" s="143"/>
      <c r="Q586" s="176"/>
      <c r="R586" s="143"/>
      <c r="S586" s="177"/>
      <c r="T586" s="177"/>
      <c r="U586" s="177"/>
      <c r="V586" s="177"/>
      <c r="W586" s="177"/>
      <c r="X586" s="177"/>
      <c r="Y586" s="159"/>
      <c r="Z586" s="160"/>
      <c r="AA586" s="160"/>
      <c r="AB586" s="160"/>
      <c r="AC586" s="160"/>
      <c r="AD586" s="160"/>
      <c r="AE586" s="160"/>
    </row>
    <row r="587" spans="1:31" ht="23.4">
      <c r="A587" s="175"/>
      <c r="B587" s="142"/>
      <c r="C587" s="143"/>
      <c r="D587" s="143"/>
      <c r="E587" s="143"/>
      <c r="F587" s="143"/>
      <c r="G587" s="143"/>
      <c r="H587" s="143"/>
      <c r="I587" s="142"/>
      <c r="J587" s="142"/>
      <c r="K587" s="143"/>
      <c r="L587" s="178"/>
      <c r="M587" s="143"/>
      <c r="N587" s="143"/>
      <c r="O587" s="143"/>
      <c r="P587" s="143"/>
      <c r="Q587" s="176"/>
      <c r="R587" s="143"/>
      <c r="S587" s="177"/>
      <c r="T587" s="177"/>
      <c r="U587" s="177"/>
      <c r="V587" s="177"/>
      <c r="W587" s="177"/>
      <c r="X587" s="177"/>
      <c r="Y587" s="159"/>
      <c r="Z587" s="160"/>
      <c r="AA587" s="160"/>
      <c r="AB587" s="160"/>
      <c r="AC587" s="160"/>
      <c r="AD587" s="160"/>
      <c r="AE587" s="160"/>
    </row>
    <row r="588" spans="1:31" ht="23.4">
      <c r="A588" s="175"/>
      <c r="B588" s="142"/>
      <c r="C588" s="143"/>
      <c r="D588" s="143"/>
      <c r="E588" s="143"/>
      <c r="F588" s="143"/>
      <c r="G588" s="143"/>
      <c r="H588" s="143"/>
      <c r="I588" s="142"/>
      <c r="J588" s="142"/>
      <c r="K588" s="143"/>
      <c r="L588" s="178"/>
      <c r="M588" s="143"/>
      <c r="N588" s="143"/>
      <c r="O588" s="143"/>
      <c r="P588" s="143"/>
      <c r="Q588" s="176"/>
      <c r="R588" s="143"/>
      <c r="S588" s="177"/>
      <c r="T588" s="177"/>
      <c r="U588" s="177"/>
      <c r="V588" s="177"/>
      <c r="W588" s="177"/>
      <c r="X588" s="177"/>
      <c r="Y588" s="159"/>
      <c r="Z588" s="160"/>
      <c r="AA588" s="160"/>
      <c r="AB588" s="160"/>
      <c r="AC588" s="160"/>
      <c r="AD588" s="160"/>
      <c r="AE588" s="160"/>
    </row>
    <row r="589" spans="1:31" ht="23.4">
      <c r="A589" s="175"/>
      <c r="B589" s="142"/>
      <c r="C589" s="143"/>
      <c r="D589" s="143"/>
      <c r="E589" s="143"/>
      <c r="F589" s="143"/>
      <c r="G589" s="143"/>
      <c r="H589" s="143"/>
      <c r="I589" s="142"/>
      <c r="J589" s="142"/>
      <c r="K589" s="143"/>
      <c r="L589" s="178"/>
      <c r="M589" s="143"/>
      <c r="N589" s="143"/>
      <c r="O589" s="143"/>
      <c r="P589" s="143"/>
      <c r="Q589" s="176"/>
      <c r="R589" s="143"/>
      <c r="S589" s="177"/>
      <c r="T589" s="177"/>
      <c r="U589" s="177"/>
      <c r="V589" s="177"/>
      <c r="W589" s="177"/>
      <c r="X589" s="177"/>
      <c r="Y589" s="159"/>
      <c r="Z589" s="160"/>
      <c r="AA589" s="160"/>
      <c r="AB589" s="160"/>
      <c r="AC589" s="160"/>
      <c r="AD589" s="160"/>
      <c r="AE589" s="160"/>
    </row>
    <row r="590" spans="1:31" ht="23.4">
      <c r="A590" s="175"/>
      <c r="B590" s="142"/>
      <c r="C590" s="143"/>
      <c r="D590" s="143"/>
      <c r="E590" s="143"/>
      <c r="F590" s="143"/>
      <c r="G590" s="143"/>
      <c r="H590" s="143"/>
      <c r="I590" s="142"/>
      <c r="J590" s="142"/>
      <c r="K590" s="143"/>
      <c r="L590" s="178"/>
      <c r="M590" s="143"/>
      <c r="N590" s="143"/>
      <c r="O590" s="143"/>
      <c r="P590" s="143"/>
      <c r="Q590" s="176"/>
      <c r="R590" s="143"/>
      <c r="S590" s="177"/>
      <c r="T590" s="177"/>
      <c r="U590" s="177"/>
      <c r="V590" s="177"/>
      <c r="W590" s="177"/>
      <c r="X590" s="177"/>
      <c r="Y590" s="159"/>
      <c r="Z590" s="160"/>
      <c r="AA590" s="160"/>
      <c r="AB590" s="160"/>
      <c r="AC590" s="160"/>
      <c r="AD590" s="160"/>
      <c r="AE590" s="160"/>
    </row>
    <row r="591" spans="1:31" ht="23.4">
      <c r="A591" s="175"/>
      <c r="B591" s="142"/>
      <c r="C591" s="143"/>
      <c r="D591" s="143"/>
      <c r="E591" s="143"/>
      <c r="F591" s="143"/>
      <c r="G591" s="143"/>
      <c r="H591" s="143"/>
      <c r="I591" s="142"/>
      <c r="J591" s="142"/>
      <c r="K591" s="143"/>
      <c r="L591" s="178"/>
      <c r="M591" s="143"/>
      <c r="N591" s="143"/>
      <c r="O591" s="143"/>
      <c r="P591" s="143"/>
      <c r="Q591" s="176"/>
      <c r="R591" s="143"/>
      <c r="S591" s="177"/>
      <c r="T591" s="177"/>
      <c r="U591" s="177"/>
      <c r="V591" s="177"/>
      <c r="W591" s="177"/>
      <c r="X591" s="177"/>
      <c r="Y591" s="159"/>
      <c r="Z591" s="160"/>
      <c r="AA591" s="160"/>
      <c r="AB591" s="160"/>
      <c r="AC591" s="160"/>
      <c r="AD591" s="160"/>
      <c r="AE591" s="160"/>
    </row>
    <row r="592" spans="1:31" ht="23.4">
      <c r="A592" s="175"/>
      <c r="B592" s="142"/>
      <c r="C592" s="143"/>
      <c r="D592" s="143"/>
      <c r="E592" s="143"/>
      <c r="F592" s="143"/>
      <c r="G592" s="143"/>
      <c r="H592" s="143"/>
      <c r="I592" s="142"/>
      <c r="J592" s="142"/>
      <c r="K592" s="143"/>
      <c r="L592" s="178"/>
      <c r="M592" s="143"/>
      <c r="N592" s="143"/>
      <c r="O592" s="143"/>
      <c r="P592" s="143"/>
      <c r="Q592" s="176"/>
      <c r="R592" s="143"/>
      <c r="S592" s="177"/>
      <c r="T592" s="177"/>
      <c r="U592" s="177"/>
      <c r="V592" s="177"/>
      <c r="W592" s="177"/>
      <c r="X592" s="177"/>
      <c r="Y592" s="159"/>
      <c r="Z592" s="160"/>
      <c r="AA592" s="160"/>
      <c r="AB592" s="160"/>
      <c r="AC592" s="160"/>
      <c r="AD592" s="160"/>
      <c r="AE592" s="160"/>
    </row>
    <row r="593" spans="1:31" ht="23.4">
      <c r="A593" s="175"/>
      <c r="B593" s="142"/>
      <c r="C593" s="143"/>
      <c r="D593" s="143"/>
      <c r="E593" s="143"/>
      <c r="F593" s="143"/>
      <c r="G593" s="143"/>
      <c r="H593" s="143"/>
      <c r="I593" s="142"/>
      <c r="J593" s="142"/>
      <c r="K593" s="143"/>
      <c r="L593" s="178"/>
      <c r="M593" s="143"/>
      <c r="N593" s="143"/>
      <c r="O593" s="143"/>
      <c r="P593" s="143"/>
      <c r="Q593" s="176"/>
      <c r="R593" s="143"/>
      <c r="S593" s="177"/>
      <c r="T593" s="177"/>
      <c r="U593" s="177"/>
      <c r="V593" s="177"/>
      <c r="W593" s="177"/>
      <c r="X593" s="177"/>
      <c r="Y593" s="159"/>
      <c r="Z593" s="160"/>
      <c r="AA593" s="160"/>
      <c r="AB593" s="160"/>
      <c r="AC593" s="160"/>
      <c r="AD593" s="160"/>
      <c r="AE593" s="160"/>
    </row>
    <row r="594" spans="1:31" ht="23.4">
      <c r="A594" s="175"/>
      <c r="B594" s="142"/>
      <c r="C594" s="143"/>
      <c r="D594" s="143"/>
      <c r="E594" s="143"/>
      <c r="F594" s="143"/>
      <c r="G594" s="143"/>
      <c r="H594" s="143"/>
      <c r="I594" s="142"/>
      <c r="J594" s="142"/>
      <c r="K594" s="143"/>
      <c r="L594" s="178"/>
      <c r="M594" s="143"/>
      <c r="N594" s="143"/>
      <c r="O594" s="143"/>
      <c r="P594" s="143"/>
      <c r="Q594" s="176"/>
      <c r="R594" s="143"/>
      <c r="S594" s="177"/>
      <c r="T594" s="177"/>
      <c r="U594" s="177"/>
      <c r="V594" s="177"/>
      <c r="W594" s="177"/>
      <c r="X594" s="177"/>
      <c r="Y594" s="159"/>
      <c r="Z594" s="160"/>
      <c r="AA594" s="160"/>
      <c r="AB594" s="160"/>
      <c r="AC594" s="160"/>
      <c r="AD594" s="160"/>
      <c r="AE594" s="160"/>
    </row>
    <row r="595" spans="1:31" ht="23.4">
      <c r="A595" s="175"/>
      <c r="B595" s="142"/>
      <c r="C595" s="143"/>
      <c r="D595" s="143"/>
      <c r="E595" s="143"/>
      <c r="F595" s="143"/>
      <c r="G595" s="143"/>
      <c r="H595" s="143"/>
      <c r="I595" s="142"/>
      <c r="J595" s="142"/>
      <c r="K595" s="143"/>
      <c r="L595" s="178"/>
      <c r="M595" s="143"/>
      <c r="N595" s="143"/>
      <c r="O595" s="143"/>
      <c r="P595" s="143"/>
      <c r="Q595" s="176"/>
      <c r="R595" s="143"/>
      <c r="S595" s="177"/>
      <c r="T595" s="177"/>
      <c r="U595" s="177"/>
      <c r="V595" s="177"/>
      <c r="W595" s="177"/>
      <c r="X595" s="177"/>
      <c r="Y595" s="159"/>
      <c r="Z595" s="160"/>
      <c r="AA595" s="160"/>
      <c r="AB595" s="160"/>
      <c r="AC595" s="160"/>
      <c r="AD595" s="160"/>
      <c r="AE595" s="160"/>
    </row>
    <row r="596" spans="1:31" ht="23.4">
      <c r="A596" s="175"/>
      <c r="B596" s="142"/>
      <c r="C596" s="143"/>
      <c r="D596" s="143"/>
      <c r="E596" s="143"/>
      <c r="F596" s="143"/>
      <c r="G596" s="143"/>
      <c r="H596" s="143"/>
      <c r="I596" s="142"/>
      <c r="J596" s="142"/>
      <c r="K596" s="143"/>
      <c r="L596" s="178"/>
      <c r="M596" s="143"/>
      <c r="N596" s="143"/>
      <c r="O596" s="143"/>
      <c r="P596" s="143"/>
      <c r="Q596" s="176"/>
      <c r="R596" s="143"/>
      <c r="S596" s="177"/>
      <c r="T596" s="177"/>
      <c r="U596" s="177"/>
      <c r="V596" s="177"/>
      <c r="W596" s="177"/>
      <c r="X596" s="177"/>
      <c r="Y596" s="159"/>
      <c r="Z596" s="160"/>
      <c r="AA596" s="160"/>
      <c r="AB596" s="160"/>
      <c r="AC596" s="160"/>
      <c r="AD596" s="160"/>
      <c r="AE596" s="160"/>
    </row>
    <row r="597" spans="1:31" ht="23.4">
      <c r="A597" s="175"/>
      <c r="B597" s="142"/>
      <c r="C597" s="143"/>
      <c r="D597" s="143"/>
      <c r="E597" s="143"/>
      <c r="F597" s="143"/>
      <c r="G597" s="143"/>
      <c r="H597" s="143"/>
      <c r="I597" s="142"/>
      <c r="J597" s="142"/>
      <c r="K597" s="143"/>
      <c r="L597" s="178"/>
      <c r="M597" s="143"/>
      <c r="N597" s="143"/>
      <c r="O597" s="143"/>
      <c r="P597" s="143"/>
      <c r="Q597" s="176"/>
      <c r="R597" s="143"/>
      <c r="S597" s="177"/>
      <c r="T597" s="177"/>
      <c r="U597" s="177"/>
      <c r="V597" s="177"/>
      <c r="W597" s="177"/>
      <c r="X597" s="177"/>
      <c r="Y597" s="159"/>
      <c r="Z597" s="160"/>
      <c r="AA597" s="160"/>
      <c r="AB597" s="160"/>
      <c r="AC597" s="160"/>
      <c r="AD597" s="160"/>
      <c r="AE597" s="160"/>
    </row>
    <row r="598" spans="1:31" ht="23.4">
      <c r="A598" s="175"/>
      <c r="B598" s="142"/>
      <c r="C598" s="143"/>
      <c r="D598" s="143"/>
      <c r="E598" s="143"/>
      <c r="F598" s="143"/>
      <c r="G598" s="143"/>
      <c r="H598" s="143"/>
      <c r="I598" s="142"/>
      <c r="J598" s="142"/>
      <c r="K598" s="143"/>
      <c r="L598" s="178"/>
      <c r="M598" s="143"/>
      <c r="N598" s="143"/>
      <c r="O598" s="143"/>
      <c r="P598" s="143"/>
      <c r="Q598" s="176"/>
      <c r="R598" s="143"/>
      <c r="S598" s="177"/>
      <c r="T598" s="177"/>
      <c r="U598" s="177"/>
      <c r="V598" s="177"/>
      <c r="W598" s="177"/>
      <c r="X598" s="177"/>
      <c r="Y598" s="159"/>
      <c r="Z598" s="160"/>
      <c r="AA598" s="160"/>
      <c r="AB598" s="160"/>
      <c r="AC598" s="160"/>
      <c r="AD598" s="160"/>
      <c r="AE598" s="160"/>
    </row>
    <row r="599" spans="1:31" ht="23.4">
      <c r="A599" s="175"/>
      <c r="B599" s="142"/>
      <c r="C599" s="143"/>
      <c r="D599" s="143"/>
      <c r="E599" s="143"/>
      <c r="F599" s="143"/>
      <c r="G599" s="143"/>
      <c r="H599" s="143"/>
      <c r="I599" s="142"/>
      <c r="J599" s="142"/>
      <c r="K599" s="143"/>
      <c r="L599" s="178"/>
      <c r="M599" s="143"/>
      <c r="N599" s="143"/>
      <c r="O599" s="143"/>
      <c r="P599" s="143"/>
      <c r="Q599" s="176"/>
      <c r="R599" s="143"/>
      <c r="S599" s="177"/>
      <c r="T599" s="177"/>
      <c r="U599" s="177"/>
      <c r="V599" s="177"/>
      <c r="W599" s="177"/>
      <c r="X599" s="177"/>
      <c r="Y599" s="159"/>
      <c r="Z599" s="160"/>
      <c r="AA599" s="160"/>
      <c r="AB599" s="160"/>
      <c r="AC599" s="160"/>
      <c r="AD599" s="160"/>
      <c r="AE599" s="160"/>
    </row>
    <row r="600" spans="1:31" ht="23.4">
      <c r="A600" s="175"/>
      <c r="B600" s="142"/>
      <c r="C600" s="143"/>
      <c r="D600" s="143"/>
      <c r="E600" s="143"/>
      <c r="F600" s="143"/>
      <c r="G600" s="143"/>
      <c r="H600" s="143"/>
      <c r="I600" s="142"/>
      <c r="J600" s="142"/>
      <c r="K600" s="143"/>
      <c r="L600" s="178"/>
      <c r="M600" s="143"/>
      <c r="N600" s="143"/>
      <c r="O600" s="143"/>
      <c r="P600" s="143"/>
      <c r="Q600" s="176"/>
      <c r="R600" s="143"/>
      <c r="S600" s="177"/>
      <c r="T600" s="177"/>
      <c r="U600" s="177"/>
      <c r="V600" s="177"/>
      <c r="W600" s="177"/>
      <c r="X600" s="177"/>
      <c r="Y600" s="159"/>
      <c r="Z600" s="160"/>
      <c r="AA600" s="160"/>
      <c r="AB600" s="160"/>
      <c r="AC600" s="160"/>
      <c r="AD600" s="160"/>
      <c r="AE600" s="160"/>
    </row>
    <row r="601" spans="1:31" ht="23.4">
      <c r="A601" s="175"/>
      <c r="B601" s="142"/>
      <c r="C601" s="143"/>
      <c r="D601" s="143"/>
      <c r="E601" s="143"/>
      <c r="F601" s="143"/>
      <c r="G601" s="143"/>
      <c r="H601" s="143"/>
      <c r="I601" s="142"/>
      <c r="J601" s="142"/>
      <c r="K601" s="143"/>
      <c r="L601" s="178"/>
      <c r="M601" s="143"/>
      <c r="N601" s="143"/>
      <c r="O601" s="143"/>
      <c r="P601" s="143"/>
      <c r="Q601" s="176"/>
      <c r="R601" s="143"/>
      <c r="S601" s="177"/>
      <c r="T601" s="177"/>
      <c r="U601" s="177"/>
      <c r="V601" s="177"/>
      <c r="W601" s="177"/>
      <c r="X601" s="177"/>
      <c r="Y601" s="159"/>
      <c r="Z601" s="160"/>
      <c r="AA601" s="160"/>
      <c r="AB601" s="160"/>
      <c r="AC601" s="160"/>
      <c r="AD601" s="160"/>
      <c r="AE601" s="160"/>
    </row>
    <row r="602" spans="1:31" ht="23.4">
      <c r="A602" s="175"/>
      <c r="B602" s="142"/>
      <c r="C602" s="143"/>
      <c r="D602" s="143"/>
      <c r="E602" s="143"/>
      <c r="F602" s="143"/>
      <c r="G602" s="143"/>
      <c r="H602" s="143"/>
      <c r="I602" s="142"/>
      <c r="J602" s="142"/>
      <c r="K602" s="143"/>
      <c r="L602" s="178"/>
      <c r="M602" s="143"/>
      <c r="N602" s="143"/>
      <c r="O602" s="143"/>
      <c r="P602" s="143"/>
      <c r="Q602" s="176"/>
      <c r="R602" s="143"/>
      <c r="S602" s="177"/>
      <c r="T602" s="177"/>
      <c r="U602" s="177"/>
      <c r="V602" s="177"/>
      <c r="W602" s="177"/>
      <c r="X602" s="177"/>
      <c r="Y602" s="159"/>
      <c r="Z602" s="160"/>
      <c r="AA602" s="160"/>
      <c r="AB602" s="160"/>
      <c r="AC602" s="160"/>
      <c r="AD602" s="160"/>
      <c r="AE602" s="160"/>
    </row>
    <row r="603" spans="1:31" ht="23.4">
      <c r="A603" s="175"/>
      <c r="B603" s="142"/>
      <c r="C603" s="143"/>
      <c r="D603" s="143"/>
      <c r="E603" s="143"/>
      <c r="F603" s="143"/>
      <c r="G603" s="143"/>
      <c r="H603" s="143"/>
      <c r="I603" s="142"/>
      <c r="J603" s="142"/>
      <c r="K603" s="143"/>
      <c r="L603" s="178"/>
      <c r="M603" s="143"/>
      <c r="N603" s="143"/>
      <c r="O603" s="143"/>
      <c r="P603" s="143"/>
      <c r="Q603" s="176"/>
      <c r="R603" s="143"/>
      <c r="S603" s="177"/>
      <c r="T603" s="177"/>
      <c r="U603" s="177"/>
      <c r="V603" s="177"/>
      <c r="W603" s="177"/>
      <c r="X603" s="177"/>
      <c r="Y603" s="159"/>
      <c r="Z603" s="160"/>
      <c r="AA603" s="160"/>
      <c r="AB603" s="160"/>
      <c r="AC603" s="160"/>
      <c r="AD603" s="160"/>
      <c r="AE603" s="160"/>
    </row>
    <row r="604" spans="1:31" ht="23.4">
      <c r="A604" s="175"/>
      <c r="B604" s="142"/>
      <c r="C604" s="143"/>
      <c r="D604" s="143"/>
      <c r="E604" s="143"/>
      <c r="F604" s="143"/>
      <c r="G604" s="143"/>
      <c r="H604" s="143"/>
      <c r="I604" s="142"/>
      <c r="J604" s="142"/>
      <c r="K604" s="143"/>
      <c r="L604" s="178"/>
      <c r="M604" s="143"/>
      <c r="N604" s="143"/>
      <c r="O604" s="143"/>
      <c r="P604" s="143"/>
      <c r="Q604" s="176"/>
      <c r="R604" s="143"/>
      <c r="S604" s="177"/>
      <c r="T604" s="177"/>
      <c r="U604" s="177"/>
      <c r="V604" s="177"/>
      <c r="W604" s="177"/>
      <c r="X604" s="177"/>
      <c r="Y604" s="159"/>
      <c r="Z604" s="160"/>
      <c r="AA604" s="160"/>
      <c r="AB604" s="160"/>
      <c r="AC604" s="160"/>
      <c r="AD604" s="160"/>
      <c r="AE604" s="160"/>
    </row>
    <row r="605" spans="1:31" ht="23.4">
      <c r="A605" s="175"/>
      <c r="B605" s="142"/>
      <c r="C605" s="143"/>
      <c r="D605" s="143"/>
      <c r="E605" s="143"/>
      <c r="F605" s="143"/>
      <c r="G605" s="143"/>
      <c r="H605" s="143"/>
      <c r="I605" s="142"/>
      <c r="J605" s="142"/>
      <c r="K605" s="143"/>
      <c r="L605" s="178"/>
      <c r="M605" s="143"/>
      <c r="N605" s="143"/>
      <c r="O605" s="143"/>
      <c r="P605" s="143"/>
      <c r="Q605" s="176"/>
      <c r="R605" s="143"/>
      <c r="S605" s="177"/>
      <c r="T605" s="177"/>
      <c r="U605" s="177"/>
      <c r="V605" s="177"/>
      <c r="W605" s="177"/>
      <c r="X605" s="177"/>
      <c r="Y605" s="159"/>
      <c r="Z605" s="160"/>
      <c r="AA605" s="160"/>
      <c r="AB605" s="160"/>
      <c r="AC605" s="160"/>
      <c r="AD605" s="160"/>
      <c r="AE605" s="160"/>
    </row>
    <row r="606" spans="1:31" ht="23.4">
      <c r="A606" s="175"/>
      <c r="B606" s="142"/>
      <c r="C606" s="143"/>
      <c r="D606" s="143"/>
      <c r="E606" s="143"/>
      <c r="F606" s="143"/>
      <c r="G606" s="143"/>
      <c r="H606" s="143"/>
      <c r="I606" s="142"/>
      <c r="J606" s="142"/>
      <c r="K606" s="143"/>
      <c r="L606" s="178"/>
      <c r="M606" s="143"/>
      <c r="N606" s="143"/>
      <c r="O606" s="143"/>
      <c r="P606" s="143"/>
      <c r="Q606" s="176"/>
      <c r="R606" s="143"/>
      <c r="S606" s="177"/>
      <c r="T606" s="177"/>
      <c r="U606" s="177"/>
      <c r="V606" s="177"/>
      <c r="W606" s="177"/>
      <c r="X606" s="177"/>
      <c r="Y606" s="159"/>
      <c r="Z606" s="160"/>
      <c r="AA606" s="160"/>
      <c r="AB606" s="160"/>
      <c r="AC606" s="160"/>
      <c r="AD606" s="160"/>
      <c r="AE606" s="160"/>
    </row>
    <row r="607" spans="1:31" ht="23.4">
      <c r="A607" s="175"/>
      <c r="B607" s="142"/>
      <c r="C607" s="143"/>
      <c r="D607" s="143"/>
      <c r="E607" s="143"/>
      <c r="F607" s="143"/>
      <c r="G607" s="143"/>
      <c r="H607" s="143"/>
      <c r="I607" s="142"/>
      <c r="J607" s="142"/>
      <c r="K607" s="143"/>
      <c r="L607" s="178"/>
      <c r="M607" s="143"/>
      <c r="N607" s="143"/>
      <c r="O607" s="143"/>
      <c r="P607" s="143"/>
      <c r="Q607" s="176"/>
      <c r="R607" s="143"/>
      <c r="S607" s="177"/>
      <c r="T607" s="177"/>
      <c r="U607" s="177"/>
      <c r="V607" s="177"/>
      <c r="W607" s="177"/>
      <c r="X607" s="177"/>
      <c r="Y607" s="159"/>
      <c r="Z607" s="160"/>
      <c r="AA607" s="160"/>
      <c r="AB607" s="160"/>
      <c r="AC607" s="160"/>
      <c r="AD607" s="160"/>
      <c r="AE607" s="160"/>
    </row>
    <row r="608" spans="1:31" ht="23.4">
      <c r="A608" s="175"/>
      <c r="B608" s="142"/>
      <c r="C608" s="143"/>
      <c r="D608" s="143"/>
      <c r="E608" s="143"/>
      <c r="F608" s="143"/>
      <c r="G608" s="143"/>
      <c r="H608" s="143"/>
      <c r="I608" s="142"/>
      <c r="J608" s="142"/>
      <c r="K608" s="143"/>
      <c r="L608" s="178"/>
      <c r="M608" s="143"/>
      <c r="N608" s="143"/>
      <c r="O608" s="143"/>
      <c r="P608" s="143"/>
      <c r="Q608" s="176"/>
      <c r="R608" s="143"/>
      <c r="S608" s="177"/>
      <c r="T608" s="177"/>
      <c r="U608" s="177"/>
      <c r="V608" s="177"/>
      <c r="W608" s="177"/>
      <c r="X608" s="177"/>
      <c r="Y608" s="159"/>
      <c r="Z608" s="160"/>
      <c r="AA608" s="160"/>
      <c r="AB608" s="160"/>
      <c r="AC608" s="160"/>
      <c r="AD608" s="160"/>
      <c r="AE608" s="160"/>
    </row>
    <row r="609" spans="1:31" ht="23.4">
      <c r="A609" s="175"/>
      <c r="B609" s="142"/>
      <c r="C609" s="143"/>
      <c r="D609" s="143"/>
      <c r="E609" s="143"/>
      <c r="F609" s="143"/>
      <c r="G609" s="143"/>
      <c r="H609" s="143"/>
      <c r="I609" s="142"/>
      <c r="J609" s="142"/>
      <c r="K609" s="143"/>
      <c r="L609" s="178"/>
      <c r="M609" s="143"/>
      <c r="N609" s="143"/>
      <c r="O609" s="143"/>
      <c r="P609" s="143"/>
      <c r="Q609" s="176"/>
      <c r="R609" s="143"/>
      <c r="S609" s="177"/>
      <c r="T609" s="177"/>
      <c r="U609" s="177"/>
      <c r="V609" s="177"/>
      <c r="W609" s="177"/>
      <c r="X609" s="177"/>
      <c r="Y609" s="159"/>
      <c r="Z609" s="160"/>
      <c r="AA609" s="160"/>
      <c r="AB609" s="160"/>
      <c r="AC609" s="160"/>
      <c r="AD609" s="160"/>
      <c r="AE609" s="160"/>
    </row>
    <row r="610" spans="1:31" ht="23.4">
      <c r="A610" s="175"/>
      <c r="B610" s="142"/>
      <c r="C610" s="143"/>
      <c r="D610" s="143"/>
      <c r="E610" s="143"/>
      <c r="F610" s="143"/>
      <c r="G610" s="143"/>
      <c r="H610" s="143"/>
      <c r="I610" s="142"/>
      <c r="J610" s="142"/>
      <c r="K610" s="143"/>
      <c r="L610" s="178"/>
      <c r="M610" s="143"/>
      <c r="N610" s="143"/>
      <c r="O610" s="143"/>
      <c r="P610" s="143"/>
      <c r="Q610" s="176"/>
      <c r="R610" s="143"/>
      <c r="S610" s="177"/>
      <c r="T610" s="177"/>
      <c r="U610" s="177"/>
      <c r="V610" s="177"/>
      <c r="W610" s="177"/>
      <c r="X610" s="177"/>
      <c r="Y610" s="159"/>
      <c r="Z610" s="160"/>
      <c r="AA610" s="160"/>
      <c r="AB610" s="160"/>
      <c r="AC610" s="160"/>
      <c r="AD610" s="160"/>
      <c r="AE610" s="160"/>
    </row>
    <row r="611" spans="1:31" ht="23.4">
      <c r="A611" s="175"/>
      <c r="B611" s="142"/>
      <c r="C611" s="143"/>
      <c r="D611" s="143"/>
      <c r="E611" s="143"/>
      <c r="F611" s="143"/>
      <c r="G611" s="143"/>
      <c r="H611" s="143"/>
      <c r="I611" s="142"/>
      <c r="J611" s="142"/>
      <c r="K611" s="143"/>
      <c r="L611" s="178"/>
      <c r="M611" s="143"/>
      <c r="N611" s="143"/>
      <c r="O611" s="143"/>
      <c r="P611" s="143"/>
      <c r="Q611" s="176"/>
      <c r="R611" s="143"/>
      <c r="S611" s="177"/>
      <c r="T611" s="177"/>
      <c r="U611" s="177"/>
      <c r="V611" s="177"/>
      <c r="W611" s="177"/>
      <c r="X611" s="177"/>
      <c r="Y611" s="159"/>
      <c r="Z611" s="160"/>
      <c r="AA611" s="160"/>
      <c r="AB611" s="160"/>
      <c r="AC611" s="160"/>
      <c r="AD611" s="160"/>
      <c r="AE611" s="160"/>
    </row>
    <row r="612" spans="1:31" ht="23.4">
      <c r="A612" s="175"/>
      <c r="B612" s="142"/>
      <c r="C612" s="143"/>
      <c r="D612" s="143"/>
      <c r="E612" s="143"/>
      <c r="F612" s="143"/>
      <c r="G612" s="143"/>
      <c r="H612" s="143"/>
      <c r="I612" s="142"/>
      <c r="J612" s="142"/>
      <c r="K612" s="143"/>
      <c r="L612" s="178"/>
      <c r="M612" s="143"/>
      <c r="N612" s="143"/>
      <c r="O612" s="143"/>
      <c r="P612" s="143"/>
      <c r="Q612" s="176"/>
      <c r="R612" s="143"/>
      <c r="S612" s="177"/>
      <c r="T612" s="177"/>
      <c r="U612" s="177"/>
      <c r="V612" s="177"/>
      <c r="W612" s="177"/>
      <c r="X612" s="177"/>
      <c r="Y612" s="159"/>
      <c r="Z612" s="160"/>
      <c r="AA612" s="160"/>
      <c r="AB612" s="160"/>
      <c r="AC612" s="160"/>
      <c r="AD612" s="160"/>
      <c r="AE612" s="160"/>
    </row>
    <row r="613" spans="1:31" ht="23.4">
      <c r="A613" s="175"/>
      <c r="B613" s="142"/>
      <c r="C613" s="143"/>
      <c r="D613" s="143"/>
      <c r="E613" s="143"/>
      <c r="F613" s="143"/>
      <c r="G613" s="143"/>
      <c r="H613" s="143"/>
      <c r="I613" s="142"/>
      <c r="J613" s="142"/>
      <c r="K613" s="143"/>
      <c r="L613" s="178"/>
      <c r="M613" s="143"/>
      <c r="N613" s="143"/>
      <c r="O613" s="143"/>
      <c r="P613" s="143"/>
      <c r="Q613" s="176"/>
      <c r="R613" s="143"/>
      <c r="S613" s="177"/>
      <c r="T613" s="177"/>
      <c r="U613" s="177"/>
      <c r="V613" s="177"/>
      <c r="W613" s="177"/>
      <c r="X613" s="177"/>
      <c r="Y613" s="159"/>
      <c r="Z613" s="160"/>
      <c r="AA613" s="160"/>
      <c r="AB613" s="160"/>
      <c r="AC613" s="160"/>
      <c r="AD613" s="160"/>
      <c r="AE613" s="160"/>
    </row>
    <row r="614" spans="1:31" ht="23.4">
      <c r="A614" s="175"/>
      <c r="B614" s="142"/>
      <c r="C614" s="143"/>
      <c r="D614" s="143"/>
      <c r="E614" s="143"/>
      <c r="F614" s="143"/>
      <c r="G614" s="143"/>
      <c r="H614" s="143"/>
      <c r="I614" s="142"/>
      <c r="J614" s="142"/>
      <c r="K614" s="143"/>
      <c r="L614" s="178"/>
      <c r="M614" s="143"/>
      <c r="N614" s="143"/>
      <c r="O614" s="143"/>
      <c r="P614" s="143"/>
      <c r="Q614" s="176"/>
      <c r="R614" s="143"/>
      <c r="S614" s="177"/>
      <c r="T614" s="177"/>
      <c r="U614" s="177"/>
      <c r="V614" s="177"/>
      <c r="W614" s="177"/>
      <c r="X614" s="177"/>
      <c r="Y614" s="159"/>
      <c r="Z614" s="160"/>
      <c r="AA614" s="160"/>
      <c r="AB614" s="160"/>
      <c r="AC614" s="160"/>
      <c r="AD614" s="160"/>
      <c r="AE614" s="160"/>
    </row>
    <row r="615" spans="1:31" ht="23.4">
      <c r="A615" s="175"/>
      <c r="B615" s="142"/>
      <c r="C615" s="143"/>
      <c r="D615" s="143"/>
      <c r="E615" s="143"/>
      <c r="F615" s="143"/>
      <c r="G615" s="143"/>
      <c r="H615" s="143"/>
      <c r="I615" s="142"/>
      <c r="J615" s="142"/>
      <c r="K615" s="143"/>
      <c r="L615" s="178"/>
      <c r="M615" s="143"/>
      <c r="N615" s="143"/>
      <c r="O615" s="143"/>
      <c r="P615" s="143"/>
      <c r="Q615" s="176"/>
      <c r="R615" s="143"/>
      <c r="S615" s="177"/>
      <c r="T615" s="177"/>
      <c r="U615" s="177"/>
      <c r="V615" s="177"/>
      <c r="W615" s="177"/>
      <c r="X615" s="177"/>
      <c r="Y615" s="159"/>
      <c r="Z615" s="160"/>
      <c r="AA615" s="160"/>
      <c r="AB615" s="160"/>
      <c r="AC615" s="160"/>
      <c r="AD615" s="160"/>
      <c r="AE615" s="160"/>
    </row>
    <row r="616" spans="1:31" ht="23.4">
      <c r="A616" s="175"/>
      <c r="B616" s="142"/>
      <c r="C616" s="143"/>
      <c r="D616" s="143"/>
      <c r="E616" s="143"/>
      <c r="F616" s="143"/>
      <c r="G616" s="143"/>
      <c r="H616" s="143"/>
      <c r="I616" s="142"/>
      <c r="J616" s="142"/>
      <c r="K616" s="143"/>
      <c r="L616" s="178"/>
      <c r="M616" s="143"/>
      <c r="N616" s="143"/>
      <c r="O616" s="143"/>
      <c r="P616" s="143"/>
      <c r="Q616" s="176"/>
      <c r="R616" s="143"/>
      <c r="S616" s="177"/>
      <c r="T616" s="177"/>
      <c r="U616" s="177"/>
      <c r="V616" s="177"/>
      <c r="W616" s="177"/>
      <c r="X616" s="177"/>
      <c r="Y616" s="159"/>
      <c r="Z616" s="160"/>
      <c r="AA616" s="160"/>
      <c r="AB616" s="160"/>
      <c r="AC616" s="160"/>
      <c r="AD616" s="160"/>
      <c r="AE616" s="160"/>
    </row>
    <row r="617" spans="1:31" ht="23.4">
      <c r="A617" s="175"/>
      <c r="B617" s="142"/>
      <c r="C617" s="143"/>
      <c r="D617" s="143"/>
      <c r="E617" s="143"/>
      <c r="F617" s="143"/>
      <c r="G617" s="143"/>
      <c r="H617" s="143"/>
      <c r="I617" s="142"/>
      <c r="J617" s="142"/>
      <c r="K617" s="143"/>
      <c r="L617" s="178"/>
      <c r="M617" s="143"/>
      <c r="N617" s="143"/>
      <c r="O617" s="143"/>
      <c r="P617" s="143"/>
      <c r="Q617" s="176"/>
      <c r="R617" s="143"/>
      <c r="S617" s="177"/>
      <c r="T617" s="177"/>
      <c r="U617" s="177"/>
      <c r="V617" s="177"/>
      <c r="W617" s="177"/>
      <c r="X617" s="177"/>
      <c r="Y617" s="159"/>
      <c r="Z617" s="160"/>
      <c r="AA617" s="160"/>
      <c r="AB617" s="160"/>
      <c r="AC617" s="160"/>
      <c r="AD617" s="160"/>
      <c r="AE617" s="160"/>
    </row>
    <row r="618" spans="1:31" ht="23.4">
      <c r="A618" s="175"/>
      <c r="B618" s="142"/>
      <c r="C618" s="143"/>
      <c r="D618" s="143"/>
      <c r="E618" s="143"/>
      <c r="F618" s="143"/>
      <c r="G618" s="143"/>
      <c r="H618" s="143"/>
      <c r="I618" s="142"/>
      <c r="J618" s="142"/>
      <c r="K618" s="143"/>
      <c r="L618" s="178"/>
      <c r="M618" s="143"/>
      <c r="N618" s="143"/>
      <c r="O618" s="143"/>
      <c r="P618" s="143"/>
      <c r="Q618" s="176"/>
      <c r="R618" s="143"/>
      <c r="S618" s="177"/>
      <c r="T618" s="177"/>
      <c r="U618" s="177"/>
      <c r="V618" s="177"/>
      <c r="W618" s="177"/>
      <c r="X618" s="177"/>
      <c r="Y618" s="159"/>
      <c r="Z618" s="160"/>
      <c r="AA618" s="160"/>
      <c r="AB618" s="160"/>
      <c r="AC618" s="160"/>
      <c r="AD618" s="160"/>
      <c r="AE618" s="160"/>
    </row>
    <row r="619" spans="1:31" ht="23.4">
      <c r="A619" s="175"/>
      <c r="B619" s="142"/>
      <c r="C619" s="143"/>
      <c r="D619" s="143"/>
      <c r="E619" s="143"/>
      <c r="F619" s="143"/>
      <c r="G619" s="143"/>
      <c r="H619" s="143"/>
      <c r="I619" s="142"/>
      <c r="J619" s="142"/>
      <c r="K619" s="143"/>
      <c r="L619" s="178"/>
      <c r="M619" s="143"/>
      <c r="N619" s="143"/>
      <c r="O619" s="143"/>
      <c r="P619" s="143"/>
      <c r="Q619" s="176"/>
      <c r="R619" s="143"/>
      <c r="S619" s="177"/>
      <c r="T619" s="177"/>
      <c r="U619" s="177"/>
      <c r="V619" s="177"/>
      <c r="W619" s="177"/>
      <c r="X619" s="177"/>
      <c r="Y619" s="159"/>
      <c r="Z619" s="160"/>
      <c r="AA619" s="160"/>
      <c r="AB619" s="160"/>
      <c r="AC619" s="160"/>
      <c r="AD619" s="160"/>
      <c r="AE619" s="160"/>
    </row>
    <row r="620" spans="1:31" ht="23.4">
      <c r="A620" s="175"/>
      <c r="B620" s="142"/>
      <c r="C620" s="143"/>
      <c r="D620" s="143"/>
      <c r="E620" s="143"/>
      <c r="F620" s="143"/>
      <c r="G620" s="143"/>
      <c r="H620" s="143"/>
      <c r="I620" s="142"/>
      <c r="J620" s="142"/>
      <c r="K620" s="143"/>
      <c r="L620" s="178"/>
      <c r="M620" s="143"/>
      <c r="N620" s="143"/>
      <c r="O620" s="143"/>
      <c r="P620" s="143"/>
      <c r="Q620" s="176"/>
      <c r="R620" s="143"/>
      <c r="S620" s="177"/>
      <c r="T620" s="177"/>
      <c r="U620" s="177"/>
      <c r="V620" s="177"/>
      <c r="W620" s="177"/>
      <c r="X620" s="177"/>
      <c r="Y620" s="159"/>
      <c r="Z620" s="160"/>
      <c r="AA620" s="160"/>
      <c r="AB620" s="160"/>
      <c r="AC620" s="160"/>
      <c r="AD620" s="160"/>
      <c r="AE620" s="160"/>
    </row>
    <row r="621" spans="1:31" ht="23.4">
      <c r="A621" s="175"/>
      <c r="B621" s="142"/>
      <c r="C621" s="143"/>
      <c r="D621" s="143"/>
      <c r="E621" s="143"/>
      <c r="F621" s="143"/>
      <c r="G621" s="143"/>
      <c r="H621" s="143"/>
      <c r="I621" s="142"/>
      <c r="J621" s="142"/>
      <c r="K621" s="143"/>
      <c r="L621" s="178"/>
      <c r="M621" s="143"/>
      <c r="N621" s="143"/>
      <c r="O621" s="143"/>
      <c r="P621" s="143"/>
      <c r="Q621" s="176"/>
      <c r="R621" s="143"/>
      <c r="S621" s="177"/>
      <c r="T621" s="177"/>
      <c r="U621" s="177"/>
      <c r="V621" s="177"/>
      <c r="W621" s="177"/>
      <c r="X621" s="177"/>
      <c r="Y621" s="159"/>
      <c r="Z621" s="160"/>
      <c r="AA621" s="160"/>
      <c r="AB621" s="160"/>
      <c r="AC621" s="160"/>
      <c r="AD621" s="160"/>
      <c r="AE621" s="160"/>
    </row>
    <row r="622" spans="1:31" ht="23.4">
      <c r="A622" s="175"/>
      <c r="B622" s="142"/>
      <c r="C622" s="143"/>
      <c r="D622" s="143"/>
      <c r="E622" s="143"/>
      <c r="F622" s="143"/>
      <c r="G622" s="143"/>
      <c r="H622" s="143"/>
      <c r="I622" s="142"/>
      <c r="J622" s="142"/>
      <c r="K622" s="143"/>
      <c r="L622" s="178"/>
      <c r="M622" s="143"/>
      <c r="N622" s="143"/>
      <c r="O622" s="143"/>
      <c r="P622" s="143"/>
      <c r="Q622" s="176"/>
      <c r="R622" s="143"/>
      <c r="S622" s="177"/>
      <c r="T622" s="177"/>
      <c r="U622" s="177"/>
      <c r="V622" s="177"/>
      <c r="W622" s="177"/>
      <c r="X622" s="177"/>
      <c r="Y622" s="159"/>
      <c r="Z622" s="160"/>
      <c r="AA622" s="160"/>
      <c r="AB622" s="160"/>
      <c r="AC622" s="160"/>
      <c r="AD622" s="160"/>
      <c r="AE622" s="160"/>
    </row>
    <row r="623" spans="1:31" ht="23.4">
      <c r="A623" s="175"/>
      <c r="B623" s="142"/>
      <c r="C623" s="143"/>
      <c r="D623" s="143"/>
      <c r="E623" s="143"/>
      <c r="F623" s="143"/>
      <c r="G623" s="143"/>
      <c r="H623" s="143"/>
      <c r="I623" s="142"/>
      <c r="J623" s="142"/>
      <c r="K623" s="143"/>
      <c r="L623" s="178"/>
      <c r="M623" s="143"/>
      <c r="N623" s="143"/>
      <c r="O623" s="143"/>
      <c r="P623" s="143"/>
      <c r="Q623" s="176"/>
      <c r="R623" s="143"/>
      <c r="S623" s="177"/>
      <c r="T623" s="177"/>
      <c r="U623" s="177"/>
      <c r="V623" s="177"/>
      <c r="W623" s="177"/>
      <c r="X623" s="177"/>
      <c r="Y623" s="159"/>
      <c r="Z623" s="160"/>
      <c r="AA623" s="160"/>
      <c r="AB623" s="160"/>
      <c r="AC623" s="160"/>
      <c r="AD623" s="160"/>
      <c r="AE623" s="160"/>
    </row>
    <row r="624" spans="1:31" ht="23.4">
      <c r="A624" s="175"/>
      <c r="B624" s="142"/>
      <c r="C624" s="143"/>
      <c r="D624" s="143"/>
      <c r="E624" s="143"/>
      <c r="F624" s="143"/>
      <c r="G624" s="143"/>
      <c r="H624" s="143"/>
      <c r="I624" s="142"/>
      <c r="J624" s="142"/>
      <c r="K624" s="143"/>
      <c r="L624" s="178"/>
      <c r="M624" s="143"/>
      <c r="N624" s="143"/>
      <c r="O624" s="143"/>
      <c r="P624" s="143"/>
      <c r="Q624" s="176"/>
      <c r="R624" s="143"/>
      <c r="S624" s="177"/>
      <c r="T624" s="177"/>
      <c r="U624" s="177"/>
      <c r="V624" s="177"/>
      <c r="W624" s="177"/>
      <c r="X624" s="177"/>
      <c r="Y624" s="159"/>
      <c r="Z624" s="160"/>
      <c r="AA624" s="160"/>
      <c r="AB624" s="160"/>
      <c r="AC624" s="160"/>
      <c r="AD624" s="160"/>
      <c r="AE624" s="160"/>
    </row>
    <row r="625" spans="1:31" ht="23.4">
      <c r="A625" s="175"/>
      <c r="B625" s="142"/>
      <c r="C625" s="143"/>
      <c r="D625" s="143"/>
      <c r="E625" s="143"/>
      <c r="F625" s="143"/>
      <c r="G625" s="143"/>
      <c r="H625" s="143"/>
      <c r="I625" s="142"/>
      <c r="J625" s="142"/>
      <c r="K625" s="143"/>
      <c r="L625" s="178"/>
      <c r="M625" s="143"/>
      <c r="N625" s="143"/>
      <c r="O625" s="143"/>
      <c r="P625" s="143"/>
      <c r="Q625" s="176"/>
      <c r="R625" s="143"/>
      <c r="S625" s="177"/>
      <c r="T625" s="177"/>
      <c r="U625" s="177"/>
      <c r="V625" s="177"/>
      <c r="W625" s="177"/>
      <c r="X625" s="177"/>
      <c r="Y625" s="159"/>
      <c r="Z625" s="160"/>
      <c r="AA625" s="160"/>
      <c r="AB625" s="160"/>
      <c r="AC625" s="160"/>
      <c r="AD625" s="160"/>
      <c r="AE625" s="160"/>
    </row>
    <row r="626" spans="1:31" ht="23.4">
      <c r="A626" s="175"/>
      <c r="B626" s="142"/>
      <c r="C626" s="143"/>
      <c r="D626" s="143"/>
      <c r="E626" s="143"/>
      <c r="F626" s="143"/>
      <c r="G626" s="143"/>
      <c r="H626" s="143"/>
      <c r="I626" s="142"/>
      <c r="J626" s="142"/>
      <c r="K626" s="143"/>
      <c r="L626" s="178"/>
      <c r="M626" s="143"/>
      <c r="N626" s="143"/>
      <c r="O626" s="143"/>
      <c r="P626" s="143"/>
      <c r="Q626" s="176"/>
      <c r="R626" s="143"/>
      <c r="S626" s="177"/>
      <c r="T626" s="177"/>
      <c r="U626" s="177"/>
      <c r="V626" s="177"/>
      <c r="W626" s="177"/>
      <c r="X626" s="177"/>
      <c r="Y626" s="159"/>
      <c r="Z626" s="160"/>
      <c r="AA626" s="160"/>
      <c r="AB626" s="160"/>
      <c r="AC626" s="160"/>
      <c r="AD626" s="160"/>
      <c r="AE626" s="160"/>
    </row>
    <row r="627" spans="1:31" ht="23.4">
      <c r="A627" s="175"/>
      <c r="B627" s="142"/>
      <c r="C627" s="143"/>
      <c r="D627" s="143"/>
      <c r="E627" s="143"/>
      <c r="F627" s="143"/>
      <c r="G627" s="143"/>
      <c r="H627" s="143"/>
      <c r="I627" s="142"/>
      <c r="J627" s="142"/>
      <c r="K627" s="143"/>
      <c r="L627" s="178"/>
      <c r="M627" s="143"/>
      <c r="N627" s="143"/>
      <c r="O627" s="143"/>
      <c r="P627" s="143"/>
      <c r="Q627" s="176"/>
      <c r="R627" s="143"/>
      <c r="S627" s="177"/>
      <c r="T627" s="177"/>
      <c r="U627" s="177"/>
      <c r="V627" s="177"/>
      <c r="W627" s="177"/>
      <c r="X627" s="177"/>
      <c r="Y627" s="159"/>
      <c r="Z627" s="160"/>
      <c r="AA627" s="160"/>
      <c r="AB627" s="160"/>
      <c r="AC627" s="160"/>
      <c r="AD627" s="160"/>
      <c r="AE627" s="160"/>
    </row>
    <row r="628" spans="1:31" ht="23.4">
      <c r="A628" s="175"/>
      <c r="B628" s="142"/>
      <c r="C628" s="143"/>
      <c r="D628" s="143"/>
      <c r="E628" s="143"/>
      <c r="F628" s="143"/>
      <c r="G628" s="143"/>
      <c r="H628" s="143"/>
      <c r="I628" s="142"/>
      <c r="J628" s="142"/>
      <c r="K628" s="143"/>
      <c r="L628" s="178"/>
      <c r="M628" s="143"/>
      <c r="N628" s="143"/>
      <c r="O628" s="143"/>
      <c r="P628" s="143"/>
      <c r="Q628" s="176"/>
      <c r="R628" s="143"/>
      <c r="S628" s="177"/>
      <c r="T628" s="177"/>
      <c r="U628" s="177"/>
      <c r="V628" s="177"/>
      <c r="W628" s="177"/>
      <c r="X628" s="177"/>
      <c r="Y628" s="159"/>
      <c r="Z628" s="160"/>
      <c r="AA628" s="160"/>
      <c r="AB628" s="160"/>
      <c r="AC628" s="160"/>
      <c r="AD628" s="160"/>
      <c r="AE628" s="160"/>
    </row>
    <row r="629" spans="1:31" ht="23.4">
      <c r="A629" s="175"/>
      <c r="B629" s="142"/>
      <c r="C629" s="143"/>
      <c r="D629" s="143"/>
      <c r="E629" s="143"/>
      <c r="F629" s="143"/>
      <c r="G629" s="143"/>
      <c r="H629" s="143"/>
      <c r="I629" s="142"/>
      <c r="J629" s="142"/>
      <c r="K629" s="143"/>
      <c r="L629" s="178"/>
      <c r="M629" s="143"/>
      <c r="N629" s="143"/>
      <c r="O629" s="143"/>
      <c r="P629" s="143"/>
      <c r="Q629" s="176"/>
      <c r="R629" s="143"/>
      <c r="S629" s="177"/>
      <c r="T629" s="177"/>
      <c r="U629" s="177"/>
      <c r="V629" s="177"/>
      <c r="W629" s="177"/>
      <c r="X629" s="177"/>
      <c r="Y629" s="159"/>
      <c r="Z629" s="160"/>
      <c r="AA629" s="160"/>
      <c r="AB629" s="160"/>
      <c r="AC629" s="160"/>
      <c r="AD629" s="160"/>
      <c r="AE629" s="160"/>
    </row>
    <row r="630" spans="1:31" ht="23.4">
      <c r="A630" s="175"/>
      <c r="B630" s="142"/>
      <c r="C630" s="143"/>
      <c r="D630" s="143"/>
      <c r="E630" s="143"/>
      <c r="F630" s="143"/>
      <c r="G630" s="143"/>
      <c r="H630" s="143"/>
      <c r="I630" s="142"/>
      <c r="J630" s="142"/>
      <c r="K630" s="143"/>
      <c r="L630" s="178"/>
      <c r="M630" s="143"/>
      <c r="N630" s="143"/>
      <c r="O630" s="143"/>
      <c r="P630" s="143"/>
      <c r="Q630" s="176"/>
      <c r="R630" s="143"/>
      <c r="S630" s="177"/>
      <c r="T630" s="177"/>
      <c r="U630" s="177"/>
      <c r="V630" s="177"/>
      <c r="W630" s="177"/>
      <c r="X630" s="177"/>
      <c r="Y630" s="159"/>
      <c r="Z630" s="160"/>
      <c r="AA630" s="160"/>
      <c r="AB630" s="160"/>
      <c r="AC630" s="160"/>
      <c r="AD630" s="160"/>
      <c r="AE630" s="160"/>
    </row>
    <row r="631" spans="1:31" ht="23.4">
      <c r="A631" s="175"/>
      <c r="B631" s="142"/>
      <c r="C631" s="143"/>
      <c r="D631" s="143"/>
      <c r="E631" s="143"/>
      <c r="F631" s="143"/>
      <c r="G631" s="143"/>
      <c r="H631" s="143"/>
      <c r="I631" s="142"/>
      <c r="J631" s="142"/>
      <c r="K631" s="143"/>
      <c r="L631" s="178"/>
      <c r="M631" s="143"/>
      <c r="N631" s="143"/>
      <c r="O631" s="143"/>
      <c r="P631" s="143"/>
      <c r="Q631" s="176"/>
      <c r="R631" s="143"/>
      <c r="S631" s="177"/>
      <c r="T631" s="177"/>
      <c r="U631" s="177"/>
      <c r="V631" s="177"/>
      <c r="W631" s="177"/>
      <c r="X631" s="177"/>
      <c r="Y631" s="159"/>
      <c r="Z631" s="160"/>
      <c r="AA631" s="160"/>
      <c r="AB631" s="160"/>
      <c r="AC631" s="160"/>
      <c r="AD631" s="160"/>
      <c r="AE631" s="160"/>
    </row>
    <row r="632" spans="1:31" ht="23.4">
      <c r="A632" s="175"/>
      <c r="B632" s="142"/>
      <c r="C632" s="143"/>
      <c r="D632" s="143"/>
      <c r="E632" s="143"/>
      <c r="F632" s="143"/>
      <c r="G632" s="143"/>
      <c r="H632" s="143"/>
      <c r="I632" s="142"/>
      <c r="J632" s="142"/>
      <c r="K632" s="143"/>
      <c r="L632" s="178"/>
      <c r="M632" s="143"/>
      <c r="N632" s="143"/>
      <c r="O632" s="143"/>
      <c r="P632" s="143"/>
      <c r="Q632" s="176"/>
      <c r="R632" s="143"/>
      <c r="S632" s="177"/>
      <c r="T632" s="177"/>
      <c r="U632" s="177"/>
      <c r="V632" s="177"/>
      <c r="W632" s="177"/>
      <c r="X632" s="177"/>
      <c r="Y632" s="159"/>
      <c r="Z632" s="160"/>
      <c r="AA632" s="160"/>
      <c r="AB632" s="160"/>
      <c r="AC632" s="160"/>
      <c r="AD632" s="160"/>
      <c r="AE632" s="160"/>
    </row>
    <row r="633" spans="1:31" ht="23.4">
      <c r="A633" s="175"/>
      <c r="B633" s="142"/>
      <c r="C633" s="143"/>
      <c r="D633" s="143"/>
      <c r="E633" s="143"/>
      <c r="F633" s="143"/>
      <c r="G633" s="143"/>
      <c r="H633" s="143"/>
      <c r="I633" s="142"/>
      <c r="J633" s="142"/>
      <c r="K633" s="143"/>
      <c r="L633" s="178"/>
      <c r="M633" s="143"/>
      <c r="N633" s="143"/>
      <c r="O633" s="143"/>
      <c r="P633" s="143"/>
      <c r="Q633" s="176"/>
      <c r="R633" s="143"/>
      <c r="S633" s="177"/>
      <c r="T633" s="177"/>
      <c r="U633" s="177"/>
      <c r="V633" s="177"/>
      <c r="W633" s="177"/>
      <c r="X633" s="177"/>
      <c r="Y633" s="159"/>
      <c r="Z633" s="160"/>
      <c r="AA633" s="160"/>
      <c r="AB633" s="160"/>
      <c r="AC633" s="160"/>
      <c r="AD633" s="160"/>
      <c r="AE633" s="160"/>
    </row>
    <row r="634" spans="1:31" ht="23.4">
      <c r="A634" s="175"/>
      <c r="B634" s="142"/>
      <c r="C634" s="143"/>
      <c r="D634" s="143"/>
      <c r="E634" s="143"/>
      <c r="F634" s="143"/>
      <c r="G634" s="143"/>
      <c r="H634" s="143"/>
      <c r="I634" s="142"/>
      <c r="J634" s="142"/>
      <c r="K634" s="143"/>
      <c r="L634" s="178"/>
      <c r="M634" s="143"/>
      <c r="N634" s="143"/>
      <c r="O634" s="143"/>
      <c r="P634" s="143"/>
      <c r="Q634" s="176"/>
      <c r="R634" s="143"/>
      <c r="S634" s="177"/>
      <c r="T634" s="177"/>
      <c r="U634" s="177"/>
      <c r="V634" s="177"/>
      <c r="W634" s="177"/>
      <c r="X634" s="177"/>
      <c r="Y634" s="159"/>
      <c r="Z634" s="160"/>
      <c r="AA634" s="160"/>
      <c r="AB634" s="160"/>
      <c r="AC634" s="160"/>
      <c r="AD634" s="160"/>
      <c r="AE634" s="160"/>
    </row>
    <row r="635" spans="1:31" ht="23.4">
      <c r="A635" s="175"/>
      <c r="B635" s="142"/>
      <c r="C635" s="143"/>
      <c r="D635" s="143"/>
      <c r="E635" s="143"/>
      <c r="F635" s="143"/>
      <c r="G635" s="143"/>
      <c r="H635" s="143"/>
      <c r="I635" s="142"/>
      <c r="J635" s="142"/>
      <c r="K635" s="143"/>
      <c r="L635" s="178"/>
      <c r="M635" s="143"/>
      <c r="N635" s="143"/>
      <c r="O635" s="143"/>
      <c r="P635" s="143"/>
      <c r="Q635" s="176"/>
      <c r="R635" s="143"/>
      <c r="S635" s="177"/>
      <c r="T635" s="177"/>
      <c r="U635" s="177"/>
      <c r="V635" s="177"/>
      <c r="W635" s="177"/>
      <c r="X635" s="177"/>
      <c r="Y635" s="159"/>
      <c r="Z635" s="160"/>
      <c r="AA635" s="160"/>
      <c r="AB635" s="160"/>
      <c r="AC635" s="160"/>
      <c r="AD635" s="160"/>
      <c r="AE635" s="160"/>
    </row>
    <row r="636" spans="1:31" ht="23.4">
      <c r="A636" s="175"/>
      <c r="B636" s="142"/>
      <c r="C636" s="143"/>
      <c r="D636" s="143"/>
      <c r="E636" s="143"/>
      <c r="F636" s="143"/>
      <c r="G636" s="143"/>
      <c r="H636" s="143"/>
      <c r="I636" s="142"/>
      <c r="J636" s="142"/>
      <c r="K636" s="143"/>
      <c r="L636" s="178"/>
      <c r="M636" s="143"/>
      <c r="N636" s="143"/>
      <c r="O636" s="143"/>
      <c r="P636" s="143"/>
      <c r="Q636" s="176"/>
      <c r="R636" s="143"/>
      <c r="S636" s="177"/>
      <c r="T636" s="177"/>
      <c r="U636" s="177"/>
      <c r="V636" s="177"/>
      <c r="W636" s="177"/>
      <c r="X636" s="177"/>
      <c r="Y636" s="159"/>
      <c r="Z636" s="160"/>
      <c r="AA636" s="160"/>
      <c r="AB636" s="160"/>
      <c r="AC636" s="160"/>
      <c r="AD636" s="160"/>
      <c r="AE636" s="160"/>
    </row>
    <row r="637" spans="1:31" ht="23.4">
      <c r="A637" s="175"/>
      <c r="B637" s="142"/>
      <c r="C637" s="143"/>
      <c r="D637" s="143"/>
      <c r="E637" s="143"/>
      <c r="F637" s="143"/>
      <c r="G637" s="143"/>
      <c r="H637" s="143"/>
      <c r="I637" s="142"/>
      <c r="J637" s="142"/>
      <c r="K637" s="143"/>
      <c r="L637" s="178"/>
      <c r="M637" s="143"/>
      <c r="N637" s="143"/>
      <c r="O637" s="143"/>
      <c r="P637" s="143"/>
      <c r="Q637" s="176"/>
      <c r="R637" s="143"/>
      <c r="S637" s="177"/>
      <c r="T637" s="177"/>
      <c r="U637" s="177"/>
      <c r="V637" s="177"/>
      <c r="W637" s="177"/>
      <c r="X637" s="177"/>
      <c r="Y637" s="159"/>
      <c r="Z637" s="160"/>
      <c r="AA637" s="160"/>
      <c r="AB637" s="160"/>
      <c r="AC637" s="160"/>
      <c r="AD637" s="160"/>
      <c r="AE637" s="160"/>
    </row>
    <row r="638" spans="1:31" ht="23.4">
      <c r="A638" s="175"/>
      <c r="B638" s="142"/>
      <c r="C638" s="143"/>
      <c r="D638" s="143"/>
      <c r="E638" s="143"/>
      <c r="F638" s="143"/>
      <c r="G638" s="143"/>
      <c r="H638" s="143"/>
      <c r="I638" s="142"/>
      <c r="J638" s="142"/>
      <c r="K638" s="143"/>
      <c r="L638" s="178"/>
      <c r="M638" s="143"/>
      <c r="N638" s="143"/>
      <c r="O638" s="143"/>
      <c r="P638" s="143"/>
      <c r="Q638" s="176"/>
      <c r="R638" s="143"/>
      <c r="S638" s="177"/>
      <c r="T638" s="177"/>
      <c r="U638" s="177"/>
      <c r="V638" s="177"/>
      <c r="W638" s="177"/>
      <c r="X638" s="177"/>
      <c r="Y638" s="159"/>
      <c r="Z638" s="160"/>
      <c r="AA638" s="160"/>
      <c r="AB638" s="160"/>
      <c r="AC638" s="160"/>
      <c r="AD638" s="160"/>
      <c r="AE638" s="160"/>
    </row>
    <row r="639" spans="1:31" ht="23.4">
      <c r="A639" s="175"/>
      <c r="B639" s="142"/>
      <c r="C639" s="143"/>
      <c r="D639" s="143"/>
      <c r="E639" s="143"/>
      <c r="F639" s="143"/>
      <c r="G639" s="143"/>
      <c r="H639" s="143"/>
      <c r="I639" s="142"/>
      <c r="J639" s="142"/>
      <c r="K639" s="143"/>
      <c r="L639" s="178"/>
      <c r="M639" s="143"/>
      <c r="N639" s="143"/>
      <c r="O639" s="143"/>
      <c r="P639" s="143"/>
      <c r="Q639" s="176"/>
      <c r="R639" s="143"/>
      <c r="S639" s="177"/>
      <c r="T639" s="177"/>
      <c r="U639" s="177"/>
      <c r="V639" s="177"/>
      <c r="W639" s="177"/>
      <c r="X639" s="177"/>
      <c r="Y639" s="159"/>
      <c r="Z639" s="160"/>
      <c r="AA639" s="160"/>
      <c r="AB639" s="160"/>
      <c r="AC639" s="160"/>
      <c r="AD639" s="160"/>
      <c r="AE639" s="160"/>
    </row>
    <row r="640" spans="1:31" ht="23.4">
      <c r="A640" s="175"/>
      <c r="B640" s="142"/>
      <c r="C640" s="143"/>
      <c r="D640" s="143"/>
      <c r="E640" s="143"/>
      <c r="F640" s="143"/>
      <c r="G640" s="143"/>
      <c r="H640" s="143"/>
      <c r="I640" s="142"/>
      <c r="J640" s="142"/>
      <c r="K640" s="143"/>
      <c r="L640" s="178"/>
      <c r="M640" s="143"/>
      <c r="N640" s="143"/>
      <c r="O640" s="143"/>
      <c r="P640" s="143"/>
      <c r="Q640" s="176"/>
      <c r="R640" s="143"/>
      <c r="S640" s="177"/>
      <c r="T640" s="177"/>
      <c r="U640" s="177"/>
      <c r="V640" s="177"/>
      <c r="W640" s="177"/>
      <c r="X640" s="177"/>
      <c r="Y640" s="159"/>
      <c r="Z640" s="160"/>
      <c r="AA640" s="160"/>
      <c r="AB640" s="160"/>
      <c r="AC640" s="160"/>
      <c r="AD640" s="160"/>
      <c r="AE640" s="160"/>
    </row>
    <row r="641" spans="1:31" ht="23.4">
      <c r="A641" s="175"/>
      <c r="B641" s="142"/>
      <c r="C641" s="143"/>
      <c r="D641" s="143"/>
      <c r="E641" s="143"/>
      <c r="F641" s="143"/>
      <c r="G641" s="143"/>
      <c r="H641" s="143"/>
      <c r="I641" s="142"/>
      <c r="J641" s="142"/>
      <c r="K641" s="143"/>
      <c r="L641" s="178"/>
      <c r="M641" s="143"/>
      <c r="N641" s="143"/>
      <c r="O641" s="143"/>
      <c r="P641" s="143"/>
      <c r="Q641" s="176"/>
      <c r="R641" s="143"/>
      <c r="S641" s="177"/>
      <c r="T641" s="177"/>
      <c r="U641" s="177"/>
      <c r="V641" s="177"/>
      <c r="W641" s="177"/>
      <c r="X641" s="177"/>
      <c r="Y641" s="159"/>
      <c r="Z641" s="160"/>
      <c r="AA641" s="160"/>
      <c r="AB641" s="160"/>
      <c r="AC641" s="160"/>
      <c r="AD641" s="160"/>
      <c r="AE641" s="160"/>
    </row>
    <row r="642" spans="1:31" ht="23.4">
      <c r="A642" s="175"/>
      <c r="B642" s="142"/>
      <c r="C642" s="143"/>
      <c r="D642" s="143"/>
      <c r="E642" s="143"/>
      <c r="F642" s="143"/>
      <c r="G642" s="143"/>
      <c r="H642" s="143"/>
      <c r="I642" s="142"/>
      <c r="J642" s="142"/>
      <c r="K642" s="143"/>
      <c r="L642" s="178"/>
      <c r="M642" s="143"/>
      <c r="N642" s="143"/>
      <c r="O642" s="143"/>
      <c r="P642" s="143"/>
      <c r="Q642" s="176"/>
      <c r="R642" s="143"/>
      <c r="S642" s="177"/>
      <c r="T642" s="177"/>
      <c r="U642" s="177"/>
      <c r="V642" s="177"/>
      <c r="W642" s="177"/>
      <c r="X642" s="177"/>
      <c r="Y642" s="159"/>
      <c r="Z642" s="160"/>
      <c r="AA642" s="160"/>
      <c r="AB642" s="160"/>
      <c r="AC642" s="160"/>
      <c r="AD642" s="160"/>
      <c r="AE642" s="160"/>
    </row>
    <row r="643" spans="1:31" ht="23.4">
      <c r="A643" s="175"/>
      <c r="B643" s="142"/>
      <c r="C643" s="143"/>
      <c r="D643" s="143"/>
      <c r="E643" s="143"/>
      <c r="F643" s="143"/>
      <c r="G643" s="143"/>
      <c r="H643" s="143"/>
      <c r="I643" s="142"/>
      <c r="J643" s="142"/>
      <c r="K643" s="143"/>
      <c r="L643" s="178"/>
      <c r="M643" s="143"/>
      <c r="N643" s="143"/>
      <c r="O643" s="143"/>
      <c r="P643" s="143"/>
      <c r="Q643" s="176"/>
      <c r="R643" s="143"/>
      <c r="S643" s="177"/>
      <c r="T643" s="177"/>
      <c r="U643" s="177"/>
      <c r="V643" s="177"/>
      <c r="W643" s="177"/>
      <c r="X643" s="177"/>
      <c r="Y643" s="159"/>
      <c r="Z643" s="160"/>
      <c r="AA643" s="160"/>
      <c r="AB643" s="160"/>
      <c r="AC643" s="160"/>
      <c r="AD643" s="160"/>
      <c r="AE643" s="160"/>
    </row>
    <row r="644" spans="1:31" ht="23.4">
      <c r="A644" s="175"/>
      <c r="B644" s="142"/>
      <c r="C644" s="143"/>
      <c r="D644" s="143"/>
      <c r="E644" s="143"/>
      <c r="F644" s="143"/>
      <c r="G644" s="143"/>
      <c r="H644" s="143"/>
      <c r="I644" s="142"/>
      <c r="J644" s="142"/>
      <c r="K644" s="143"/>
      <c r="L644" s="178"/>
      <c r="M644" s="143"/>
      <c r="N644" s="143"/>
      <c r="O644" s="143"/>
      <c r="P644" s="143"/>
      <c r="Q644" s="176"/>
      <c r="R644" s="143"/>
      <c r="S644" s="177"/>
      <c r="T644" s="177"/>
      <c r="U644" s="177"/>
      <c r="V644" s="177"/>
      <c r="W644" s="177"/>
      <c r="X644" s="177"/>
      <c r="Y644" s="159"/>
      <c r="Z644" s="160"/>
      <c r="AA644" s="160"/>
      <c r="AB644" s="160"/>
      <c r="AC644" s="160"/>
      <c r="AD644" s="160"/>
      <c r="AE644" s="160"/>
    </row>
    <row r="645" spans="1:31" ht="23.4">
      <c r="A645" s="175"/>
      <c r="B645" s="142"/>
      <c r="C645" s="143"/>
      <c r="D645" s="143"/>
      <c r="E645" s="143"/>
      <c r="F645" s="143"/>
      <c r="G645" s="143"/>
      <c r="H645" s="143"/>
      <c r="I645" s="142"/>
      <c r="J645" s="142"/>
      <c r="K645" s="143"/>
      <c r="L645" s="178"/>
      <c r="M645" s="143"/>
      <c r="N645" s="143"/>
      <c r="O645" s="143"/>
      <c r="P645" s="143"/>
      <c r="Q645" s="176"/>
      <c r="R645" s="143"/>
      <c r="S645" s="177"/>
      <c r="T645" s="177"/>
      <c r="U645" s="177"/>
      <c r="V645" s="177"/>
      <c r="W645" s="177"/>
      <c r="X645" s="177"/>
      <c r="Y645" s="159"/>
      <c r="Z645" s="160"/>
      <c r="AA645" s="160"/>
      <c r="AB645" s="160"/>
      <c r="AC645" s="160"/>
      <c r="AD645" s="160"/>
      <c r="AE645" s="160"/>
    </row>
    <row r="646" spans="1:31" ht="23.4">
      <c r="A646" s="175"/>
      <c r="B646" s="142"/>
      <c r="C646" s="143"/>
      <c r="D646" s="143"/>
      <c r="E646" s="143"/>
      <c r="F646" s="143"/>
      <c r="G646" s="143"/>
      <c r="H646" s="143"/>
      <c r="I646" s="142"/>
      <c r="J646" s="142"/>
      <c r="K646" s="143"/>
      <c r="L646" s="178"/>
      <c r="M646" s="143"/>
      <c r="N646" s="143"/>
      <c r="O646" s="143"/>
      <c r="P646" s="143"/>
      <c r="Q646" s="176"/>
      <c r="R646" s="143"/>
      <c r="S646" s="177"/>
      <c r="T646" s="177"/>
      <c r="U646" s="177"/>
      <c r="V646" s="177"/>
      <c r="W646" s="177"/>
      <c r="X646" s="177"/>
      <c r="Y646" s="159"/>
      <c r="Z646" s="160"/>
      <c r="AA646" s="160"/>
      <c r="AB646" s="160"/>
      <c r="AC646" s="160"/>
      <c r="AD646" s="160"/>
      <c r="AE646" s="160"/>
    </row>
    <row r="647" spans="1:31" ht="23.4">
      <c r="A647" s="175"/>
      <c r="B647" s="142"/>
      <c r="C647" s="143"/>
      <c r="D647" s="143"/>
      <c r="E647" s="143"/>
      <c r="F647" s="143"/>
      <c r="G647" s="143"/>
      <c r="H647" s="143"/>
      <c r="I647" s="142"/>
      <c r="J647" s="142"/>
      <c r="K647" s="143"/>
      <c r="L647" s="178"/>
      <c r="M647" s="143"/>
      <c r="N647" s="143"/>
      <c r="O647" s="143"/>
      <c r="P647" s="143"/>
      <c r="Q647" s="176"/>
      <c r="R647" s="143"/>
      <c r="S647" s="177"/>
      <c r="T647" s="177"/>
      <c r="U647" s="177"/>
      <c r="V647" s="177"/>
      <c r="W647" s="177"/>
      <c r="X647" s="177"/>
      <c r="Y647" s="159"/>
      <c r="Z647" s="160"/>
      <c r="AA647" s="160"/>
      <c r="AB647" s="160"/>
      <c r="AC647" s="160"/>
      <c r="AD647" s="160"/>
      <c r="AE647" s="160"/>
    </row>
    <row r="648" spans="1:31" ht="23.4">
      <c r="A648" s="175"/>
      <c r="B648" s="142"/>
      <c r="C648" s="143"/>
      <c r="D648" s="143"/>
      <c r="E648" s="143"/>
      <c r="F648" s="143"/>
      <c r="G648" s="143"/>
      <c r="H648" s="143"/>
      <c r="I648" s="142"/>
      <c r="J648" s="142"/>
      <c r="K648" s="143"/>
      <c r="L648" s="178"/>
      <c r="M648" s="143"/>
      <c r="N648" s="143"/>
      <c r="O648" s="143"/>
      <c r="P648" s="143"/>
      <c r="Q648" s="176"/>
      <c r="R648" s="143"/>
      <c r="S648" s="177"/>
      <c r="T648" s="177"/>
      <c r="U648" s="177"/>
      <c r="V648" s="177"/>
      <c r="W648" s="177"/>
      <c r="X648" s="177"/>
      <c r="Y648" s="159"/>
      <c r="Z648" s="160"/>
      <c r="AA648" s="160"/>
      <c r="AB648" s="160"/>
      <c r="AC648" s="160"/>
      <c r="AD648" s="160"/>
      <c r="AE648" s="160"/>
    </row>
    <row r="649" spans="1:31" ht="23.4">
      <c r="A649" s="175"/>
      <c r="B649" s="142"/>
      <c r="C649" s="143"/>
      <c r="D649" s="143"/>
      <c r="E649" s="143"/>
      <c r="F649" s="143"/>
      <c r="G649" s="143"/>
      <c r="H649" s="143"/>
      <c r="I649" s="142"/>
      <c r="J649" s="142"/>
      <c r="K649" s="143"/>
      <c r="L649" s="178"/>
      <c r="M649" s="143"/>
      <c r="N649" s="143"/>
      <c r="O649" s="143"/>
      <c r="P649" s="143"/>
      <c r="Q649" s="176"/>
      <c r="R649" s="143"/>
      <c r="S649" s="177"/>
      <c r="T649" s="177"/>
      <c r="U649" s="177"/>
      <c r="V649" s="177"/>
      <c r="W649" s="177"/>
      <c r="X649" s="177"/>
      <c r="Y649" s="159"/>
      <c r="Z649" s="160"/>
      <c r="AA649" s="160"/>
      <c r="AB649" s="160"/>
      <c r="AC649" s="160"/>
      <c r="AD649" s="160"/>
      <c r="AE649" s="160"/>
    </row>
    <row r="650" spans="1:31" ht="23.4">
      <c r="A650" s="175"/>
      <c r="B650" s="142"/>
      <c r="C650" s="143"/>
      <c r="D650" s="143"/>
      <c r="E650" s="143"/>
      <c r="F650" s="143"/>
      <c r="G650" s="143"/>
      <c r="H650" s="143"/>
      <c r="I650" s="142"/>
      <c r="J650" s="142"/>
      <c r="K650" s="143"/>
      <c r="L650" s="178"/>
      <c r="M650" s="143"/>
      <c r="N650" s="143"/>
      <c r="O650" s="143"/>
      <c r="P650" s="143"/>
      <c r="Q650" s="176"/>
      <c r="R650" s="143"/>
      <c r="S650" s="177"/>
      <c r="T650" s="177"/>
      <c r="U650" s="177"/>
      <c r="V650" s="177"/>
      <c r="W650" s="177"/>
      <c r="X650" s="177"/>
      <c r="Y650" s="159"/>
      <c r="Z650" s="160"/>
      <c r="AA650" s="160"/>
      <c r="AB650" s="160"/>
      <c r="AC650" s="160"/>
      <c r="AD650" s="160"/>
      <c r="AE650" s="160"/>
    </row>
    <row r="651" spans="1:31" ht="23.4">
      <c r="A651" s="175"/>
      <c r="B651" s="142"/>
      <c r="C651" s="143"/>
      <c r="D651" s="143"/>
      <c r="E651" s="143"/>
      <c r="F651" s="143"/>
      <c r="G651" s="143"/>
      <c r="H651" s="143"/>
      <c r="I651" s="142"/>
      <c r="J651" s="142"/>
      <c r="K651" s="143"/>
      <c r="L651" s="178"/>
      <c r="M651" s="143"/>
      <c r="N651" s="143"/>
      <c r="O651" s="143"/>
      <c r="P651" s="143"/>
      <c r="Q651" s="176"/>
      <c r="R651" s="143"/>
      <c r="S651" s="177"/>
      <c r="T651" s="177"/>
      <c r="U651" s="177"/>
      <c r="V651" s="177"/>
      <c r="W651" s="177"/>
      <c r="X651" s="177"/>
      <c r="Y651" s="159"/>
      <c r="Z651" s="160"/>
      <c r="AA651" s="160"/>
      <c r="AB651" s="160"/>
      <c r="AC651" s="160"/>
      <c r="AD651" s="160"/>
      <c r="AE651" s="160"/>
    </row>
    <row r="652" spans="1:31" ht="23.4">
      <c r="A652" s="175"/>
      <c r="B652" s="142"/>
      <c r="C652" s="143"/>
      <c r="D652" s="143"/>
      <c r="E652" s="143"/>
      <c r="F652" s="143"/>
      <c r="G652" s="143"/>
      <c r="H652" s="143"/>
      <c r="I652" s="142"/>
      <c r="J652" s="142"/>
      <c r="K652" s="143"/>
      <c r="L652" s="178"/>
      <c r="M652" s="143"/>
      <c r="N652" s="143"/>
      <c r="O652" s="143"/>
      <c r="P652" s="143"/>
      <c r="Q652" s="176"/>
      <c r="R652" s="143"/>
      <c r="S652" s="177"/>
      <c r="T652" s="177"/>
      <c r="U652" s="177"/>
      <c r="V652" s="177"/>
      <c r="W652" s="177"/>
      <c r="X652" s="177"/>
      <c r="Y652" s="159"/>
      <c r="Z652" s="160"/>
      <c r="AA652" s="160"/>
      <c r="AB652" s="160"/>
      <c r="AC652" s="160"/>
      <c r="AD652" s="160"/>
      <c r="AE652" s="160"/>
    </row>
    <row r="653" spans="1:31" ht="23.4">
      <c r="A653" s="175"/>
      <c r="B653" s="142"/>
      <c r="C653" s="143"/>
      <c r="D653" s="143"/>
      <c r="E653" s="143"/>
      <c r="F653" s="143"/>
      <c r="G653" s="143"/>
      <c r="H653" s="143"/>
      <c r="I653" s="142"/>
      <c r="J653" s="142"/>
      <c r="K653" s="143"/>
      <c r="L653" s="178"/>
      <c r="M653" s="143"/>
      <c r="N653" s="143"/>
      <c r="O653" s="143"/>
      <c r="P653" s="143"/>
      <c r="Q653" s="176"/>
      <c r="R653" s="143"/>
      <c r="S653" s="177"/>
      <c r="T653" s="177"/>
      <c r="U653" s="177"/>
      <c r="V653" s="177"/>
      <c r="W653" s="177"/>
      <c r="X653" s="177"/>
      <c r="Y653" s="159"/>
      <c r="Z653" s="160"/>
      <c r="AA653" s="160"/>
      <c r="AB653" s="160"/>
      <c r="AC653" s="160"/>
      <c r="AD653" s="160"/>
      <c r="AE653" s="160"/>
    </row>
    <row r="654" spans="1:31" ht="23.4">
      <c r="A654" s="175"/>
      <c r="B654" s="142"/>
      <c r="C654" s="143"/>
      <c r="D654" s="143"/>
      <c r="E654" s="143"/>
      <c r="F654" s="143"/>
      <c r="G654" s="143"/>
      <c r="H654" s="143"/>
      <c r="I654" s="142"/>
      <c r="J654" s="142"/>
      <c r="K654" s="143"/>
      <c r="L654" s="178"/>
      <c r="M654" s="143"/>
      <c r="N654" s="143"/>
      <c r="O654" s="143"/>
      <c r="P654" s="143"/>
      <c r="Q654" s="176"/>
      <c r="R654" s="143"/>
      <c r="S654" s="177"/>
      <c r="T654" s="177"/>
      <c r="U654" s="177"/>
      <c r="V654" s="177"/>
      <c r="W654" s="177"/>
      <c r="X654" s="177"/>
      <c r="Y654" s="159"/>
      <c r="Z654" s="160"/>
      <c r="AA654" s="160"/>
      <c r="AB654" s="160"/>
      <c r="AC654" s="160"/>
      <c r="AD654" s="160"/>
      <c r="AE654" s="160"/>
    </row>
    <row r="655" spans="1:31" ht="23.4">
      <c r="A655" s="175"/>
      <c r="B655" s="142"/>
      <c r="C655" s="143"/>
      <c r="D655" s="143"/>
      <c r="E655" s="143"/>
      <c r="F655" s="143"/>
      <c r="G655" s="143"/>
      <c r="H655" s="143"/>
      <c r="I655" s="142"/>
      <c r="J655" s="142"/>
      <c r="K655" s="143"/>
      <c r="L655" s="178"/>
      <c r="M655" s="143"/>
      <c r="N655" s="143"/>
      <c r="O655" s="143"/>
      <c r="P655" s="143"/>
      <c r="Q655" s="176"/>
      <c r="R655" s="143"/>
      <c r="S655" s="177"/>
      <c r="T655" s="177"/>
      <c r="U655" s="177"/>
      <c r="V655" s="177"/>
      <c r="W655" s="177"/>
      <c r="X655" s="177"/>
      <c r="Y655" s="159"/>
      <c r="Z655" s="160"/>
      <c r="AA655" s="160"/>
      <c r="AB655" s="160"/>
      <c r="AC655" s="160"/>
      <c r="AD655" s="160"/>
      <c r="AE655" s="160"/>
    </row>
    <row r="656" spans="1:31" ht="23.4">
      <c r="A656" s="175"/>
      <c r="B656" s="142"/>
      <c r="C656" s="143"/>
      <c r="D656" s="143"/>
      <c r="E656" s="143"/>
      <c r="F656" s="143"/>
      <c r="G656" s="143"/>
      <c r="H656" s="143"/>
      <c r="I656" s="142"/>
      <c r="J656" s="142"/>
      <c r="K656" s="143"/>
      <c r="L656" s="178"/>
      <c r="M656" s="143"/>
      <c r="N656" s="143"/>
      <c r="O656" s="143"/>
      <c r="P656" s="143"/>
      <c r="Q656" s="176"/>
      <c r="R656" s="143"/>
      <c r="S656" s="177"/>
      <c r="T656" s="177"/>
      <c r="U656" s="177"/>
      <c r="V656" s="177"/>
      <c r="W656" s="177"/>
      <c r="X656" s="177"/>
      <c r="Y656" s="159"/>
      <c r="Z656" s="160"/>
      <c r="AA656" s="160"/>
      <c r="AB656" s="160"/>
      <c r="AC656" s="160"/>
      <c r="AD656" s="160"/>
      <c r="AE656" s="160"/>
    </row>
    <row r="657" spans="1:31" ht="23.4">
      <c r="A657" s="175"/>
      <c r="B657" s="142"/>
      <c r="C657" s="143"/>
      <c r="D657" s="143"/>
      <c r="E657" s="143"/>
      <c r="F657" s="143"/>
      <c r="G657" s="143"/>
      <c r="H657" s="143"/>
      <c r="I657" s="142"/>
      <c r="J657" s="142"/>
      <c r="K657" s="143"/>
      <c r="L657" s="178"/>
      <c r="M657" s="143"/>
      <c r="N657" s="143"/>
      <c r="O657" s="143"/>
      <c r="P657" s="143"/>
      <c r="Q657" s="176"/>
      <c r="R657" s="143"/>
      <c r="S657" s="177"/>
      <c r="T657" s="177"/>
      <c r="U657" s="177"/>
      <c r="V657" s="177"/>
      <c r="W657" s="177"/>
      <c r="X657" s="177"/>
      <c r="Y657" s="159"/>
      <c r="Z657" s="160"/>
      <c r="AA657" s="160"/>
      <c r="AB657" s="160"/>
      <c r="AC657" s="160"/>
      <c r="AD657" s="160"/>
      <c r="AE657" s="160"/>
    </row>
    <row r="658" spans="1:31" ht="23.4">
      <c r="A658" s="175"/>
      <c r="B658" s="142"/>
      <c r="C658" s="143"/>
      <c r="D658" s="143"/>
      <c r="E658" s="143"/>
      <c r="F658" s="143"/>
      <c r="G658" s="143"/>
      <c r="H658" s="143"/>
      <c r="I658" s="142"/>
      <c r="J658" s="142"/>
      <c r="K658" s="143"/>
      <c r="L658" s="178"/>
      <c r="M658" s="143"/>
      <c r="N658" s="143"/>
      <c r="O658" s="143"/>
      <c r="P658" s="143"/>
      <c r="Q658" s="176"/>
      <c r="R658" s="143"/>
      <c r="S658" s="177"/>
      <c r="T658" s="177"/>
      <c r="U658" s="177"/>
      <c r="V658" s="177"/>
      <c r="W658" s="177"/>
      <c r="X658" s="177"/>
      <c r="Y658" s="159"/>
      <c r="Z658" s="160"/>
      <c r="AA658" s="160"/>
      <c r="AB658" s="160"/>
      <c r="AC658" s="160"/>
      <c r="AD658" s="160"/>
      <c r="AE658" s="160"/>
    </row>
    <row r="659" spans="1:31" ht="23.4">
      <c r="A659" s="175"/>
      <c r="B659" s="142"/>
      <c r="C659" s="143"/>
      <c r="D659" s="143"/>
      <c r="E659" s="143"/>
      <c r="F659" s="143"/>
      <c r="G659" s="143"/>
      <c r="H659" s="143"/>
      <c r="I659" s="142"/>
      <c r="J659" s="142"/>
      <c r="K659" s="143"/>
      <c r="L659" s="178"/>
      <c r="M659" s="143"/>
      <c r="N659" s="143"/>
      <c r="O659" s="143"/>
      <c r="P659" s="143"/>
      <c r="Q659" s="176"/>
      <c r="R659" s="143"/>
      <c r="S659" s="177"/>
      <c r="T659" s="177"/>
      <c r="U659" s="177"/>
      <c r="V659" s="177"/>
      <c r="W659" s="177"/>
      <c r="X659" s="177"/>
      <c r="Y659" s="159"/>
      <c r="Z659" s="160"/>
      <c r="AA659" s="160"/>
      <c r="AB659" s="160"/>
      <c r="AC659" s="160"/>
      <c r="AD659" s="160"/>
      <c r="AE659" s="160"/>
    </row>
    <row r="660" spans="1:31" ht="23.4">
      <c r="A660" s="175"/>
      <c r="B660" s="142"/>
      <c r="C660" s="143"/>
      <c r="D660" s="143"/>
      <c r="E660" s="143"/>
      <c r="F660" s="143"/>
      <c r="G660" s="143"/>
      <c r="H660" s="143"/>
      <c r="I660" s="142"/>
      <c r="J660" s="142"/>
      <c r="K660" s="143"/>
      <c r="L660" s="178"/>
      <c r="M660" s="143"/>
      <c r="N660" s="143"/>
      <c r="O660" s="143"/>
      <c r="P660" s="143"/>
      <c r="Q660" s="176"/>
      <c r="R660" s="143"/>
      <c r="S660" s="177"/>
      <c r="T660" s="177"/>
      <c r="U660" s="177"/>
      <c r="V660" s="177"/>
      <c r="W660" s="177"/>
      <c r="X660" s="177"/>
      <c r="Y660" s="159"/>
      <c r="Z660" s="160"/>
      <c r="AA660" s="160"/>
      <c r="AB660" s="160"/>
      <c r="AC660" s="160"/>
      <c r="AD660" s="160"/>
      <c r="AE660" s="160"/>
    </row>
    <row r="661" spans="1:31" ht="23.4">
      <c r="A661" s="175"/>
      <c r="B661" s="142"/>
      <c r="C661" s="143"/>
      <c r="D661" s="143"/>
      <c r="E661" s="143"/>
      <c r="F661" s="143"/>
      <c r="G661" s="143"/>
      <c r="H661" s="143"/>
      <c r="I661" s="142"/>
      <c r="J661" s="142"/>
      <c r="K661" s="143"/>
      <c r="L661" s="178"/>
      <c r="M661" s="143"/>
      <c r="N661" s="143"/>
      <c r="O661" s="143"/>
      <c r="P661" s="143"/>
      <c r="Q661" s="176"/>
      <c r="R661" s="143"/>
      <c r="S661" s="177"/>
      <c r="T661" s="177"/>
      <c r="U661" s="177"/>
      <c r="V661" s="177"/>
      <c r="W661" s="177"/>
      <c r="X661" s="177"/>
      <c r="Y661" s="159"/>
      <c r="Z661" s="160"/>
      <c r="AA661" s="160"/>
      <c r="AB661" s="160"/>
      <c r="AC661" s="160"/>
      <c r="AD661" s="160"/>
      <c r="AE661" s="160"/>
    </row>
    <row r="662" spans="1:31" ht="23.4">
      <c r="A662" s="175"/>
      <c r="B662" s="142"/>
      <c r="C662" s="143"/>
      <c r="D662" s="143"/>
      <c r="E662" s="143"/>
      <c r="F662" s="143"/>
      <c r="G662" s="143"/>
      <c r="H662" s="143"/>
      <c r="I662" s="142"/>
      <c r="J662" s="142"/>
      <c r="K662" s="143"/>
      <c r="L662" s="178"/>
      <c r="M662" s="143"/>
      <c r="N662" s="143"/>
      <c r="O662" s="143"/>
      <c r="P662" s="143"/>
      <c r="Q662" s="176"/>
      <c r="R662" s="143"/>
      <c r="S662" s="177"/>
      <c r="T662" s="177"/>
      <c r="U662" s="177"/>
      <c r="V662" s="177"/>
      <c r="W662" s="177"/>
      <c r="X662" s="177"/>
      <c r="Y662" s="159"/>
      <c r="Z662" s="160"/>
      <c r="AA662" s="160"/>
      <c r="AB662" s="160"/>
      <c r="AC662" s="160"/>
      <c r="AD662" s="160"/>
      <c r="AE662" s="160"/>
    </row>
    <row r="663" spans="1:31" ht="23.4">
      <c r="A663" s="175"/>
      <c r="B663" s="142"/>
      <c r="C663" s="143"/>
      <c r="D663" s="143"/>
      <c r="E663" s="143"/>
      <c r="F663" s="143"/>
      <c r="G663" s="143"/>
      <c r="H663" s="143"/>
      <c r="I663" s="142"/>
      <c r="J663" s="142"/>
      <c r="K663" s="143"/>
      <c r="L663" s="178"/>
      <c r="M663" s="143"/>
      <c r="N663" s="143"/>
      <c r="O663" s="143"/>
      <c r="P663" s="143"/>
      <c r="Q663" s="176"/>
      <c r="R663" s="143"/>
      <c r="S663" s="177"/>
      <c r="T663" s="177"/>
      <c r="U663" s="177"/>
      <c r="V663" s="177"/>
      <c r="W663" s="177"/>
      <c r="X663" s="177"/>
      <c r="Y663" s="159"/>
      <c r="Z663" s="160"/>
      <c r="AA663" s="160"/>
      <c r="AB663" s="160"/>
      <c r="AC663" s="160"/>
      <c r="AD663" s="160"/>
      <c r="AE663" s="160"/>
    </row>
    <row r="664" spans="1:31" ht="23.4">
      <c r="A664" s="175"/>
      <c r="B664" s="142"/>
      <c r="C664" s="143"/>
      <c r="D664" s="143"/>
      <c r="E664" s="143"/>
      <c r="F664" s="143"/>
      <c r="G664" s="143"/>
      <c r="H664" s="143"/>
      <c r="I664" s="142"/>
      <c r="J664" s="142"/>
      <c r="K664" s="143"/>
      <c r="L664" s="178"/>
      <c r="M664" s="143"/>
      <c r="N664" s="143"/>
      <c r="O664" s="143"/>
      <c r="P664" s="143"/>
      <c r="Q664" s="176"/>
      <c r="R664" s="143"/>
      <c r="S664" s="177"/>
      <c r="T664" s="177"/>
      <c r="U664" s="177"/>
      <c r="V664" s="177"/>
      <c r="W664" s="177"/>
      <c r="X664" s="177"/>
      <c r="Y664" s="159"/>
      <c r="Z664" s="160"/>
      <c r="AA664" s="160"/>
      <c r="AB664" s="160"/>
      <c r="AC664" s="160"/>
      <c r="AD664" s="160"/>
      <c r="AE664" s="160"/>
    </row>
    <row r="665" spans="1:31" ht="23.4">
      <c r="A665" s="175"/>
      <c r="B665" s="142"/>
      <c r="C665" s="143"/>
      <c r="D665" s="143"/>
      <c r="E665" s="143"/>
      <c r="F665" s="143"/>
      <c r="G665" s="143"/>
      <c r="H665" s="143"/>
      <c r="I665" s="142"/>
      <c r="J665" s="142"/>
      <c r="K665" s="143"/>
      <c r="L665" s="178"/>
      <c r="M665" s="143"/>
      <c r="N665" s="143"/>
      <c r="O665" s="143"/>
      <c r="P665" s="143"/>
      <c r="Q665" s="176"/>
      <c r="R665" s="143"/>
      <c r="S665" s="177"/>
      <c r="T665" s="177"/>
      <c r="U665" s="177"/>
      <c r="V665" s="177"/>
      <c r="W665" s="177"/>
      <c r="X665" s="177"/>
      <c r="Y665" s="159"/>
      <c r="Z665" s="160"/>
      <c r="AA665" s="160"/>
      <c r="AB665" s="160"/>
      <c r="AC665" s="160"/>
      <c r="AD665" s="160"/>
      <c r="AE665" s="160"/>
    </row>
    <row r="666" spans="1:31" ht="23.4">
      <c r="A666" s="175"/>
      <c r="B666" s="142"/>
      <c r="C666" s="143"/>
      <c r="D666" s="143"/>
      <c r="E666" s="143"/>
      <c r="F666" s="143"/>
      <c r="G666" s="143"/>
      <c r="H666" s="143"/>
      <c r="I666" s="142"/>
      <c r="J666" s="142"/>
      <c r="K666" s="143"/>
      <c r="L666" s="178"/>
      <c r="M666" s="143"/>
      <c r="N666" s="143"/>
      <c r="O666" s="143"/>
      <c r="P666" s="143"/>
      <c r="Q666" s="176"/>
      <c r="R666" s="143"/>
      <c r="S666" s="177"/>
      <c r="T666" s="177"/>
      <c r="U666" s="177"/>
      <c r="V666" s="177"/>
      <c r="W666" s="177"/>
      <c r="X666" s="177"/>
      <c r="Y666" s="159"/>
      <c r="Z666" s="160"/>
      <c r="AA666" s="160"/>
      <c r="AB666" s="160"/>
      <c r="AC666" s="160"/>
      <c r="AD666" s="160"/>
      <c r="AE666" s="160"/>
    </row>
    <row r="667" spans="1:31" ht="23.4">
      <c r="A667" s="175"/>
      <c r="B667" s="142"/>
      <c r="C667" s="143"/>
      <c r="D667" s="143"/>
      <c r="E667" s="143"/>
      <c r="F667" s="143"/>
      <c r="G667" s="143"/>
      <c r="H667" s="143"/>
      <c r="I667" s="142"/>
      <c r="J667" s="142"/>
      <c r="K667" s="143"/>
      <c r="L667" s="178"/>
      <c r="M667" s="143"/>
      <c r="N667" s="143"/>
      <c r="O667" s="143"/>
      <c r="P667" s="143"/>
      <c r="Q667" s="176"/>
      <c r="R667" s="143"/>
      <c r="S667" s="177"/>
      <c r="T667" s="177"/>
      <c r="U667" s="177"/>
      <c r="V667" s="177"/>
      <c r="W667" s="177"/>
      <c r="X667" s="177"/>
      <c r="Y667" s="159"/>
      <c r="Z667" s="160"/>
      <c r="AA667" s="160"/>
      <c r="AB667" s="160"/>
      <c r="AC667" s="160"/>
      <c r="AD667" s="160"/>
      <c r="AE667" s="160"/>
    </row>
    <row r="668" spans="1:31" ht="23.4">
      <c r="A668" s="175"/>
      <c r="B668" s="142"/>
      <c r="C668" s="143"/>
      <c r="D668" s="143"/>
      <c r="E668" s="143"/>
      <c r="F668" s="143"/>
      <c r="G668" s="143"/>
      <c r="H668" s="143"/>
      <c r="I668" s="142"/>
      <c r="J668" s="142"/>
      <c r="K668" s="143"/>
      <c r="L668" s="178"/>
      <c r="M668" s="143"/>
      <c r="N668" s="143"/>
      <c r="O668" s="143"/>
      <c r="P668" s="143"/>
      <c r="Q668" s="176"/>
      <c r="R668" s="143"/>
      <c r="S668" s="177"/>
      <c r="T668" s="177"/>
      <c r="U668" s="177"/>
      <c r="V668" s="177"/>
      <c r="W668" s="177"/>
      <c r="X668" s="177"/>
      <c r="Y668" s="159"/>
      <c r="Z668" s="160"/>
      <c r="AA668" s="160"/>
      <c r="AB668" s="160"/>
      <c r="AC668" s="160"/>
      <c r="AD668" s="160"/>
      <c r="AE668" s="160"/>
    </row>
    <row r="669" spans="1:31" ht="23.4">
      <c r="A669" s="175"/>
      <c r="B669" s="142"/>
      <c r="C669" s="143"/>
      <c r="D669" s="143"/>
      <c r="E669" s="143"/>
      <c r="F669" s="143"/>
      <c r="G669" s="143"/>
      <c r="H669" s="143"/>
      <c r="I669" s="142"/>
      <c r="J669" s="142"/>
      <c r="K669" s="143"/>
      <c r="L669" s="178"/>
      <c r="M669" s="143"/>
      <c r="N669" s="143"/>
      <c r="O669" s="143"/>
      <c r="P669" s="143"/>
      <c r="Q669" s="176"/>
      <c r="R669" s="143"/>
      <c r="S669" s="177"/>
      <c r="T669" s="177"/>
      <c r="U669" s="177"/>
      <c r="V669" s="177"/>
      <c r="W669" s="177"/>
      <c r="X669" s="177"/>
      <c r="Y669" s="159"/>
      <c r="Z669" s="160"/>
      <c r="AA669" s="160"/>
      <c r="AB669" s="160"/>
      <c r="AC669" s="160"/>
      <c r="AD669" s="160"/>
      <c r="AE669" s="160"/>
    </row>
    <row r="670" spans="1:31" ht="23.4">
      <c r="A670" s="175"/>
      <c r="B670" s="142"/>
      <c r="C670" s="143"/>
      <c r="D670" s="143"/>
      <c r="E670" s="143"/>
      <c r="F670" s="143"/>
      <c r="G670" s="143"/>
      <c r="H670" s="143"/>
      <c r="I670" s="142"/>
      <c r="J670" s="142"/>
      <c r="K670" s="143"/>
      <c r="L670" s="178"/>
      <c r="M670" s="143"/>
      <c r="N670" s="143"/>
      <c r="O670" s="143"/>
      <c r="P670" s="143"/>
      <c r="Q670" s="176"/>
      <c r="R670" s="143"/>
      <c r="S670" s="177"/>
      <c r="T670" s="177"/>
      <c r="U670" s="177"/>
      <c r="V670" s="177"/>
      <c r="W670" s="177"/>
      <c r="X670" s="177"/>
      <c r="Y670" s="159"/>
      <c r="Z670" s="160"/>
      <c r="AA670" s="160"/>
      <c r="AB670" s="160"/>
      <c r="AC670" s="160"/>
      <c r="AD670" s="160"/>
      <c r="AE670" s="160"/>
    </row>
    <row r="671" spans="1:31" ht="23.4">
      <c r="A671" s="175"/>
      <c r="B671" s="142"/>
      <c r="C671" s="143"/>
      <c r="D671" s="143"/>
      <c r="E671" s="143"/>
      <c r="F671" s="143"/>
      <c r="G671" s="143"/>
      <c r="H671" s="143"/>
      <c r="I671" s="142"/>
      <c r="J671" s="142"/>
      <c r="K671" s="143"/>
      <c r="L671" s="178"/>
      <c r="M671" s="143"/>
      <c r="N671" s="143"/>
      <c r="O671" s="143"/>
      <c r="P671" s="143"/>
      <c r="Q671" s="176"/>
      <c r="R671" s="143"/>
      <c r="S671" s="177"/>
      <c r="T671" s="177"/>
      <c r="U671" s="177"/>
      <c r="V671" s="177"/>
      <c r="W671" s="177"/>
      <c r="X671" s="177"/>
      <c r="Y671" s="159"/>
      <c r="Z671" s="160"/>
      <c r="AA671" s="160"/>
      <c r="AB671" s="160"/>
      <c r="AC671" s="160"/>
      <c r="AD671" s="160"/>
      <c r="AE671" s="160"/>
    </row>
    <row r="672" spans="1:31" ht="23.4">
      <c r="A672" s="175"/>
      <c r="B672" s="142"/>
      <c r="C672" s="143"/>
      <c r="D672" s="143"/>
      <c r="E672" s="143"/>
      <c r="F672" s="143"/>
      <c r="G672" s="143"/>
      <c r="H672" s="143"/>
      <c r="I672" s="142"/>
      <c r="J672" s="142"/>
      <c r="K672" s="143"/>
      <c r="L672" s="178"/>
      <c r="M672" s="143"/>
      <c r="N672" s="143"/>
      <c r="O672" s="143"/>
      <c r="P672" s="143"/>
      <c r="Q672" s="176"/>
      <c r="R672" s="143"/>
      <c r="S672" s="177"/>
      <c r="T672" s="177"/>
      <c r="U672" s="177"/>
      <c r="V672" s="177"/>
      <c r="W672" s="177"/>
      <c r="X672" s="177"/>
      <c r="Y672" s="159"/>
      <c r="Z672" s="160"/>
      <c r="AA672" s="160"/>
      <c r="AB672" s="160"/>
      <c r="AC672" s="160"/>
      <c r="AD672" s="160"/>
      <c r="AE672" s="160"/>
    </row>
    <row r="673" spans="1:31" ht="23.4">
      <c r="A673" s="175"/>
      <c r="B673" s="142"/>
      <c r="C673" s="143"/>
      <c r="D673" s="143"/>
      <c r="E673" s="143"/>
      <c r="F673" s="143"/>
      <c r="G673" s="143"/>
      <c r="H673" s="143"/>
      <c r="I673" s="142"/>
      <c r="J673" s="142"/>
      <c r="K673" s="143"/>
      <c r="L673" s="178"/>
      <c r="M673" s="143"/>
      <c r="N673" s="143"/>
      <c r="O673" s="143"/>
      <c r="P673" s="143"/>
      <c r="Q673" s="176"/>
      <c r="R673" s="143"/>
      <c r="S673" s="177"/>
      <c r="T673" s="177"/>
      <c r="U673" s="177"/>
      <c r="V673" s="177"/>
      <c r="W673" s="177"/>
      <c r="X673" s="177"/>
      <c r="Y673" s="159"/>
      <c r="Z673" s="160"/>
      <c r="AA673" s="160"/>
      <c r="AB673" s="160"/>
      <c r="AC673" s="160"/>
      <c r="AD673" s="160"/>
      <c r="AE673" s="160"/>
    </row>
    <row r="674" spans="1:31" ht="23.4">
      <c r="A674" s="175"/>
      <c r="B674" s="142"/>
      <c r="C674" s="143"/>
      <c r="D674" s="143"/>
      <c r="E674" s="143"/>
      <c r="F674" s="143"/>
      <c r="G674" s="143"/>
      <c r="H674" s="143"/>
      <c r="I674" s="142"/>
      <c r="J674" s="142"/>
      <c r="K674" s="143"/>
      <c r="L674" s="178"/>
      <c r="M674" s="143"/>
      <c r="N674" s="143"/>
      <c r="O674" s="143"/>
      <c r="P674" s="143"/>
      <c r="Q674" s="176"/>
      <c r="R674" s="143"/>
      <c r="S674" s="177"/>
      <c r="T674" s="177"/>
      <c r="U674" s="177"/>
      <c r="V674" s="177"/>
      <c r="W674" s="177"/>
      <c r="X674" s="177"/>
      <c r="Y674" s="159"/>
      <c r="Z674" s="160"/>
      <c r="AA674" s="160"/>
      <c r="AB674" s="160"/>
      <c r="AC674" s="160"/>
      <c r="AD674" s="160"/>
      <c r="AE674" s="160"/>
    </row>
    <row r="675" spans="1:31" ht="23.4">
      <c r="A675" s="175"/>
      <c r="B675" s="142"/>
      <c r="C675" s="143"/>
      <c r="D675" s="143"/>
      <c r="E675" s="143"/>
      <c r="F675" s="143"/>
      <c r="G675" s="143"/>
      <c r="H675" s="143"/>
      <c r="I675" s="142"/>
      <c r="J675" s="142"/>
      <c r="K675" s="143"/>
      <c r="L675" s="178"/>
      <c r="M675" s="143"/>
      <c r="N675" s="143"/>
      <c r="O675" s="143"/>
      <c r="P675" s="143"/>
      <c r="Q675" s="176"/>
      <c r="R675" s="143"/>
      <c r="S675" s="177"/>
      <c r="T675" s="177"/>
      <c r="U675" s="177"/>
      <c r="V675" s="177"/>
      <c r="W675" s="177"/>
      <c r="X675" s="177"/>
      <c r="Y675" s="159"/>
      <c r="Z675" s="160"/>
      <c r="AA675" s="160"/>
      <c r="AB675" s="160"/>
      <c r="AC675" s="160"/>
      <c r="AD675" s="160"/>
      <c r="AE675" s="160"/>
    </row>
    <row r="676" spans="1:31" ht="23.4">
      <c r="A676" s="175"/>
      <c r="B676" s="142"/>
      <c r="C676" s="143"/>
      <c r="D676" s="143"/>
      <c r="E676" s="143"/>
      <c r="F676" s="143"/>
      <c r="G676" s="143"/>
      <c r="H676" s="143"/>
      <c r="I676" s="142"/>
      <c r="J676" s="142"/>
      <c r="K676" s="143"/>
      <c r="L676" s="178"/>
      <c r="M676" s="143"/>
      <c r="N676" s="143"/>
      <c r="O676" s="143"/>
      <c r="P676" s="143"/>
      <c r="Q676" s="176"/>
      <c r="R676" s="143"/>
      <c r="S676" s="177"/>
      <c r="T676" s="177"/>
      <c r="U676" s="177"/>
      <c r="V676" s="177"/>
      <c r="W676" s="177"/>
      <c r="X676" s="177"/>
      <c r="Y676" s="159"/>
      <c r="Z676" s="160"/>
      <c r="AA676" s="160"/>
      <c r="AB676" s="160"/>
      <c r="AC676" s="160"/>
      <c r="AD676" s="160"/>
      <c r="AE676" s="160"/>
    </row>
    <row r="677" spans="1:31" ht="23.4">
      <c r="A677" s="175"/>
      <c r="B677" s="142"/>
      <c r="C677" s="143"/>
      <c r="D677" s="143"/>
      <c r="E677" s="143"/>
      <c r="F677" s="143"/>
      <c r="G677" s="143"/>
      <c r="H677" s="143"/>
      <c r="I677" s="142"/>
      <c r="J677" s="142"/>
      <c r="K677" s="143"/>
      <c r="L677" s="178"/>
      <c r="M677" s="143"/>
      <c r="N677" s="143"/>
      <c r="O677" s="143"/>
      <c r="P677" s="143"/>
      <c r="Q677" s="176"/>
      <c r="R677" s="143"/>
      <c r="S677" s="177"/>
      <c r="T677" s="177"/>
      <c r="U677" s="177"/>
      <c r="V677" s="177"/>
      <c r="W677" s="177"/>
      <c r="X677" s="177"/>
      <c r="Y677" s="159"/>
      <c r="Z677" s="160"/>
      <c r="AA677" s="160"/>
      <c r="AB677" s="160"/>
      <c r="AC677" s="160"/>
      <c r="AD677" s="160"/>
      <c r="AE677" s="160"/>
    </row>
    <row r="678" spans="1:31" ht="23.4">
      <c r="A678" s="175"/>
      <c r="B678" s="142"/>
      <c r="C678" s="143"/>
      <c r="D678" s="143"/>
      <c r="E678" s="143"/>
      <c r="F678" s="143"/>
      <c r="G678" s="143"/>
      <c r="H678" s="143"/>
      <c r="I678" s="142"/>
      <c r="J678" s="142"/>
      <c r="K678" s="143"/>
      <c r="L678" s="178"/>
      <c r="M678" s="143"/>
      <c r="N678" s="143"/>
      <c r="O678" s="143"/>
      <c r="P678" s="143"/>
      <c r="Q678" s="176"/>
      <c r="R678" s="143"/>
      <c r="S678" s="177"/>
      <c r="T678" s="177"/>
      <c r="U678" s="177"/>
      <c r="V678" s="177"/>
      <c r="W678" s="177"/>
      <c r="X678" s="177"/>
      <c r="Y678" s="159"/>
      <c r="Z678" s="160"/>
      <c r="AA678" s="160"/>
      <c r="AB678" s="160"/>
      <c r="AC678" s="160"/>
      <c r="AD678" s="160"/>
      <c r="AE678" s="160"/>
    </row>
    <row r="679" spans="1:31" ht="23.4">
      <c r="A679" s="175"/>
      <c r="B679" s="142"/>
      <c r="C679" s="143"/>
      <c r="D679" s="143"/>
      <c r="E679" s="143"/>
      <c r="F679" s="143"/>
      <c r="G679" s="143"/>
      <c r="H679" s="143"/>
      <c r="I679" s="142"/>
      <c r="J679" s="142"/>
      <c r="K679" s="143"/>
      <c r="L679" s="178"/>
      <c r="M679" s="143"/>
      <c r="N679" s="143"/>
      <c r="O679" s="143"/>
      <c r="P679" s="143"/>
      <c r="Q679" s="176"/>
      <c r="R679" s="143"/>
      <c r="S679" s="177"/>
      <c r="T679" s="177"/>
      <c r="U679" s="177"/>
      <c r="V679" s="177"/>
      <c r="W679" s="177"/>
      <c r="X679" s="177"/>
      <c r="Y679" s="159"/>
      <c r="Z679" s="160"/>
      <c r="AA679" s="160"/>
      <c r="AB679" s="160"/>
      <c r="AC679" s="160"/>
      <c r="AD679" s="160"/>
      <c r="AE679" s="160"/>
    </row>
    <row r="680" spans="1:31" ht="23.4">
      <c r="A680" s="175"/>
      <c r="B680" s="142"/>
      <c r="C680" s="143"/>
      <c r="D680" s="143"/>
      <c r="E680" s="143"/>
      <c r="F680" s="143"/>
      <c r="G680" s="143"/>
      <c r="H680" s="143"/>
      <c r="I680" s="142"/>
      <c r="J680" s="142"/>
      <c r="K680" s="143"/>
      <c r="L680" s="178"/>
      <c r="M680" s="143"/>
      <c r="N680" s="143"/>
      <c r="O680" s="143"/>
      <c r="P680" s="143"/>
      <c r="Q680" s="176"/>
      <c r="R680" s="143"/>
      <c r="S680" s="177"/>
      <c r="T680" s="177"/>
      <c r="U680" s="177"/>
      <c r="V680" s="177"/>
      <c r="W680" s="177"/>
      <c r="X680" s="177"/>
      <c r="Y680" s="159"/>
      <c r="Z680" s="160"/>
      <c r="AA680" s="160"/>
      <c r="AB680" s="160"/>
      <c r="AC680" s="160"/>
      <c r="AD680" s="160"/>
      <c r="AE680" s="160"/>
    </row>
    <row r="681" spans="1:31" ht="23.4">
      <c r="A681" s="175"/>
      <c r="B681" s="142"/>
      <c r="C681" s="143"/>
      <c r="D681" s="143"/>
      <c r="E681" s="143"/>
      <c r="F681" s="143"/>
      <c r="G681" s="143"/>
      <c r="H681" s="143"/>
      <c r="I681" s="142"/>
      <c r="J681" s="142"/>
      <c r="K681" s="143"/>
      <c r="L681" s="178"/>
      <c r="M681" s="143"/>
      <c r="N681" s="143"/>
      <c r="O681" s="143"/>
      <c r="P681" s="143"/>
      <c r="Q681" s="176"/>
      <c r="R681" s="143"/>
      <c r="S681" s="177"/>
      <c r="T681" s="177"/>
      <c r="U681" s="177"/>
      <c r="V681" s="177"/>
      <c r="W681" s="177"/>
      <c r="X681" s="177"/>
      <c r="Y681" s="159"/>
      <c r="Z681" s="160"/>
      <c r="AA681" s="160"/>
      <c r="AB681" s="160"/>
      <c r="AC681" s="160"/>
      <c r="AD681" s="160"/>
      <c r="AE681" s="160"/>
    </row>
    <row r="682" spans="1:31" ht="23.4">
      <c r="A682" s="175"/>
      <c r="B682" s="142"/>
      <c r="C682" s="143"/>
      <c r="D682" s="143"/>
      <c r="E682" s="143"/>
      <c r="F682" s="143"/>
      <c r="G682" s="143"/>
      <c r="H682" s="143"/>
      <c r="I682" s="142"/>
      <c r="J682" s="142"/>
      <c r="K682" s="143"/>
      <c r="L682" s="178"/>
      <c r="M682" s="143"/>
      <c r="N682" s="143"/>
      <c r="O682" s="143"/>
      <c r="P682" s="143"/>
      <c r="Q682" s="176"/>
      <c r="R682" s="143"/>
      <c r="S682" s="177"/>
      <c r="T682" s="177"/>
      <c r="U682" s="177"/>
      <c r="V682" s="177"/>
      <c r="W682" s="177"/>
      <c r="X682" s="177"/>
      <c r="Y682" s="159"/>
      <c r="Z682" s="160"/>
      <c r="AA682" s="160"/>
      <c r="AB682" s="160"/>
      <c r="AC682" s="160"/>
      <c r="AD682" s="160"/>
      <c r="AE682" s="160"/>
    </row>
    <row r="683" spans="1:31" ht="23.4">
      <c r="A683" s="175"/>
      <c r="B683" s="142"/>
      <c r="C683" s="143"/>
      <c r="D683" s="143"/>
      <c r="E683" s="143"/>
      <c r="F683" s="143"/>
      <c r="G683" s="143"/>
      <c r="H683" s="143"/>
      <c r="I683" s="142"/>
      <c r="J683" s="142"/>
      <c r="K683" s="143"/>
      <c r="L683" s="178"/>
      <c r="M683" s="143"/>
      <c r="N683" s="143"/>
      <c r="O683" s="143"/>
      <c r="P683" s="143"/>
      <c r="Q683" s="176"/>
      <c r="R683" s="143"/>
      <c r="S683" s="177"/>
      <c r="T683" s="177"/>
      <c r="U683" s="177"/>
      <c r="V683" s="177"/>
      <c r="W683" s="177"/>
      <c r="X683" s="177"/>
      <c r="Y683" s="159"/>
      <c r="Z683" s="160"/>
      <c r="AA683" s="160"/>
      <c r="AB683" s="160"/>
      <c r="AC683" s="160"/>
      <c r="AD683" s="160"/>
      <c r="AE683" s="160"/>
    </row>
    <row r="684" spans="1:31" ht="23.4">
      <c r="A684" s="175"/>
      <c r="B684" s="142"/>
      <c r="C684" s="143"/>
      <c r="D684" s="143"/>
      <c r="E684" s="143"/>
      <c r="F684" s="143"/>
      <c r="G684" s="143"/>
      <c r="H684" s="143"/>
      <c r="I684" s="142"/>
      <c r="J684" s="142"/>
      <c r="K684" s="143"/>
      <c r="L684" s="178"/>
      <c r="M684" s="143"/>
      <c r="N684" s="143"/>
      <c r="O684" s="143"/>
      <c r="P684" s="143"/>
      <c r="Q684" s="176"/>
      <c r="R684" s="143"/>
      <c r="S684" s="177"/>
      <c r="T684" s="177"/>
      <c r="U684" s="177"/>
      <c r="V684" s="177"/>
      <c r="W684" s="177"/>
      <c r="X684" s="177"/>
      <c r="Y684" s="159"/>
      <c r="Z684" s="160"/>
      <c r="AA684" s="160"/>
      <c r="AB684" s="160"/>
      <c r="AC684" s="160"/>
      <c r="AD684" s="160"/>
      <c r="AE684" s="160"/>
    </row>
    <row r="685" spans="1:31" ht="23.4">
      <c r="A685" s="175"/>
      <c r="B685" s="142"/>
      <c r="C685" s="143"/>
      <c r="D685" s="143"/>
      <c r="E685" s="143"/>
      <c r="F685" s="143"/>
      <c r="G685" s="143"/>
      <c r="H685" s="143"/>
      <c r="I685" s="142"/>
      <c r="J685" s="142"/>
      <c r="K685" s="143"/>
      <c r="L685" s="178"/>
      <c r="M685" s="143"/>
      <c r="N685" s="143"/>
      <c r="O685" s="143"/>
      <c r="P685" s="143"/>
      <c r="Q685" s="176"/>
      <c r="R685" s="143"/>
      <c r="S685" s="177"/>
      <c r="T685" s="177"/>
      <c r="U685" s="177"/>
      <c r="V685" s="177"/>
      <c r="W685" s="177"/>
      <c r="X685" s="177"/>
      <c r="Y685" s="159"/>
      <c r="Z685" s="160"/>
      <c r="AA685" s="160"/>
      <c r="AB685" s="160"/>
      <c r="AC685" s="160"/>
      <c r="AD685" s="160"/>
      <c r="AE685" s="160"/>
    </row>
    <row r="686" spans="1:31" ht="23.4">
      <c r="A686" s="175"/>
      <c r="B686" s="142"/>
      <c r="C686" s="143"/>
      <c r="D686" s="143"/>
      <c r="E686" s="143"/>
      <c r="F686" s="143"/>
      <c r="G686" s="143"/>
      <c r="H686" s="143"/>
      <c r="I686" s="142"/>
      <c r="J686" s="142"/>
      <c r="K686" s="143"/>
      <c r="L686" s="178"/>
      <c r="M686" s="143"/>
      <c r="N686" s="143"/>
      <c r="O686" s="143"/>
      <c r="P686" s="143"/>
      <c r="Q686" s="176"/>
      <c r="R686" s="143"/>
      <c r="S686" s="177"/>
      <c r="T686" s="177"/>
      <c r="U686" s="177"/>
      <c r="V686" s="177"/>
      <c r="W686" s="177"/>
      <c r="X686" s="177"/>
      <c r="Y686" s="159"/>
      <c r="Z686" s="160"/>
      <c r="AA686" s="160"/>
      <c r="AB686" s="160"/>
      <c r="AC686" s="160"/>
      <c r="AD686" s="160"/>
      <c r="AE686" s="160"/>
    </row>
    <row r="687" spans="1:31" ht="23.4">
      <c r="A687" s="175"/>
      <c r="B687" s="142"/>
      <c r="C687" s="143"/>
      <c r="D687" s="143"/>
      <c r="E687" s="143"/>
      <c r="F687" s="143"/>
      <c r="G687" s="143"/>
      <c r="H687" s="143"/>
      <c r="I687" s="142"/>
      <c r="J687" s="142"/>
      <c r="K687" s="143"/>
      <c r="L687" s="178"/>
      <c r="M687" s="143"/>
      <c r="N687" s="143"/>
      <c r="O687" s="143"/>
      <c r="P687" s="143"/>
      <c r="Q687" s="176"/>
      <c r="R687" s="143"/>
      <c r="S687" s="177"/>
      <c r="T687" s="177"/>
      <c r="U687" s="177"/>
      <c r="V687" s="177"/>
      <c r="W687" s="177"/>
      <c r="X687" s="177"/>
      <c r="Y687" s="159"/>
      <c r="Z687" s="160"/>
      <c r="AA687" s="160"/>
      <c r="AB687" s="160"/>
      <c r="AC687" s="160"/>
      <c r="AD687" s="160"/>
      <c r="AE687" s="160"/>
    </row>
    <row r="688" spans="1:31" ht="23.4">
      <c r="A688" s="175"/>
      <c r="B688" s="142"/>
      <c r="C688" s="143"/>
      <c r="D688" s="143"/>
      <c r="E688" s="143"/>
      <c r="F688" s="143"/>
      <c r="G688" s="143"/>
      <c r="H688" s="143"/>
      <c r="I688" s="142"/>
      <c r="J688" s="142"/>
      <c r="K688" s="143"/>
      <c r="L688" s="178"/>
      <c r="M688" s="143"/>
      <c r="N688" s="143"/>
      <c r="O688" s="143"/>
      <c r="P688" s="143"/>
      <c r="Q688" s="176"/>
      <c r="R688" s="143"/>
      <c r="S688" s="177"/>
      <c r="T688" s="177"/>
      <c r="U688" s="177"/>
      <c r="V688" s="177"/>
      <c r="W688" s="177"/>
      <c r="X688" s="177"/>
      <c r="Y688" s="159"/>
      <c r="Z688" s="160"/>
      <c r="AA688" s="160"/>
      <c r="AB688" s="160"/>
      <c r="AC688" s="160"/>
      <c r="AD688" s="160"/>
      <c r="AE688" s="160"/>
    </row>
    <row r="689" spans="1:31" ht="23.4">
      <c r="A689" s="175"/>
      <c r="B689" s="142"/>
      <c r="C689" s="143"/>
      <c r="D689" s="143"/>
      <c r="E689" s="143"/>
      <c r="F689" s="143"/>
      <c r="G689" s="143"/>
      <c r="H689" s="143"/>
      <c r="I689" s="142"/>
      <c r="J689" s="142"/>
      <c r="K689" s="143"/>
      <c r="L689" s="178"/>
      <c r="M689" s="143"/>
      <c r="N689" s="143"/>
      <c r="O689" s="143"/>
      <c r="P689" s="143"/>
      <c r="Q689" s="176"/>
      <c r="R689" s="143"/>
      <c r="S689" s="177"/>
      <c r="T689" s="177"/>
      <c r="U689" s="177"/>
      <c r="V689" s="177"/>
      <c r="W689" s="177"/>
      <c r="X689" s="177"/>
      <c r="Y689" s="159"/>
      <c r="Z689" s="160"/>
      <c r="AA689" s="160"/>
      <c r="AB689" s="160"/>
      <c r="AC689" s="160"/>
      <c r="AD689" s="160"/>
      <c r="AE689" s="160"/>
    </row>
    <row r="690" spans="1:31" ht="23.4">
      <c r="A690" s="175"/>
      <c r="B690" s="142"/>
      <c r="C690" s="143"/>
      <c r="D690" s="143"/>
      <c r="E690" s="143"/>
      <c r="F690" s="143"/>
      <c r="G690" s="143"/>
      <c r="H690" s="143"/>
      <c r="I690" s="142"/>
      <c r="J690" s="142"/>
      <c r="K690" s="143"/>
      <c r="L690" s="178"/>
      <c r="M690" s="143"/>
      <c r="N690" s="143"/>
      <c r="O690" s="143"/>
      <c r="P690" s="143"/>
      <c r="Q690" s="176"/>
      <c r="R690" s="143"/>
      <c r="S690" s="177"/>
      <c r="T690" s="177"/>
      <c r="U690" s="177"/>
      <c r="V690" s="177"/>
      <c r="W690" s="177"/>
      <c r="X690" s="177"/>
      <c r="Y690" s="159"/>
      <c r="Z690" s="160"/>
      <c r="AA690" s="160"/>
      <c r="AB690" s="160"/>
      <c r="AC690" s="160"/>
      <c r="AD690" s="160"/>
      <c r="AE690" s="160"/>
    </row>
    <row r="691" spans="1:31" ht="23.4">
      <c r="A691" s="175"/>
      <c r="B691" s="142"/>
      <c r="C691" s="143"/>
      <c r="D691" s="143"/>
      <c r="E691" s="143"/>
      <c r="F691" s="143"/>
      <c r="G691" s="143"/>
      <c r="H691" s="143"/>
      <c r="I691" s="142"/>
      <c r="J691" s="142"/>
      <c r="K691" s="143"/>
      <c r="L691" s="178"/>
      <c r="M691" s="143"/>
      <c r="N691" s="143"/>
      <c r="O691" s="143"/>
      <c r="P691" s="143"/>
      <c r="Q691" s="176"/>
      <c r="R691" s="143"/>
      <c r="S691" s="177"/>
      <c r="T691" s="177"/>
      <c r="U691" s="177"/>
      <c r="V691" s="177"/>
      <c r="W691" s="177"/>
      <c r="X691" s="177"/>
      <c r="Y691" s="159"/>
      <c r="Z691" s="160"/>
      <c r="AA691" s="160"/>
      <c r="AB691" s="160"/>
      <c r="AC691" s="160"/>
      <c r="AD691" s="160"/>
      <c r="AE691" s="160"/>
    </row>
    <row r="692" spans="1:31" ht="23.4">
      <c r="A692" s="175"/>
      <c r="B692" s="142"/>
      <c r="C692" s="143"/>
      <c r="D692" s="143"/>
      <c r="E692" s="143"/>
      <c r="F692" s="143"/>
      <c r="G692" s="143"/>
      <c r="H692" s="143"/>
      <c r="I692" s="142"/>
      <c r="J692" s="142"/>
      <c r="K692" s="143"/>
      <c r="L692" s="178"/>
      <c r="M692" s="143"/>
      <c r="N692" s="143"/>
      <c r="O692" s="143"/>
      <c r="P692" s="143"/>
      <c r="Q692" s="176"/>
      <c r="R692" s="143"/>
      <c r="S692" s="177"/>
      <c r="T692" s="177"/>
      <c r="U692" s="177"/>
      <c r="V692" s="177"/>
      <c r="W692" s="177"/>
      <c r="X692" s="177"/>
      <c r="Y692" s="159"/>
      <c r="Z692" s="160"/>
      <c r="AA692" s="160"/>
      <c r="AB692" s="160"/>
      <c r="AC692" s="160"/>
      <c r="AD692" s="160"/>
      <c r="AE692" s="160"/>
    </row>
    <row r="693" spans="1:31" ht="23.4">
      <c r="A693" s="175"/>
      <c r="B693" s="142"/>
      <c r="C693" s="143"/>
      <c r="D693" s="143"/>
      <c r="E693" s="143"/>
      <c r="F693" s="143"/>
      <c r="G693" s="143"/>
      <c r="H693" s="143"/>
      <c r="I693" s="142"/>
      <c r="J693" s="142"/>
      <c r="K693" s="143"/>
      <c r="L693" s="178"/>
      <c r="M693" s="143"/>
      <c r="N693" s="143"/>
      <c r="O693" s="143"/>
      <c r="P693" s="143"/>
      <c r="Q693" s="176"/>
      <c r="R693" s="143"/>
      <c r="S693" s="177"/>
      <c r="T693" s="177"/>
      <c r="U693" s="177"/>
      <c r="V693" s="177"/>
      <c r="W693" s="177"/>
      <c r="X693" s="177"/>
      <c r="Y693" s="159"/>
      <c r="Z693" s="160"/>
      <c r="AA693" s="160"/>
      <c r="AB693" s="160"/>
      <c r="AC693" s="160"/>
      <c r="AD693" s="160"/>
      <c r="AE693" s="160"/>
    </row>
    <row r="694" spans="1:31" ht="23.4">
      <c r="A694" s="175"/>
      <c r="B694" s="142"/>
      <c r="C694" s="143"/>
      <c r="D694" s="143"/>
      <c r="E694" s="143"/>
      <c r="F694" s="143"/>
      <c r="G694" s="143"/>
      <c r="H694" s="143"/>
      <c r="I694" s="142"/>
      <c r="J694" s="142"/>
      <c r="K694" s="143"/>
      <c r="L694" s="178"/>
      <c r="M694" s="143"/>
      <c r="N694" s="143"/>
      <c r="O694" s="143"/>
      <c r="P694" s="143"/>
      <c r="Q694" s="176"/>
      <c r="R694" s="143"/>
      <c r="S694" s="177"/>
      <c r="T694" s="177"/>
      <c r="U694" s="177"/>
      <c r="V694" s="177"/>
      <c r="W694" s="177"/>
      <c r="X694" s="177"/>
      <c r="Y694" s="159"/>
      <c r="Z694" s="160"/>
      <c r="AA694" s="160"/>
      <c r="AB694" s="160"/>
      <c r="AC694" s="160"/>
      <c r="AD694" s="160"/>
      <c r="AE694" s="160"/>
    </row>
    <row r="695" spans="1:31" ht="23.4">
      <c r="A695" s="175"/>
      <c r="B695" s="142"/>
      <c r="C695" s="143"/>
      <c r="D695" s="143"/>
      <c r="E695" s="143"/>
      <c r="F695" s="143"/>
      <c r="G695" s="143"/>
      <c r="H695" s="143"/>
      <c r="I695" s="142"/>
      <c r="J695" s="142"/>
      <c r="K695" s="143"/>
      <c r="L695" s="178"/>
      <c r="M695" s="143"/>
      <c r="N695" s="143"/>
      <c r="O695" s="143"/>
      <c r="P695" s="143"/>
      <c r="Q695" s="176"/>
      <c r="R695" s="143"/>
      <c r="S695" s="177"/>
      <c r="T695" s="177"/>
      <c r="U695" s="177"/>
      <c r="V695" s="177"/>
      <c r="W695" s="177"/>
      <c r="X695" s="177"/>
      <c r="Y695" s="159"/>
      <c r="Z695" s="160"/>
      <c r="AA695" s="160"/>
      <c r="AB695" s="160"/>
      <c r="AC695" s="160"/>
      <c r="AD695" s="160"/>
      <c r="AE695" s="160"/>
    </row>
    <row r="696" spans="1:31" ht="23.4">
      <c r="A696" s="175"/>
      <c r="B696" s="142"/>
      <c r="C696" s="143"/>
      <c r="D696" s="143"/>
      <c r="E696" s="143"/>
      <c r="F696" s="143"/>
      <c r="G696" s="143"/>
      <c r="H696" s="143"/>
      <c r="I696" s="142"/>
      <c r="J696" s="142"/>
      <c r="K696" s="143"/>
      <c r="L696" s="178"/>
      <c r="M696" s="143"/>
      <c r="N696" s="143"/>
      <c r="O696" s="143"/>
      <c r="P696" s="143"/>
      <c r="Q696" s="176"/>
      <c r="R696" s="143"/>
      <c r="S696" s="177"/>
      <c r="T696" s="177"/>
      <c r="U696" s="177"/>
      <c r="V696" s="177"/>
      <c r="W696" s="177"/>
      <c r="X696" s="177"/>
      <c r="Y696" s="159"/>
      <c r="Z696" s="160"/>
      <c r="AA696" s="160"/>
      <c r="AB696" s="160"/>
      <c r="AC696" s="160"/>
      <c r="AD696" s="160"/>
      <c r="AE696" s="160"/>
    </row>
    <row r="697" spans="1:31" ht="23.4">
      <c r="A697" s="175"/>
      <c r="B697" s="142"/>
      <c r="C697" s="143"/>
      <c r="D697" s="143"/>
      <c r="E697" s="143"/>
      <c r="F697" s="143"/>
      <c r="G697" s="143"/>
      <c r="H697" s="143"/>
      <c r="I697" s="142"/>
      <c r="J697" s="142"/>
      <c r="K697" s="143"/>
      <c r="L697" s="178"/>
      <c r="M697" s="143"/>
      <c r="N697" s="143"/>
      <c r="O697" s="143"/>
      <c r="P697" s="143"/>
      <c r="Q697" s="176"/>
      <c r="R697" s="143"/>
      <c r="S697" s="177"/>
      <c r="T697" s="177"/>
      <c r="U697" s="177"/>
      <c r="V697" s="177"/>
      <c r="W697" s="177"/>
      <c r="X697" s="177"/>
      <c r="Y697" s="159"/>
      <c r="Z697" s="160"/>
      <c r="AA697" s="160"/>
      <c r="AB697" s="160"/>
      <c r="AC697" s="160"/>
      <c r="AD697" s="160"/>
      <c r="AE697" s="160"/>
    </row>
    <row r="698" spans="1:31" ht="23.4">
      <c r="A698" s="175"/>
      <c r="B698" s="142"/>
      <c r="C698" s="143"/>
      <c r="D698" s="143"/>
      <c r="E698" s="143"/>
      <c r="F698" s="143"/>
      <c r="G698" s="143"/>
      <c r="H698" s="143"/>
      <c r="I698" s="142"/>
      <c r="J698" s="142"/>
      <c r="K698" s="143"/>
      <c r="L698" s="178"/>
      <c r="M698" s="143"/>
      <c r="N698" s="143"/>
      <c r="O698" s="143"/>
      <c r="P698" s="143"/>
      <c r="Q698" s="176"/>
      <c r="R698" s="143"/>
      <c r="S698" s="177"/>
      <c r="T698" s="177"/>
      <c r="U698" s="177"/>
      <c r="V698" s="177"/>
      <c r="W698" s="177"/>
      <c r="X698" s="177"/>
      <c r="Y698" s="159"/>
      <c r="Z698" s="160"/>
      <c r="AA698" s="160"/>
      <c r="AB698" s="160"/>
      <c r="AC698" s="160"/>
      <c r="AD698" s="160"/>
      <c r="AE698" s="160"/>
    </row>
    <row r="699" spans="1:31" ht="23.4">
      <c r="A699" s="175"/>
      <c r="B699" s="142"/>
      <c r="C699" s="143"/>
      <c r="D699" s="143"/>
      <c r="E699" s="143"/>
      <c r="F699" s="143"/>
      <c r="G699" s="143"/>
      <c r="H699" s="143"/>
      <c r="I699" s="142"/>
      <c r="J699" s="142"/>
      <c r="K699" s="143"/>
      <c r="L699" s="178"/>
      <c r="M699" s="143"/>
      <c r="N699" s="143"/>
      <c r="O699" s="143"/>
      <c r="P699" s="143"/>
      <c r="Q699" s="176"/>
      <c r="R699" s="143"/>
      <c r="S699" s="177"/>
      <c r="T699" s="177"/>
      <c r="U699" s="177"/>
      <c r="V699" s="177"/>
      <c r="W699" s="177"/>
      <c r="X699" s="177"/>
      <c r="Y699" s="159"/>
      <c r="Z699" s="160"/>
      <c r="AA699" s="160"/>
      <c r="AB699" s="160"/>
      <c r="AC699" s="160"/>
      <c r="AD699" s="160"/>
      <c r="AE699" s="160"/>
    </row>
    <row r="700" spans="1:31" ht="23.4">
      <c r="A700" s="175"/>
      <c r="B700" s="142"/>
      <c r="C700" s="143"/>
      <c r="D700" s="143"/>
      <c r="E700" s="143"/>
      <c r="F700" s="143"/>
      <c r="G700" s="143"/>
      <c r="H700" s="143"/>
      <c r="I700" s="142"/>
      <c r="J700" s="142"/>
      <c r="K700" s="143"/>
      <c r="L700" s="178"/>
      <c r="M700" s="143"/>
      <c r="N700" s="143"/>
      <c r="O700" s="143"/>
      <c r="P700" s="143"/>
      <c r="Q700" s="176"/>
      <c r="R700" s="143"/>
      <c r="S700" s="177"/>
      <c r="T700" s="177"/>
      <c r="U700" s="177"/>
      <c r="V700" s="177"/>
      <c r="W700" s="177"/>
      <c r="X700" s="177"/>
      <c r="Y700" s="159"/>
      <c r="Z700" s="160"/>
      <c r="AA700" s="160"/>
      <c r="AB700" s="160"/>
      <c r="AC700" s="160"/>
      <c r="AD700" s="160"/>
      <c r="AE700" s="160"/>
    </row>
    <row r="701" spans="1:31" ht="23.4">
      <c r="A701" s="175"/>
      <c r="B701" s="142"/>
      <c r="C701" s="143"/>
      <c r="D701" s="143"/>
      <c r="E701" s="143"/>
      <c r="F701" s="143"/>
      <c r="G701" s="143"/>
      <c r="H701" s="143"/>
      <c r="I701" s="142"/>
      <c r="J701" s="142"/>
      <c r="K701" s="143"/>
      <c r="L701" s="178"/>
      <c r="M701" s="143"/>
      <c r="N701" s="143"/>
      <c r="O701" s="143"/>
      <c r="P701" s="143"/>
      <c r="Q701" s="176"/>
      <c r="R701" s="143"/>
      <c r="S701" s="177"/>
      <c r="T701" s="177"/>
      <c r="U701" s="177"/>
      <c r="V701" s="177"/>
      <c r="W701" s="177"/>
      <c r="X701" s="177"/>
      <c r="Y701" s="159"/>
      <c r="Z701" s="160"/>
      <c r="AA701" s="160"/>
      <c r="AB701" s="160"/>
      <c r="AC701" s="160"/>
      <c r="AD701" s="160"/>
      <c r="AE701" s="160"/>
    </row>
    <row r="702" spans="1:31" ht="23.4">
      <c r="A702" s="175"/>
      <c r="B702" s="142"/>
      <c r="C702" s="143"/>
      <c r="D702" s="143"/>
      <c r="E702" s="143"/>
      <c r="F702" s="143"/>
      <c r="G702" s="143"/>
      <c r="H702" s="143"/>
      <c r="I702" s="142"/>
      <c r="J702" s="142"/>
      <c r="K702" s="143"/>
      <c r="L702" s="178"/>
      <c r="M702" s="143"/>
      <c r="N702" s="143"/>
      <c r="O702" s="143"/>
      <c r="P702" s="143"/>
      <c r="Q702" s="176"/>
      <c r="R702" s="143"/>
      <c r="S702" s="177"/>
      <c r="T702" s="177"/>
      <c r="U702" s="177"/>
      <c r="V702" s="177"/>
      <c r="W702" s="177"/>
      <c r="X702" s="177"/>
      <c r="Y702" s="159"/>
      <c r="Z702" s="160"/>
      <c r="AA702" s="160"/>
      <c r="AB702" s="160"/>
      <c r="AC702" s="160"/>
      <c r="AD702" s="160"/>
      <c r="AE702" s="160"/>
    </row>
    <row r="703" spans="1:31" ht="23.4">
      <c r="A703" s="175"/>
      <c r="B703" s="142"/>
      <c r="C703" s="143"/>
      <c r="D703" s="143"/>
      <c r="E703" s="143"/>
      <c r="F703" s="143"/>
      <c r="G703" s="143"/>
      <c r="H703" s="143"/>
      <c r="I703" s="142"/>
      <c r="J703" s="142"/>
      <c r="K703" s="143"/>
      <c r="L703" s="178"/>
      <c r="M703" s="143"/>
      <c r="N703" s="143"/>
      <c r="O703" s="143"/>
      <c r="P703" s="143"/>
      <c r="Q703" s="176"/>
      <c r="R703" s="143"/>
      <c r="S703" s="177"/>
      <c r="T703" s="177"/>
      <c r="U703" s="177"/>
      <c r="V703" s="177"/>
      <c r="W703" s="177"/>
      <c r="X703" s="177"/>
      <c r="Y703" s="159"/>
      <c r="Z703" s="160"/>
      <c r="AA703" s="160"/>
      <c r="AB703" s="160"/>
      <c r="AC703" s="160"/>
      <c r="AD703" s="160"/>
      <c r="AE703" s="160"/>
    </row>
    <row r="704" spans="1:31" ht="23.4">
      <c r="A704" s="175"/>
      <c r="B704" s="142"/>
      <c r="C704" s="143"/>
      <c r="D704" s="143"/>
      <c r="E704" s="143"/>
      <c r="F704" s="143"/>
      <c r="G704" s="143"/>
      <c r="H704" s="143"/>
      <c r="I704" s="142"/>
      <c r="J704" s="142"/>
      <c r="K704" s="143"/>
      <c r="L704" s="178"/>
      <c r="M704" s="143"/>
      <c r="N704" s="143"/>
      <c r="O704" s="143"/>
      <c r="P704" s="143"/>
      <c r="Q704" s="176"/>
      <c r="R704" s="143"/>
      <c r="S704" s="177"/>
      <c r="T704" s="177"/>
      <c r="U704" s="177"/>
      <c r="V704" s="177"/>
      <c r="W704" s="177"/>
      <c r="X704" s="177"/>
      <c r="Y704" s="159"/>
      <c r="Z704" s="160"/>
      <c r="AA704" s="160"/>
      <c r="AB704" s="160"/>
      <c r="AC704" s="160"/>
      <c r="AD704" s="160"/>
      <c r="AE704" s="160"/>
    </row>
    <row r="705" spans="1:31" ht="23.4">
      <c r="A705" s="175"/>
      <c r="B705" s="142"/>
      <c r="C705" s="143"/>
      <c r="D705" s="143"/>
      <c r="E705" s="143"/>
      <c r="F705" s="143"/>
      <c r="G705" s="143"/>
      <c r="H705" s="143"/>
      <c r="I705" s="142"/>
      <c r="J705" s="142"/>
      <c r="K705" s="143"/>
      <c r="L705" s="178"/>
      <c r="M705" s="143"/>
      <c r="N705" s="143"/>
      <c r="O705" s="143"/>
      <c r="P705" s="143"/>
      <c r="Q705" s="176"/>
      <c r="R705" s="143"/>
      <c r="S705" s="177"/>
      <c r="T705" s="177"/>
      <c r="U705" s="177"/>
      <c r="V705" s="177"/>
      <c r="W705" s="177"/>
      <c r="X705" s="177"/>
      <c r="Y705" s="159"/>
      <c r="Z705" s="160"/>
      <c r="AA705" s="160"/>
      <c r="AB705" s="160"/>
      <c r="AC705" s="160"/>
      <c r="AD705" s="160"/>
      <c r="AE705" s="160"/>
    </row>
    <row r="706" spans="1:31" ht="23.4">
      <c r="A706" s="175"/>
      <c r="B706" s="142"/>
      <c r="C706" s="143"/>
      <c r="D706" s="143"/>
      <c r="E706" s="143"/>
      <c r="F706" s="143"/>
      <c r="G706" s="143"/>
      <c r="H706" s="143"/>
      <c r="I706" s="142"/>
      <c r="J706" s="142"/>
      <c r="K706" s="143"/>
      <c r="L706" s="178"/>
      <c r="M706" s="143"/>
      <c r="N706" s="143"/>
      <c r="O706" s="143"/>
      <c r="P706" s="143"/>
      <c r="Q706" s="176"/>
      <c r="R706" s="143"/>
      <c r="S706" s="177"/>
      <c r="T706" s="177"/>
      <c r="U706" s="177"/>
      <c r="V706" s="177"/>
      <c r="W706" s="177"/>
      <c r="X706" s="177"/>
      <c r="Y706" s="159"/>
      <c r="Z706" s="160"/>
      <c r="AA706" s="160"/>
      <c r="AB706" s="160"/>
      <c r="AC706" s="160"/>
      <c r="AD706" s="160"/>
      <c r="AE706" s="160"/>
    </row>
    <row r="707" spans="1:31" ht="23.4">
      <c r="A707" s="175"/>
      <c r="B707" s="142"/>
      <c r="C707" s="143"/>
      <c r="D707" s="143"/>
      <c r="E707" s="143"/>
      <c r="F707" s="143"/>
      <c r="G707" s="143"/>
      <c r="H707" s="143"/>
      <c r="I707" s="142"/>
      <c r="J707" s="142"/>
      <c r="K707" s="143"/>
      <c r="L707" s="178"/>
      <c r="M707" s="143"/>
      <c r="N707" s="143"/>
      <c r="O707" s="143"/>
      <c r="P707" s="143"/>
      <c r="Q707" s="176"/>
      <c r="R707" s="143"/>
      <c r="S707" s="177"/>
      <c r="T707" s="177"/>
      <c r="U707" s="177"/>
      <c r="V707" s="177"/>
      <c r="W707" s="177"/>
      <c r="X707" s="177"/>
      <c r="Y707" s="159"/>
      <c r="Z707" s="160"/>
      <c r="AA707" s="160"/>
      <c r="AB707" s="160"/>
      <c r="AC707" s="160"/>
      <c r="AD707" s="160"/>
      <c r="AE707" s="160"/>
    </row>
    <row r="708" spans="1:31" ht="23.4">
      <c r="A708" s="175"/>
      <c r="B708" s="142"/>
      <c r="C708" s="143"/>
      <c r="D708" s="143"/>
      <c r="E708" s="143"/>
      <c r="F708" s="143"/>
      <c r="G708" s="143"/>
      <c r="H708" s="143"/>
      <c r="I708" s="142"/>
      <c r="J708" s="142"/>
      <c r="K708" s="143"/>
      <c r="L708" s="178"/>
      <c r="M708" s="143"/>
      <c r="N708" s="143"/>
      <c r="O708" s="143"/>
      <c r="P708" s="143"/>
      <c r="Q708" s="176"/>
      <c r="R708" s="143"/>
      <c r="S708" s="177"/>
      <c r="T708" s="177"/>
      <c r="U708" s="177"/>
      <c r="V708" s="177"/>
      <c r="W708" s="177"/>
      <c r="X708" s="177"/>
      <c r="Y708" s="159"/>
      <c r="Z708" s="160"/>
      <c r="AA708" s="160"/>
      <c r="AB708" s="160"/>
      <c r="AC708" s="160"/>
      <c r="AD708" s="160"/>
      <c r="AE708" s="160"/>
    </row>
    <row r="709" spans="1:31" ht="23.4">
      <c r="A709" s="175"/>
      <c r="B709" s="142"/>
      <c r="C709" s="143"/>
      <c r="D709" s="143"/>
      <c r="E709" s="143"/>
      <c r="F709" s="143"/>
      <c r="G709" s="143"/>
      <c r="H709" s="143"/>
      <c r="I709" s="142"/>
      <c r="J709" s="142"/>
      <c r="K709" s="143"/>
      <c r="L709" s="178"/>
      <c r="M709" s="143"/>
      <c r="N709" s="143"/>
      <c r="O709" s="143"/>
      <c r="P709" s="143"/>
      <c r="Q709" s="176"/>
      <c r="R709" s="143"/>
      <c r="S709" s="177"/>
      <c r="T709" s="177"/>
      <c r="U709" s="177"/>
      <c r="V709" s="177"/>
      <c r="W709" s="177"/>
      <c r="X709" s="177"/>
      <c r="Y709" s="159"/>
      <c r="Z709" s="160"/>
      <c r="AA709" s="160"/>
      <c r="AB709" s="160"/>
      <c r="AC709" s="160"/>
      <c r="AD709" s="160"/>
      <c r="AE709" s="160"/>
    </row>
    <row r="710" spans="1:31" ht="23.4">
      <c r="A710" s="175"/>
      <c r="B710" s="142"/>
      <c r="C710" s="143"/>
      <c r="D710" s="143"/>
      <c r="E710" s="143"/>
      <c r="F710" s="143"/>
      <c r="G710" s="143"/>
      <c r="H710" s="143"/>
      <c r="I710" s="142"/>
      <c r="J710" s="142"/>
      <c r="K710" s="143"/>
      <c r="L710" s="178"/>
      <c r="M710" s="143"/>
      <c r="N710" s="143"/>
      <c r="O710" s="143"/>
      <c r="P710" s="143"/>
      <c r="Q710" s="176"/>
      <c r="R710" s="143"/>
      <c r="S710" s="177"/>
      <c r="T710" s="177"/>
      <c r="U710" s="177"/>
      <c r="V710" s="177"/>
      <c r="W710" s="177"/>
      <c r="X710" s="177"/>
      <c r="Y710" s="159"/>
      <c r="Z710" s="160"/>
      <c r="AA710" s="160"/>
      <c r="AB710" s="160"/>
      <c r="AC710" s="160"/>
      <c r="AD710" s="160"/>
      <c r="AE710" s="160"/>
    </row>
    <row r="711" spans="1:31" ht="23.4">
      <c r="A711" s="175"/>
      <c r="B711" s="142"/>
      <c r="C711" s="143"/>
      <c r="D711" s="143"/>
      <c r="E711" s="143"/>
      <c r="F711" s="143"/>
      <c r="G711" s="143"/>
      <c r="H711" s="143"/>
      <c r="I711" s="142"/>
      <c r="J711" s="142"/>
      <c r="K711" s="143"/>
      <c r="L711" s="178"/>
      <c r="M711" s="143"/>
      <c r="N711" s="143"/>
      <c r="O711" s="143"/>
      <c r="P711" s="143"/>
      <c r="Q711" s="176"/>
      <c r="R711" s="143"/>
      <c r="S711" s="177"/>
      <c r="T711" s="177"/>
      <c r="U711" s="177"/>
      <c r="V711" s="177"/>
      <c r="W711" s="177"/>
      <c r="X711" s="177"/>
      <c r="Y711" s="159"/>
      <c r="Z711" s="160"/>
      <c r="AA711" s="160"/>
      <c r="AB711" s="160"/>
      <c r="AC711" s="160"/>
      <c r="AD711" s="160"/>
      <c r="AE711" s="160"/>
    </row>
    <row r="712" spans="1:31" ht="23.4">
      <c r="A712" s="175"/>
      <c r="B712" s="142"/>
      <c r="C712" s="143"/>
      <c r="D712" s="143"/>
      <c r="E712" s="143"/>
      <c r="F712" s="143"/>
      <c r="G712" s="143"/>
      <c r="H712" s="143"/>
      <c r="I712" s="142"/>
      <c r="J712" s="142"/>
      <c r="K712" s="143"/>
      <c r="L712" s="178"/>
      <c r="M712" s="143"/>
      <c r="N712" s="143"/>
      <c r="O712" s="143"/>
      <c r="P712" s="143"/>
      <c r="Q712" s="176"/>
      <c r="R712" s="143"/>
      <c r="S712" s="177"/>
      <c r="T712" s="177"/>
      <c r="U712" s="177"/>
      <c r="V712" s="177"/>
      <c r="W712" s="177"/>
      <c r="X712" s="177"/>
      <c r="Y712" s="159"/>
      <c r="Z712" s="160"/>
      <c r="AA712" s="160"/>
      <c r="AB712" s="160"/>
      <c r="AC712" s="160"/>
      <c r="AD712" s="160"/>
      <c r="AE712" s="160"/>
    </row>
    <row r="713" spans="1:31" ht="23.4">
      <c r="A713" s="175"/>
      <c r="B713" s="142"/>
      <c r="C713" s="143"/>
      <c r="D713" s="143"/>
      <c r="E713" s="143"/>
      <c r="F713" s="143"/>
      <c r="G713" s="143"/>
      <c r="H713" s="143"/>
      <c r="I713" s="142"/>
      <c r="J713" s="142"/>
      <c r="K713" s="143"/>
      <c r="L713" s="178"/>
      <c r="M713" s="143"/>
      <c r="N713" s="143"/>
      <c r="O713" s="143"/>
      <c r="P713" s="143"/>
      <c r="Q713" s="176"/>
      <c r="R713" s="143"/>
      <c r="S713" s="177"/>
      <c r="T713" s="177"/>
      <c r="U713" s="177"/>
      <c r="V713" s="177"/>
      <c r="W713" s="177"/>
      <c r="X713" s="177"/>
      <c r="Y713" s="159"/>
      <c r="Z713" s="160"/>
      <c r="AA713" s="160"/>
      <c r="AB713" s="160"/>
      <c r="AC713" s="160"/>
      <c r="AD713" s="160"/>
      <c r="AE713" s="160"/>
    </row>
    <row r="714" spans="1:31" ht="23.4">
      <c r="A714" s="175"/>
      <c r="B714" s="142"/>
      <c r="C714" s="143"/>
      <c r="D714" s="143"/>
      <c r="E714" s="143"/>
      <c r="F714" s="143"/>
      <c r="G714" s="143"/>
      <c r="H714" s="143"/>
      <c r="I714" s="142"/>
      <c r="J714" s="142"/>
      <c r="K714" s="143"/>
      <c r="L714" s="178"/>
      <c r="M714" s="143"/>
      <c r="N714" s="143"/>
      <c r="O714" s="143"/>
      <c r="P714" s="143"/>
      <c r="Q714" s="176"/>
      <c r="R714" s="143"/>
      <c r="S714" s="177"/>
      <c r="T714" s="177"/>
      <c r="U714" s="177"/>
      <c r="V714" s="177"/>
      <c r="W714" s="177"/>
      <c r="X714" s="177"/>
      <c r="Y714" s="159"/>
      <c r="Z714" s="160"/>
      <c r="AA714" s="160"/>
      <c r="AB714" s="160"/>
      <c r="AC714" s="160"/>
      <c r="AD714" s="160"/>
      <c r="AE714" s="160"/>
    </row>
    <row r="715" spans="1:31" ht="23.4">
      <c r="A715" s="175"/>
      <c r="B715" s="142"/>
      <c r="C715" s="143"/>
      <c r="D715" s="143"/>
      <c r="E715" s="143"/>
      <c r="F715" s="143"/>
      <c r="G715" s="143"/>
      <c r="H715" s="143"/>
      <c r="I715" s="142"/>
      <c r="J715" s="142"/>
      <c r="K715" s="143"/>
      <c r="L715" s="178"/>
      <c r="M715" s="143"/>
      <c r="N715" s="143"/>
      <c r="O715" s="143"/>
      <c r="P715" s="143"/>
      <c r="Q715" s="176"/>
      <c r="R715" s="143"/>
      <c r="S715" s="177"/>
      <c r="T715" s="177"/>
      <c r="U715" s="177"/>
      <c r="V715" s="177"/>
      <c r="W715" s="177"/>
      <c r="X715" s="177"/>
      <c r="Y715" s="159"/>
      <c r="Z715" s="160"/>
      <c r="AA715" s="160"/>
      <c r="AB715" s="160"/>
      <c r="AC715" s="160"/>
      <c r="AD715" s="160"/>
      <c r="AE715" s="160"/>
    </row>
    <row r="716" spans="1:31" ht="23.4">
      <c r="A716" s="175"/>
      <c r="B716" s="142"/>
      <c r="C716" s="143"/>
      <c r="D716" s="143"/>
      <c r="E716" s="143"/>
      <c r="F716" s="143"/>
      <c r="G716" s="143"/>
      <c r="H716" s="143"/>
      <c r="I716" s="142"/>
      <c r="J716" s="142"/>
      <c r="K716" s="143"/>
      <c r="L716" s="178"/>
      <c r="M716" s="143"/>
      <c r="N716" s="143"/>
      <c r="O716" s="143"/>
      <c r="P716" s="143"/>
      <c r="Q716" s="176"/>
      <c r="R716" s="143"/>
      <c r="S716" s="177"/>
      <c r="T716" s="177"/>
      <c r="U716" s="177"/>
      <c r="V716" s="177"/>
      <c r="W716" s="177"/>
      <c r="X716" s="177"/>
      <c r="Y716" s="159"/>
      <c r="Z716" s="160"/>
      <c r="AA716" s="160"/>
      <c r="AB716" s="160"/>
      <c r="AC716" s="160"/>
      <c r="AD716" s="160"/>
      <c r="AE716" s="160"/>
    </row>
    <row r="717" spans="1:31" ht="23.4">
      <c r="A717" s="175"/>
      <c r="B717" s="142"/>
      <c r="C717" s="143"/>
      <c r="D717" s="143"/>
      <c r="E717" s="143"/>
      <c r="F717" s="143"/>
      <c r="G717" s="143"/>
      <c r="H717" s="143"/>
      <c r="I717" s="142"/>
      <c r="J717" s="142"/>
      <c r="K717" s="143"/>
      <c r="L717" s="178"/>
      <c r="M717" s="143"/>
      <c r="N717" s="143"/>
      <c r="O717" s="143"/>
      <c r="P717" s="143"/>
      <c r="Q717" s="176"/>
      <c r="R717" s="143"/>
      <c r="S717" s="177"/>
      <c r="T717" s="177"/>
      <c r="U717" s="177"/>
      <c r="V717" s="177"/>
      <c r="W717" s="177"/>
      <c r="X717" s="177"/>
      <c r="Y717" s="159"/>
      <c r="Z717" s="160"/>
      <c r="AA717" s="160"/>
      <c r="AB717" s="160"/>
      <c r="AC717" s="160"/>
      <c r="AD717" s="160"/>
      <c r="AE717" s="160"/>
    </row>
    <row r="718" spans="1:31" ht="23.4">
      <c r="A718" s="175"/>
      <c r="B718" s="142"/>
      <c r="C718" s="143"/>
      <c r="D718" s="143"/>
      <c r="E718" s="143"/>
      <c r="F718" s="143"/>
      <c r="G718" s="143"/>
      <c r="H718" s="143"/>
      <c r="I718" s="142"/>
      <c r="J718" s="142"/>
      <c r="K718" s="143"/>
      <c r="L718" s="178"/>
      <c r="M718" s="143"/>
      <c r="N718" s="143"/>
      <c r="O718" s="143"/>
      <c r="P718" s="143"/>
      <c r="Q718" s="176"/>
      <c r="R718" s="143"/>
      <c r="S718" s="177"/>
      <c r="T718" s="177"/>
      <c r="U718" s="177"/>
      <c r="V718" s="177"/>
      <c r="W718" s="177"/>
      <c r="X718" s="177"/>
      <c r="Y718" s="159"/>
      <c r="Z718" s="160"/>
      <c r="AA718" s="160"/>
      <c r="AB718" s="160"/>
      <c r="AC718" s="160"/>
      <c r="AD718" s="160"/>
      <c r="AE718" s="160"/>
    </row>
    <row r="719" spans="1:31" ht="23.4">
      <c r="A719" s="175"/>
      <c r="B719" s="142"/>
      <c r="C719" s="143"/>
      <c r="D719" s="143"/>
      <c r="E719" s="143"/>
      <c r="F719" s="143"/>
      <c r="G719" s="143"/>
      <c r="H719" s="143"/>
      <c r="I719" s="142"/>
      <c r="J719" s="142"/>
      <c r="K719" s="143"/>
      <c r="L719" s="178"/>
      <c r="M719" s="143"/>
      <c r="N719" s="143"/>
      <c r="O719" s="143"/>
      <c r="P719" s="143"/>
      <c r="Q719" s="176"/>
      <c r="R719" s="143"/>
      <c r="S719" s="177"/>
      <c r="T719" s="177"/>
      <c r="U719" s="177"/>
      <c r="V719" s="177"/>
      <c r="W719" s="177"/>
      <c r="X719" s="177"/>
      <c r="Y719" s="159"/>
      <c r="Z719" s="160"/>
      <c r="AA719" s="160"/>
      <c r="AB719" s="160"/>
      <c r="AC719" s="160"/>
      <c r="AD719" s="160"/>
      <c r="AE719" s="160"/>
    </row>
    <row r="720" spans="1:31" ht="23.4">
      <c r="A720" s="175"/>
      <c r="B720" s="142"/>
      <c r="C720" s="143"/>
      <c r="D720" s="143"/>
      <c r="E720" s="143"/>
      <c r="F720" s="143"/>
      <c r="G720" s="143"/>
      <c r="H720" s="143"/>
      <c r="I720" s="142"/>
      <c r="J720" s="142"/>
      <c r="K720" s="143"/>
      <c r="L720" s="178"/>
      <c r="M720" s="143"/>
      <c r="N720" s="143"/>
      <c r="O720" s="143"/>
      <c r="P720" s="143"/>
      <c r="Q720" s="176"/>
      <c r="R720" s="143"/>
      <c r="S720" s="177"/>
      <c r="T720" s="177"/>
      <c r="U720" s="177"/>
      <c r="V720" s="177"/>
      <c r="W720" s="177"/>
      <c r="X720" s="177"/>
      <c r="Y720" s="159"/>
      <c r="Z720" s="160"/>
      <c r="AA720" s="160"/>
      <c r="AB720" s="160"/>
      <c r="AC720" s="160"/>
      <c r="AD720" s="160"/>
      <c r="AE720" s="160"/>
    </row>
    <row r="721" spans="1:31" ht="23.4">
      <c r="A721" s="175"/>
      <c r="B721" s="142"/>
      <c r="C721" s="143"/>
      <c r="D721" s="143"/>
      <c r="E721" s="143"/>
      <c r="F721" s="143"/>
      <c r="G721" s="143"/>
      <c r="H721" s="143"/>
      <c r="I721" s="142"/>
      <c r="J721" s="142"/>
      <c r="K721" s="143"/>
      <c r="L721" s="178"/>
      <c r="M721" s="143"/>
      <c r="N721" s="143"/>
      <c r="O721" s="143"/>
      <c r="P721" s="143"/>
      <c r="Q721" s="176"/>
      <c r="R721" s="143"/>
      <c r="S721" s="177"/>
      <c r="T721" s="177"/>
      <c r="U721" s="177"/>
      <c r="V721" s="177"/>
      <c r="W721" s="177"/>
      <c r="X721" s="177"/>
      <c r="Y721" s="159"/>
      <c r="Z721" s="160"/>
      <c r="AA721" s="160"/>
      <c r="AB721" s="160"/>
      <c r="AC721" s="160"/>
      <c r="AD721" s="160"/>
      <c r="AE721" s="160"/>
    </row>
    <row r="722" spans="1:31" ht="23.4">
      <c r="A722" s="175"/>
      <c r="B722" s="142"/>
      <c r="C722" s="143"/>
      <c r="D722" s="143"/>
      <c r="E722" s="143"/>
      <c r="F722" s="143"/>
      <c r="G722" s="143"/>
      <c r="H722" s="143"/>
      <c r="I722" s="142"/>
      <c r="J722" s="142"/>
      <c r="K722" s="143"/>
      <c r="L722" s="178"/>
      <c r="M722" s="143"/>
      <c r="N722" s="143"/>
      <c r="O722" s="143"/>
      <c r="P722" s="143"/>
      <c r="Q722" s="176"/>
      <c r="R722" s="143"/>
      <c r="S722" s="177"/>
      <c r="T722" s="177"/>
      <c r="U722" s="177"/>
      <c r="V722" s="177"/>
      <c r="W722" s="177"/>
      <c r="X722" s="177"/>
      <c r="Y722" s="159"/>
      <c r="Z722" s="160"/>
      <c r="AA722" s="160"/>
      <c r="AB722" s="160"/>
      <c r="AC722" s="160"/>
      <c r="AD722" s="160"/>
      <c r="AE722" s="160"/>
    </row>
    <row r="723" spans="1:31" ht="23.4">
      <c r="A723" s="175"/>
      <c r="B723" s="142"/>
      <c r="C723" s="143"/>
      <c r="D723" s="143"/>
      <c r="E723" s="143"/>
      <c r="F723" s="143"/>
      <c r="G723" s="143"/>
      <c r="H723" s="143"/>
      <c r="I723" s="142"/>
      <c r="J723" s="142"/>
      <c r="K723" s="143"/>
      <c r="L723" s="178"/>
      <c r="M723" s="143"/>
      <c r="N723" s="143"/>
      <c r="O723" s="143"/>
      <c r="P723" s="143"/>
      <c r="Q723" s="176"/>
      <c r="R723" s="143"/>
      <c r="S723" s="177"/>
      <c r="T723" s="177"/>
      <c r="U723" s="177"/>
      <c r="V723" s="177"/>
      <c r="W723" s="177"/>
      <c r="X723" s="177"/>
      <c r="Y723" s="159"/>
      <c r="Z723" s="160"/>
      <c r="AA723" s="160"/>
      <c r="AB723" s="160"/>
      <c r="AC723" s="160"/>
      <c r="AD723" s="160"/>
      <c r="AE723" s="160"/>
    </row>
    <row r="724" spans="1:31" ht="23.4">
      <c r="A724" s="175"/>
      <c r="B724" s="142"/>
      <c r="C724" s="143"/>
      <c r="D724" s="143"/>
      <c r="E724" s="143"/>
      <c r="F724" s="143"/>
      <c r="G724" s="143"/>
      <c r="H724" s="143"/>
      <c r="I724" s="142"/>
      <c r="J724" s="142"/>
      <c r="K724" s="143"/>
      <c r="L724" s="178"/>
      <c r="M724" s="143"/>
      <c r="N724" s="143"/>
      <c r="O724" s="143"/>
      <c r="P724" s="143"/>
      <c r="Q724" s="176"/>
      <c r="R724" s="143"/>
      <c r="S724" s="177"/>
      <c r="T724" s="177"/>
      <c r="U724" s="177"/>
      <c r="V724" s="177"/>
      <c r="W724" s="177"/>
      <c r="X724" s="177"/>
      <c r="Y724" s="159"/>
      <c r="Z724" s="160"/>
      <c r="AA724" s="160"/>
      <c r="AB724" s="160"/>
      <c r="AC724" s="160"/>
      <c r="AD724" s="160"/>
      <c r="AE724" s="160"/>
    </row>
    <row r="725" spans="1:31" ht="23.4">
      <c r="A725" s="175"/>
      <c r="B725" s="142"/>
      <c r="C725" s="143"/>
      <c r="D725" s="143"/>
      <c r="E725" s="143"/>
      <c r="F725" s="143"/>
      <c r="G725" s="143"/>
      <c r="H725" s="143"/>
      <c r="I725" s="142"/>
      <c r="J725" s="142"/>
      <c r="K725" s="143"/>
      <c r="L725" s="178"/>
      <c r="M725" s="143"/>
      <c r="N725" s="143"/>
      <c r="O725" s="143"/>
      <c r="P725" s="143"/>
      <c r="Q725" s="176"/>
      <c r="R725" s="143"/>
      <c r="S725" s="177"/>
      <c r="T725" s="177"/>
      <c r="U725" s="177"/>
      <c r="V725" s="177"/>
      <c r="W725" s="177"/>
      <c r="X725" s="177"/>
      <c r="Y725" s="159"/>
      <c r="Z725" s="160"/>
      <c r="AA725" s="160"/>
      <c r="AB725" s="160"/>
      <c r="AC725" s="160"/>
      <c r="AD725" s="160"/>
      <c r="AE725" s="160"/>
    </row>
    <row r="726" spans="1:31" ht="23.4">
      <c r="A726" s="175"/>
      <c r="B726" s="142"/>
      <c r="C726" s="143"/>
      <c r="D726" s="143"/>
      <c r="E726" s="143"/>
      <c r="F726" s="143"/>
      <c r="G726" s="143"/>
      <c r="H726" s="143"/>
      <c r="I726" s="142"/>
      <c r="J726" s="142"/>
      <c r="K726" s="143"/>
      <c r="L726" s="178"/>
      <c r="M726" s="143"/>
      <c r="N726" s="143"/>
      <c r="O726" s="143"/>
      <c r="P726" s="143"/>
      <c r="Q726" s="176"/>
      <c r="R726" s="143"/>
      <c r="S726" s="177"/>
      <c r="T726" s="177"/>
      <c r="U726" s="177"/>
      <c r="V726" s="177"/>
      <c r="W726" s="177"/>
      <c r="X726" s="177"/>
      <c r="Y726" s="159"/>
      <c r="Z726" s="160"/>
      <c r="AA726" s="160"/>
      <c r="AB726" s="160"/>
      <c r="AC726" s="160"/>
      <c r="AD726" s="160"/>
      <c r="AE726" s="160"/>
    </row>
    <row r="727" spans="1:31" ht="23.4">
      <c r="A727" s="175"/>
      <c r="B727" s="142"/>
      <c r="C727" s="143"/>
      <c r="D727" s="143"/>
      <c r="E727" s="143"/>
      <c r="F727" s="143"/>
      <c r="G727" s="143"/>
      <c r="H727" s="143"/>
      <c r="I727" s="142"/>
      <c r="J727" s="142"/>
      <c r="K727" s="143"/>
      <c r="L727" s="178"/>
      <c r="M727" s="143"/>
      <c r="N727" s="143"/>
      <c r="O727" s="143"/>
      <c r="P727" s="143"/>
      <c r="Q727" s="176"/>
      <c r="R727" s="143"/>
      <c r="S727" s="177"/>
      <c r="T727" s="177"/>
      <c r="U727" s="177"/>
      <c r="V727" s="177"/>
      <c r="W727" s="177"/>
      <c r="X727" s="177"/>
      <c r="Y727" s="159"/>
      <c r="Z727" s="160"/>
      <c r="AA727" s="160"/>
      <c r="AB727" s="160"/>
      <c r="AC727" s="160"/>
      <c r="AD727" s="160"/>
      <c r="AE727" s="160"/>
    </row>
    <row r="728" spans="1:31" ht="23.4">
      <c r="A728" s="175"/>
      <c r="B728" s="142"/>
      <c r="C728" s="143"/>
      <c r="D728" s="143"/>
      <c r="E728" s="143"/>
      <c r="F728" s="143"/>
      <c r="G728" s="143"/>
      <c r="H728" s="143"/>
      <c r="I728" s="142"/>
      <c r="J728" s="142"/>
      <c r="K728" s="143"/>
      <c r="L728" s="178"/>
      <c r="M728" s="143"/>
      <c r="N728" s="143"/>
      <c r="O728" s="143"/>
      <c r="P728" s="143"/>
      <c r="Q728" s="176"/>
      <c r="R728" s="143"/>
      <c r="S728" s="177"/>
      <c r="T728" s="177"/>
      <c r="U728" s="177"/>
      <c r="V728" s="177"/>
      <c r="W728" s="177"/>
      <c r="X728" s="177"/>
      <c r="Y728" s="159"/>
      <c r="Z728" s="160"/>
      <c r="AA728" s="160"/>
      <c r="AB728" s="160"/>
      <c r="AC728" s="160"/>
      <c r="AD728" s="160"/>
      <c r="AE728" s="160"/>
    </row>
    <row r="729" spans="1:31" ht="23.4">
      <c r="A729" s="175"/>
      <c r="B729" s="142"/>
      <c r="C729" s="143"/>
      <c r="D729" s="143"/>
      <c r="E729" s="143"/>
      <c r="F729" s="143"/>
      <c r="G729" s="143"/>
      <c r="H729" s="143"/>
      <c r="I729" s="142"/>
      <c r="J729" s="142"/>
      <c r="K729" s="143"/>
      <c r="L729" s="178"/>
      <c r="M729" s="143"/>
      <c r="N729" s="143"/>
      <c r="O729" s="143"/>
      <c r="P729" s="143"/>
      <c r="Q729" s="176"/>
      <c r="R729" s="143"/>
      <c r="S729" s="177"/>
      <c r="T729" s="177"/>
      <c r="U729" s="177"/>
      <c r="V729" s="177"/>
      <c r="W729" s="177"/>
      <c r="X729" s="177"/>
      <c r="Y729" s="159"/>
      <c r="Z729" s="160"/>
      <c r="AA729" s="160"/>
      <c r="AB729" s="160"/>
      <c r="AC729" s="160"/>
      <c r="AD729" s="160"/>
      <c r="AE729" s="160"/>
    </row>
    <row r="730" spans="1:31" ht="23.4">
      <c r="A730" s="175"/>
      <c r="B730" s="142"/>
      <c r="C730" s="143"/>
      <c r="D730" s="143"/>
      <c r="E730" s="143"/>
      <c r="F730" s="143"/>
      <c r="G730" s="143"/>
      <c r="H730" s="143"/>
      <c r="I730" s="142"/>
      <c r="J730" s="142"/>
      <c r="K730" s="143"/>
      <c r="L730" s="178"/>
      <c r="M730" s="143"/>
      <c r="N730" s="143"/>
      <c r="O730" s="143"/>
      <c r="P730" s="143"/>
      <c r="Q730" s="176"/>
      <c r="R730" s="143"/>
      <c r="S730" s="177"/>
      <c r="T730" s="177"/>
      <c r="U730" s="177"/>
      <c r="V730" s="177"/>
      <c r="W730" s="177"/>
      <c r="X730" s="177"/>
      <c r="Y730" s="159"/>
      <c r="Z730" s="160"/>
      <c r="AA730" s="160"/>
      <c r="AB730" s="160"/>
      <c r="AC730" s="160"/>
      <c r="AD730" s="160"/>
      <c r="AE730" s="160"/>
    </row>
    <row r="731" spans="1:31" ht="23.4">
      <c r="A731" s="175"/>
      <c r="B731" s="142"/>
      <c r="C731" s="143"/>
      <c r="D731" s="143"/>
      <c r="E731" s="143"/>
      <c r="F731" s="143"/>
      <c r="G731" s="143"/>
      <c r="H731" s="143"/>
      <c r="I731" s="142"/>
      <c r="J731" s="142"/>
      <c r="K731" s="143"/>
      <c r="L731" s="178"/>
      <c r="M731" s="143"/>
      <c r="N731" s="143"/>
      <c r="O731" s="143"/>
      <c r="P731" s="143"/>
      <c r="Q731" s="176"/>
      <c r="R731" s="143"/>
      <c r="S731" s="177"/>
      <c r="T731" s="177"/>
      <c r="U731" s="177"/>
      <c r="V731" s="177"/>
      <c r="W731" s="177"/>
      <c r="X731" s="177"/>
      <c r="Y731" s="159"/>
      <c r="Z731" s="160"/>
      <c r="AA731" s="160"/>
      <c r="AB731" s="160"/>
      <c r="AC731" s="160"/>
      <c r="AD731" s="160"/>
      <c r="AE731" s="160"/>
    </row>
    <row r="732" spans="1:31" ht="23.4">
      <c r="A732" s="175"/>
      <c r="B732" s="142"/>
      <c r="C732" s="143"/>
      <c r="D732" s="143"/>
      <c r="E732" s="143"/>
      <c r="F732" s="143"/>
      <c r="G732" s="143"/>
      <c r="H732" s="143"/>
      <c r="I732" s="142"/>
      <c r="J732" s="142"/>
      <c r="K732" s="143"/>
      <c r="L732" s="178"/>
      <c r="M732" s="143"/>
      <c r="N732" s="143"/>
      <c r="O732" s="143"/>
      <c r="P732" s="143"/>
      <c r="Q732" s="176"/>
      <c r="R732" s="143"/>
      <c r="S732" s="177"/>
      <c r="T732" s="177"/>
      <c r="U732" s="177"/>
      <c r="V732" s="177"/>
      <c r="W732" s="177"/>
      <c r="X732" s="177"/>
      <c r="Y732" s="159"/>
      <c r="Z732" s="160"/>
      <c r="AA732" s="160"/>
      <c r="AB732" s="160"/>
      <c r="AC732" s="160"/>
      <c r="AD732" s="160"/>
      <c r="AE732" s="160"/>
    </row>
    <row r="733" spans="1:31" ht="23.4">
      <c r="A733" s="175"/>
      <c r="B733" s="142"/>
      <c r="C733" s="143"/>
      <c r="D733" s="143"/>
      <c r="E733" s="143"/>
      <c r="F733" s="143"/>
      <c r="G733" s="143"/>
      <c r="H733" s="143"/>
      <c r="I733" s="142"/>
      <c r="J733" s="142"/>
      <c r="K733" s="143"/>
      <c r="L733" s="178"/>
      <c r="M733" s="143"/>
      <c r="N733" s="143"/>
      <c r="O733" s="143"/>
      <c r="P733" s="143"/>
      <c r="Q733" s="176"/>
      <c r="R733" s="143"/>
      <c r="S733" s="177"/>
      <c r="T733" s="177"/>
      <c r="U733" s="177"/>
      <c r="V733" s="177"/>
      <c r="W733" s="177"/>
      <c r="X733" s="177"/>
      <c r="Y733" s="159"/>
      <c r="Z733" s="160"/>
      <c r="AA733" s="160"/>
      <c r="AB733" s="160"/>
      <c r="AC733" s="160"/>
      <c r="AD733" s="160"/>
      <c r="AE733" s="160"/>
    </row>
    <row r="734" spans="1:31" ht="23.4">
      <c r="A734" s="175"/>
      <c r="B734" s="142"/>
      <c r="C734" s="143"/>
      <c r="D734" s="143"/>
      <c r="E734" s="143"/>
      <c r="F734" s="143"/>
      <c r="G734" s="143"/>
      <c r="H734" s="143"/>
      <c r="I734" s="142"/>
      <c r="J734" s="142"/>
      <c r="K734" s="143"/>
      <c r="L734" s="178"/>
      <c r="M734" s="143"/>
      <c r="N734" s="143"/>
      <c r="O734" s="143"/>
      <c r="P734" s="143"/>
      <c r="Q734" s="176"/>
      <c r="R734" s="143"/>
      <c r="S734" s="177"/>
      <c r="T734" s="177"/>
      <c r="U734" s="177"/>
      <c r="V734" s="177"/>
      <c r="W734" s="177"/>
      <c r="X734" s="177"/>
      <c r="Y734" s="159"/>
      <c r="Z734" s="160"/>
      <c r="AA734" s="160"/>
      <c r="AB734" s="160"/>
      <c r="AC734" s="160"/>
      <c r="AD734" s="160"/>
      <c r="AE734" s="160"/>
    </row>
    <row r="735" spans="1:31" ht="23.4">
      <c r="A735" s="175"/>
      <c r="B735" s="142"/>
      <c r="C735" s="143"/>
      <c r="D735" s="143"/>
      <c r="E735" s="143"/>
      <c r="F735" s="143"/>
      <c r="G735" s="143"/>
      <c r="H735" s="143"/>
      <c r="I735" s="142"/>
      <c r="J735" s="142"/>
      <c r="K735" s="143"/>
      <c r="L735" s="178"/>
      <c r="M735" s="143"/>
      <c r="N735" s="143"/>
      <c r="O735" s="143"/>
      <c r="P735" s="143"/>
      <c r="Q735" s="176"/>
      <c r="R735" s="143"/>
      <c r="S735" s="177"/>
      <c r="T735" s="177"/>
      <c r="U735" s="177"/>
      <c r="V735" s="177"/>
      <c r="W735" s="177"/>
      <c r="X735" s="177"/>
      <c r="Y735" s="159"/>
      <c r="Z735" s="160"/>
      <c r="AA735" s="160"/>
      <c r="AB735" s="160"/>
      <c r="AC735" s="160"/>
      <c r="AD735" s="160"/>
      <c r="AE735" s="160"/>
    </row>
    <row r="736" spans="1:31" ht="23.4">
      <c r="A736" s="175"/>
      <c r="B736" s="142"/>
      <c r="C736" s="143"/>
      <c r="D736" s="143"/>
      <c r="E736" s="143"/>
      <c r="F736" s="143"/>
      <c r="G736" s="143"/>
      <c r="H736" s="143"/>
      <c r="I736" s="142"/>
      <c r="J736" s="142"/>
      <c r="K736" s="143"/>
      <c r="L736" s="178"/>
      <c r="M736" s="143"/>
      <c r="N736" s="143"/>
      <c r="O736" s="143"/>
      <c r="P736" s="143"/>
      <c r="Q736" s="176"/>
      <c r="R736" s="143"/>
      <c r="S736" s="177"/>
      <c r="T736" s="177"/>
      <c r="U736" s="177"/>
      <c r="V736" s="177"/>
      <c r="W736" s="177"/>
      <c r="X736" s="177"/>
      <c r="Y736" s="159"/>
      <c r="Z736" s="160"/>
      <c r="AA736" s="160"/>
      <c r="AB736" s="160"/>
      <c r="AC736" s="160"/>
      <c r="AD736" s="160"/>
      <c r="AE736" s="160"/>
    </row>
    <row r="737" spans="1:31" ht="23.4">
      <c r="A737" s="175"/>
      <c r="B737" s="142"/>
      <c r="C737" s="143"/>
      <c r="D737" s="143"/>
      <c r="E737" s="143"/>
      <c r="F737" s="143"/>
      <c r="G737" s="143"/>
      <c r="H737" s="143"/>
      <c r="I737" s="142"/>
      <c r="J737" s="142"/>
      <c r="K737" s="143"/>
      <c r="L737" s="178"/>
      <c r="M737" s="143"/>
      <c r="N737" s="143"/>
      <c r="O737" s="143"/>
      <c r="P737" s="143"/>
      <c r="Q737" s="176"/>
      <c r="R737" s="143"/>
      <c r="S737" s="177"/>
      <c r="T737" s="177"/>
      <c r="U737" s="177"/>
      <c r="V737" s="177"/>
      <c r="W737" s="177"/>
      <c r="X737" s="177"/>
      <c r="Y737" s="159"/>
      <c r="Z737" s="160"/>
      <c r="AA737" s="160"/>
      <c r="AB737" s="160"/>
      <c r="AC737" s="160"/>
      <c r="AD737" s="160"/>
      <c r="AE737" s="160"/>
    </row>
    <row r="738" spans="1:31" ht="23.4">
      <c r="A738" s="175"/>
      <c r="B738" s="142"/>
      <c r="C738" s="143"/>
      <c r="D738" s="143"/>
      <c r="E738" s="143"/>
      <c r="F738" s="143"/>
      <c r="G738" s="143"/>
      <c r="H738" s="143"/>
      <c r="I738" s="142"/>
      <c r="J738" s="142"/>
      <c r="K738" s="143"/>
      <c r="L738" s="178"/>
      <c r="M738" s="143"/>
      <c r="N738" s="143"/>
      <c r="O738" s="143"/>
      <c r="P738" s="143"/>
      <c r="Q738" s="176"/>
      <c r="R738" s="143"/>
      <c r="S738" s="177"/>
      <c r="T738" s="177"/>
      <c r="U738" s="177"/>
      <c r="V738" s="177"/>
      <c r="W738" s="177"/>
      <c r="X738" s="177"/>
      <c r="Y738" s="159"/>
      <c r="Z738" s="160"/>
      <c r="AA738" s="160"/>
      <c r="AB738" s="160"/>
      <c r="AC738" s="160"/>
      <c r="AD738" s="160"/>
      <c r="AE738" s="160"/>
    </row>
    <row r="739" spans="1:31" ht="23.4">
      <c r="A739" s="175"/>
      <c r="B739" s="142"/>
      <c r="C739" s="143"/>
      <c r="D739" s="143"/>
      <c r="E739" s="143"/>
      <c r="F739" s="143"/>
      <c r="G739" s="143"/>
      <c r="H739" s="143"/>
      <c r="I739" s="142"/>
      <c r="J739" s="142"/>
      <c r="K739" s="143"/>
      <c r="L739" s="178"/>
      <c r="M739" s="143"/>
      <c r="N739" s="143"/>
      <c r="O739" s="143"/>
      <c r="P739" s="143"/>
      <c r="Q739" s="176"/>
      <c r="R739" s="143"/>
      <c r="S739" s="177"/>
      <c r="T739" s="177"/>
      <c r="U739" s="177"/>
      <c r="V739" s="177"/>
      <c r="W739" s="177"/>
      <c r="X739" s="177"/>
      <c r="Y739" s="159"/>
      <c r="Z739" s="160"/>
      <c r="AA739" s="160"/>
      <c r="AB739" s="160"/>
      <c r="AC739" s="160"/>
      <c r="AD739" s="160"/>
      <c r="AE739" s="160"/>
    </row>
    <row r="740" spans="1:31" ht="23.4">
      <c r="A740" s="175"/>
      <c r="B740" s="142"/>
      <c r="C740" s="143"/>
      <c r="D740" s="143"/>
      <c r="E740" s="143"/>
      <c r="F740" s="143"/>
      <c r="G740" s="143"/>
      <c r="H740" s="143"/>
      <c r="I740" s="142"/>
      <c r="J740" s="142"/>
      <c r="K740" s="143"/>
      <c r="L740" s="178"/>
      <c r="M740" s="143"/>
      <c r="N740" s="143"/>
      <c r="O740" s="143"/>
      <c r="P740" s="143"/>
      <c r="Q740" s="176"/>
      <c r="R740" s="143"/>
      <c r="S740" s="177"/>
      <c r="T740" s="177"/>
      <c r="U740" s="177"/>
      <c r="V740" s="177"/>
      <c r="W740" s="177"/>
      <c r="X740" s="177"/>
      <c r="Y740" s="159"/>
      <c r="Z740" s="160"/>
      <c r="AA740" s="160"/>
      <c r="AB740" s="160"/>
      <c r="AC740" s="160"/>
      <c r="AD740" s="160"/>
      <c r="AE740" s="160"/>
    </row>
    <row r="741" spans="1:31" ht="23.4">
      <c r="A741" s="175"/>
      <c r="B741" s="142"/>
      <c r="C741" s="143"/>
      <c r="D741" s="143"/>
      <c r="E741" s="143"/>
      <c r="F741" s="143"/>
      <c r="G741" s="143"/>
      <c r="H741" s="143"/>
      <c r="I741" s="142"/>
      <c r="J741" s="142"/>
      <c r="K741" s="143"/>
      <c r="L741" s="178"/>
      <c r="M741" s="143"/>
      <c r="N741" s="143"/>
      <c r="O741" s="143"/>
      <c r="P741" s="143"/>
      <c r="Q741" s="176"/>
      <c r="R741" s="143"/>
      <c r="S741" s="177"/>
      <c r="T741" s="177"/>
      <c r="U741" s="177"/>
      <c r="V741" s="177"/>
      <c r="W741" s="177"/>
      <c r="X741" s="177"/>
      <c r="Y741" s="159"/>
      <c r="Z741" s="160"/>
      <c r="AA741" s="160"/>
      <c r="AB741" s="160"/>
      <c r="AC741" s="160"/>
      <c r="AD741" s="160"/>
      <c r="AE741" s="160"/>
    </row>
    <row r="742" spans="1:31" ht="23.4">
      <c r="A742" s="175"/>
      <c r="B742" s="142"/>
      <c r="C742" s="143"/>
      <c r="D742" s="143"/>
      <c r="E742" s="143"/>
      <c r="F742" s="143"/>
      <c r="G742" s="143"/>
      <c r="H742" s="143"/>
      <c r="I742" s="142"/>
      <c r="J742" s="142"/>
      <c r="K742" s="143"/>
      <c r="L742" s="178"/>
      <c r="M742" s="143"/>
      <c r="N742" s="143"/>
      <c r="O742" s="143"/>
      <c r="P742" s="143"/>
      <c r="Q742" s="176"/>
      <c r="R742" s="143"/>
      <c r="S742" s="177"/>
      <c r="T742" s="177"/>
      <c r="U742" s="177"/>
      <c r="V742" s="177"/>
      <c r="W742" s="177"/>
      <c r="X742" s="177"/>
      <c r="Y742" s="159"/>
      <c r="Z742" s="160"/>
      <c r="AA742" s="160"/>
      <c r="AB742" s="160"/>
      <c r="AC742" s="160"/>
      <c r="AD742" s="160"/>
      <c r="AE742" s="160"/>
    </row>
    <row r="743" spans="1:31" ht="23.4">
      <c r="A743" s="175"/>
      <c r="B743" s="142"/>
      <c r="C743" s="143"/>
      <c r="D743" s="143"/>
      <c r="E743" s="143"/>
      <c r="F743" s="143"/>
      <c r="G743" s="143"/>
      <c r="H743" s="143"/>
      <c r="I743" s="142"/>
      <c r="J743" s="142"/>
      <c r="K743" s="143"/>
      <c r="L743" s="178"/>
      <c r="M743" s="143"/>
      <c r="N743" s="143"/>
      <c r="O743" s="143"/>
      <c r="P743" s="143"/>
      <c r="Q743" s="176"/>
      <c r="R743" s="143"/>
      <c r="S743" s="177"/>
      <c r="T743" s="177"/>
      <c r="U743" s="177"/>
      <c r="V743" s="177"/>
      <c r="W743" s="177"/>
      <c r="X743" s="177"/>
      <c r="Y743" s="159"/>
      <c r="Z743" s="160"/>
      <c r="AA743" s="160"/>
      <c r="AB743" s="160"/>
      <c r="AC743" s="160"/>
      <c r="AD743" s="160"/>
      <c r="AE743" s="160"/>
    </row>
    <row r="744" spans="1:31" ht="23.4">
      <c r="A744" s="175"/>
      <c r="B744" s="142"/>
      <c r="C744" s="143"/>
      <c r="D744" s="143"/>
      <c r="E744" s="143"/>
      <c r="F744" s="143"/>
      <c r="G744" s="143"/>
      <c r="H744" s="143"/>
      <c r="I744" s="142"/>
      <c r="J744" s="142"/>
      <c r="K744" s="143"/>
      <c r="L744" s="178"/>
      <c r="M744" s="143"/>
      <c r="N744" s="143"/>
      <c r="O744" s="143"/>
      <c r="P744" s="143"/>
      <c r="Q744" s="176"/>
      <c r="R744" s="143"/>
      <c r="S744" s="177"/>
      <c r="T744" s="177"/>
      <c r="U744" s="177"/>
      <c r="V744" s="177"/>
      <c r="W744" s="177"/>
      <c r="X744" s="177"/>
      <c r="Y744" s="159"/>
      <c r="Z744" s="160"/>
      <c r="AA744" s="160"/>
      <c r="AB744" s="160"/>
      <c r="AC744" s="160"/>
      <c r="AD744" s="160"/>
      <c r="AE744" s="160"/>
    </row>
    <row r="745" spans="1:31" ht="23.4">
      <c r="A745" s="175"/>
      <c r="B745" s="142"/>
      <c r="C745" s="143"/>
      <c r="D745" s="143"/>
      <c r="E745" s="143"/>
      <c r="F745" s="143"/>
      <c r="G745" s="143"/>
      <c r="H745" s="143"/>
      <c r="I745" s="142"/>
      <c r="J745" s="142"/>
      <c r="K745" s="143"/>
      <c r="L745" s="178"/>
      <c r="M745" s="143"/>
      <c r="N745" s="143"/>
      <c r="O745" s="143"/>
      <c r="P745" s="143"/>
      <c r="Q745" s="176"/>
      <c r="R745" s="143"/>
      <c r="S745" s="177"/>
      <c r="T745" s="177"/>
      <c r="U745" s="177"/>
      <c r="V745" s="177"/>
      <c r="W745" s="177"/>
      <c r="X745" s="177"/>
      <c r="Y745" s="159"/>
      <c r="Z745" s="160"/>
      <c r="AA745" s="160"/>
      <c r="AB745" s="160"/>
      <c r="AC745" s="160"/>
      <c r="AD745" s="160"/>
      <c r="AE745" s="160"/>
    </row>
    <row r="746" spans="1:31" ht="23.4">
      <c r="A746" s="175"/>
      <c r="B746" s="142"/>
      <c r="C746" s="143"/>
      <c r="D746" s="143"/>
      <c r="E746" s="143"/>
      <c r="F746" s="143"/>
      <c r="G746" s="143"/>
      <c r="H746" s="143"/>
      <c r="I746" s="142"/>
      <c r="J746" s="142"/>
      <c r="K746" s="143"/>
      <c r="L746" s="178"/>
      <c r="M746" s="143"/>
      <c r="N746" s="143"/>
      <c r="O746" s="143"/>
      <c r="P746" s="143"/>
      <c r="Q746" s="176"/>
      <c r="R746" s="143"/>
      <c r="S746" s="177"/>
      <c r="T746" s="177"/>
      <c r="U746" s="177"/>
      <c r="V746" s="177"/>
      <c r="W746" s="177"/>
      <c r="X746" s="177"/>
      <c r="Y746" s="159"/>
      <c r="Z746" s="160"/>
      <c r="AA746" s="160"/>
      <c r="AB746" s="160"/>
      <c r="AC746" s="160"/>
      <c r="AD746" s="160"/>
      <c r="AE746" s="160"/>
    </row>
    <row r="747" spans="1:31" ht="23.4">
      <c r="A747" s="175"/>
      <c r="B747" s="142"/>
      <c r="C747" s="143"/>
      <c r="D747" s="143"/>
      <c r="E747" s="143"/>
      <c r="F747" s="143"/>
      <c r="G747" s="143"/>
      <c r="H747" s="143"/>
      <c r="I747" s="142"/>
      <c r="J747" s="142"/>
      <c r="K747" s="143"/>
      <c r="L747" s="178"/>
      <c r="M747" s="143"/>
      <c r="N747" s="143"/>
      <c r="O747" s="143"/>
      <c r="P747" s="143"/>
      <c r="Q747" s="176"/>
      <c r="R747" s="143"/>
      <c r="S747" s="177"/>
      <c r="T747" s="177"/>
      <c r="U747" s="177"/>
      <c r="V747" s="177"/>
      <c r="W747" s="177"/>
      <c r="X747" s="177"/>
      <c r="Y747" s="159"/>
      <c r="Z747" s="160"/>
      <c r="AA747" s="160"/>
      <c r="AB747" s="160"/>
      <c r="AC747" s="160"/>
      <c r="AD747" s="160"/>
      <c r="AE747" s="160"/>
    </row>
    <row r="748" spans="1:31" ht="23.4">
      <c r="A748" s="175"/>
      <c r="B748" s="142"/>
      <c r="C748" s="143"/>
      <c r="D748" s="143"/>
      <c r="E748" s="143"/>
      <c r="F748" s="143"/>
      <c r="G748" s="143"/>
      <c r="H748" s="143"/>
      <c r="I748" s="142"/>
      <c r="J748" s="142"/>
      <c r="K748" s="143"/>
      <c r="L748" s="178"/>
      <c r="M748" s="143"/>
      <c r="N748" s="143"/>
      <c r="O748" s="143"/>
      <c r="P748" s="143"/>
      <c r="Q748" s="176"/>
      <c r="R748" s="143"/>
      <c r="S748" s="177"/>
      <c r="T748" s="177"/>
      <c r="U748" s="177"/>
      <c r="V748" s="177"/>
      <c r="W748" s="177"/>
      <c r="X748" s="177"/>
      <c r="Y748" s="159"/>
      <c r="Z748" s="160"/>
      <c r="AA748" s="160"/>
      <c r="AB748" s="160"/>
      <c r="AC748" s="160"/>
      <c r="AD748" s="160"/>
      <c r="AE748" s="160"/>
    </row>
    <row r="749" spans="1:31" ht="23.4">
      <c r="A749" s="175"/>
      <c r="B749" s="142"/>
      <c r="C749" s="143"/>
      <c r="D749" s="143"/>
      <c r="E749" s="143"/>
      <c r="F749" s="143"/>
      <c r="G749" s="143"/>
      <c r="H749" s="143"/>
      <c r="I749" s="142"/>
      <c r="J749" s="142"/>
      <c r="K749" s="143"/>
      <c r="L749" s="178"/>
      <c r="M749" s="143"/>
      <c r="N749" s="143"/>
      <c r="O749" s="143"/>
      <c r="P749" s="143"/>
      <c r="Q749" s="176"/>
      <c r="R749" s="143"/>
      <c r="S749" s="177"/>
      <c r="T749" s="177"/>
      <c r="U749" s="177"/>
      <c r="V749" s="177"/>
      <c r="W749" s="177"/>
      <c r="X749" s="177"/>
      <c r="Y749" s="159"/>
      <c r="Z749" s="160"/>
      <c r="AA749" s="160"/>
      <c r="AB749" s="160"/>
      <c r="AC749" s="160"/>
      <c r="AD749" s="160"/>
      <c r="AE749" s="160"/>
    </row>
    <row r="750" spans="1:31" ht="23.4">
      <c r="A750" s="175"/>
      <c r="B750" s="142"/>
      <c r="C750" s="143"/>
      <c r="D750" s="143"/>
      <c r="E750" s="143"/>
      <c r="F750" s="143"/>
      <c r="G750" s="143"/>
      <c r="H750" s="143"/>
      <c r="I750" s="142"/>
      <c r="J750" s="142"/>
      <c r="K750" s="143"/>
      <c r="L750" s="178"/>
      <c r="M750" s="143"/>
      <c r="N750" s="143"/>
      <c r="O750" s="143"/>
      <c r="P750" s="143"/>
      <c r="Q750" s="176"/>
      <c r="R750" s="143"/>
      <c r="S750" s="177"/>
      <c r="T750" s="177"/>
      <c r="U750" s="177"/>
      <c r="V750" s="177"/>
      <c r="W750" s="177"/>
      <c r="X750" s="177"/>
      <c r="Y750" s="159"/>
      <c r="Z750" s="160"/>
      <c r="AA750" s="160"/>
      <c r="AB750" s="160"/>
      <c r="AC750" s="160"/>
      <c r="AD750" s="160"/>
      <c r="AE750" s="160"/>
    </row>
    <row r="751" spans="1:31" ht="23.4">
      <c r="A751" s="175"/>
      <c r="B751" s="142"/>
      <c r="C751" s="143"/>
      <c r="D751" s="143"/>
      <c r="E751" s="143"/>
      <c r="F751" s="143"/>
      <c r="G751" s="143"/>
      <c r="H751" s="143"/>
      <c r="I751" s="142"/>
      <c r="J751" s="142"/>
      <c r="K751" s="143"/>
      <c r="L751" s="178"/>
      <c r="M751" s="143"/>
      <c r="N751" s="143"/>
      <c r="O751" s="143"/>
      <c r="P751" s="143"/>
      <c r="Q751" s="176"/>
      <c r="R751" s="143"/>
      <c r="S751" s="177"/>
      <c r="T751" s="177"/>
      <c r="U751" s="177"/>
      <c r="V751" s="177"/>
      <c r="W751" s="177"/>
      <c r="X751" s="177"/>
      <c r="Y751" s="159"/>
      <c r="Z751" s="160"/>
      <c r="AA751" s="160"/>
      <c r="AB751" s="160"/>
      <c r="AC751" s="160"/>
      <c r="AD751" s="160"/>
      <c r="AE751" s="160"/>
    </row>
    <row r="752" spans="1:31" ht="23.4">
      <c r="A752" s="175"/>
      <c r="B752" s="142"/>
      <c r="C752" s="143"/>
      <c r="D752" s="143"/>
      <c r="E752" s="143"/>
      <c r="F752" s="143"/>
      <c r="G752" s="143"/>
      <c r="H752" s="143"/>
      <c r="I752" s="142"/>
      <c r="J752" s="142"/>
      <c r="K752" s="143"/>
      <c r="L752" s="178"/>
      <c r="M752" s="143"/>
      <c r="N752" s="143"/>
      <c r="O752" s="143"/>
      <c r="P752" s="143"/>
      <c r="Q752" s="176"/>
      <c r="R752" s="143"/>
      <c r="S752" s="177"/>
      <c r="T752" s="177"/>
      <c r="U752" s="177"/>
      <c r="V752" s="177"/>
      <c r="W752" s="177"/>
      <c r="X752" s="177"/>
      <c r="Y752" s="159"/>
      <c r="Z752" s="160"/>
      <c r="AA752" s="160"/>
      <c r="AB752" s="160"/>
      <c r="AC752" s="160"/>
      <c r="AD752" s="160"/>
      <c r="AE752" s="160"/>
    </row>
    <row r="753" spans="1:31" ht="23.4">
      <c r="A753" s="175"/>
      <c r="B753" s="142"/>
      <c r="C753" s="143"/>
      <c r="D753" s="143"/>
      <c r="E753" s="143"/>
      <c r="F753" s="143"/>
      <c r="G753" s="143"/>
      <c r="H753" s="143"/>
      <c r="I753" s="142"/>
      <c r="J753" s="142"/>
      <c r="K753" s="143"/>
      <c r="L753" s="178"/>
      <c r="M753" s="143"/>
      <c r="N753" s="143"/>
      <c r="O753" s="143"/>
      <c r="P753" s="143"/>
      <c r="Q753" s="176"/>
      <c r="R753" s="143"/>
      <c r="S753" s="177"/>
      <c r="T753" s="177"/>
      <c r="U753" s="177"/>
      <c r="V753" s="177"/>
      <c r="W753" s="177"/>
      <c r="X753" s="177"/>
      <c r="Y753" s="159"/>
      <c r="Z753" s="160"/>
      <c r="AA753" s="160"/>
      <c r="AB753" s="160"/>
      <c r="AC753" s="160"/>
      <c r="AD753" s="160"/>
      <c r="AE753" s="160"/>
    </row>
    <row r="754" spans="1:31" ht="23.4">
      <c r="A754" s="175"/>
      <c r="B754" s="142"/>
      <c r="C754" s="143"/>
      <c r="D754" s="143"/>
      <c r="E754" s="143"/>
      <c r="F754" s="143"/>
      <c r="G754" s="143"/>
      <c r="H754" s="143"/>
      <c r="I754" s="142"/>
      <c r="J754" s="142"/>
      <c r="K754" s="143"/>
      <c r="L754" s="178"/>
      <c r="M754" s="143"/>
      <c r="N754" s="143"/>
      <c r="O754" s="143"/>
      <c r="P754" s="143"/>
      <c r="Q754" s="176"/>
      <c r="R754" s="143"/>
      <c r="S754" s="177"/>
      <c r="T754" s="177"/>
      <c r="U754" s="177"/>
      <c r="V754" s="177"/>
      <c r="W754" s="177"/>
      <c r="X754" s="177"/>
      <c r="Y754" s="159"/>
      <c r="Z754" s="160"/>
      <c r="AA754" s="160"/>
      <c r="AB754" s="160"/>
      <c r="AC754" s="160"/>
      <c r="AD754" s="160"/>
      <c r="AE754" s="160"/>
    </row>
    <row r="755" spans="1:31" ht="23.4">
      <c r="A755" s="175"/>
      <c r="B755" s="142"/>
      <c r="C755" s="143"/>
      <c r="D755" s="143"/>
      <c r="E755" s="143"/>
      <c r="F755" s="143"/>
      <c r="G755" s="143"/>
      <c r="H755" s="143"/>
      <c r="I755" s="142"/>
      <c r="J755" s="142"/>
      <c r="K755" s="143"/>
      <c r="L755" s="178"/>
      <c r="M755" s="143"/>
      <c r="N755" s="143"/>
      <c r="O755" s="143"/>
      <c r="P755" s="143"/>
      <c r="Q755" s="176"/>
      <c r="R755" s="143"/>
      <c r="S755" s="177"/>
      <c r="T755" s="177"/>
      <c r="U755" s="177"/>
      <c r="V755" s="177"/>
      <c r="W755" s="177"/>
      <c r="X755" s="177"/>
      <c r="Y755" s="159"/>
      <c r="Z755" s="160"/>
      <c r="AA755" s="160"/>
      <c r="AB755" s="160"/>
      <c r="AC755" s="160"/>
      <c r="AD755" s="160"/>
      <c r="AE755" s="160"/>
    </row>
    <row r="756" spans="1:31" ht="23.4">
      <c r="A756" s="175"/>
      <c r="B756" s="142"/>
      <c r="C756" s="143"/>
      <c r="D756" s="143"/>
      <c r="E756" s="143"/>
      <c r="F756" s="143"/>
      <c r="G756" s="143"/>
      <c r="H756" s="143"/>
      <c r="I756" s="142"/>
      <c r="J756" s="142"/>
      <c r="K756" s="143"/>
      <c r="L756" s="178"/>
      <c r="M756" s="143"/>
      <c r="N756" s="143"/>
      <c r="O756" s="143"/>
      <c r="P756" s="143"/>
      <c r="Q756" s="176"/>
      <c r="R756" s="143"/>
      <c r="S756" s="177"/>
      <c r="T756" s="177"/>
      <c r="U756" s="177"/>
      <c r="V756" s="177"/>
      <c r="W756" s="177"/>
      <c r="X756" s="177"/>
      <c r="Y756" s="159"/>
      <c r="Z756" s="160"/>
      <c r="AA756" s="160"/>
      <c r="AB756" s="160"/>
      <c r="AC756" s="160"/>
      <c r="AD756" s="160"/>
      <c r="AE756" s="160"/>
    </row>
    <row r="757" spans="1:31" ht="23.4">
      <c r="A757" s="175"/>
      <c r="B757" s="142"/>
      <c r="C757" s="143"/>
      <c r="D757" s="143"/>
      <c r="E757" s="143"/>
      <c r="F757" s="143"/>
      <c r="G757" s="143"/>
      <c r="H757" s="143"/>
      <c r="I757" s="142"/>
      <c r="J757" s="142"/>
      <c r="K757" s="143"/>
      <c r="L757" s="178"/>
      <c r="M757" s="143"/>
      <c r="N757" s="143"/>
      <c r="O757" s="143"/>
      <c r="P757" s="143"/>
      <c r="Q757" s="176"/>
      <c r="R757" s="143"/>
      <c r="S757" s="177"/>
      <c r="T757" s="177"/>
      <c r="U757" s="177"/>
      <c r="V757" s="177"/>
      <c r="W757" s="177"/>
      <c r="X757" s="177"/>
      <c r="Y757" s="159"/>
      <c r="Z757" s="160"/>
      <c r="AA757" s="160"/>
      <c r="AB757" s="160"/>
      <c r="AC757" s="160"/>
      <c r="AD757" s="160"/>
      <c r="AE757" s="160"/>
    </row>
    <row r="758" spans="1:31" ht="23.4">
      <c r="A758" s="175"/>
      <c r="B758" s="142"/>
      <c r="C758" s="143"/>
      <c r="D758" s="143"/>
      <c r="E758" s="143"/>
      <c r="F758" s="143"/>
      <c r="G758" s="143"/>
      <c r="H758" s="143"/>
      <c r="I758" s="142"/>
      <c r="J758" s="142"/>
      <c r="K758" s="143"/>
      <c r="L758" s="178"/>
      <c r="M758" s="143"/>
      <c r="N758" s="143"/>
      <c r="O758" s="143"/>
      <c r="P758" s="143"/>
      <c r="Q758" s="176"/>
      <c r="R758" s="143"/>
      <c r="S758" s="177"/>
      <c r="T758" s="177"/>
      <c r="U758" s="177"/>
      <c r="V758" s="177"/>
      <c r="W758" s="177"/>
      <c r="X758" s="177"/>
      <c r="Y758" s="159"/>
      <c r="Z758" s="160"/>
      <c r="AA758" s="160"/>
      <c r="AB758" s="160"/>
      <c r="AC758" s="160"/>
      <c r="AD758" s="160"/>
      <c r="AE758" s="160"/>
    </row>
    <row r="759" spans="1:31" ht="23.4">
      <c r="A759" s="175"/>
      <c r="B759" s="142"/>
      <c r="C759" s="143"/>
      <c r="D759" s="143"/>
      <c r="E759" s="143"/>
      <c r="F759" s="143"/>
      <c r="G759" s="143"/>
      <c r="H759" s="143"/>
      <c r="I759" s="142"/>
      <c r="J759" s="142"/>
      <c r="K759" s="143"/>
      <c r="L759" s="178"/>
      <c r="M759" s="143"/>
      <c r="N759" s="143"/>
      <c r="O759" s="143"/>
      <c r="P759" s="143"/>
      <c r="Q759" s="176"/>
      <c r="R759" s="143"/>
      <c r="S759" s="177"/>
      <c r="T759" s="177"/>
      <c r="U759" s="177"/>
      <c r="V759" s="177"/>
      <c r="W759" s="177"/>
      <c r="X759" s="177"/>
      <c r="Y759" s="159"/>
      <c r="Z759" s="160"/>
      <c r="AA759" s="160"/>
      <c r="AB759" s="160"/>
      <c r="AC759" s="160"/>
      <c r="AD759" s="160"/>
      <c r="AE759" s="160"/>
    </row>
    <row r="760" spans="1:31" ht="23.4">
      <c r="A760" s="175"/>
      <c r="B760" s="142"/>
      <c r="C760" s="143"/>
      <c r="D760" s="143"/>
      <c r="E760" s="143"/>
      <c r="F760" s="143"/>
      <c r="G760" s="143"/>
      <c r="H760" s="143"/>
      <c r="I760" s="142"/>
      <c r="J760" s="142"/>
      <c r="K760" s="143"/>
      <c r="L760" s="178"/>
      <c r="M760" s="143"/>
      <c r="N760" s="143"/>
      <c r="O760" s="143"/>
      <c r="P760" s="143"/>
      <c r="Q760" s="176"/>
      <c r="R760" s="143"/>
      <c r="S760" s="177"/>
      <c r="T760" s="177"/>
      <c r="U760" s="177"/>
      <c r="V760" s="177"/>
      <c r="W760" s="177"/>
      <c r="X760" s="177"/>
      <c r="Y760" s="159"/>
      <c r="Z760" s="160"/>
      <c r="AA760" s="160"/>
      <c r="AB760" s="160"/>
      <c r="AC760" s="160"/>
      <c r="AD760" s="160"/>
      <c r="AE760" s="160"/>
    </row>
    <row r="761" spans="1:31" ht="23.4">
      <c r="A761" s="175"/>
      <c r="B761" s="142"/>
      <c r="C761" s="143"/>
      <c r="D761" s="143"/>
      <c r="E761" s="143"/>
      <c r="F761" s="143"/>
      <c r="G761" s="143"/>
      <c r="H761" s="143"/>
      <c r="I761" s="142"/>
      <c r="J761" s="142"/>
      <c r="K761" s="143"/>
      <c r="L761" s="178"/>
      <c r="M761" s="143"/>
      <c r="N761" s="143"/>
      <c r="O761" s="143"/>
      <c r="P761" s="143"/>
      <c r="Q761" s="176"/>
      <c r="R761" s="143"/>
      <c r="S761" s="177"/>
      <c r="T761" s="177"/>
      <c r="U761" s="177"/>
      <c r="V761" s="177"/>
      <c r="W761" s="177"/>
      <c r="X761" s="177"/>
      <c r="Y761" s="159"/>
      <c r="Z761" s="160"/>
      <c r="AA761" s="160"/>
      <c r="AB761" s="160"/>
      <c r="AC761" s="160"/>
      <c r="AD761" s="160"/>
      <c r="AE761" s="160"/>
    </row>
    <row r="762" spans="1:31" ht="23.4">
      <c r="A762" s="175"/>
      <c r="B762" s="142"/>
      <c r="C762" s="143"/>
      <c r="D762" s="143"/>
      <c r="E762" s="143"/>
      <c r="F762" s="143"/>
      <c r="G762" s="143"/>
      <c r="H762" s="143"/>
      <c r="I762" s="142"/>
      <c r="J762" s="142"/>
      <c r="K762" s="143"/>
      <c r="L762" s="178"/>
      <c r="M762" s="143"/>
      <c r="N762" s="143"/>
      <c r="O762" s="143"/>
      <c r="P762" s="143"/>
      <c r="Q762" s="176"/>
      <c r="R762" s="143"/>
      <c r="S762" s="177"/>
      <c r="T762" s="177"/>
      <c r="U762" s="177"/>
      <c r="V762" s="177"/>
      <c r="W762" s="177"/>
      <c r="X762" s="177"/>
      <c r="Y762" s="159"/>
      <c r="Z762" s="160"/>
      <c r="AA762" s="160"/>
      <c r="AB762" s="160"/>
      <c r="AC762" s="160"/>
      <c r="AD762" s="160"/>
      <c r="AE762" s="160"/>
    </row>
    <row r="763" spans="1:31" ht="23.4">
      <c r="A763" s="175"/>
      <c r="B763" s="142"/>
      <c r="C763" s="143"/>
      <c r="D763" s="143"/>
      <c r="E763" s="143"/>
      <c r="F763" s="143"/>
      <c r="G763" s="143"/>
      <c r="H763" s="143"/>
      <c r="I763" s="142"/>
      <c r="J763" s="142"/>
      <c r="K763" s="143"/>
      <c r="L763" s="178"/>
      <c r="M763" s="143"/>
      <c r="N763" s="143"/>
      <c r="O763" s="143"/>
      <c r="P763" s="143"/>
      <c r="Q763" s="176"/>
      <c r="R763" s="143"/>
      <c r="S763" s="177"/>
      <c r="T763" s="177"/>
      <c r="U763" s="177"/>
      <c r="V763" s="177"/>
      <c r="W763" s="177"/>
      <c r="X763" s="177"/>
      <c r="Y763" s="159"/>
      <c r="Z763" s="160"/>
      <c r="AA763" s="160"/>
      <c r="AB763" s="160"/>
      <c r="AC763" s="160"/>
      <c r="AD763" s="160"/>
      <c r="AE763" s="160"/>
    </row>
    <row r="764" spans="1:31" ht="23.4">
      <c r="A764" s="175"/>
      <c r="B764" s="142"/>
      <c r="C764" s="143"/>
      <c r="D764" s="143"/>
      <c r="E764" s="143"/>
      <c r="F764" s="143"/>
      <c r="G764" s="143"/>
      <c r="H764" s="143"/>
      <c r="I764" s="142"/>
      <c r="J764" s="142"/>
      <c r="K764" s="143"/>
      <c r="L764" s="178"/>
      <c r="M764" s="143"/>
      <c r="N764" s="143"/>
      <c r="O764" s="143"/>
      <c r="P764" s="143"/>
      <c r="Q764" s="176"/>
      <c r="R764" s="143"/>
      <c r="S764" s="177"/>
      <c r="T764" s="177"/>
      <c r="U764" s="177"/>
      <c r="V764" s="177"/>
      <c r="W764" s="177"/>
      <c r="X764" s="177"/>
      <c r="Y764" s="159"/>
      <c r="Z764" s="160"/>
      <c r="AA764" s="160"/>
      <c r="AB764" s="160"/>
      <c r="AC764" s="160"/>
      <c r="AD764" s="160"/>
      <c r="AE764" s="160"/>
    </row>
    <row r="765" spans="1:31" ht="23.4">
      <c r="A765" s="175"/>
      <c r="B765" s="142"/>
      <c r="C765" s="143"/>
      <c r="D765" s="143"/>
      <c r="E765" s="143"/>
      <c r="F765" s="143"/>
      <c r="G765" s="143"/>
      <c r="H765" s="143"/>
      <c r="I765" s="142"/>
      <c r="J765" s="142"/>
      <c r="K765" s="143"/>
      <c r="L765" s="178"/>
      <c r="M765" s="143"/>
      <c r="N765" s="143"/>
      <c r="O765" s="143"/>
      <c r="P765" s="143"/>
      <c r="Q765" s="176"/>
      <c r="R765" s="143"/>
      <c r="S765" s="177"/>
      <c r="T765" s="177"/>
      <c r="U765" s="177"/>
      <c r="V765" s="177"/>
      <c r="W765" s="177"/>
      <c r="X765" s="177"/>
      <c r="Y765" s="159"/>
      <c r="Z765" s="160"/>
      <c r="AA765" s="160"/>
      <c r="AB765" s="160"/>
      <c r="AC765" s="160"/>
      <c r="AD765" s="160"/>
      <c r="AE765" s="160"/>
    </row>
    <row r="766" spans="1:31" ht="23.4">
      <c r="A766" s="175"/>
      <c r="B766" s="142"/>
      <c r="C766" s="143"/>
      <c r="D766" s="143"/>
      <c r="E766" s="143"/>
      <c r="F766" s="143"/>
      <c r="G766" s="143"/>
      <c r="H766" s="143"/>
      <c r="I766" s="142"/>
      <c r="J766" s="142"/>
      <c r="K766" s="143"/>
      <c r="L766" s="178"/>
      <c r="M766" s="143"/>
      <c r="N766" s="143"/>
      <c r="O766" s="143"/>
      <c r="P766" s="143"/>
      <c r="Q766" s="176"/>
      <c r="R766" s="143"/>
      <c r="S766" s="177"/>
      <c r="T766" s="177"/>
      <c r="U766" s="177"/>
      <c r="V766" s="177"/>
      <c r="W766" s="177"/>
      <c r="X766" s="177"/>
      <c r="Y766" s="159"/>
      <c r="Z766" s="160"/>
      <c r="AA766" s="160"/>
      <c r="AB766" s="160"/>
      <c r="AC766" s="160"/>
      <c r="AD766" s="160"/>
      <c r="AE766" s="160"/>
    </row>
    <row r="767" spans="1:31" ht="23.4">
      <c r="A767" s="175"/>
      <c r="B767" s="142"/>
      <c r="C767" s="143"/>
      <c r="D767" s="143"/>
      <c r="E767" s="143"/>
      <c r="F767" s="143"/>
      <c r="G767" s="143"/>
      <c r="H767" s="143"/>
      <c r="I767" s="142"/>
      <c r="J767" s="142"/>
      <c r="K767" s="143"/>
      <c r="L767" s="178"/>
      <c r="M767" s="143"/>
      <c r="N767" s="143"/>
      <c r="O767" s="143"/>
      <c r="P767" s="143"/>
      <c r="Q767" s="176"/>
      <c r="R767" s="143"/>
      <c r="S767" s="177"/>
      <c r="T767" s="177"/>
      <c r="U767" s="177"/>
      <c r="V767" s="177"/>
      <c r="W767" s="177"/>
      <c r="X767" s="177"/>
      <c r="Y767" s="159"/>
      <c r="Z767" s="160"/>
      <c r="AA767" s="160"/>
      <c r="AB767" s="160"/>
      <c r="AC767" s="160"/>
      <c r="AD767" s="160"/>
      <c r="AE767" s="160"/>
    </row>
    <row r="768" spans="1:31" ht="23.4">
      <c r="A768" s="175"/>
      <c r="B768" s="142"/>
      <c r="C768" s="143"/>
      <c r="D768" s="143"/>
      <c r="E768" s="143"/>
      <c r="F768" s="143"/>
      <c r="G768" s="143"/>
      <c r="H768" s="143"/>
      <c r="I768" s="142"/>
      <c r="J768" s="142"/>
      <c r="K768" s="143"/>
      <c r="L768" s="178"/>
      <c r="M768" s="143"/>
      <c r="N768" s="143"/>
      <c r="O768" s="143"/>
      <c r="P768" s="143"/>
      <c r="Q768" s="176"/>
      <c r="R768" s="143"/>
      <c r="S768" s="177"/>
      <c r="T768" s="177"/>
      <c r="U768" s="177"/>
      <c r="V768" s="177"/>
      <c r="W768" s="177"/>
      <c r="X768" s="177"/>
      <c r="Y768" s="159"/>
      <c r="Z768" s="160"/>
      <c r="AA768" s="160"/>
      <c r="AB768" s="160"/>
      <c r="AC768" s="160"/>
      <c r="AD768" s="160"/>
      <c r="AE768" s="160"/>
    </row>
    <row r="769" spans="1:31" ht="23.4">
      <c r="A769" s="175"/>
      <c r="B769" s="142"/>
      <c r="C769" s="143"/>
      <c r="D769" s="143"/>
      <c r="E769" s="143"/>
      <c r="F769" s="143"/>
      <c r="G769" s="143"/>
      <c r="H769" s="143"/>
      <c r="I769" s="142"/>
      <c r="J769" s="142"/>
      <c r="K769" s="143"/>
      <c r="L769" s="178"/>
      <c r="M769" s="143"/>
      <c r="N769" s="143"/>
      <c r="O769" s="143"/>
      <c r="P769" s="143"/>
      <c r="Q769" s="176"/>
      <c r="R769" s="143"/>
      <c r="S769" s="177"/>
      <c r="T769" s="177"/>
      <c r="U769" s="177"/>
      <c r="V769" s="177"/>
      <c r="W769" s="177"/>
      <c r="X769" s="177"/>
      <c r="Y769" s="159"/>
      <c r="Z769" s="160"/>
      <c r="AA769" s="160"/>
      <c r="AB769" s="160"/>
      <c r="AC769" s="160"/>
      <c r="AD769" s="160"/>
      <c r="AE769" s="160"/>
    </row>
    <row r="770" spans="1:31" ht="23.4">
      <c r="A770" s="175"/>
      <c r="B770" s="142"/>
      <c r="C770" s="143"/>
      <c r="D770" s="143"/>
      <c r="E770" s="143"/>
      <c r="F770" s="143"/>
      <c r="G770" s="143"/>
      <c r="H770" s="143"/>
      <c r="I770" s="142"/>
      <c r="J770" s="142"/>
      <c r="K770" s="143"/>
      <c r="L770" s="178"/>
      <c r="M770" s="143"/>
      <c r="N770" s="143"/>
      <c r="O770" s="143"/>
      <c r="P770" s="143"/>
      <c r="Q770" s="176"/>
      <c r="R770" s="143"/>
      <c r="S770" s="177"/>
      <c r="T770" s="177"/>
      <c r="U770" s="177"/>
      <c r="V770" s="177"/>
      <c r="W770" s="177"/>
      <c r="X770" s="177"/>
      <c r="Y770" s="159"/>
      <c r="Z770" s="160"/>
      <c r="AA770" s="160"/>
      <c r="AB770" s="160"/>
      <c r="AC770" s="160"/>
      <c r="AD770" s="160"/>
      <c r="AE770" s="160"/>
    </row>
    <row r="771" spans="1:31" ht="23.4">
      <c r="A771" s="175"/>
      <c r="B771" s="142"/>
      <c r="C771" s="143"/>
      <c r="D771" s="143"/>
      <c r="E771" s="143"/>
      <c r="F771" s="143"/>
      <c r="G771" s="143"/>
      <c r="H771" s="143"/>
      <c r="I771" s="142"/>
      <c r="J771" s="142"/>
      <c r="K771" s="143"/>
      <c r="L771" s="178"/>
      <c r="M771" s="143"/>
      <c r="N771" s="143"/>
      <c r="O771" s="143"/>
      <c r="P771" s="143"/>
      <c r="Q771" s="176"/>
      <c r="R771" s="143"/>
      <c r="S771" s="177"/>
      <c r="T771" s="177"/>
      <c r="U771" s="177"/>
      <c r="V771" s="177"/>
      <c r="W771" s="177"/>
      <c r="X771" s="177"/>
      <c r="Y771" s="159"/>
      <c r="Z771" s="160"/>
      <c r="AA771" s="160"/>
      <c r="AB771" s="160"/>
      <c r="AC771" s="160"/>
      <c r="AD771" s="160"/>
      <c r="AE771" s="160"/>
    </row>
    <row r="772" spans="1:31" ht="23.4">
      <c r="A772" s="175"/>
      <c r="B772" s="142"/>
      <c r="C772" s="143"/>
      <c r="D772" s="143"/>
      <c r="E772" s="143"/>
      <c r="F772" s="143"/>
      <c r="G772" s="143"/>
      <c r="H772" s="143"/>
      <c r="I772" s="142"/>
      <c r="J772" s="142"/>
      <c r="K772" s="143"/>
      <c r="L772" s="178"/>
      <c r="M772" s="143"/>
      <c r="N772" s="143"/>
      <c r="O772" s="143"/>
      <c r="P772" s="143"/>
      <c r="Q772" s="176"/>
      <c r="R772" s="143"/>
      <c r="S772" s="177"/>
      <c r="T772" s="177"/>
      <c r="U772" s="177"/>
      <c r="V772" s="177"/>
      <c r="W772" s="177"/>
      <c r="X772" s="177"/>
      <c r="Y772" s="159"/>
      <c r="Z772" s="160"/>
      <c r="AA772" s="160"/>
      <c r="AB772" s="160"/>
      <c r="AC772" s="160"/>
      <c r="AD772" s="160"/>
      <c r="AE772" s="160"/>
    </row>
    <row r="773" spans="1:31" ht="23.4">
      <c r="A773" s="175"/>
      <c r="B773" s="142"/>
      <c r="C773" s="143"/>
      <c r="D773" s="143"/>
      <c r="E773" s="143"/>
      <c r="F773" s="143"/>
      <c r="G773" s="143"/>
      <c r="H773" s="143"/>
      <c r="I773" s="142"/>
      <c r="J773" s="142"/>
      <c r="K773" s="143"/>
      <c r="L773" s="178"/>
      <c r="M773" s="143"/>
      <c r="N773" s="143"/>
      <c r="O773" s="143"/>
      <c r="P773" s="143"/>
      <c r="Q773" s="176"/>
      <c r="R773" s="143"/>
      <c r="S773" s="177"/>
      <c r="T773" s="177"/>
      <c r="U773" s="177"/>
      <c r="V773" s="177"/>
      <c r="W773" s="177"/>
      <c r="X773" s="177"/>
      <c r="Y773" s="159"/>
      <c r="Z773" s="160"/>
      <c r="AA773" s="160"/>
      <c r="AB773" s="160"/>
      <c r="AC773" s="160"/>
      <c r="AD773" s="160"/>
      <c r="AE773" s="160"/>
    </row>
    <row r="774" spans="1:31" ht="23.4">
      <c r="A774" s="175"/>
      <c r="B774" s="142"/>
      <c r="C774" s="143"/>
      <c r="D774" s="143"/>
      <c r="E774" s="143"/>
      <c r="F774" s="143"/>
      <c r="G774" s="143"/>
      <c r="H774" s="143"/>
      <c r="I774" s="142"/>
      <c r="J774" s="142"/>
      <c r="K774" s="143"/>
      <c r="L774" s="178"/>
      <c r="M774" s="143"/>
      <c r="N774" s="143"/>
      <c r="O774" s="143"/>
      <c r="P774" s="143"/>
      <c r="Q774" s="176"/>
      <c r="R774" s="143"/>
      <c r="S774" s="177"/>
      <c r="T774" s="177"/>
      <c r="U774" s="177"/>
      <c r="V774" s="177"/>
      <c r="W774" s="177"/>
      <c r="X774" s="177"/>
      <c r="Y774" s="159"/>
      <c r="Z774" s="160"/>
      <c r="AA774" s="160"/>
      <c r="AB774" s="160"/>
      <c r="AC774" s="160"/>
      <c r="AD774" s="160"/>
      <c r="AE774" s="160"/>
    </row>
    <row r="775" spans="1:31" ht="23.4">
      <c r="A775" s="175"/>
      <c r="B775" s="142"/>
      <c r="C775" s="143"/>
      <c r="D775" s="143"/>
      <c r="E775" s="143"/>
      <c r="F775" s="143"/>
      <c r="G775" s="143"/>
      <c r="H775" s="143"/>
      <c r="I775" s="142"/>
      <c r="J775" s="142"/>
      <c r="K775" s="143"/>
      <c r="L775" s="178"/>
      <c r="M775" s="143"/>
      <c r="N775" s="143"/>
      <c r="O775" s="143"/>
      <c r="P775" s="143"/>
      <c r="Q775" s="176"/>
      <c r="R775" s="143"/>
      <c r="S775" s="177"/>
      <c r="T775" s="177"/>
      <c r="U775" s="177"/>
      <c r="V775" s="177"/>
      <c r="W775" s="177"/>
      <c r="X775" s="177"/>
      <c r="Y775" s="159"/>
      <c r="Z775" s="160"/>
      <c r="AA775" s="160"/>
      <c r="AB775" s="160"/>
      <c r="AC775" s="160"/>
      <c r="AD775" s="160"/>
      <c r="AE775" s="160"/>
    </row>
    <row r="776" spans="1:31" ht="23.4">
      <c r="A776" s="175"/>
      <c r="B776" s="142"/>
      <c r="C776" s="143"/>
      <c r="D776" s="143"/>
      <c r="E776" s="143"/>
      <c r="F776" s="143"/>
      <c r="G776" s="143"/>
      <c r="H776" s="143"/>
      <c r="I776" s="142"/>
      <c r="J776" s="142"/>
      <c r="K776" s="143"/>
      <c r="L776" s="178"/>
      <c r="M776" s="143"/>
      <c r="N776" s="143"/>
      <c r="O776" s="143"/>
      <c r="P776" s="143"/>
      <c r="Q776" s="176"/>
      <c r="R776" s="143"/>
      <c r="S776" s="177"/>
      <c r="T776" s="177"/>
      <c r="U776" s="177"/>
      <c r="V776" s="177"/>
      <c r="W776" s="177"/>
      <c r="X776" s="177"/>
      <c r="Y776" s="159"/>
      <c r="Z776" s="160"/>
      <c r="AA776" s="160"/>
      <c r="AB776" s="160"/>
      <c r="AC776" s="160"/>
      <c r="AD776" s="160"/>
      <c r="AE776" s="160"/>
    </row>
    <row r="777" spans="1:31" ht="23.4">
      <c r="A777" s="175"/>
      <c r="B777" s="142"/>
      <c r="C777" s="143"/>
      <c r="D777" s="143"/>
      <c r="E777" s="143"/>
      <c r="F777" s="143"/>
      <c r="G777" s="143"/>
      <c r="H777" s="143"/>
      <c r="I777" s="142"/>
      <c r="J777" s="142"/>
      <c r="K777" s="143"/>
      <c r="L777" s="178"/>
      <c r="M777" s="143"/>
      <c r="N777" s="143"/>
      <c r="O777" s="143"/>
      <c r="P777" s="143"/>
      <c r="Q777" s="176"/>
      <c r="R777" s="143"/>
      <c r="S777" s="177"/>
      <c r="T777" s="177"/>
      <c r="U777" s="177"/>
      <c r="V777" s="177"/>
      <c r="W777" s="177"/>
      <c r="X777" s="177"/>
      <c r="Y777" s="159"/>
      <c r="Z777" s="160"/>
      <c r="AA777" s="160"/>
      <c r="AB777" s="160"/>
      <c r="AC777" s="160"/>
      <c r="AD777" s="160"/>
      <c r="AE777" s="160"/>
    </row>
    <row r="778" spans="1:31" ht="23.4">
      <c r="A778" s="175"/>
      <c r="B778" s="142"/>
      <c r="C778" s="143"/>
      <c r="D778" s="143"/>
      <c r="E778" s="143"/>
      <c r="F778" s="143"/>
      <c r="G778" s="143"/>
      <c r="H778" s="143"/>
      <c r="I778" s="142"/>
      <c r="J778" s="142"/>
      <c r="K778" s="143"/>
      <c r="L778" s="178"/>
      <c r="M778" s="143"/>
      <c r="N778" s="143"/>
      <c r="O778" s="143"/>
      <c r="P778" s="143"/>
      <c r="Q778" s="176"/>
      <c r="R778" s="143"/>
      <c r="S778" s="177"/>
      <c r="T778" s="177"/>
      <c r="U778" s="177"/>
      <c r="V778" s="177"/>
      <c r="W778" s="177"/>
      <c r="X778" s="177"/>
      <c r="Y778" s="159"/>
      <c r="Z778" s="160"/>
      <c r="AA778" s="160"/>
      <c r="AB778" s="160"/>
      <c r="AC778" s="160"/>
      <c r="AD778" s="160"/>
      <c r="AE778" s="160"/>
    </row>
    <row r="779" spans="1:31" ht="23.4">
      <c r="A779" s="175"/>
      <c r="B779" s="142"/>
      <c r="C779" s="143"/>
      <c r="D779" s="143"/>
      <c r="E779" s="143"/>
      <c r="F779" s="143"/>
      <c r="G779" s="143"/>
      <c r="H779" s="143"/>
      <c r="I779" s="142"/>
      <c r="J779" s="142"/>
      <c r="K779" s="143"/>
      <c r="L779" s="178"/>
      <c r="M779" s="143"/>
      <c r="N779" s="143"/>
      <c r="O779" s="143"/>
      <c r="P779" s="143"/>
      <c r="Q779" s="176"/>
      <c r="R779" s="143"/>
      <c r="S779" s="177"/>
      <c r="T779" s="177"/>
      <c r="U779" s="177"/>
      <c r="V779" s="177"/>
      <c r="W779" s="177"/>
      <c r="X779" s="177"/>
      <c r="Y779" s="159"/>
      <c r="Z779" s="160"/>
      <c r="AA779" s="160"/>
      <c r="AB779" s="160"/>
      <c r="AC779" s="160"/>
      <c r="AD779" s="160"/>
      <c r="AE779" s="160"/>
    </row>
    <row r="780" spans="1:31" ht="23.4">
      <c r="A780" s="175"/>
      <c r="B780" s="142"/>
      <c r="C780" s="143"/>
      <c r="D780" s="143"/>
      <c r="E780" s="143"/>
      <c r="F780" s="143"/>
      <c r="G780" s="143"/>
      <c r="H780" s="143"/>
      <c r="I780" s="142"/>
      <c r="J780" s="142"/>
      <c r="K780" s="143"/>
      <c r="L780" s="178"/>
      <c r="M780" s="143"/>
      <c r="N780" s="143"/>
      <c r="O780" s="143"/>
      <c r="P780" s="143"/>
      <c r="Q780" s="176"/>
      <c r="R780" s="143"/>
      <c r="S780" s="177"/>
      <c r="T780" s="177"/>
      <c r="U780" s="177"/>
      <c r="V780" s="177"/>
      <c r="W780" s="177"/>
      <c r="X780" s="177"/>
      <c r="Y780" s="159"/>
      <c r="Z780" s="160"/>
      <c r="AA780" s="160"/>
      <c r="AB780" s="160"/>
      <c r="AC780" s="160"/>
      <c r="AD780" s="160"/>
      <c r="AE780" s="160"/>
    </row>
    <row r="781" spans="1:31" ht="23.4">
      <c r="A781" s="175"/>
      <c r="B781" s="142"/>
      <c r="C781" s="143"/>
      <c r="D781" s="143"/>
      <c r="E781" s="143"/>
      <c r="F781" s="143"/>
      <c r="G781" s="143"/>
      <c r="H781" s="143"/>
      <c r="I781" s="142"/>
      <c r="J781" s="142"/>
      <c r="K781" s="143"/>
      <c r="L781" s="178"/>
      <c r="M781" s="143"/>
      <c r="N781" s="143"/>
      <c r="O781" s="143"/>
      <c r="P781" s="143"/>
      <c r="Q781" s="176"/>
      <c r="R781" s="143"/>
      <c r="S781" s="177"/>
      <c r="T781" s="177"/>
      <c r="U781" s="177"/>
      <c r="V781" s="177"/>
      <c r="W781" s="177"/>
      <c r="X781" s="177"/>
      <c r="Y781" s="159"/>
      <c r="Z781" s="160"/>
      <c r="AA781" s="160"/>
      <c r="AB781" s="160"/>
      <c r="AC781" s="160"/>
      <c r="AD781" s="160"/>
      <c r="AE781" s="160"/>
    </row>
    <row r="782" spans="1:31" ht="23.4">
      <c r="A782" s="175"/>
      <c r="B782" s="142"/>
      <c r="C782" s="143"/>
      <c r="D782" s="143"/>
      <c r="E782" s="143"/>
      <c r="F782" s="143"/>
      <c r="G782" s="143"/>
      <c r="H782" s="143"/>
      <c r="I782" s="142"/>
      <c r="J782" s="142"/>
      <c r="K782" s="143"/>
      <c r="L782" s="178"/>
      <c r="M782" s="143"/>
      <c r="N782" s="143"/>
      <c r="O782" s="143"/>
      <c r="P782" s="143"/>
      <c r="Q782" s="176"/>
      <c r="R782" s="143"/>
      <c r="S782" s="177"/>
      <c r="T782" s="177"/>
      <c r="U782" s="177"/>
      <c r="V782" s="177"/>
      <c r="W782" s="177"/>
      <c r="X782" s="177"/>
      <c r="Y782" s="159"/>
      <c r="Z782" s="160"/>
      <c r="AA782" s="160"/>
      <c r="AB782" s="160"/>
      <c r="AC782" s="160"/>
      <c r="AD782" s="160"/>
      <c r="AE782" s="160"/>
    </row>
    <row r="783" spans="1:31" ht="23.4">
      <c r="A783" s="175"/>
      <c r="B783" s="142"/>
      <c r="C783" s="143"/>
      <c r="D783" s="143"/>
      <c r="E783" s="143"/>
      <c r="F783" s="143"/>
      <c r="G783" s="143"/>
      <c r="H783" s="143"/>
      <c r="I783" s="142"/>
      <c r="J783" s="142"/>
      <c r="K783" s="143"/>
      <c r="L783" s="178"/>
      <c r="M783" s="143"/>
      <c r="N783" s="143"/>
      <c r="O783" s="143"/>
      <c r="P783" s="143"/>
      <c r="Q783" s="176"/>
      <c r="R783" s="143"/>
      <c r="S783" s="177"/>
      <c r="T783" s="177"/>
      <c r="U783" s="177"/>
      <c r="V783" s="177"/>
      <c r="W783" s="177"/>
      <c r="X783" s="177"/>
      <c r="Y783" s="159"/>
      <c r="Z783" s="160"/>
      <c r="AA783" s="160"/>
      <c r="AB783" s="160"/>
      <c r="AC783" s="160"/>
      <c r="AD783" s="160"/>
      <c r="AE783" s="160"/>
    </row>
    <row r="784" spans="1:31" ht="23.4">
      <c r="A784" s="175"/>
      <c r="B784" s="142"/>
      <c r="C784" s="143"/>
      <c r="D784" s="143"/>
      <c r="E784" s="143"/>
      <c r="F784" s="143"/>
      <c r="G784" s="143"/>
      <c r="H784" s="143"/>
      <c r="I784" s="142"/>
      <c r="J784" s="142"/>
      <c r="K784" s="143"/>
      <c r="L784" s="178"/>
      <c r="M784" s="143"/>
      <c r="N784" s="143"/>
      <c r="O784" s="143"/>
      <c r="P784" s="143"/>
      <c r="Q784" s="176"/>
      <c r="R784" s="143"/>
      <c r="S784" s="177"/>
      <c r="T784" s="177"/>
      <c r="U784" s="177"/>
      <c r="V784" s="177"/>
      <c r="W784" s="177"/>
      <c r="X784" s="177"/>
      <c r="Y784" s="159"/>
      <c r="Z784" s="160"/>
      <c r="AA784" s="160"/>
      <c r="AB784" s="160"/>
      <c r="AC784" s="160"/>
      <c r="AD784" s="160"/>
      <c r="AE784" s="160"/>
    </row>
    <row r="785" spans="1:31" ht="23.4">
      <c r="A785" s="175"/>
      <c r="B785" s="142"/>
      <c r="C785" s="143"/>
      <c r="D785" s="143"/>
      <c r="E785" s="143"/>
      <c r="F785" s="143"/>
      <c r="G785" s="143"/>
      <c r="H785" s="143"/>
      <c r="I785" s="142"/>
      <c r="J785" s="142"/>
      <c r="K785" s="143"/>
      <c r="L785" s="178"/>
      <c r="M785" s="143"/>
      <c r="N785" s="143"/>
      <c r="O785" s="143"/>
      <c r="P785" s="143"/>
      <c r="Q785" s="176"/>
      <c r="R785" s="143"/>
      <c r="S785" s="177"/>
      <c r="T785" s="177"/>
      <c r="U785" s="177"/>
      <c r="V785" s="177"/>
      <c r="W785" s="177"/>
      <c r="X785" s="177"/>
      <c r="Y785" s="159"/>
      <c r="Z785" s="160"/>
      <c r="AA785" s="160"/>
      <c r="AB785" s="160"/>
      <c r="AC785" s="160"/>
      <c r="AD785" s="160"/>
      <c r="AE785" s="160"/>
    </row>
    <row r="786" spans="1:31" ht="23.4">
      <c r="A786" s="175"/>
      <c r="B786" s="142"/>
      <c r="C786" s="143"/>
      <c r="D786" s="143"/>
      <c r="E786" s="143"/>
      <c r="F786" s="143"/>
      <c r="G786" s="143"/>
      <c r="H786" s="143"/>
      <c r="I786" s="142"/>
      <c r="J786" s="142"/>
      <c r="K786" s="143"/>
      <c r="L786" s="178"/>
      <c r="M786" s="143"/>
      <c r="N786" s="143"/>
      <c r="O786" s="143"/>
      <c r="P786" s="143"/>
      <c r="Q786" s="176"/>
      <c r="R786" s="143"/>
      <c r="S786" s="177"/>
      <c r="T786" s="177"/>
      <c r="U786" s="177"/>
      <c r="V786" s="177"/>
      <c r="W786" s="177"/>
      <c r="X786" s="177"/>
      <c r="Y786" s="159"/>
      <c r="Z786" s="160"/>
      <c r="AA786" s="160"/>
      <c r="AB786" s="160"/>
      <c r="AC786" s="160"/>
      <c r="AD786" s="160"/>
      <c r="AE786" s="160"/>
    </row>
    <row r="787" spans="1:31" ht="23.4">
      <c r="A787" s="175"/>
      <c r="B787" s="142"/>
      <c r="C787" s="143"/>
      <c r="D787" s="143"/>
      <c r="E787" s="143"/>
      <c r="F787" s="143"/>
      <c r="G787" s="143"/>
      <c r="H787" s="143"/>
      <c r="I787" s="142"/>
      <c r="J787" s="142"/>
      <c r="K787" s="143"/>
      <c r="L787" s="178"/>
      <c r="M787" s="143"/>
      <c r="N787" s="143"/>
      <c r="O787" s="143"/>
      <c r="P787" s="143"/>
      <c r="Q787" s="176"/>
      <c r="R787" s="143"/>
      <c r="S787" s="177"/>
      <c r="T787" s="177"/>
      <c r="U787" s="177"/>
      <c r="V787" s="177"/>
      <c r="W787" s="177"/>
      <c r="X787" s="177"/>
      <c r="Y787" s="159"/>
      <c r="Z787" s="160"/>
      <c r="AA787" s="160"/>
      <c r="AB787" s="160"/>
      <c r="AC787" s="160"/>
      <c r="AD787" s="160"/>
      <c r="AE787" s="160"/>
    </row>
    <row r="788" spans="1:31" ht="23.4">
      <c r="A788" s="175"/>
      <c r="B788" s="142"/>
      <c r="C788" s="143"/>
      <c r="D788" s="143"/>
      <c r="E788" s="143"/>
      <c r="F788" s="143"/>
      <c r="G788" s="143"/>
      <c r="H788" s="143"/>
      <c r="I788" s="142"/>
      <c r="J788" s="142"/>
      <c r="K788" s="143"/>
      <c r="L788" s="178"/>
      <c r="M788" s="143"/>
      <c r="N788" s="143"/>
      <c r="O788" s="143"/>
      <c r="P788" s="143"/>
      <c r="Q788" s="176"/>
      <c r="R788" s="143"/>
      <c r="S788" s="177"/>
      <c r="T788" s="177"/>
      <c r="U788" s="177"/>
      <c r="V788" s="177"/>
      <c r="W788" s="177"/>
      <c r="X788" s="177"/>
      <c r="Y788" s="159"/>
      <c r="Z788" s="160"/>
      <c r="AA788" s="160"/>
      <c r="AB788" s="160"/>
      <c r="AC788" s="160"/>
      <c r="AD788" s="160"/>
      <c r="AE788" s="160"/>
    </row>
    <row r="789" spans="1:31" ht="23.4">
      <c r="A789" s="175"/>
      <c r="B789" s="142"/>
      <c r="C789" s="143"/>
      <c r="D789" s="143"/>
      <c r="E789" s="143"/>
      <c r="F789" s="143"/>
      <c r="G789" s="143"/>
      <c r="H789" s="143"/>
      <c r="I789" s="142"/>
      <c r="J789" s="142"/>
      <c r="K789" s="143"/>
      <c r="L789" s="178"/>
      <c r="M789" s="143"/>
      <c r="N789" s="143"/>
      <c r="O789" s="143"/>
      <c r="P789" s="143"/>
      <c r="Q789" s="176"/>
      <c r="R789" s="143"/>
      <c r="S789" s="177"/>
      <c r="T789" s="177"/>
      <c r="U789" s="177"/>
      <c r="V789" s="177"/>
      <c r="W789" s="177"/>
      <c r="X789" s="177"/>
      <c r="Y789" s="159"/>
      <c r="Z789" s="160"/>
      <c r="AA789" s="160"/>
      <c r="AB789" s="160"/>
      <c r="AC789" s="160"/>
      <c r="AD789" s="160"/>
      <c r="AE789" s="160"/>
    </row>
    <row r="790" spans="1:31" ht="23.4">
      <c r="A790" s="175"/>
      <c r="B790" s="142"/>
      <c r="C790" s="143"/>
      <c r="D790" s="143"/>
      <c r="E790" s="143"/>
      <c r="F790" s="143"/>
      <c r="G790" s="143"/>
      <c r="H790" s="143"/>
      <c r="I790" s="142"/>
      <c r="J790" s="142"/>
      <c r="K790" s="143"/>
      <c r="L790" s="178"/>
      <c r="M790" s="143"/>
      <c r="N790" s="143"/>
      <c r="O790" s="143"/>
      <c r="P790" s="143"/>
      <c r="Q790" s="176"/>
      <c r="R790" s="143"/>
      <c r="S790" s="177"/>
      <c r="T790" s="177"/>
      <c r="U790" s="177"/>
      <c r="V790" s="177"/>
      <c r="W790" s="177"/>
      <c r="X790" s="177"/>
      <c r="Y790" s="159"/>
      <c r="Z790" s="160"/>
      <c r="AA790" s="160"/>
      <c r="AB790" s="160"/>
      <c r="AC790" s="160"/>
      <c r="AD790" s="160"/>
      <c r="AE790" s="160"/>
    </row>
    <row r="791" spans="1:31" ht="23.4">
      <c r="A791" s="175"/>
      <c r="B791" s="142"/>
      <c r="C791" s="143"/>
      <c r="D791" s="143"/>
      <c r="E791" s="143"/>
      <c r="F791" s="143"/>
      <c r="G791" s="143"/>
      <c r="H791" s="143"/>
      <c r="I791" s="142"/>
      <c r="J791" s="142"/>
      <c r="K791" s="143"/>
      <c r="L791" s="178"/>
      <c r="M791" s="143"/>
      <c r="N791" s="143"/>
      <c r="O791" s="143"/>
      <c r="P791" s="143"/>
      <c r="Q791" s="176"/>
      <c r="R791" s="143"/>
      <c r="S791" s="177"/>
      <c r="T791" s="177"/>
      <c r="U791" s="177"/>
      <c r="V791" s="177"/>
      <c r="W791" s="177"/>
      <c r="X791" s="177"/>
      <c r="Y791" s="159"/>
      <c r="Z791" s="160"/>
      <c r="AA791" s="160"/>
      <c r="AB791" s="160"/>
      <c r="AC791" s="160"/>
      <c r="AD791" s="160"/>
      <c r="AE791" s="160"/>
    </row>
    <row r="792" spans="1:31" ht="23.4">
      <c r="A792" s="175"/>
      <c r="B792" s="142"/>
      <c r="C792" s="143"/>
      <c r="D792" s="143"/>
      <c r="E792" s="143"/>
      <c r="F792" s="143"/>
      <c r="G792" s="143"/>
      <c r="H792" s="143"/>
      <c r="I792" s="142"/>
      <c r="J792" s="142"/>
      <c r="K792" s="143"/>
      <c r="L792" s="178"/>
      <c r="M792" s="143"/>
      <c r="N792" s="143"/>
      <c r="O792" s="143"/>
      <c r="P792" s="143"/>
      <c r="Q792" s="176"/>
      <c r="R792" s="143"/>
      <c r="S792" s="177"/>
      <c r="T792" s="177"/>
      <c r="U792" s="177"/>
      <c r="V792" s="177"/>
      <c r="W792" s="177"/>
      <c r="X792" s="177"/>
      <c r="Y792" s="159"/>
      <c r="Z792" s="160"/>
      <c r="AA792" s="160"/>
      <c r="AB792" s="160"/>
      <c r="AC792" s="160"/>
      <c r="AD792" s="160"/>
      <c r="AE792" s="160"/>
    </row>
    <row r="793" spans="1:31" ht="23.4">
      <c r="A793" s="175"/>
      <c r="B793" s="142"/>
      <c r="C793" s="143"/>
      <c r="D793" s="143"/>
      <c r="E793" s="143"/>
      <c r="F793" s="143"/>
      <c r="G793" s="143"/>
      <c r="H793" s="143"/>
      <c r="I793" s="142"/>
      <c r="J793" s="142"/>
      <c r="K793" s="143"/>
      <c r="L793" s="178"/>
      <c r="M793" s="143"/>
      <c r="N793" s="143"/>
      <c r="O793" s="143"/>
      <c r="P793" s="143"/>
      <c r="Q793" s="176"/>
      <c r="R793" s="143"/>
      <c r="S793" s="177"/>
      <c r="T793" s="177"/>
      <c r="U793" s="177"/>
      <c r="V793" s="177"/>
      <c r="W793" s="177"/>
      <c r="X793" s="177"/>
      <c r="Y793" s="159"/>
      <c r="Z793" s="160"/>
      <c r="AA793" s="160"/>
      <c r="AB793" s="160"/>
      <c r="AC793" s="160"/>
      <c r="AD793" s="160"/>
      <c r="AE793" s="160"/>
    </row>
    <row r="794" spans="1:31" ht="23.4">
      <c r="A794" s="175"/>
      <c r="B794" s="142"/>
      <c r="C794" s="143"/>
      <c r="D794" s="143"/>
      <c r="E794" s="143"/>
      <c r="F794" s="143"/>
      <c r="G794" s="143"/>
      <c r="H794" s="143"/>
      <c r="I794" s="142"/>
      <c r="J794" s="142"/>
      <c r="K794" s="143"/>
      <c r="L794" s="178"/>
      <c r="M794" s="143"/>
      <c r="N794" s="143"/>
      <c r="O794" s="143"/>
      <c r="P794" s="143"/>
      <c r="Q794" s="176"/>
      <c r="R794" s="143"/>
      <c r="S794" s="177"/>
      <c r="T794" s="177"/>
      <c r="U794" s="177"/>
      <c r="V794" s="177"/>
      <c r="W794" s="177"/>
      <c r="X794" s="177"/>
      <c r="Y794" s="159"/>
      <c r="Z794" s="160"/>
      <c r="AA794" s="160"/>
      <c r="AB794" s="160"/>
      <c r="AC794" s="160"/>
      <c r="AD794" s="160"/>
      <c r="AE794" s="160"/>
    </row>
    <row r="795" spans="1:31" ht="23.4">
      <c r="A795" s="175"/>
      <c r="B795" s="142"/>
      <c r="C795" s="143"/>
      <c r="D795" s="143"/>
      <c r="E795" s="143"/>
      <c r="F795" s="143"/>
      <c r="G795" s="143"/>
      <c r="H795" s="143"/>
      <c r="I795" s="142"/>
      <c r="J795" s="142"/>
      <c r="K795" s="143"/>
      <c r="L795" s="178"/>
      <c r="M795" s="143"/>
      <c r="N795" s="143"/>
      <c r="O795" s="143"/>
      <c r="P795" s="143"/>
      <c r="Q795" s="176"/>
      <c r="R795" s="143"/>
      <c r="S795" s="177"/>
      <c r="T795" s="177"/>
      <c r="U795" s="177"/>
      <c r="V795" s="177"/>
      <c r="W795" s="177"/>
      <c r="X795" s="177"/>
      <c r="Y795" s="159"/>
      <c r="Z795" s="160"/>
      <c r="AA795" s="160"/>
      <c r="AB795" s="160"/>
      <c r="AC795" s="160"/>
      <c r="AD795" s="160"/>
      <c r="AE795" s="160"/>
    </row>
    <row r="796" spans="1:31" ht="23.4">
      <c r="A796" s="175"/>
      <c r="B796" s="142"/>
      <c r="C796" s="143"/>
      <c r="D796" s="143"/>
      <c r="E796" s="143"/>
      <c r="F796" s="143"/>
      <c r="G796" s="143"/>
      <c r="H796" s="143"/>
      <c r="I796" s="142"/>
      <c r="J796" s="142"/>
      <c r="K796" s="143"/>
      <c r="L796" s="178"/>
      <c r="M796" s="143"/>
      <c r="N796" s="143"/>
      <c r="O796" s="143"/>
      <c r="P796" s="143"/>
      <c r="Q796" s="176"/>
      <c r="R796" s="143"/>
      <c r="S796" s="177"/>
      <c r="T796" s="177"/>
      <c r="U796" s="177"/>
      <c r="V796" s="177"/>
      <c r="W796" s="177"/>
      <c r="X796" s="177"/>
      <c r="Y796" s="159"/>
      <c r="Z796" s="160"/>
      <c r="AA796" s="160"/>
      <c r="AB796" s="160"/>
      <c r="AC796" s="160"/>
      <c r="AD796" s="160"/>
      <c r="AE796" s="160"/>
    </row>
    <row r="797" spans="1:31" ht="23.4">
      <c r="A797" s="175"/>
      <c r="B797" s="142"/>
      <c r="C797" s="143"/>
      <c r="D797" s="143"/>
      <c r="E797" s="143"/>
      <c r="F797" s="143"/>
      <c r="G797" s="143"/>
      <c r="H797" s="143"/>
      <c r="I797" s="142"/>
      <c r="J797" s="142"/>
      <c r="K797" s="143"/>
      <c r="L797" s="178"/>
      <c r="M797" s="143"/>
      <c r="N797" s="143"/>
      <c r="O797" s="143"/>
      <c r="P797" s="143"/>
      <c r="Q797" s="176"/>
      <c r="R797" s="143"/>
      <c r="S797" s="177"/>
      <c r="T797" s="177"/>
      <c r="U797" s="177"/>
      <c r="V797" s="177"/>
      <c r="W797" s="177"/>
      <c r="X797" s="177"/>
      <c r="Y797" s="159"/>
      <c r="Z797" s="160"/>
      <c r="AA797" s="160"/>
      <c r="AB797" s="160"/>
      <c r="AC797" s="160"/>
      <c r="AD797" s="160"/>
      <c r="AE797" s="160"/>
    </row>
    <row r="798" spans="1:31" ht="23.4">
      <c r="A798" s="175"/>
      <c r="B798" s="142"/>
      <c r="C798" s="143"/>
      <c r="D798" s="143"/>
      <c r="E798" s="143"/>
      <c r="F798" s="143"/>
      <c r="G798" s="143"/>
      <c r="H798" s="143"/>
      <c r="I798" s="142"/>
      <c r="J798" s="142"/>
      <c r="K798" s="143"/>
      <c r="L798" s="178"/>
      <c r="M798" s="143"/>
      <c r="N798" s="143"/>
      <c r="O798" s="143"/>
      <c r="P798" s="143"/>
      <c r="Q798" s="176"/>
      <c r="R798" s="143"/>
      <c r="S798" s="177"/>
      <c r="T798" s="177"/>
      <c r="U798" s="177"/>
      <c r="V798" s="177"/>
      <c r="W798" s="177"/>
      <c r="X798" s="177"/>
      <c r="Y798" s="159"/>
      <c r="Z798" s="160"/>
      <c r="AA798" s="160"/>
      <c r="AB798" s="160"/>
      <c r="AC798" s="160"/>
      <c r="AD798" s="160"/>
      <c r="AE798" s="160"/>
    </row>
    <row r="799" spans="1:31" ht="23.4">
      <c r="A799" s="175"/>
      <c r="B799" s="142"/>
      <c r="C799" s="143"/>
      <c r="D799" s="143"/>
      <c r="E799" s="143"/>
      <c r="F799" s="143"/>
      <c r="G799" s="143"/>
      <c r="H799" s="143"/>
      <c r="I799" s="142"/>
      <c r="J799" s="142"/>
      <c r="K799" s="143"/>
      <c r="L799" s="178"/>
      <c r="M799" s="143"/>
      <c r="N799" s="143"/>
      <c r="O799" s="143"/>
      <c r="P799" s="143"/>
      <c r="Q799" s="176"/>
      <c r="R799" s="143"/>
      <c r="S799" s="177"/>
      <c r="T799" s="177"/>
      <c r="U799" s="177"/>
      <c r="V799" s="177"/>
      <c r="W799" s="177"/>
      <c r="X799" s="177"/>
      <c r="Y799" s="159"/>
      <c r="Z799" s="160"/>
      <c r="AA799" s="160"/>
      <c r="AB799" s="160"/>
      <c r="AC799" s="160"/>
      <c r="AD799" s="160"/>
      <c r="AE799" s="160"/>
    </row>
    <row r="800" spans="1:31" ht="23.4">
      <c r="A800" s="175"/>
      <c r="B800" s="142"/>
      <c r="C800" s="143"/>
      <c r="D800" s="143"/>
      <c r="E800" s="143"/>
      <c r="F800" s="143"/>
      <c r="G800" s="143"/>
      <c r="H800" s="143"/>
      <c r="I800" s="142"/>
      <c r="J800" s="142"/>
      <c r="K800" s="143"/>
      <c r="L800" s="178"/>
      <c r="M800" s="143"/>
      <c r="N800" s="143"/>
      <c r="O800" s="143"/>
      <c r="P800" s="143"/>
      <c r="Q800" s="176"/>
      <c r="R800" s="143"/>
      <c r="S800" s="177"/>
      <c r="T800" s="177"/>
      <c r="U800" s="177"/>
      <c r="V800" s="177"/>
      <c r="W800" s="177"/>
      <c r="X800" s="177"/>
      <c r="Y800" s="159"/>
      <c r="Z800" s="160"/>
      <c r="AA800" s="160"/>
      <c r="AB800" s="160"/>
      <c r="AC800" s="160"/>
      <c r="AD800" s="160"/>
      <c r="AE800" s="160"/>
    </row>
    <row r="801" spans="1:31" ht="23.4">
      <c r="A801" s="175"/>
      <c r="B801" s="142"/>
      <c r="C801" s="143"/>
      <c r="D801" s="143"/>
      <c r="E801" s="143"/>
      <c r="F801" s="143"/>
      <c r="G801" s="143"/>
      <c r="H801" s="143"/>
      <c r="I801" s="142"/>
      <c r="J801" s="142"/>
      <c r="K801" s="143"/>
      <c r="L801" s="178"/>
      <c r="M801" s="143"/>
      <c r="N801" s="143"/>
      <c r="O801" s="143"/>
      <c r="P801" s="143"/>
      <c r="Q801" s="176"/>
      <c r="R801" s="143"/>
      <c r="S801" s="177"/>
      <c r="T801" s="177"/>
      <c r="U801" s="177"/>
      <c r="V801" s="177"/>
      <c r="W801" s="177"/>
      <c r="X801" s="177"/>
      <c r="Y801" s="159"/>
      <c r="Z801" s="160"/>
      <c r="AA801" s="160"/>
      <c r="AB801" s="160"/>
      <c r="AC801" s="160"/>
      <c r="AD801" s="160"/>
      <c r="AE801" s="160"/>
    </row>
    <row r="802" spans="1:31" ht="23.4">
      <c r="A802" s="175"/>
      <c r="B802" s="142"/>
      <c r="C802" s="143"/>
      <c r="D802" s="143"/>
      <c r="E802" s="143"/>
      <c r="F802" s="143"/>
      <c r="G802" s="143"/>
      <c r="H802" s="143"/>
      <c r="I802" s="142"/>
      <c r="J802" s="142"/>
      <c r="K802" s="143"/>
      <c r="L802" s="178"/>
      <c r="M802" s="143"/>
      <c r="N802" s="143"/>
      <c r="O802" s="143"/>
      <c r="P802" s="143"/>
      <c r="Q802" s="176"/>
      <c r="R802" s="143"/>
      <c r="S802" s="177"/>
      <c r="T802" s="177"/>
      <c r="U802" s="177"/>
      <c r="V802" s="177"/>
      <c r="W802" s="177"/>
      <c r="X802" s="177"/>
      <c r="Y802" s="159"/>
      <c r="Z802" s="160"/>
      <c r="AA802" s="160"/>
      <c r="AB802" s="160"/>
      <c r="AC802" s="160"/>
      <c r="AD802" s="160"/>
      <c r="AE802" s="160"/>
    </row>
    <row r="803" spans="1:31" ht="23.4">
      <c r="A803" s="175"/>
      <c r="B803" s="142"/>
      <c r="C803" s="143"/>
      <c r="D803" s="143"/>
      <c r="E803" s="143"/>
      <c r="F803" s="143"/>
      <c r="G803" s="143"/>
      <c r="H803" s="143"/>
      <c r="I803" s="142"/>
      <c r="J803" s="142"/>
      <c r="K803" s="143"/>
      <c r="L803" s="178"/>
      <c r="M803" s="143"/>
      <c r="N803" s="143"/>
      <c r="O803" s="143"/>
      <c r="P803" s="143"/>
      <c r="Q803" s="176"/>
      <c r="R803" s="143"/>
      <c r="S803" s="177"/>
      <c r="T803" s="177"/>
      <c r="U803" s="177"/>
      <c r="V803" s="177"/>
      <c r="W803" s="177"/>
      <c r="X803" s="177"/>
      <c r="Y803" s="159"/>
      <c r="Z803" s="160"/>
      <c r="AA803" s="160"/>
      <c r="AB803" s="160"/>
      <c r="AC803" s="160"/>
      <c r="AD803" s="160"/>
      <c r="AE803" s="160"/>
    </row>
    <row r="804" spans="1:31" ht="23.4">
      <c r="A804" s="175"/>
      <c r="B804" s="142"/>
      <c r="C804" s="143"/>
      <c r="D804" s="143"/>
      <c r="E804" s="143"/>
      <c r="F804" s="143"/>
      <c r="G804" s="143"/>
      <c r="H804" s="143"/>
      <c r="I804" s="142"/>
      <c r="J804" s="142"/>
      <c r="K804" s="143"/>
      <c r="L804" s="178"/>
      <c r="M804" s="143"/>
      <c r="N804" s="143"/>
      <c r="O804" s="143"/>
      <c r="P804" s="143"/>
      <c r="Q804" s="176"/>
      <c r="R804" s="143"/>
      <c r="S804" s="177"/>
      <c r="T804" s="177"/>
      <c r="U804" s="177"/>
      <c r="V804" s="177"/>
      <c r="W804" s="177"/>
      <c r="X804" s="177"/>
      <c r="Y804" s="159"/>
      <c r="Z804" s="160"/>
      <c r="AA804" s="160"/>
      <c r="AB804" s="160"/>
      <c r="AC804" s="160"/>
      <c r="AD804" s="160"/>
      <c r="AE804" s="160"/>
    </row>
    <row r="805" spans="1:31" ht="23.4">
      <c r="A805" s="175"/>
      <c r="B805" s="142"/>
      <c r="C805" s="143"/>
      <c r="D805" s="143"/>
      <c r="E805" s="143"/>
      <c r="F805" s="143"/>
      <c r="G805" s="143"/>
      <c r="H805" s="143"/>
      <c r="I805" s="142"/>
      <c r="J805" s="142"/>
      <c r="K805" s="143"/>
      <c r="L805" s="178"/>
      <c r="M805" s="143"/>
      <c r="N805" s="143"/>
      <c r="O805" s="143"/>
      <c r="P805" s="143"/>
      <c r="Q805" s="176"/>
      <c r="R805" s="143"/>
      <c r="S805" s="177"/>
      <c r="T805" s="177"/>
      <c r="U805" s="177"/>
      <c r="V805" s="177"/>
      <c r="W805" s="177"/>
      <c r="X805" s="177"/>
      <c r="Y805" s="159"/>
      <c r="Z805" s="160"/>
      <c r="AA805" s="160"/>
      <c r="AB805" s="160"/>
      <c r="AC805" s="160"/>
      <c r="AD805" s="160"/>
      <c r="AE805" s="160"/>
    </row>
    <row r="806" spans="1:31" ht="23.4">
      <c r="A806" s="175"/>
      <c r="B806" s="142"/>
      <c r="C806" s="143"/>
      <c r="D806" s="143"/>
      <c r="E806" s="143"/>
      <c r="F806" s="143"/>
      <c r="G806" s="143"/>
      <c r="H806" s="143"/>
      <c r="I806" s="142"/>
      <c r="J806" s="142"/>
      <c r="K806" s="143"/>
      <c r="L806" s="178"/>
      <c r="M806" s="143"/>
      <c r="N806" s="143"/>
      <c r="O806" s="143"/>
      <c r="P806" s="143"/>
      <c r="Q806" s="176"/>
      <c r="R806" s="143"/>
      <c r="S806" s="177"/>
      <c r="T806" s="177"/>
      <c r="U806" s="177"/>
      <c r="V806" s="177"/>
      <c r="W806" s="177"/>
      <c r="X806" s="177"/>
      <c r="Y806" s="159"/>
      <c r="Z806" s="160"/>
      <c r="AA806" s="160"/>
      <c r="AB806" s="160"/>
      <c r="AC806" s="160"/>
      <c r="AD806" s="160"/>
      <c r="AE806" s="160"/>
    </row>
    <row r="807" spans="1:31" ht="23.4">
      <c r="A807" s="175"/>
      <c r="B807" s="142"/>
      <c r="C807" s="143"/>
      <c r="D807" s="143"/>
      <c r="E807" s="143"/>
      <c r="F807" s="143"/>
      <c r="G807" s="143"/>
      <c r="H807" s="143"/>
      <c r="I807" s="142"/>
      <c r="J807" s="142"/>
      <c r="K807" s="143"/>
      <c r="L807" s="178"/>
      <c r="M807" s="143"/>
      <c r="N807" s="143"/>
      <c r="O807" s="143"/>
      <c r="P807" s="143"/>
      <c r="Q807" s="176"/>
      <c r="R807" s="143"/>
      <c r="S807" s="177"/>
      <c r="T807" s="177"/>
      <c r="U807" s="177"/>
      <c r="V807" s="177"/>
      <c r="W807" s="177"/>
      <c r="X807" s="177"/>
      <c r="Y807" s="159"/>
      <c r="Z807" s="160"/>
      <c r="AA807" s="160"/>
      <c r="AB807" s="160"/>
      <c r="AC807" s="160"/>
      <c r="AD807" s="160"/>
      <c r="AE807" s="160"/>
    </row>
    <row r="808" spans="1:31" ht="23.4">
      <c r="A808" s="175"/>
      <c r="B808" s="142"/>
      <c r="C808" s="143"/>
      <c r="D808" s="143"/>
      <c r="E808" s="143"/>
      <c r="F808" s="143"/>
      <c r="G808" s="143"/>
      <c r="H808" s="143"/>
      <c r="I808" s="142"/>
      <c r="J808" s="142"/>
      <c r="K808" s="143"/>
      <c r="L808" s="178"/>
      <c r="M808" s="143"/>
      <c r="N808" s="143"/>
      <c r="O808" s="143"/>
      <c r="P808" s="143"/>
      <c r="Q808" s="176"/>
      <c r="R808" s="143"/>
      <c r="S808" s="177"/>
      <c r="T808" s="177"/>
      <c r="U808" s="177"/>
      <c r="V808" s="177"/>
      <c r="W808" s="177"/>
      <c r="X808" s="177"/>
      <c r="Y808" s="159"/>
      <c r="Z808" s="160"/>
      <c r="AA808" s="160"/>
      <c r="AB808" s="160"/>
      <c r="AC808" s="160"/>
      <c r="AD808" s="160"/>
      <c r="AE808" s="160"/>
    </row>
    <row r="809" spans="1:31" ht="23.4">
      <c r="A809" s="175"/>
      <c r="B809" s="142"/>
      <c r="C809" s="143"/>
      <c r="D809" s="143"/>
      <c r="E809" s="143"/>
      <c r="F809" s="143"/>
      <c r="G809" s="143"/>
      <c r="H809" s="143"/>
      <c r="I809" s="142"/>
      <c r="J809" s="142"/>
      <c r="K809" s="143"/>
      <c r="L809" s="178"/>
      <c r="M809" s="143"/>
      <c r="N809" s="143"/>
      <c r="O809" s="143"/>
      <c r="P809" s="143"/>
      <c r="Q809" s="176"/>
      <c r="R809" s="143"/>
      <c r="S809" s="177"/>
      <c r="T809" s="177"/>
      <c r="U809" s="177"/>
      <c r="V809" s="177"/>
      <c r="W809" s="177"/>
      <c r="X809" s="177"/>
      <c r="Y809" s="159"/>
      <c r="Z809" s="160"/>
      <c r="AA809" s="160"/>
      <c r="AB809" s="160"/>
      <c r="AC809" s="160"/>
      <c r="AD809" s="160"/>
      <c r="AE809" s="160"/>
    </row>
    <row r="810" spans="1:31" ht="23.4">
      <c r="A810" s="175"/>
      <c r="B810" s="142"/>
      <c r="C810" s="143"/>
      <c r="D810" s="143"/>
      <c r="E810" s="143"/>
      <c r="F810" s="143"/>
      <c r="G810" s="143"/>
      <c r="H810" s="143"/>
      <c r="I810" s="142"/>
      <c r="J810" s="142"/>
      <c r="K810" s="143"/>
      <c r="L810" s="178"/>
      <c r="M810" s="143"/>
      <c r="N810" s="143"/>
      <c r="O810" s="143"/>
      <c r="P810" s="143"/>
      <c r="Q810" s="176"/>
      <c r="R810" s="143"/>
      <c r="S810" s="177"/>
      <c r="T810" s="177"/>
      <c r="U810" s="177"/>
      <c r="V810" s="177"/>
      <c r="W810" s="177"/>
      <c r="X810" s="177"/>
      <c r="Y810" s="159"/>
      <c r="Z810" s="160"/>
      <c r="AA810" s="160"/>
      <c r="AB810" s="160"/>
      <c r="AC810" s="160"/>
      <c r="AD810" s="160"/>
      <c r="AE810" s="160"/>
    </row>
    <row r="811" spans="1:31" ht="23.4">
      <c r="A811" s="175"/>
      <c r="B811" s="142"/>
      <c r="C811" s="143"/>
      <c r="D811" s="143"/>
      <c r="E811" s="143"/>
      <c r="F811" s="143"/>
      <c r="G811" s="143"/>
      <c r="H811" s="143"/>
      <c r="I811" s="142"/>
      <c r="J811" s="142"/>
      <c r="K811" s="143"/>
      <c r="L811" s="178"/>
      <c r="M811" s="143"/>
      <c r="N811" s="143"/>
      <c r="O811" s="143"/>
      <c r="P811" s="143"/>
      <c r="Q811" s="176"/>
      <c r="R811" s="143"/>
      <c r="S811" s="177"/>
      <c r="T811" s="177"/>
      <c r="U811" s="177"/>
      <c r="V811" s="177"/>
      <c r="W811" s="177"/>
      <c r="X811" s="177"/>
      <c r="Y811" s="159"/>
      <c r="Z811" s="160"/>
      <c r="AA811" s="160"/>
      <c r="AB811" s="160"/>
      <c r="AC811" s="160"/>
      <c r="AD811" s="160"/>
      <c r="AE811" s="160"/>
    </row>
    <row r="812" spans="1:31" ht="23.4">
      <c r="A812" s="175"/>
      <c r="B812" s="142"/>
      <c r="C812" s="143"/>
      <c r="D812" s="143"/>
      <c r="E812" s="143"/>
      <c r="F812" s="143"/>
      <c r="G812" s="143"/>
      <c r="H812" s="143"/>
      <c r="I812" s="142"/>
      <c r="J812" s="142"/>
      <c r="K812" s="143"/>
      <c r="L812" s="178"/>
      <c r="M812" s="143"/>
      <c r="N812" s="143"/>
      <c r="O812" s="143"/>
      <c r="P812" s="143"/>
      <c r="Q812" s="176"/>
      <c r="R812" s="143"/>
      <c r="S812" s="177"/>
      <c r="T812" s="177"/>
      <c r="U812" s="177"/>
      <c r="V812" s="177"/>
      <c r="W812" s="177"/>
      <c r="X812" s="177"/>
      <c r="Y812" s="159"/>
      <c r="Z812" s="160"/>
      <c r="AA812" s="160"/>
      <c r="AB812" s="160"/>
      <c r="AC812" s="160"/>
      <c r="AD812" s="160"/>
      <c r="AE812" s="160"/>
    </row>
    <row r="813" spans="1:31" ht="23.4">
      <c r="A813" s="175"/>
      <c r="B813" s="142"/>
      <c r="C813" s="143"/>
      <c r="D813" s="143"/>
      <c r="E813" s="143"/>
      <c r="F813" s="143"/>
      <c r="G813" s="143"/>
      <c r="H813" s="143"/>
      <c r="I813" s="142"/>
      <c r="J813" s="142"/>
      <c r="K813" s="143"/>
      <c r="L813" s="178"/>
      <c r="M813" s="143"/>
      <c r="N813" s="143"/>
      <c r="O813" s="143"/>
      <c r="P813" s="143"/>
      <c r="Q813" s="176"/>
      <c r="R813" s="143"/>
      <c r="S813" s="177"/>
      <c r="T813" s="177"/>
      <c r="U813" s="177"/>
      <c r="V813" s="177"/>
      <c r="W813" s="177"/>
      <c r="X813" s="177"/>
      <c r="Y813" s="159"/>
      <c r="Z813" s="160"/>
      <c r="AA813" s="160"/>
      <c r="AB813" s="160"/>
      <c r="AC813" s="160"/>
      <c r="AD813" s="160"/>
      <c r="AE813" s="160"/>
    </row>
    <row r="814" spans="1:31" ht="23.4">
      <c r="A814" s="175"/>
      <c r="B814" s="142"/>
      <c r="C814" s="143"/>
      <c r="D814" s="143"/>
      <c r="E814" s="143"/>
      <c r="F814" s="143"/>
      <c r="G814" s="143"/>
      <c r="H814" s="143"/>
      <c r="I814" s="142"/>
      <c r="J814" s="142"/>
      <c r="K814" s="143"/>
      <c r="L814" s="178"/>
      <c r="M814" s="143"/>
      <c r="N814" s="143"/>
      <c r="O814" s="143"/>
      <c r="P814" s="143"/>
      <c r="Q814" s="176"/>
      <c r="R814" s="143"/>
      <c r="S814" s="177"/>
      <c r="T814" s="177"/>
      <c r="U814" s="177"/>
      <c r="V814" s="177"/>
      <c r="W814" s="177"/>
      <c r="X814" s="177"/>
      <c r="Y814" s="159"/>
      <c r="Z814" s="160"/>
      <c r="AA814" s="160"/>
      <c r="AB814" s="160"/>
      <c r="AC814" s="160"/>
      <c r="AD814" s="160"/>
      <c r="AE814" s="160"/>
    </row>
    <row r="815" spans="1:31" ht="23.4">
      <c r="A815" s="175"/>
      <c r="B815" s="142"/>
      <c r="C815" s="143"/>
      <c r="D815" s="143"/>
      <c r="E815" s="143"/>
      <c r="F815" s="143"/>
      <c r="G815" s="143"/>
      <c r="H815" s="143"/>
      <c r="I815" s="142"/>
      <c r="J815" s="142"/>
      <c r="K815" s="143"/>
      <c r="L815" s="178"/>
      <c r="M815" s="143"/>
      <c r="N815" s="143"/>
      <c r="O815" s="143"/>
      <c r="P815" s="143"/>
      <c r="Q815" s="176"/>
      <c r="R815" s="143"/>
      <c r="S815" s="177"/>
      <c r="T815" s="177"/>
      <c r="U815" s="177"/>
      <c r="V815" s="177"/>
      <c r="W815" s="177"/>
      <c r="X815" s="177"/>
      <c r="Y815" s="159"/>
      <c r="Z815" s="160"/>
      <c r="AA815" s="160"/>
      <c r="AB815" s="160"/>
      <c r="AC815" s="160"/>
      <c r="AD815" s="160"/>
      <c r="AE815" s="160"/>
    </row>
    <row r="816" spans="1:31" ht="23.4">
      <c r="A816" s="175"/>
      <c r="B816" s="142"/>
      <c r="C816" s="143"/>
      <c r="D816" s="143"/>
      <c r="E816" s="143"/>
      <c r="F816" s="143"/>
      <c r="G816" s="143"/>
      <c r="H816" s="143"/>
      <c r="I816" s="142"/>
      <c r="J816" s="142"/>
      <c r="K816" s="143"/>
      <c r="L816" s="178"/>
      <c r="M816" s="143"/>
      <c r="N816" s="143"/>
      <c r="O816" s="143"/>
      <c r="P816" s="143"/>
      <c r="Q816" s="176"/>
      <c r="R816" s="143"/>
      <c r="S816" s="177"/>
      <c r="T816" s="177"/>
      <c r="U816" s="177"/>
      <c r="V816" s="177"/>
      <c r="W816" s="177"/>
      <c r="X816" s="177"/>
      <c r="Y816" s="159"/>
      <c r="Z816" s="160"/>
      <c r="AA816" s="160"/>
      <c r="AB816" s="160"/>
      <c r="AC816" s="160"/>
      <c r="AD816" s="160"/>
      <c r="AE816" s="160"/>
    </row>
    <row r="817" spans="1:31" ht="23.4">
      <c r="A817" s="175"/>
      <c r="B817" s="142"/>
      <c r="C817" s="143"/>
      <c r="D817" s="143"/>
      <c r="E817" s="143"/>
      <c r="F817" s="143"/>
      <c r="G817" s="143"/>
      <c r="H817" s="143"/>
      <c r="I817" s="142"/>
      <c r="J817" s="142"/>
      <c r="K817" s="143"/>
      <c r="L817" s="178"/>
      <c r="M817" s="143"/>
      <c r="N817" s="143"/>
      <c r="O817" s="143"/>
      <c r="P817" s="143"/>
      <c r="Q817" s="176"/>
      <c r="R817" s="143"/>
      <c r="S817" s="177"/>
      <c r="T817" s="177"/>
      <c r="U817" s="177"/>
      <c r="V817" s="177"/>
      <c r="W817" s="177"/>
      <c r="X817" s="177"/>
      <c r="Y817" s="159"/>
      <c r="Z817" s="160"/>
      <c r="AA817" s="160"/>
      <c r="AB817" s="160"/>
      <c r="AC817" s="160"/>
      <c r="AD817" s="160"/>
      <c r="AE817" s="160"/>
    </row>
    <row r="818" spans="1:31" ht="23.4">
      <c r="A818" s="175"/>
      <c r="B818" s="142"/>
      <c r="C818" s="143"/>
      <c r="D818" s="143"/>
      <c r="E818" s="143"/>
      <c r="F818" s="143"/>
      <c r="G818" s="143"/>
      <c r="H818" s="143"/>
      <c r="I818" s="142"/>
      <c r="J818" s="142"/>
      <c r="K818" s="143"/>
      <c r="L818" s="178"/>
      <c r="M818" s="143"/>
      <c r="N818" s="143"/>
      <c r="O818" s="143"/>
      <c r="P818" s="143"/>
      <c r="Q818" s="176"/>
      <c r="R818" s="143"/>
      <c r="S818" s="177"/>
      <c r="T818" s="177"/>
      <c r="U818" s="177"/>
      <c r="V818" s="177"/>
      <c r="W818" s="177"/>
      <c r="X818" s="177"/>
      <c r="Y818" s="159"/>
      <c r="Z818" s="160"/>
      <c r="AA818" s="160"/>
      <c r="AB818" s="160"/>
      <c r="AC818" s="160"/>
      <c r="AD818" s="160"/>
      <c r="AE818" s="160"/>
    </row>
    <row r="819" spans="1:31" ht="23.4">
      <c r="A819" s="175"/>
      <c r="B819" s="142"/>
      <c r="C819" s="143"/>
      <c r="D819" s="143"/>
      <c r="E819" s="143"/>
      <c r="F819" s="143"/>
      <c r="G819" s="143"/>
      <c r="H819" s="143"/>
      <c r="I819" s="142"/>
      <c r="J819" s="142"/>
      <c r="K819" s="143"/>
      <c r="L819" s="178"/>
      <c r="M819" s="143"/>
      <c r="N819" s="143"/>
      <c r="O819" s="143"/>
      <c r="P819" s="143"/>
      <c r="Q819" s="176"/>
      <c r="R819" s="143"/>
      <c r="S819" s="177"/>
      <c r="T819" s="177"/>
      <c r="U819" s="177"/>
      <c r="V819" s="177"/>
      <c r="W819" s="177"/>
      <c r="X819" s="177"/>
      <c r="Y819" s="159"/>
      <c r="Z819" s="160"/>
      <c r="AA819" s="160"/>
      <c r="AB819" s="160"/>
      <c r="AC819" s="160"/>
      <c r="AD819" s="160"/>
      <c r="AE819" s="160"/>
    </row>
    <row r="820" spans="1:31" ht="23.4">
      <c r="A820" s="175"/>
      <c r="B820" s="142"/>
      <c r="C820" s="143"/>
      <c r="D820" s="143"/>
      <c r="E820" s="143"/>
      <c r="F820" s="143"/>
      <c r="G820" s="143"/>
      <c r="H820" s="143"/>
      <c r="I820" s="142"/>
      <c r="J820" s="142"/>
      <c r="K820" s="143"/>
      <c r="L820" s="178"/>
      <c r="M820" s="143"/>
      <c r="N820" s="143"/>
      <c r="O820" s="143"/>
      <c r="P820" s="143"/>
      <c r="Q820" s="176"/>
      <c r="R820" s="143"/>
      <c r="S820" s="177"/>
      <c r="T820" s="177"/>
      <c r="U820" s="177"/>
      <c r="V820" s="177"/>
      <c r="W820" s="177"/>
      <c r="X820" s="177"/>
      <c r="Y820" s="159"/>
      <c r="Z820" s="160"/>
      <c r="AA820" s="160"/>
      <c r="AB820" s="160"/>
      <c r="AC820" s="160"/>
      <c r="AD820" s="160"/>
      <c r="AE820" s="160"/>
    </row>
    <row r="821" spans="1:31" ht="23.4">
      <c r="A821" s="175"/>
      <c r="B821" s="142"/>
      <c r="C821" s="143"/>
      <c r="D821" s="143"/>
      <c r="E821" s="143"/>
      <c r="F821" s="143"/>
      <c r="G821" s="143"/>
      <c r="H821" s="143"/>
      <c r="I821" s="142"/>
      <c r="J821" s="142"/>
      <c r="K821" s="143"/>
      <c r="L821" s="178"/>
      <c r="M821" s="143"/>
      <c r="N821" s="143"/>
      <c r="O821" s="143"/>
      <c r="P821" s="143"/>
      <c r="Q821" s="176"/>
      <c r="R821" s="143"/>
      <c r="S821" s="177"/>
      <c r="T821" s="177"/>
      <c r="U821" s="177"/>
      <c r="V821" s="177"/>
      <c r="W821" s="177"/>
      <c r="X821" s="177"/>
      <c r="Y821" s="159"/>
      <c r="Z821" s="160"/>
      <c r="AA821" s="160"/>
      <c r="AB821" s="160"/>
      <c r="AC821" s="160"/>
      <c r="AD821" s="160"/>
      <c r="AE821" s="160"/>
    </row>
    <row r="822" spans="1:31" ht="23.4">
      <c r="A822" s="175"/>
      <c r="B822" s="142"/>
      <c r="C822" s="143"/>
      <c r="D822" s="143"/>
      <c r="E822" s="143"/>
      <c r="F822" s="143"/>
      <c r="G822" s="143"/>
      <c r="H822" s="143"/>
      <c r="I822" s="142"/>
      <c r="J822" s="142"/>
      <c r="K822" s="143"/>
      <c r="L822" s="178"/>
      <c r="M822" s="143"/>
      <c r="N822" s="143"/>
      <c r="O822" s="143"/>
      <c r="P822" s="143"/>
      <c r="Q822" s="176"/>
      <c r="R822" s="143"/>
      <c r="S822" s="177"/>
      <c r="T822" s="177"/>
      <c r="U822" s="177"/>
      <c r="V822" s="177"/>
      <c r="W822" s="177"/>
      <c r="X822" s="177"/>
      <c r="Y822" s="159"/>
      <c r="Z822" s="160"/>
      <c r="AA822" s="160"/>
      <c r="AB822" s="160"/>
      <c r="AC822" s="160"/>
      <c r="AD822" s="160"/>
      <c r="AE822" s="160"/>
    </row>
    <row r="823" spans="1:31" ht="23.4">
      <c r="A823" s="175"/>
      <c r="B823" s="142"/>
      <c r="C823" s="143"/>
      <c r="D823" s="143"/>
      <c r="E823" s="143"/>
      <c r="F823" s="143"/>
      <c r="G823" s="143"/>
      <c r="H823" s="143"/>
      <c r="I823" s="142"/>
      <c r="J823" s="142"/>
      <c r="K823" s="143"/>
      <c r="L823" s="178"/>
      <c r="M823" s="143"/>
      <c r="N823" s="143"/>
      <c r="O823" s="143"/>
      <c r="P823" s="143"/>
      <c r="Q823" s="176"/>
      <c r="R823" s="143"/>
      <c r="S823" s="177"/>
      <c r="T823" s="177"/>
      <c r="U823" s="177"/>
      <c r="V823" s="177"/>
      <c r="W823" s="177"/>
      <c r="X823" s="177"/>
      <c r="Y823" s="159"/>
      <c r="Z823" s="160"/>
      <c r="AA823" s="160"/>
      <c r="AB823" s="160"/>
      <c r="AC823" s="160"/>
      <c r="AD823" s="160"/>
      <c r="AE823" s="160"/>
    </row>
    <row r="824" spans="1:31" ht="23.4">
      <c r="A824" s="175"/>
      <c r="B824" s="142"/>
      <c r="C824" s="143"/>
      <c r="D824" s="143"/>
      <c r="E824" s="143"/>
      <c r="F824" s="143"/>
      <c r="G824" s="143"/>
      <c r="H824" s="143"/>
      <c r="I824" s="142"/>
      <c r="J824" s="142"/>
      <c r="K824" s="143"/>
      <c r="L824" s="178"/>
      <c r="M824" s="143"/>
      <c r="N824" s="143"/>
      <c r="O824" s="143"/>
      <c r="P824" s="143"/>
      <c r="Q824" s="176"/>
      <c r="R824" s="143"/>
      <c r="S824" s="177"/>
      <c r="T824" s="177"/>
      <c r="U824" s="177"/>
      <c r="V824" s="177"/>
      <c r="W824" s="177"/>
      <c r="X824" s="177"/>
      <c r="Y824" s="159"/>
      <c r="Z824" s="160"/>
      <c r="AA824" s="160"/>
      <c r="AB824" s="160"/>
      <c r="AC824" s="160"/>
      <c r="AD824" s="160"/>
      <c r="AE824" s="160"/>
    </row>
    <row r="825" spans="1:31" ht="23.4">
      <c r="A825" s="175"/>
      <c r="B825" s="142"/>
      <c r="C825" s="143"/>
      <c r="D825" s="143"/>
      <c r="E825" s="143"/>
      <c r="F825" s="143"/>
      <c r="G825" s="143"/>
      <c r="H825" s="143"/>
      <c r="I825" s="142"/>
      <c r="J825" s="142"/>
      <c r="K825" s="143"/>
      <c r="L825" s="178"/>
      <c r="M825" s="143"/>
      <c r="N825" s="143"/>
      <c r="O825" s="143"/>
      <c r="P825" s="143"/>
      <c r="Q825" s="176"/>
      <c r="R825" s="143"/>
      <c r="S825" s="177"/>
      <c r="T825" s="177"/>
      <c r="U825" s="177"/>
      <c r="V825" s="177"/>
      <c r="W825" s="177"/>
      <c r="X825" s="177"/>
      <c r="Y825" s="159"/>
      <c r="Z825" s="160"/>
      <c r="AA825" s="160"/>
      <c r="AB825" s="160"/>
      <c r="AC825" s="160"/>
      <c r="AD825" s="160"/>
      <c r="AE825" s="160"/>
    </row>
    <row r="826" spans="1:31" ht="23.4">
      <c r="A826" s="175"/>
      <c r="B826" s="142"/>
      <c r="C826" s="143"/>
      <c r="D826" s="143"/>
      <c r="E826" s="143"/>
      <c r="F826" s="143"/>
      <c r="G826" s="143"/>
      <c r="H826" s="143"/>
      <c r="I826" s="142"/>
      <c r="J826" s="142"/>
      <c r="K826" s="143"/>
      <c r="L826" s="178"/>
      <c r="M826" s="143"/>
      <c r="N826" s="143"/>
      <c r="O826" s="143"/>
      <c r="P826" s="143"/>
      <c r="Q826" s="176"/>
      <c r="R826" s="143"/>
      <c r="S826" s="177"/>
      <c r="T826" s="177"/>
      <c r="U826" s="177"/>
      <c r="V826" s="177"/>
      <c r="W826" s="177"/>
      <c r="X826" s="177"/>
      <c r="Y826" s="159"/>
      <c r="Z826" s="160"/>
      <c r="AA826" s="160"/>
      <c r="AB826" s="160"/>
      <c r="AC826" s="160"/>
      <c r="AD826" s="160"/>
      <c r="AE826" s="160"/>
    </row>
    <row r="827" spans="1:31" ht="23.4">
      <c r="A827" s="175"/>
      <c r="B827" s="142"/>
      <c r="C827" s="143"/>
      <c r="D827" s="143"/>
      <c r="E827" s="143"/>
      <c r="F827" s="143"/>
      <c r="G827" s="143"/>
      <c r="H827" s="143"/>
      <c r="I827" s="142"/>
      <c r="J827" s="142"/>
      <c r="K827" s="143"/>
      <c r="L827" s="178"/>
      <c r="M827" s="143"/>
      <c r="N827" s="143"/>
      <c r="O827" s="143"/>
      <c r="P827" s="143"/>
      <c r="Q827" s="176"/>
      <c r="R827" s="143"/>
      <c r="S827" s="177"/>
      <c r="T827" s="177"/>
      <c r="U827" s="177"/>
      <c r="V827" s="177"/>
      <c r="W827" s="177"/>
      <c r="X827" s="177"/>
      <c r="Y827" s="159"/>
      <c r="Z827" s="160"/>
      <c r="AA827" s="160"/>
      <c r="AB827" s="160"/>
      <c r="AC827" s="160"/>
      <c r="AD827" s="160"/>
      <c r="AE827" s="160"/>
    </row>
    <row r="828" spans="1:31" ht="23.4">
      <c r="A828" s="175"/>
      <c r="B828" s="142"/>
      <c r="C828" s="143"/>
      <c r="D828" s="143"/>
      <c r="E828" s="143"/>
      <c r="F828" s="143"/>
      <c r="G828" s="143"/>
      <c r="H828" s="143"/>
      <c r="I828" s="142"/>
      <c r="J828" s="142"/>
      <c r="K828" s="143"/>
      <c r="L828" s="178"/>
      <c r="M828" s="143"/>
      <c r="N828" s="143"/>
      <c r="O828" s="143"/>
      <c r="P828" s="143"/>
      <c r="Q828" s="176"/>
      <c r="R828" s="143"/>
      <c r="S828" s="177"/>
      <c r="T828" s="177"/>
      <c r="U828" s="177"/>
      <c r="V828" s="177"/>
      <c r="W828" s="177"/>
      <c r="X828" s="177"/>
      <c r="Y828" s="159"/>
      <c r="Z828" s="160"/>
      <c r="AA828" s="160"/>
      <c r="AB828" s="160"/>
      <c r="AC828" s="160"/>
      <c r="AD828" s="160"/>
      <c r="AE828" s="160"/>
    </row>
    <row r="829" spans="1:31" ht="23.4">
      <c r="A829" s="175"/>
      <c r="B829" s="142"/>
      <c r="C829" s="143"/>
      <c r="D829" s="143"/>
      <c r="E829" s="143"/>
      <c r="F829" s="143"/>
      <c r="G829" s="143"/>
      <c r="H829" s="143"/>
      <c r="I829" s="142"/>
      <c r="J829" s="142"/>
      <c r="K829" s="143"/>
      <c r="L829" s="178"/>
      <c r="M829" s="143"/>
      <c r="N829" s="143"/>
      <c r="O829" s="143"/>
      <c r="P829" s="143"/>
      <c r="Q829" s="176"/>
      <c r="R829" s="143"/>
      <c r="S829" s="177"/>
      <c r="T829" s="177"/>
      <c r="U829" s="177"/>
      <c r="V829" s="177"/>
      <c r="W829" s="177"/>
      <c r="X829" s="177"/>
      <c r="Y829" s="159"/>
      <c r="Z829" s="160"/>
      <c r="AA829" s="160"/>
      <c r="AB829" s="160"/>
      <c r="AC829" s="160"/>
      <c r="AD829" s="160"/>
      <c r="AE829" s="160"/>
    </row>
    <row r="830" spans="1:31" ht="23.4">
      <c r="A830" s="175"/>
      <c r="B830" s="142"/>
      <c r="C830" s="143"/>
      <c r="D830" s="143"/>
      <c r="E830" s="143"/>
      <c r="F830" s="143"/>
      <c r="G830" s="143"/>
      <c r="H830" s="143"/>
      <c r="I830" s="142"/>
      <c r="J830" s="142"/>
      <c r="K830" s="143"/>
      <c r="L830" s="178"/>
      <c r="M830" s="143"/>
      <c r="N830" s="143"/>
      <c r="O830" s="143"/>
      <c r="P830" s="143"/>
      <c r="Q830" s="176"/>
      <c r="R830" s="143"/>
      <c r="S830" s="177"/>
      <c r="T830" s="177"/>
      <c r="U830" s="177"/>
      <c r="V830" s="177"/>
      <c r="W830" s="177"/>
      <c r="X830" s="177"/>
      <c r="Y830" s="159"/>
      <c r="Z830" s="160"/>
      <c r="AA830" s="160"/>
      <c r="AB830" s="160"/>
      <c r="AC830" s="160"/>
      <c r="AD830" s="160"/>
      <c r="AE830" s="160"/>
    </row>
    <row r="831" spans="1:31" ht="23.4">
      <c r="A831" s="175"/>
      <c r="B831" s="142"/>
      <c r="C831" s="143"/>
      <c r="D831" s="143"/>
      <c r="E831" s="143"/>
      <c r="F831" s="143"/>
      <c r="G831" s="143"/>
      <c r="H831" s="143"/>
      <c r="I831" s="142"/>
      <c r="J831" s="142"/>
      <c r="K831" s="143"/>
      <c r="L831" s="178"/>
      <c r="M831" s="143"/>
      <c r="N831" s="143"/>
      <c r="O831" s="143"/>
      <c r="P831" s="143"/>
      <c r="Q831" s="176"/>
      <c r="R831" s="143"/>
      <c r="S831" s="177"/>
      <c r="T831" s="177"/>
      <c r="U831" s="177"/>
      <c r="V831" s="177"/>
      <c r="W831" s="177"/>
      <c r="X831" s="177"/>
      <c r="Y831" s="159"/>
      <c r="Z831" s="160"/>
      <c r="AA831" s="160"/>
      <c r="AB831" s="160"/>
      <c r="AC831" s="160"/>
      <c r="AD831" s="160"/>
      <c r="AE831" s="160"/>
    </row>
    <row r="832" spans="1:31" ht="23.4">
      <c r="A832" s="175"/>
      <c r="B832" s="142"/>
      <c r="C832" s="143"/>
      <c r="D832" s="143"/>
      <c r="E832" s="143"/>
      <c r="F832" s="143"/>
      <c r="G832" s="143"/>
      <c r="H832" s="143"/>
      <c r="I832" s="142"/>
      <c r="J832" s="142"/>
      <c r="K832" s="143"/>
      <c r="L832" s="178"/>
      <c r="M832" s="143"/>
      <c r="N832" s="143"/>
      <c r="O832" s="143"/>
      <c r="P832" s="143"/>
      <c r="Q832" s="176"/>
      <c r="R832" s="143"/>
      <c r="S832" s="177"/>
      <c r="T832" s="177"/>
      <c r="U832" s="177"/>
      <c r="V832" s="177"/>
      <c r="W832" s="177"/>
      <c r="X832" s="177"/>
      <c r="Y832" s="159"/>
      <c r="Z832" s="160"/>
      <c r="AA832" s="160"/>
      <c r="AB832" s="160"/>
      <c r="AC832" s="160"/>
      <c r="AD832" s="160"/>
      <c r="AE832" s="160"/>
    </row>
    <row r="833" spans="1:31" ht="23.4">
      <c r="A833" s="175"/>
      <c r="B833" s="142"/>
      <c r="C833" s="143"/>
      <c r="D833" s="143"/>
      <c r="E833" s="143"/>
      <c r="F833" s="143"/>
      <c r="G833" s="143"/>
      <c r="H833" s="143"/>
      <c r="I833" s="142"/>
      <c r="J833" s="142"/>
      <c r="K833" s="143"/>
      <c r="L833" s="178"/>
      <c r="M833" s="143"/>
      <c r="N833" s="143"/>
      <c r="O833" s="143"/>
      <c r="P833" s="143"/>
      <c r="Q833" s="176"/>
      <c r="R833" s="143"/>
      <c r="S833" s="177"/>
      <c r="T833" s="177"/>
      <c r="U833" s="177"/>
      <c r="V833" s="177"/>
      <c r="W833" s="177"/>
      <c r="X833" s="177"/>
      <c r="Y833" s="159"/>
      <c r="Z833" s="160"/>
      <c r="AA833" s="160"/>
      <c r="AB833" s="160"/>
      <c r="AC833" s="160"/>
      <c r="AD833" s="160"/>
      <c r="AE833" s="160"/>
    </row>
    <row r="834" spans="1:31" ht="23.4">
      <c r="A834" s="175"/>
      <c r="B834" s="142"/>
      <c r="C834" s="143"/>
      <c r="D834" s="143"/>
      <c r="E834" s="143"/>
      <c r="F834" s="143"/>
      <c r="G834" s="143"/>
      <c r="H834" s="143"/>
      <c r="I834" s="142"/>
      <c r="J834" s="142"/>
      <c r="K834" s="143"/>
      <c r="L834" s="178"/>
      <c r="M834" s="143"/>
      <c r="N834" s="143"/>
      <c r="O834" s="143"/>
      <c r="P834" s="143"/>
      <c r="Q834" s="176"/>
      <c r="R834" s="143"/>
      <c r="S834" s="177"/>
      <c r="T834" s="177"/>
      <c r="U834" s="177"/>
      <c r="V834" s="177"/>
      <c r="W834" s="177"/>
      <c r="X834" s="177"/>
      <c r="Y834" s="159"/>
      <c r="Z834" s="160"/>
      <c r="AA834" s="160"/>
      <c r="AB834" s="160"/>
      <c r="AC834" s="160"/>
      <c r="AD834" s="160"/>
      <c r="AE834" s="160"/>
    </row>
    <row r="835" spans="1:31" ht="23.4">
      <c r="A835" s="175"/>
      <c r="B835" s="142"/>
      <c r="C835" s="143"/>
      <c r="D835" s="143"/>
      <c r="E835" s="143"/>
      <c r="F835" s="143"/>
      <c r="G835" s="143"/>
      <c r="H835" s="143"/>
      <c r="I835" s="142"/>
      <c r="J835" s="142"/>
      <c r="K835" s="143"/>
      <c r="L835" s="178"/>
      <c r="M835" s="143"/>
      <c r="N835" s="143"/>
      <c r="O835" s="143"/>
      <c r="P835" s="143"/>
      <c r="Q835" s="176"/>
      <c r="R835" s="143"/>
      <c r="S835" s="177"/>
      <c r="T835" s="177"/>
      <c r="U835" s="177"/>
      <c r="V835" s="177"/>
      <c r="W835" s="177"/>
      <c r="X835" s="177"/>
      <c r="Y835" s="159"/>
      <c r="Z835" s="160"/>
      <c r="AA835" s="160"/>
      <c r="AB835" s="160"/>
      <c r="AC835" s="160"/>
      <c r="AD835" s="160"/>
      <c r="AE835" s="160"/>
    </row>
    <row r="836" spans="1:31" ht="23.4">
      <c r="A836" s="175"/>
      <c r="B836" s="142"/>
      <c r="C836" s="143"/>
      <c r="D836" s="143"/>
      <c r="E836" s="143"/>
      <c r="F836" s="143"/>
      <c r="G836" s="143"/>
      <c r="H836" s="143"/>
      <c r="I836" s="142"/>
      <c r="J836" s="142"/>
      <c r="K836" s="143"/>
      <c r="L836" s="178"/>
      <c r="M836" s="143"/>
      <c r="N836" s="143"/>
      <c r="O836" s="143"/>
      <c r="P836" s="143"/>
      <c r="Q836" s="176"/>
      <c r="R836" s="143"/>
      <c r="S836" s="177"/>
      <c r="T836" s="177"/>
      <c r="U836" s="177"/>
      <c r="V836" s="177"/>
      <c r="W836" s="177"/>
      <c r="X836" s="177"/>
      <c r="Y836" s="159"/>
      <c r="Z836" s="160"/>
      <c r="AA836" s="160"/>
      <c r="AB836" s="160"/>
      <c r="AC836" s="160"/>
      <c r="AD836" s="160"/>
      <c r="AE836" s="160"/>
    </row>
    <row r="837" spans="1:31" ht="23.4">
      <c r="A837" s="175"/>
      <c r="B837" s="142"/>
      <c r="C837" s="143"/>
      <c r="D837" s="143"/>
      <c r="E837" s="143"/>
      <c r="F837" s="143"/>
      <c r="G837" s="143"/>
      <c r="H837" s="143"/>
      <c r="I837" s="142"/>
      <c r="J837" s="142"/>
      <c r="K837" s="143"/>
      <c r="L837" s="178"/>
      <c r="M837" s="143"/>
      <c r="N837" s="143"/>
      <c r="O837" s="143"/>
      <c r="P837" s="143"/>
      <c r="Q837" s="176"/>
      <c r="R837" s="143"/>
      <c r="S837" s="177"/>
      <c r="T837" s="177"/>
      <c r="U837" s="177"/>
      <c r="V837" s="177"/>
      <c r="W837" s="177"/>
      <c r="X837" s="177"/>
      <c r="Y837" s="159"/>
      <c r="Z837" s="160"/>
      <c r="AA837" s="160"/>
      <c r="AB837" s="160"/>
      <c r="AC837" s="160"/>
      <c r="AD837" s="160"/>
      <c r="AE837" s="160"/>
    </row>
    <row r="838" spans="1:31" ht="23.4">
      <c r="A838" s="175"/>
      <c r="B838" s="142"/>
      <c r="C838" s="143"/>
      <c r="D838" s="143"/>
      <c r="E838" s="143"/>
      <c r="F838" s="143"/>
      <c r="G838" s="143"/>
      <c r="H838" s="143"/>
      <c r="I838" s="142"/>
      <c r="J838" s="142"/>
      <c r="K838" s="143"/>
      <c r="L838" s="178"/>
      <c r="M838" s="143"/>
      <c r="N838" s="143"/>
      <c r="O838" s="143"/>
      <c r="P838" s="143"/>
      <c r="Q838" s="176"/>
      <c r="R838" s="143"/>
      <c r="S838" s="177"/>
      <c r="T838" s="177"/>
      <c r="U838" s="177"/>
      <c r="V838" s="177"/>
      <c r="W838" s="177"/>
      <c r="X838" s="177"/>
      <c r="Y838" s="159"/>
      <c r="Z838" s="160"/>
      <c r="AA838" s="160"/>
      <c r="AB838" s="160"/>
      <c r="AC838" s="160"/>
      <c r="AD838" s="160"/>
      <c r="AE838" s="160"/>
    </row>
    <row r="839" spans="1:31" ht="23.4">
      <c r="A839" s="175"/>
      <c r="B839" s="142"/>
      <c r="C839" s="143"/>
      <c r="D839" s="143"/>
      <c r="E839" s="143"/>
      <c r="F839" s="143"/>
      <c r="G839" s="143"/>
      <c r="H839" s="143"/>
      <c r="I839" s="142"/>
      <c r="J839" s="142"/>
      <c r="K839" s="143"/>
      <c r="L839" s="178"/>
      <c r="M839" s="143"/>
      <c r="N839" s="143"/>
      <c r="O839" s="143"/>
      <c r="P839" s="143"/>
      <c r="Q839" s="176"/>
      <c r="R839" s="143"/>
      <c r="S839" s="177"/>
      <c r="T839" s="177"/>
      <c r="U839" s="177"/>
      <c r="V839" s="177"/>
      <c r="W839" s="177"/>
      <c r="X839" s="177"/>
      <c r="Y839" s="159"/>
      <c r="Z839" s="160"/>
      <c r="AA839" s="160"/>
      <c r="AB839" s="160"/>
      <c r="AC839" s="160"/>
      <c r="AD839" s="160"/>
      <c r="AE839" s="160"/>
    </row>
    <row r="840" spans="1:31" ht="23.4">
      <c r="A840" s="175"/>
      <c r="B840" s="142"/>
      <c r="C840" s="143"/>
      <c r="D840" s="143"/>
      <c r="E840" s="143"/>
      <c r="F840" s="143"/>
      <c r="G840" s="143"/>
      <c r="H840" s="143"/>
      <c r="I840" s="142"/>
      <c r="J840" s="142"/>
      <c r="K840" s="143"/>
      <c r="L840" s="178"/>
      <c r="M840" s="143"/>
      <c r="N840" s="143"/>
      <c r="O840" s="143"/>
      <c r="P840" s="143"/>
      <c r="Q840" s="176"/>
      <c r="R840" s="143"/>
      <c r="S840" s="177"/>
      <c r="T840" s="177"/>
      <c r="U840" s="177"/>
      <c r="V840" s="177"/>
      <c r="W840" s="177"/>
      <c r="X840" s="177"/>
      <c r="Y840" s="159"/>
      <c r="Z840" s="160"/>
      <c r="AA840" s="160"/>
      <c r="AB840" s="160"/>
      <c r="AC840" s="160"/>
      <c r="AD840" s="160"/>
      <c r="AE840" s="160"/>
    </row>
    <row r="841" spans="1:31" ht="23.4">
      <c r="A841" s="175"/>
      <c r="B841" s="142"/>
      <c r="C841" s="143"/>
      <c r="D841" s="143"/>
      <c r="E841" s="143"/>
      <c r="F841" s="143"/>
      <c r="G841" s="143"/>
      <c r="H841" s="143"/>
      <c r="I841" s="142"/>
      <c r="J841" s="142"/>
      <c r="K841" s="143"/>
      <c r="L841" s="178"/>
      <c r="M841" s="143"/>
      <c r="N841" s="143"/>
      <c r="O841" s="143"/>
      <c r="P841" s="143"/>
      <c r="Q841" s="176"/>
      <c r="R841" s="143"/>
      <c r="S841" s="177"/>
      <c r="T841" s="177"/>
      <c r="U841" s="177"/>
      <c r="V841" s="177"/>
      <c r="W841" s="177"/>
      <c r="X841" s="177"/>
      <c r="Y841" s="159"/>
      <c r="Z841" s="160"/>
      <c r="AA841" s="160"/>
      <c r="AB841" s="160"/>
      <c r="AC841" s="160"/>
      <c r="AD841" s="160"/>
      <c r="AE841" s="160"/>
    </row>
    <row r="842" spans="1:31" ht="23.4">
      <c r="A842" s="175"/>
      <c r="B842" s="142"/>
      <c r="C842" s="143"/>
      <c r="D842" s="143"/>
      <c r="E842" s="143"/>
      <c r="F842" s="143"/>
      <c r="G842" s="143"/>
      <c r="H842" s="143"/>
      <c r="I842" s="142"/>
      <c r="J842" s="142"/>
      <c r="K842" s="143"/>
      <c r="L842" s="178"/>
      <c r="M842" s="143"/>
      <c r="N842" s="143"/>
      <c r="O842" s="143"/>
      <c r="P842" s="143"/>
      <c r="Q842" s="176"/>
      <c r="R842" s="143"/>
      <c r="S842" s="177"/>
      <c r="T842" s="177"/>
      <c r="U842" s="177"/>
      <c r="V842" s="177"/>
      <c r="W842" s="177"/>
      <c r="X842" s="177"/>
      <c r="Y842" s="159"/>
      <c r="Z842" s="160"/>
      <c r="AA842" s="160"/>
      <c r="AB842" s="160"/>
      <c r="AC842" s="160"/>
      <c r="AD842" s="160"/>
      <c r="AE842" s="160"/>
    </row>
    <row r="843" spans="1:31" ht="23.4">
      <c r="A843" s="175"/>
      <c r="B843" s="142"/>
      <c r="C843" s="143"/>
      <c r="D843" s="143"/>
      <c r="E843" s="143"/>
      <c r="F843" s="143"/>
      <c r="G843" s="143"/>
      <c r="H843" s="143"/>
      <c r="I843" s="142"/>
      <c r="J843" s="142"/>
      <c r="K843" s="143"/>
      <c r="L843" s="178"/>
      <c r="M843" s="143"/>
      <c r="N843" s="143"/>
      <c r="O843" s="143"/>
      <c r="P843" s="143"/>
      <c r="Q843" s="176"/>
      <c r="R843" s="143"/>
      <c r="S843" s="177"/>
      <c r="T843" s="177"/>
      <c r="U843" s="177"/>
      <c r="V843" s="177"/>
      <c r="W843" s="177"/>
      <c r="X843" s="177"/>
      <c r="Y843" s="159"/>
      <c r="Z843" s="160"/>
      <c r="AA843" s="160"/>
      <c r="AB843" s="160"/>
      <c r="AC843" s="160"/>
      <c r="AD843" s="160"/>
      <c r="AE843" s="160"/>
    </row>
    <row r="844" spans="1:31" ht="23.4">
      <c r="A844" s="175"/>
      <c r="B844" s="142"/>
      <c r="C844" s="143"/>
      <c r="D844" s="143"/>
      <c r="E844" s="143"/>
      <c r="F844" s="143"/>
      <c r="G844" s="143"/>
      <c r="H844" s="143"/>
      <c r="I844" s="142"/>
      <c r="J844" s="142"/>
      <c r="K844" s="143"/>
      <c r="L844" s="178"/>
      <c r="M844" s="143"/>
      <c r="N844" s="143"/>
      <c r="O844" s="143"/>
      <c r="P844" s="143"/>
      <c r="Q844" s="176"/>
      <c r="R844" s="143"/>
      <c r="S844" s="177"/>
      <c r="T844" s="177"/>
      <c r="U844" s="177"/>
      <c r="V844" s="177"/>
      <c r="W844" s="177"/>
      <c r="X844" s="177"/>
      <c r="Y844" s="159"/>
      <c r="Z844" s="160"/>
      <c r="AA844" s="160"/>
      <c r="AB844" s="160"/>
      <c r="AC844" s="160"/>
      <c r="AD844" s="160"/>
      <c r="AE844" s="160"/>
    </row>
    <row r="845" spans="1:31" ht="23.4">
      <c r="A845" s="175"/>
      <c r="B845" s="142"/>
      <c r="C845" s="143"/>
      <c r="D845" s="143"/>
      <c r="E845" s="143"/>
      <c r="F845" s="143"/>
      <c r="G845" s="143"/>
      <c r="H845" s="143"/>
      <c r="I845" s="142"/>
      <c r="J845" s="142"/>
      <c r="K845" s="143"/>
      <c r="L845" s="178"/>
      <c r="M845" s="143"/>
      <c r="N845" s="143"/>
      <c r="O845" s="143"/>
      <c r="P845" s="143"/>
      <c r="Q845" s="176"/>
      <c r="R845" s="143"/>
      <c r="S845" s="177"/>
      <c r="T845" s="177"/>
      <c r="U845" s="177"/>
      <c r="V845" s="177"/>
      <c r="W845" s="177"/>
      <c r="X845" s="177"/>
      <c r="Y845" s="159"/>
      <c r="Z845" s="160"/>
      <c r="AA845" s="160"/>
      <c r="AB845" s="160"/>
      <c r="AC845" s="160"/>
      <c r="AD845" s="160"/>
      <c r="AE845" s="160"/>
    </row>
    <row r="846" spans="1:31" ht="23.4">
      <c r="A846" s="175"/>
      <c r="B846" s="142"/>
      <c r="C846" s="143"/>
      <c r="D846" s="143"/>
      <c r="E846" s="143"/>
      <c r="F846" s="143"/>
      <c r="G846" s="143"/>
      <c r="H846" s="143"/>
      <c r="I846" s="142"/>
      <c r="J846" s="142"/>
      <c r="K846" s="143"/>
      <c r="L846" s="178"/>
      <c r="M846" s="143"/>
      <c r="N846" s="143"/>
      <c r="O846" s="143"/>
      <c r="P846" s="143"/>
      <c r="Q846" s="176"/>
      <c r="R846" s="143"/>
      <c r="S846" s="177"/>
      <c r="T846" s="177"/>
      <c r="U846" s="177"/>
      <c r="V846" s="177"/>
      <c r="W846" s="177"/>
      <c r="X846" s="177"/>
      <c r="Y846" s="159"/>
      <c r="Z846" s="160"/>
      <c r="AA846" s="160"/>
      <c r="AB846" s="160"/>
      <c r="AC846" s="160"/>
      <c r="AD846" s="160"/>
      <c r="AE846" s="160"/>
    </row>
    <row r="847" spans="1:31" ht="23.4">
      <c r="A847" s="175"/>
      <c r="B847" s="142"/>
      <c r="C847" s="143"/>
      <c r="D847" s="143"/>
      <c r="E847" s="143"/>
      <c r="F847" s="143"/>
      <c r="G847" s="143"/>
      <c r="H847" s="143"/>
      <c r="I847" s="142"/>
      <c r="J847" s="142"/>
      <c r="K847" s="143"/>
      <c r="L847" s="178"/>
      <c r="M847" s="143"/>
      <c r="N847" s="143"/>
      <c r="O847" s="143"/>
      <c r="P847" s="143"/>
      <c r="Q847" s="176"/>
      <c r="R847" s="143"/>
      <c r="S847" s="177"/>
      <c r="T847" s="177"/>
      <c r="U847" s="177"/>
      <c r="V847" s="177"/>
      <c r="W847" s="177"/>
      <c r="X847" s="177"/>
      <c r="Y847" s="159"/>
      <c r="Z847" s="160"/>
      <c r="AA847" s="160"/>
      <c r="AB847" s="160"/>
      <c r="AC847" s="160"/>
      <c r="AD847" s="160"/>
      <c r="AE847" s="160"/>
    </row>
    <row r="848" spans="1:31" ht="23.4">
      <c r="A848" s="175"/>
      <c r="B848" s="142"/>
      <c r="C848" s="143"/>
      <c r="D848" s="143"/>
      <c r="E848" s="143"/>
      <c r="F848" s="143"/>
      <c r="G848" s="143"/>
      <c r="H848" s="143"/>
      <c r="I848" s="142"/>
      <c r="J848" s="142"/>
      <c r="K848" s="143"/>
      <c r="L848" s="178"/>
      <c r="M848" s="143"/>
      <c r="N848" s="143"/>
      <c r="O848" s="143"/>
      <c r="P848" s="143"/>
      <c r="Q848" s="176"/>
      <c r="R848" s="143"/>
      <c r="S848" s="177"/>
      <c r="T848" s="177"/>
      <c r="U848" s="177"/>
      <c r="V848" s="177"/>
      <c r="W848" s="177"/>
      <c r="X848" s="177"/>
      <c r="Y848" s="159"/>
      <c r="Z848" s="160"/>
      <c r="AA848" s="160"/>
      <c r="AB848" s="160"/>
      <c r="AC848" s="160"/>
      <c r="AD848" s="160"/>
      <c r="AE848" s="160"/>
    </row>
    <row r="849" spans="1:31" ht="23.4">
      <c r="A849" s="175"/>
      <c r="B849" s="142"/>
      <c r="C849" s="143"/>
      <c r="D849" s="143"/>
      <c r="E849" s="143"/>
      <c r="F849" s="143"/>
      <c r="G849" s="143"/>
      <c r="H849" s="143"/>
      <c r="I849" s="142"/>
      <c r="J849" s="142"/>
      <c r="K849" s="143"/>
      <c r="L849" s="178"/>
      <c r="M849" s="143"/>
      <c r="N849" s="143"/>
      <c r="O849" s="143"/>
      <c r="P849" s="143"/>
      <c r="Q849" s="176"/>
      <c r="R849" s="143"/>
      <c r="S849" s="177"/>
      <c r="T849" s="177"/>
      <c r="U849" s="177"/>
      <c r="V849" s="177"/>
      <c r="W849" s="177"/>
      <c r="X849" s="177"/>
      <c r="Y849" s="159"/>
      <c r="Z849" s="160"/>
      <c r="AA849" s="160"/>
      <c r="AB849" s="160"/>
      <c r="AC849" s="160"/>
      <c r="AD849" s="160"/>
      <c r="AE849" s="160"/>
    </row>
    <row r="850" spans="1:31" ht="23.4">
      <c r="A850" s="175"/>
      <c r="B850" s="142"/>
      <c r="C850" s="143"/>
      <c r="D850" s="143"/>
      <c r="E850" s="143"/>
      <c r="F850" s="143"/>
      <c r="G850" s="143"/>
      <c r="H850" s="143"/>
      <c r="I850" s="142"/>
      <c r="J850" s="142"/>
      <c r="K850" s="143"/>
      <c r="L850" s="178"/>
      <c r="M850" s="143"/>
      <c r="N850" s="143"/>
      <c r="O850" s="143"/>
      <c r="P850" s="143"/>
      <c r="Q850" s="176"/>
      <c r="R850" s="143"/>
      <c r="S850" s="177"/>
      <c r="T850" s="177"/>
      <c r="U850" s="177"/>
      <c r="V850" s="177"/>
      <c r="W850" s="177"/>
      <c r="X850" s="177"/>
      <c r="Y850" s="159"/>
      <c r="Z850" s="160"/>
      <c r="AA850" s="160"/>
      <c r="AB850" s="160"/>
      <c r="AC850" s="160"/>
      <c r="AD850" s="160"/>
      <c r="AE850" s="160"/>
    </row>
    <row r="851" spans="1:31" ht="23.4">
      <c r="A851" s="175"/>
      <c r="B851" s="142"/>
      <c r="C851" s="143"/>
      <c r="D851" s="143"/>
      <c r="E851" s="143"/>
      <c r="F851" s="143"/>
      <c r="G851" s="143"/>
      <c r="H851" s="143"/>
      <c r="I851" s="142"/>
      <c r="J851" s="142"/>
      <c r="K851" s="143"/>
      <c r="L851" s="178"/>
      <c r="M851" s="143"/>
      <c r="N851" s="143"/>
      <c r="O851" s="143"/>
      <c r="P851" s="143"/>
      <c r="Q851" s="176"/>
      <c r="R851" s="143"/>
      <c r="S851" s="177"/>
      <c r="T851" s="177"/>
      <c r="U851" s="177"/>
      <c r="V851" s="177"/>
      <c r="W851" s="177"/>
      <c r="X851" s="177"/>
      <c r="Y851" s="159"/>
      <c r="Z851" s="160"/>
      <c r="AA851" s="160"/>
      <c r="AB851" s="160"/>
      <c r="AC851" s="160"/>
      <c r="AD851" s="160"/>
      <c r="AE851" s="160"/>
    </row>
    <row r="852" spans="1:31" ht="23.4">
      <c r="A852" s="175"/>
      <c r="B852" s="142"/>
      <c r="C852" s="143"/>
      <c r="D852" s="143"/>
      <c r="E852" s="143"/>
      <c r="F852" s="143"/>
      <c r="G852" s="143"/>
      <c r="H852" s="143"/>
      <c r="I852" s="142"/>
      <c r="J852" s="142"/>
      <c r="K852" s="143"/>
      <c r="L852" s="178"/>
      <c r="M852" s="143"/>
      <c r="N852" s="143"/>
      <c r="O852" s="143"/>
      <c r="P852" s="143"/>
      <c r="Q852" s="176"/>
      <c r="R852" s="143"/>
      <c r="S852" s="177"/>
      <c r="T852" s="177"/>
      <c r="U852" s="177"/>
      <c r="V852" s="177"/>
      <c r="W852" s="177"/>
      <c r="X852" s="177"/>
      <c r="Y852" s="159"/>
      <c r="Z852" s="160"/>
      <c r="AA852" s="160"/>
      <c r="AB852" s="160"/>
      <c r="AC852" s="160"/>
      <c r="AD852" s="160"/>
      <c r="AE852" s="160"/>
    </row>
    <row r="853" spans="1:31" ht="23.4">
      <c r="A853" s="175"/>
      <c r="B853" s="142"/>
      <c r="C853" s="143"/>
      <c r="D853" s="143"/>
      <c r="E853" s="143"/>
      <c r="F853" s="143"/>
      <c r="G853" s="143"/>
      <c r="H853" s="143"/>
      <c r="I853" s="142"/>
      <c r="J853" s="142"/>
      <c r="K853" s="143"/>
      <c r="L853" s="178"/>
      <c r="M853" s="143"/>
      <c r="N853" s="143"/>
      <c r="O853" s="143"/>
      <c r="P853" s="143"/>
      <c r="Q853" s="176"/>
      <c r="R853" s="143"/>
      <c r="S853" s="177"/>
      <c r="T853" s="177"/>
      <c r="U853" s="177"/>
      <c r="V853" s="177"/>
      <c r="W853" s="177"/>
      <c r="X853" s="177"/>
      <c r="Y853" s="159"/>
      <c r="Z853" s="160"/>
      <c r="AA853" s="160"/>
      <c r="AB853" s="160"/>
      <c r="AC853" s="160"/>
      <c r="AD853" s="160"/>
      <c r="AE853" s="160"/>
    </row>
    <row r="854" spans="1:31" ht="23.4">
      <c r="A854" s="175"/>
      <c r="B854" s="142"/>
      <c r="C854" s="143"/>
      <c r="D854" s="143"/>
      <c r="E854" s="143"/>
      <c r="F854" s="143"/>
      <c r="G854" s="143"/>
      <c r="H854" s="143"/>
      <c r="I854" s="142"/>
      <c r="J854" s="142"/>
      <c r="K854" s="143"/>
      <c r="L854" s="178"/>
      <c r="M854" s="143"/>
      <c r="N854" s="143"/>
      <c r="O854" s="143"/>
      <c r="P854" s="143"/>
      <c r="Q854" s="176"/>
      <c r="R854" s="143"/>
      <c r="S854" s="177"/>
      <c r="T854" s="177"/>
      <c r="U854" s="177"/>
      <c r="V854" s="177"/>
      <c r="W854" s="177"/>
      <c r="X854" s="177"/>
      <c r="Y854" s="159"/>
      <c r="Z854" s="160"/>
      <c r="AA854" s="160"/>
      <c r="AB854" s="160"/>
      <c r="AC854" s="160"/>
      <c r="AD854" s="160"/>
      <c r="AE854" s="160"/>
    </row>
    <row r="855" spans="1:31" ht="23.4">
      <c r="A855" s="175"/>
      <c r="B855" s="142"/>
      <c r="C855" s="143"/>
      <c r="D855" s="143"/>
      <c r="E855" s="143"/>
      <c r="F855" s="143"/>
      <c r="G855" s="143"/>
      <c r="H855" s="143"/>
      <c r="I855" s="142"/>
      <c r="J855" s="142"/>
      <c r="K855" s="143"/>
      <c r="L855" s="178"/>
      <c r="M855" s="143"/>
      <c r="N855" s="143"/>
      <c r="O855" s="143"/>
      <c r="P855" s="143"/>
      <c r="Q855" s="176"/>
      <c r="R855" s="143"/>
      <c r="S855" s="177"/>
      <c r="T855" s="177"/>
      <c r="U855" s="177"/>
      <c r="V855" s="177"/>
      <c r="W855" s="177"/>
      <c r="X855" s="177"/>
      <c r="Y855" s="159"/>
      <c r="Z855" s="160"/>
      <c r="AA855" s="160"/>
      <c r="AB855" s="160"/>
      <c r="AC855" s="160"/>
      <c r="AD855" s="160"/>
      <c r="AE855" s="160"/>
    </row>
    <row r="856" spans="1:31" ht="23.4">
      <c r="A856" s="175"/>
      <c r="B856" s="142"/>
      <c r="C856" s="143"/>
      <c r="D856" s="143"/>
      <c r="E856" s="143"/>
      <c r="F856" s="143"/>
      <c r="G856" s="143"/>
      <c r="H856" s="143"/>
      <c r="I856" s="142"/>
      <c r="J856" s="142"/>
      <c r="K856" s="143"/>
      <c r="L856" s="178"/>
      <c r="M856" s="143"/>
      <c r="N856" s="143"/>
      <c r="O856" s="143"/>
      <c r="P856" s="143"/>
      <c r="Q856" s="176"/>
      <c r="R856" s="143"/>
      <c r="S856" s="177"/>
      <c r="T856" s="177"/>
      <c r="U856" s="177"/>
      <c r="V856" s="177"/>
      <c r="W856" s="177"/>
      <c r="X856" s="177"/>
      <c r="Y856" s="159"/>
      <c r="Z856" s="160"/>
      <c r="AA856" s="160"/>
      <c r="AB856" s="160"/>
      <c r="AC856" s="160"/>
      <c r="AD856" s="160"/>
      <c r="AE856" s="160"/>
    </row>
    <row r="857" spans="1:31" ht="23.4">
      <c r="A857" s="175"/>
      <c r="B857" s="142"/>
      <c r="C857" s="143"/>
      <c r="D857" s="143"/>
      <c r="E857" s="143"/>
      <c r="F857" s="143"/>
      <c r="G857" s="143"/>
      <c r="H857" s="143"/>
      <c r="I857" s="142"/>
      <c r="J857" s="142"/>
      <c r="K857" s="143"/>
      <c r="L857" s="178"/>
      <c r="M857" s="143"/>
      <c r="N857" s="143"/>
      <c r="O857" s="143"/>
      <c r="P857" s="143"/>
      <c r="Q857" s="176"/>
      <c r="R857" s="143"/>
      <c r="S857" s="177"/>
      <c r="T857" s="177"/>
      <c r="U857" s="177"/>
      <c r="V857" s="177"/>
      <c r="W857" s="177"/>
      <c r="X857" s="177"/>
      <c r="Y857" s="159"/>
      <c r="Z857" s="160"/>
      <c r="AA857" s="160"/>
      <c r="AB857" s="160"/>
      <c r="AC857" s="160"/>
      <c r="AD857" s="160"/>
      <c r="AE857" s="160"/>
    </row>
    <row r="858" spans="1:31" ht="23.4">
      <c r="A858" s="175"/>
      <c r="B858" s="142"/>
      <c r="C858" s="143"/>
      <c r="D858" s="143"/>
      <c r="E858" s="143"/>
      <c r="F858" s="143"/>
      <c r="G858" s="143"/>
      <c r="H858" s="143"/>
      <c r="I858" s="142"/>
      <c r="J858" s="142"/>
      <c r="K858" s="143"/>
      <c r="L858" s="178"/>
      <c r="M858" s="143"/>
      <c r="N858" s="143"/>
      <c r="O858" s="143"/>
      <c r="P858" s="143"/>
      <c r="Q858" s="176"/>
      <c r="R858" s="143"/>
      <c r="S858" s="177"/>
      <c r="T858" s="177"/>
      <c r="U858" s="177"/>
      <c r="V858" s="177"/>
      <c r="W858" s="177"/>
      <c r="X858" s="177"/>
      <c r="Y858" s="159"/>
      <c r="Z858" s="160"/>
      <c r="AA858" s="160"/>
      <c r="AB858" s="160"/>
      <c r="AC858" s="160"/>
      <c r="AD858" s="160"/>
      <c r="AE858" s="160"/>
    </row>
    <row r="859" spans="1:31" ht="23.4">
      <c r="A859" s="175"/>
      <c r="B859" s="142"/>
      <c r="C859" s="143"/>
      <c r="D859" s="143"/>
      <c r="E859" s="143"/>
      <c r="F859" s="143"/>
      <c r="G859" s="143"/>
      <c r="H859" s="143"/>
      <c r="I859" s="142"/>
      <c r="J859" s="142"/>
      <c r="K859" s="143"/>
      <c r="L859" s="178"/>
      <c r="M859" s="143"/>
      <c r="N859" s="143"/>
      <c r="O859" s="143"/>
      <c r="P859" s="143"/>
      <c r="Q859" s="176"/>
      <c r="R859" s="143"/>
      <c r="S859" s="177"/>
      <c r="T859" s="177"/>
      <c r="U859" s="177"/>
      <c r="V859" s="177"/>
      <c r="W859" s="177"/>
      <c r="X859" s="177"/>
      <c r="Y859" s="159"/>
      <c r="Z859" s="160"/>
      <c r="AA859" s="160"/>
      <c r="AB859" s="160"/>
      <c r="AC859" s="160"/>
      <c r="AD859" s="160"/>
      <c r="AE859" s="160"/>
    </row>
    <row r="860" spans="1:31" ht="23.4">
      <c r="A860" s="175"/>
      <c r="B860" s="142"/>
      <c r="C860" s="143"/>
      <c r="D860" s="143"/>
      <c r="E860" s="143"/>
      <c r="F860" s="143"/>
      <c r="G860" s="143"/>
      <c r="H860" s="143"/>
      <c r="I860" s="142"/>
      <c r="J860" s="142"/>
      <c r="K860" s="143"/>
      <c r="L860" s="178"/>
      <c r="M860" s="143"/>
      <c r="N860" s="143"/>
      <c r="O860" s="143"/>
      <c r="P860" s="143"/>
      <c r="Q860" s="176"/>
      <c r="R860" s="143"/>
      <c r="S860" s="177"/>
      <c r="T860" s="177"/>
      <c r="U860" s="177"/>
      <c r="V860" s="177"/>
      <c r="W860" s="177"/>
      <c r="X860" s="177"/>
      <c r="Y860" s="159"/>
      <c r="Z860" s="160"/>
      <c r="AA860" s="160"/>
      <c r="AB860" s="160"/>
      <c r="AC860" s="160"/>
      <c r="AD860" s="160"/>
      <c r="AE860" s="160"/>
    </row>
    <row r="861" spans="1:31" ht="23.4">
      <c r="A861" s="175"/>
      <c r="B861" s="142"/>
      <c r="C861" s="143"/>
      <c r="D861" s="143"/>
      <c r="E861" s="143"/>
      <c r="F861" s="143"/>
      <c r="G861" s="143"/>
      <c r="H861" s="143"/>
      <c r="I861" s="142"/>
      <c r="J861" s="142"/>
      <c r="K861" s="143"/>
      <c r="L861" s="178"/>
      <c r="M861" s="143"/>
      <c r="N861" s="143"/>
      <c r="O861" s="143"/>
      <c r="P861" s="143"/>
      <c r="Q861" s="176"/>
      <c r="R861" s="143"/>
      <c r="S861" s="177"/>
      <c r="T861" s="177"/>
      <c r="U861" s="177"/>
      <c r="V861" s="177"/>
      <c r="W861" s="177"/>
      <c r="X861" s="177"/>
      <c r="Y861" s="159"/>
      <c r="Z861" s="160"/>
      <c r="AA861" s="160"/>
      <c r="AB861" s="160"/>
      <c r="AC861" s="160"/>
      <c r="AD861" s="160"/>
      <c r="AE861" s="160"/>
    </row>
    <row r="862" spans="1:31" ht="23.4">
      <c r="A862" s="175"/>
      <c r="B862" s="142"/>
      <c r="C862" s="143"/>
      <c r="D862" s="143"/>
      <c r="E862" s="143"/>
      <c r="F862" s="143"/>
      <c r="G862" s="143"/>
      <c r="H862" s="143"/>
      <c r="I862" s="142"/>
      <c r="J862" s="142"/>
      <c r="K862" s="143"/>
      <c r="L862" s="178"/>
      <c r="M862" s="143"/>
      <c r="N862" s="143"/>
      <c r="O862" s="143"/>
      <c r="P862" s="143"/>
      <c r="Q862" s="176"/>
      <c r="R862" s="143"/>
      <c r="S862" s="177"/>
      <c r="T862" s="177"/>
      <c r="U862" s="177"/>
      <c r="V862" s="177"/>
      <c r="W862" s="177"/>
      <c r="X862" s="177"/>
      <c r="Y862" s="159"/>
      <c r="Z862" s="160"/>
      <c r="AA862" s="160"/>
      <c r="AB862" s="160"/>
      <c r="AC862" s="160"/>
      <c r="AD862" s="160"/>
      <c r="AE862" s="160"/>
    </row>
    <row r="863" spans="1:31" ht="23.4">
      <c r="A863" s="175"/>
      <c r="B863" s="142"/>
      <c r="C863" s="143"/>
      <c r="D863" s="143"/>
      <c r="E863" s="143"/>
      <c r="F863" s="143"/>
      <c r="G863" s="143"/>
      <c r="H863" s="143"/>
      <c r="I863" s="142"/>
      <c r="J863" s="142"/>
      <c r="K863" s="143"/>
      <c r="L863" s="178"/>
      <c r="M863" s="143"/>
      <c r="N863" s="143"/>
      <c r="O863" s="143"/>
      <c r="P863" s="143"/>
      <c r="Q863" s="176"/>
      <c r="R863" s="143"/>
      <c r="S863" s="177"/>
      <c r="T863" s="177"/>
      <c r="U863" s="177"/>
      <c r="V863" s="177"/>
      <c r="W863" s="177"/>
      <c r="X863" s="177"/>
      <c r="Y863" s="159"/>
      <c r="Z863" s="160"/>
      <c r="AA863" s="160"/>
      <c r="AB863" s="160"/>
      <c r="AC863" s="160"/>
      <c r="AD863" s="160"/>
      <c r="AE863" s="160"/>
    </row>
    <row r="864" spans="1:31" ht="23.4">
      <c r="A864" s="175"/>
      <c r="B864" s="142"/>
      <c r="C864" s="143"/>
      <c r="D864" s="143"/>
      <c r="E864" s="143"/>
      <c r="F864" s="143"/>
      <c r="G864" s="143"/>
      <c r="H864" s="143"/>
      <c r="I864" s="142"/>
      <c r="J864" s="142"/>
      <c r="K864" s="143"/>
      <c r="L864" s="178"/>
      <c r="M864" s="143"/>
      <c r="N864" s="143"/>
      <c r="O864" s="143"/>
      <c r="P864" s="143"/>
      <c r="Q864" s="176"/>
      <c r="R864" s="143"/>
      <c r="S864" s="177"/>
      <c r="T864" s="177"/>
      <c r="U864" s="177"/>
      <c r="V864" s="177"/>
      <c r="W864" s="177"/>
      <c r="X864" s="177"/>
      <c r="Y864" s="159"/>
      <c r="Z864" s="160"/>
      <c r="AA864" s="160"/>
      <c r="AB864" s="160"/>
      <c r="AC864" s="160"/>
      <c r="AD864" s="160"/>
      <c r="AE864" s="160"/>
    </row>
    <row r="865" spans="1:31" ht="23.4">
      <c r="A865" s="175"/>
      <c r="B865" s="142"/>
      <c r="C865" s="143"/>
      <c r="D865" s="143"/>
      <c r="E865" s="143"/>
      <c r="F865" s="143"/>
      <c r="G865" s="143"/>
      <c r="H865" s="143"/>
      <c r="I865" s="142"/>
      <c r="J865" s="142"/>
      <c r="K865" s="143"/>
      <c r="L865" s="178"/>
      <c r="M865" s="143"/>
      <c r="N865" s="143"/>
      <c r="O865" s="143"/>
      <c r="P865" s="143"/>
      <c r="Q865" s="176"/>
      <c r="R865" s="143"/>
      <c r="S865" s="177"/>
      <c r="T865" s="177"/>
      <c r="U865" s="177"/>
      <c r="V865" s="177"/>
      <c r="W865" s="177"/>
      <c r="X865" s="177"/>
      <c r="Y865" s="159"/>
      <c r="Z865" s="160"/>
      <c r="AA865" s="160"/>
      <c r="AB865" s="160"/>
      <c r="AC865" s="160"/>
      <c r="AD865" s="160"/>
      <c r="AE865" s="160"/>
    </row>
    <row r="866" spans="1:31" ht="23.4">
      <c r="A866" s="175"/>
      <c r="B866" s="142"/>
      <c r="C866" s="143"/>
      <c r="D866" s="143"/>
      <c r="E866" s="143"/>
      <c r="F866" s="143"/>
      <c r="G866" s="143"/>
      <c r="H866" s="143"/>
      <c r="I866" s="142"/>
      <c r="J866" s="142"/>
      <c r="K866" s="143"/>
      <c r="L866" s="178"/>
      <c r="M866" s="143"/>
      <c r="N866" s="143"/>
      <c r="O866" s="143"/>
      <c r="P866" s="143"/>
      <c r="Q866" s="176"/>
      <c r="R866" s="143"/>
      <c r="S866" s="177"/>
      <c r="T866" s="177"/>
      <c r="U866" s="177"/>
      <c r="V866" s="177"/>
      <c r="W866" s="177"/>
      <c r="X866" s="177"/>
      <c r="Y866" s="159"/>
      <c r="Z866" s="160"/>
      <c r="AA866" s="160"/>
      <c r="AB866" s="160"/>
      <c r="AC866" s="160"/>
      <c r="AD866" s="160"/>
      <c r="AE866" s="160"/>
    </row>
    <row r="867" spans="1:31" ht="23.4">
      <c r="A867" s="175"/>
      <c r="B867" s="142"/>
      <c r="C867" s="143"/>
      <c r="D867" s="143"/>
      <c r="E867" s="143"/>
      <c r="F867" s="143"/>
      <c r="G867" s="143"/>
      <c r="H867" s="143"/>
      <c r="I867" s="142"/>
      <c r="J867" s="142"/>
      <c r="K867" s="143"/>
      <c r="L867" s="178"/>
      <c r="M867" s="143"/>
      <c r="N867" s="143"/>
      <c r="O867" s="143"/>
      <c r="P867" s="143"/>
      <c r="Q867" s="176"/>
      <c r="R867" s="143"/>
      <c r="S867" s="177"/>
      <c r="T867" s="177"/>
      <c r="U867" s="177"/>
      <c r="V867" s="177"/>
      <c r="W867" s="177"/>
      <c r="X867" s="177"/>
      <c r="Y867" s="159"/>
      <c r="Z867" s="160"/>
      <c r="AA867" s="160"/>
      <c r="AB867" s="160"/>
      <c r="AC867" s="160"/>
      <c r="AD867" s="160"/>
      <c r="AE867" s="160"/>
    </row>
    <row r="868" spans="1:31" ht="23.4">
      <c r="A868" s="175"/>
      <c r="B868" s="142"/>
      <c r="C868" s="143"/>
      <c r="D868" s="143"/>
      <c r="E868" s="143"/>
      <c r="F868" s="143"/>
      <c r="G868" s="143"/>
      <c r="H868" s="143"/>
      <c r="I868" s="142"/>
      <c r="J868" s="142"/>
      <c r="K868" s="143"/>
      <c r="L868" s="178"/>
      <c r="M868" s="143"/>
      <c r="N868" s="143"/>
      <c r="O868" s="143"/>
      <c r="P868" s="143"/>
      <c r="Q868" s="176"/>
      <c r="R868" s="143"/>
      <c r="S868" s="177"/>
      <c r="T868" s="177"/>
      <c r="U868" s="177"/>
      <c r="V868" s="177"/>
      <c r="W868" s="177"/>
      <c r="X868" s="177"/>
      <c r="Y868" s="159"/>
      <c r="Z868" s="160"/>
      <c r="AA868" s="160"/>
      <c r="AB868" s="160"/>
      <c r="AC868" s="160"/>
      <c r="AD868" s="160"/>
      <c r="AE868" s="160"/>
    </row>
    <row r="869" spans="1:31" ht="23.4">
      <c r="A869" s="175"/>
      <c r="B869" s="142"/>
      <c r="C869" s="143"/>
      <c r="D869" s="143"/>
      <c r="E869" s="143"/>
      <c r="F869" s="143"/>
      <c r="G869" s="143"/>
      <c r="H869" s="143"/>
      <c r="I869" s="142"/>
      <c r="J869" s="142"/>
      <c r="K869" s="143"/>
      <c r="L869" s="178"/>
      <c r="M869" s="143"/>
      <c r="N869" s="143"/>
      <c r="O869" s="143"/>
      <c r="P869" s="143"/>
      <c r="Q869" s="176"/>
      <c r="R869" s="143"/>
      <c r="S869" s="177"/>
      <c r="T869" s="177"/>
      <c r="U869" s="177"/>
      <c r="V869" s="177"/>
      <c r="W869" s="177"/>
      <c r="X869" s="177"/>
      <c r="Y869" s="159"/>
      <c r="Z869" s="160"/>
      <c r="AA869" s="160"/>
      <c r="AB869" s="160"/>
      <c r="AC869" s="160"/>
      <c r="AD869" s="160"/>
      <c r="AE869" s="160"/>
    </row>
    <row r="870" spans="1:31" ht="23.4">
      <c r="A870" s="175"/>
      <c r="B870" s="142"/>
      <c r="C870" s="143"/>
      <c r="D870" s="143"/>
      <c r="E870" s="143"/>
      <c r="F870" s="143"/>
      <c r="G870" s="143"/>
      <c r="H870" s="143"/>
      <c r="I870" s="142"/>
      <c r="J870" s="142"/>
      <c r="K870" s="143"/>
      <c r="L870" s="178"/>
      <c r="M870" s="143"/>
      <c r="N870" s="143"/>
      <c r="O870" s="143"/>
      <c r="P870" s="143"/>
      <c r="Q870" s="176"/>
      <c r="R870" s="143"/>
      <c r="S870" s="177"/>
      <c r="T870" s="177"/>
      <c r="U870" s="177"/>
      <c r="V870" s="177"/>
      <c r="W870" s="177"/>
      <c r="X870" s="177"/>
      <c r="Y870" s="159"/>
      <c r="Z870" s="160"/>
      <c r="AA870" s="160"/>
      <c r="AB870" s="160"/>
      <c r="AC870" s="160"/>
      <c r="AD870" s="160"/>
      <c r="AE870" s="160"/>
    </row>
    <row r="871" spans="1:31" ht="23.4">
      <c r="A871" s="175"/>
      <c r="B871" s="142"/>
      <c r="C871" s="143"/>
      <c r="D871" s="143"/>
      <c r="E871" s="143"/>
      <c r="F871" s="143"/>
      <c r="G871" s="143"/>
      <c r="H871" s="143"/>
      <c r="I871" s="142"/>
      <c r="J871" s="142"/>
      <c r="K871" s="143"/>
      <c r="L871" s="178"/>
      <c r="M871" s="143"/>
      <c r="N871" s="143"/>
      <c r="O871" s="143"/>
      <c r="P871" s="143"/>
      <c r="Q871" s="176"/>
      <c r="R871" s="143"/>
      <c r="S871" s="177"/>
      <c r="T871" s="177"/>
      <c r="U871" s="177"/>
      <c r="V871" s="177"/>
      <c r="W871" s="177"/>
      <c r="X871" s="177"/>
      <c r="Y871" s="159"/>
      <c r="Z871" s="160"/>
      <c r="AA871" s="160"/>
      <c r="AB871" s="160"/>
      <c r="AC871" s="160"/>
      <c r="AD871" s="160"/>
      <c r="AE871" s="160"/>
    </row>
    <row r="872" spans="1:31" ht="23.4">
      <c r="A872" s="175"/>
      <c r="B872" s="142"/>
      <c r="C872" s="143"/>
      <c r="D872" s="143"/>
      <c r="E872" s="143"/>
      <c r="F872" s="143"/>
      <c r="G872" s="143"/>
      <c r="H872" s="143"/>
      <c r="I872" s="142"/>
      <c r="J872" s="142"/>
      <c r="K872" s="143"/>
      <c r="L872" s="178"/>
      <c r="M872" s="143"/>
      <c r="N872" s="143"/>
      <c r="O872" s="143"/>
      <c r="P872" s="143"/>
      <c r="Q872" s="176"/>
      <c r="R872" s="143"/>
      <c r="S872" s="177"/>
      <c r="T872" s="177"/>
      <c r="U872" s="177"/>
      <c r="V872" s="177"/>
      <c r="W872" s="177"/>
      <c r="X872" s="177"/>
      <c r="Y872" s="159"/>
      <c r="Z872" s="160"/>
      <c r="AA872" s="160"/>
      <c r="AB872" s="160"/>
      <c r="AC872" s="160"/>
      <c r="AD872" s="160"/>
      <c r="AE872" s="160"/>
    </row>
    <row r="873" spans="1:31" ht="23.4">
      <c r="A873" s="175"/>
      <c r="B873" s="142"/>
      <c r="C873" s="143"/>
      <c r="D873" s="143"/>
      <c r="E873" s="143"/>
      <c r="F873" s="143"/>
      <c r="G873" s="143"/>
      <c r="H873" s="143"/>
      <c r="I873" s="142"/>
      <c r="J873" s="142"/>
      <c r="K873" s="143"/>
      <c r="L873" s="178"/>
      <c r="M873" s="143"/>
      <c r="N873" s="143"/>
      <c r="O873" s="143"/>
      <c r="P873" s="143"/>
      <c r="Q873" s="176"/>
      <c r="R873" s="143"/>
      <c r="S873" s="177"/>
      <c r="T873" s="177"/>
      <c r="U873" s="177"/>
      <c r="V873" s="177"/>
      <c r="W873" s="177"/>
      <c r="X873" s="177"/>
      <c r="Y873" s="159"/>
      <c r="Z873" s="160"/>
      <c r="AA873" s="160"/>
      <c r="AB873" s="160"/>
      <c r="AC873" s="160"/>
      <c r="AD873" s="160"/>
      <c r="AE873" s="160"/>
    </row>
    <row r="874" spans="1:31" ht="23.4">
      <c r="A874" s="175"/>
      <c r="B874" s="142"/>
      <c r="C874" s="143"/>
      <c r="D874" s="143"/>
      <c r="E874" s="143"/>
      <c r="F874" s="143"/>
      <c r="G874" s="143"/>
      <c r="H874" s="143"/>
      <c r="I874" s="142"/>
      <c r="J874" s="142"/>
      <c r="K874" s="143"/>
      <c r="L874" s="178"/>
      <c r="M874" s="143"/>
      <c r="N874" s="143"/>
      <c r="O874" s="143"/>
      <c r="P874" s="143"/>
      <c r="Q874" s="176"/>
      <c r="R874" s="143"/>
      <c r="S874" s="177"/>
      <c r="T874" s="177"/>
      <c r="U874" s="177"/>
      <c r="V874" s="177"/>
      <c r="W874" s="177"/>
      <c r="X874" s="177"/>
      <c r="Y874" s="159"/>
      <c r="Z874" s="160"/>
      <c r="AA874" s="160"/>
      <c r="AB874" s="160"/>
      <c r="AC874" s="160"/>
      <c r="AD874" s="160"/>
      <c r="AE874" s="160"/>
    </row>
    <row r="875" spans="1:31" ht="23.4">
      <c r="A875" s="175"/>
      <c r="B875" s="142"/>
      <c r="C875" s="143"/>
      <c r="D875" s="143"/>
      <c r="E875" s="143"/>
      <c r="F875" s="143"/>
      <c r="G875" s="143"/>
      <c r="H875" s="143"/>
      <c r="I875" s="142"/>
      <c r="J875" s="142"/>
      <c r="K875" s="143"/>
      <c r="L875" s="178"/>
      <c r="M875" s="143"/>
      <c r="N875" s="143"/>
      <c r="O875" s="143"/>
      <c r="P875" s="143"/>
      <c r="Q875" s="176"/>
      <c r="R875" s="143"/>
      <c r="S875" s="177"/>
      <c r="T875" s="177"/>
      <c r="U875" s="177"/>
      <c r="V875" s="177"/>
      <c r="W875" s="177"/>
      <c r="X875" s="177"/>
      <c r="Y875" s="159"/>
      <c r="Z875" s="160"/>
      <c r="AA875" s="160"/>
      <c r="AB875" s="160"/>
      <c r="AC875" s="160"/>
      <c r="AD875" s="160"/>
      <c r="AE875" s="160"/>
    </row>
    <row r="876" spans="1:31" ht="23.4">
      <c r="A876" s="175"/>
      <c r="B876" s="142"/>
      <c r="C876" s="143"/>
      <c r="D876" s="143"/>
      <c r="E876" s="143"/>
      <c r="F876" s="143"/>
      <c r="G876" s="143"/>
      <c r="H876" s="143"/>
      <c r="I876" s="142"/>
      <c r="J876" s="142"/>
      <c r="K876" s="143"/>
      <c r="L876" s="178"/>
      <c r="M876" s="143"/>
      <c r="N876" s="143"/>
      <c r="O876" s="143"/>
      <c r="P876" s="143"/>
      <c r="Q876" s="176"/>
      <c r="R876" s="143"/>
      <c r="S876" s="177"/>
      <c r="T876" s="177"/>
      <c r="U876" s="177"/>
      <c r="V876" s="177"/>
      <c r="W876" s="177"/>
      <c r="X876" s="177"/>
      <c r="Y876" s="159"/>
      <c r="Z876" s="160"/>
      <c r="AA876" s="160"/>
      <c r="AB876" s="160"/>
      <c r="AC876" s="160"/>
      <c r="AD876" s="160"/>
      <c r="AE876" s="160"/>
    </row>
    <row r="877" spans="1:31" ht="23.4">
      <c r="A877" s="175"/>
      <c r="B877" s="142"/>
      <c r="C877" s="143"/>
      <c r="D877" s="143"/>
      <c r="E877" s="143"/>
      <c r="F877" s="143"/>
      <c r="G877" s="143"/>
      <c r="H877" s="143"/>
      <c r="I877" s="142"/>
      <c r="J877" s="142"/>
      <c r="K877" s="143"/>
      <c r="L877" s="178"/>
      <c r="M877" s="143"/>
      <c r="N877" s="143"/>
      <c r="O877" s="143"/>
      <c r="P877" s="143"/>
      <c r="Q877" s="176"/>
      <c r="R877" s="143"/>
      <c r="S877" s="177"/>
      <c r="T877" s="177"/>
      <c r="U877" s="177"/>
      <c r="V877" s="177"/>
      <c r="W877" s="177"/>
      <c r="X877" s="177"/>
      <c r="Y877" s="159"/>
      <c r="Z877" s="160"/>
      <c r="AA877" s="160"/>
      <c r="AB877" s="160"/>
      <c r="AC877" s="160"/>
      <c r="AD877" s="160"/>
      <c r="AE877" s="160"/>
    </row>
    <row r="878" spans="1:31" ht="23.4">
      <c r="A878" s="175"/>
      <c r="B878" s="142"/>
      <c r="C878" s="143"/>
      <c r="D878" s="143"/>
      <c r="E878" s="143"/>
      <c r="F878" s="143"/>
      <c r="G878" s="143"/>
      <c r="H878" s="143"/>
      <c r="I878" s="142"/>
      <c r="J878" s="142"/>
      <c r="K878" s="143"/>
      <c r="L878" s="178"/>
      <c r="M878" s="143"/>
      <c r="N878" s="143"/>
      <c r="O878" s="143"/>
      <c r="P878" s="143"/>
      <c r="Q878" s="176"/>
      <c r="R878" s="143"/>
      <c r="S878" s="177"/>
      <c r="T878" s="177"/>
      <c r="U878" s="177"/>
      <c r="V878" s="177"/>
      <c r="W878" s="177"/>
      <c r="X878" s="177"/>
      <c r="Y878" s="159"/>
      <c r="Z878" s="160"/>
      <c r="AA878" s="160"/>
      <c r="AB878" s="160"/>
      <c r="AC878" s="160"/>
      <c r="AD878" s="160"/>
      <c r="AE878" s="160"/>
    </row>
    <row r="879" spans="1:31" ht="23.4">
      <c r="A879" s="175"/>
      <c r="B879" s="142"/>
      <c r="C879" s="143"/>
      <c r="D879" s="143"/>
      <c r="E879" s="143"/>
      <c r="F879" s="143"/>
      <c r="G879" s="143"/>
      <c r="H879" s="143"/>
      <c r="I879" s="142"/>
      <c r="J879" s="142"/>
      <c r="K879" s="143"/>
      <c r="L879" s="178"/>
      <c r="M879" s="143"/>
      <c r="N879" s="143"/>
      <c r="O879" s="143"/>
      <c r="P879" s="143"/>
      <c r="Q879" s="176"/>
      <c r="R879" s="143"/>
      <c r="S879" s="177"/>
      <c r="T879" s="177"/>
      <c r="U879" s="177"/>
      <c r="V879" s="177"/>
      <c r="W879" s="177"/>
      <c r="X879" s="177"/>
      <c r="Y879" s="159"/>
      <c r="Z879" s="160"/>
      <c r="AA879" s="160"/>
      <c r="AB879" s="160"/>
      <c r="AC879" s="160"/>
      <c r="AD879" s="160"/>
      <c r="AE879" s="160"/>
    </row>
    <row r="880" spans="1:31" ht="23.4">
      <c r="A880" s="175"/>
      <c r="B880" s="142"/>
      <c r="C880" s="143"/>
      <c r="D880" s="143"/>
      <c r="E880" s="143"/>
      <c r="F880" s="143"/>
      <c r="G880" s="143"/>
      <c r="H880" s="143"/>
      <c r="I880" s="142"/>
      <c r="J880" s="142"/>
      <c r="K880" s="143"/>
      <c r="L880" s="178"/>
      <c r="M880" s="143"/>
      <c r="N880" s="143"/>
      <c r="O880" s="143"/>
      <c r="P880" s="143"/>
      <c r="Q880" s="176"/>
      <c r="R880" s="143"/>
      <c r="S880" s="177"/>
      <c r="T880" s="177"/>
      <c r="U880" s="177"/>
      <c r="V880" s="177"/>
      <c r="W880" s="177"/>
      <c r="X880" s="177"/>
      <c r="Y880" s="159"/>
      <c r="Z880" s="160"/>
      <c r="AA880" s="160"/>
      <c r="AB880" s="160"/>
      <c r="AC880" s="160"/>
      <c r="AD880" s="160"/>
      <c r="AE880" s="160"/>
    </row>
    <row r="881" spans="1:31" ht="23.4">
      <c r="A881" s="175"/>
      <c r="B881" s="142"/>
      <c r="C881" s="143"/>
      <c r="D881" s="143"/>
      <c r="E881" s="143"/>
      <c r="F881" s="143"/>
      <c r="G881" s="143"/>
      <c r="H881" s="143"/>
      <c r="I881" s="142"/>
      <c r="J881" s="142"/>
      <c r="K881" s="143"/>
      <c r="L881" s="178"/>
      <c r="M881" s="143"/>
      <c r="N881" s="143"/>
      <c r="O881" s="143"/>
      <c r="P881" s="143"/>
      <c r="Q881" s="176"/>
      <c r="R881" s="143"/>
      <c r="S881" s="177"/>
      <c r="T881" s="177"/>
      <c r="U881" s="177"/>
      <c r="V881" s="177"/>
      <c r="W881" s="177"/>
      <c r="X881" s="177"/>
      <c r="Y881" s="159"/>
      <c r="Z881" s="160"/>
      <c r="AA881" s="160"/>
      <c r="AB881" s="160"/>
      <c r="AC881" s="160"/>
      <c r="AD881" s="160"/>
      <c r="AE881" s="160"/>
    </row>
    <row r="882" spans="1:31" ht="23.4">
      <c r="A882" s="175"/>
      <c r="B882" s="142"/>
      <c r="C882" s="143"/>
      <c r="D882" s="143"/>
      <c r="E882" s="143"/>
      <c r="F882" s="143"/>
      <c r="G882" s="143"/>
      <c r="H882" s="143"/>
      <c r="I882" s="142"/>
      <c r="J882" s="142"/>
      <c r="K882" s="143"/>
      <c r="L882" s="178"/>
      <c r="M882" s="143"/>
      <c r="N882" s="143"/>
      <c r="O882" s="143"/>
      <c r="P882" s="143"/>
      <c r="Q882" s="176"/>
      <c r="R882" s="143"/>
      <c r="S882" s="177"/>
      <c r="T882" s="177"/>
      <c r="U882" s="177"/>
      <c r="V882" s="177"/>
      <c r="W882" s="177"/>
      <c r="X882" s="177"/>
      <c r="Y882" s="159"/>
      <c r="Z882" s="160"/>
      <c r="AA882" s="160"/>
      <c r="AB882" s="160"/>
      <c r="AC882" s="160"/>
      <c r="AD882" s="160"/>
      <c r="AE882" s="160"/>
    </row>
    <row r="883" spans="1:31" ht="23.4">
      <c r="A883" s="175"/>
      <c r="B883" s="142"/>
      <c r="C883" s="143"/>
      <c r="D883" s="143"/>
      <c r="E883" s="143"/>
      <c r="F883" s="143"/>
      <c r="G883" s="143"/>
      <c r="H883" s="143"/>
      <c r="I883" s="142"/>
      <c r="J883" s="142"/>
      <c r="K883" s="143"/>
      <c r="L883" s="178"/>
      <c r="M883" s="143"/>
      <c r="N883" s="143"/>
      <c r="O883" s="143"/>
      <c r="P883" s="143"/>
      <c r="Q883" s="176"/>
      <c r="R883" s="143"/>
      <c r="S883" s="177"/>
      <c r="T883" s="177"/>
      <c r="U883" s="177"/>
      <c r="V883" s="177"/>
      <c r="W883" s="177"/>
      <c r="X883" s="177"/>
      <c r="Y883" s="159"/>
      <c r="Z883" s="160"/>
      <c r="AA883" s="160"/>
      <c r="AB883" s="160"/>
      <c r="AC883" s="160"/>
      <c r="AD883" s="160"/>
      <c r="AE883" s="160"/>
    </row>
    <row r="884" spans="1:31" ht="23.4">
      <c r="A884" s="175"/>
      <c r="B884" s="142"/>
      <c r="C884" s="143"/>
      <c r="D884" s="143"/>
      <c r="E884" s="143"/>
      <c r="F884" s="143"/>
      <c r="G884" s="143"/>
      <c r="H884" s="143"/>
      <c r="I884" s="142"/>
      <c r="J884" s="142"/>
      <c r="K884" s="143"/>
      <c r="L884" s="178"/>
      <c r="M884" s="143"/>
      <c r="N884" s="143"/>
      <c r="O884" s="143"/>
      <c r="P884" s="143"/>
      <c r="Q884" s="176"/>
      <c r="R884" s="143"/>
      <c r="S884" s="177"/>
      <c r="T884" s="177"/>
      <c r="U884" s="177"/>
      <c r="V884" s="177"/>
      <c r="W884" s="177"/>
      <c r="X884" s="177"/>
      <c r="Y884" s="159"/>
      <c r="Z884" s="160"/>
      <c r="AA884" s="160"/>
      <c r="AB884" s="160"/>
      <c r="AC884" s="160"/>
      <c r="AD884" s="160"/>
      <c r="AE884" s="160"/>
    </row>
    <row r="885" spans="1:31" ht="23.4">
      <c r="A885" s="175"/>
      <c r="B885" s="142"/>
      <c r="C885" s="143"/>
      <c r="D885" s="143"/>
      <c r="E885" s="143"/>
      <c r="F885" s="143"/>
      <c r="G885" s="143"/>
      <c r="H885" s="143"/>
      <c r="I885" s="142"/>
      <c r="J885" s="142"/>
      <c r="K885" s="143"/>
      <c r="L885" s="178"/>
      <c r="M885" s="143"/>
      <c r="N885" s="143"/>
      <c r="O885" s="143"/>
      <c r="P885" s="143"/>
      <c r="Q885" s="176"/>
      <c r="R885" s="143"/>
      <c r="S885" s="177"/>
      <c r="T885" s="177"/>
      <c r="U885" s="177"/>
      <c r="V885" s="177"/>
      <c r="W885" s="177"/>
      <c r="X885" s="177"/>
      <c r="Y885" s="159"/>
      <c r="Z885" s="160"/>
      <c r="AA885" s="160"/>
      <c r="AB885" s="160"/>
      <c r="AC885" s="160"/>
      <c r="AD885" s="160"/>
      <c r="AE885" s="160"/>
    </row>
    <row r="886" spans="1:31" ht="23.4">
      <c r="A886" s="175"/>
      <c r="B886" s="142"/>
      <c r="C886" s="143"/>
      <c r="D886" s="143"/>
      <c r="E886" s="143"/>
      <c r="F886" s="143"/>
      <c r="G886" s="143"/>
      <c r="H886" s="143"/>
      <c r="I886" s="142"/>
      <c r="J886" s="142"/>
      <c r="K886" s="143"/>
      <c r="L886" s="178"/>
      <c r="M886" s="143"/>
      <c r="N886" s="143"/>
      <c r="O886" s="143"/>
      <c r="P886" s="143"/>
      <c r="Q886" s="176"/>
      <c r="R886" s="143"/>
      <c r="S886" s="177"/>
      <c r="T886" s="177"/>
      <c r="U886" s="177"/>
      <c r="V886" s="177"/>
      <c r="W886" s="177"/>
      <c r="X886" s="177"/>
      <c r="Y886" s="159"/>
      <c r="Z886" s="160"/>
      <c r="AA886" s="160"/>
      <c r="AB886" s="160"/>
      <c r="AC886" s="160"/>
      <c r="AD886" s="160"/>
      <c r="AE886" s="160"/>
    </row>
    <row r="887" spans="1:31" ht="23.4">
      <c r="A887" s="175"/>
      <c r="B887" s="142"/>
      <c r="C887" s="143"/>
      <c r="D887" s="143"/>
      <c r="E887" s="143"/>
      <c r="F887" s="143"/>
      <c r="G887" s="143"/>
      <c r="H887" s="143"/>
      <c r="I887" s="142"/>
      <c r="J887" s="142"/>
      <c r="K887" s="143"/>
      <c r="L887" s="178"/>
      <c r="M887" s="143"/>
      <c r="N887" s="143"/>
      <c r="O887" s="143"/>
      <c r="P887" s="143"/>
      <c r="Q887" s="176"/>
      <c r="R887" s="143"/>
      <c r="S887" s="177"/>
      <c r="T887" s="177"/>
      <c r="U887" s="177"/>
      <c r="V887" s="177"/>
      <c r="W887" s="177"/>
      <c r="X887" s="177"/>
      <c r="Y887" s="159"/>
      <c r="Z887" s="160"/>
      <c r="AA887" s="160"/>
      <c r="AB887" s="160"/>
      <c r="AC887" s="160"/>
      <c r="AD887" s="160"/>
      <c r="AE887" s="160"/>
    </row>
    <row r="888" spans="1:31" ht="23.4">
      <c r="A888" s="175"/>
      <c r="B888" s="142"/>
      <c r="C888" s="143"/>
      <c r="D888" s="143"/>
      <c r="E888" s="143"/>
      <c r="F888" s="143"/>
      <c r="G888" s="143"/>
      <c r="H888" s="143"/>
      <c r="I888" s="142"/>
      <c r="J888" s="142"/>
      <c r="K888" s="143"/>
      <c r="L888" s="178"/>
      <c r="M888" s="143"/>
      <c r="N888" s="143"/>
      <c r="O888" s="143"/>
      <c r="P888" s="143"/>
      <c r="Q888" s="176"/>
      <c r="R888" s="143"/>
      <c r="S888" s="177"/>
      <c r="T888" s="177"/>
      <c r="U888" s="177"/>
      <c r="V888" s="177"/>
      <c r="W888" s="177"/>
      <c r="X888" s="177"/>
      <c r="Y888" s="159"/>
      <c r="Z888" s="160"/>
      <c r="AA888" s="160"/>
      <c r="AB888" s="160"/>
      <c r="AC888" s="160"/>
      <c r="AD888" s="160"/>
      <c r="AE888" s="160"/>
    </row>
    <row r="889" spans="1:31" ht="23.4">
      <c r="A889" s="175"/>
      <c r="B889" s="142"/>
      <c r="C889" s="143"/>
      <c r="D889" s="143"/>
      <c r="E889" s="143"/>
      <c r="F889" s="143"/>
      <c r="G889" s="143"/>
      <c r="H889" s="143"/>
      <c r="I889" s="142"/>
      <c r="J889" s="142"/>
      <c r="K889" s="143"/>
      <c r="L889" s="178"/>
      <c r="M889" s="143"/>
      <c r="N889" s="143"/>
      <c r="O889" s="143"/>
      <c r="P889" s="143"/>
      <c r="Q889" s="176"/>
      <c r="R889" s="143"/>
      <c r="S889" s="177"/>
      <c r="T889" s="177"/>
      <c r="U889" s="177"/>
      <c r="V889" s="177"/>
      <c r="W889" s="177"/>
      <c r="X889" s="177"/>
      <c r="Y889" s="159"/>
      <c r="Z889" s="160"/>
      <c r="AA889" s="160"/>
      <c r="AB889" s="160"/>
      <c r="AC889" s="160"/>
      <c r="AD889" s="160"/>
      <c r="AE889" s="160"/>
    </row>
    <row r="890" spans="1:31" ht="23.4">
      <c r="A890" s="175"/>
      <c r="B890" s="142"/>
      <c r="C890" s="143"/>
      <c r="D890" s="143"/>
      <c r="E890" s="143"/>
      <c r="F890" s="143"/>
      <c r="G890" s="143"/>
      <c r="H890" s="143"/>
      <c r="I890" s="142"/>
      <c r="J890" s="142"/>
      <c r="K890" s="143"/>
      <c r="L890" s="178"/>
      <c r="M890" s="143"/>
      <c r="N890" s="143"/>
      <c r="O890" s="143"/>
      <c r="P890" s="143"/>
      <c r="Q890" s="176"/>
      <c r="R890" s="143"/>
      <c r="S890" s="177"/>
      <c r="T890" s="177"/>
      <c r="U890" s="177"/>
      <c r="V890" s="177"/>
      <c r="W890" s="177"/>
      <c r="X890" s="177"/>
      <c r="Y890" s="159"/>
      <c r="Z890" s="160"/>
      <c r="AA890" s="160"/>
      <c r="AB890" s="160"/>
      <c r="AC890" s="160"/>
      <c r="AD890" s="160"/>
      <c r="AE890" s="160"/>
    </row>
    <row r="891" spans="1:31" ht="23.4">
      <c r="A891" s="175"/>
      <c r="B891" s="142"/>
      <c r="C891" s="143"/>
      <c r="D891" s="143"/>
      <c r="E891" s="143"/>
      <c r="F891" s="143"/>
      <c r="G891" s="143"/>
      <c r="H891" s="143"/>
      <c r="I891" s="142"/>
      <c r="J891" s="142"/>
      <c r="K891" s="143"/>
      <c r="L891" s="178"/>
      <c r="M891" s="143"/>
      <c r="N891" s="143"/>
      <c r="O891" s="143"/>
      <c r="P891" s="143"/>
      <c r="Q891" s="176"/>
      <c r="R891" s="143"/>
      <c r="S891" s="177"/>
      <c r="T891" s="177"/>
      <c r="U891" s="177"/>
      <c r="V891" s="177"/>
      <c r="W891" s="177"/>
      <c r="X891" s="177"/>
      <c r="Y891" s="159"/>
      <c r="Z891" s="160"/>
      <c r="AA891" s="160"/>
      <c r="AB891" s="160"/>
      <c r="AC891" s="160"/>
      <c r="AD891" s="160"/>
      <c r="AE891" s="160"/>
    </row>
    <row r="892" spans="1:31" ht="23.4">
      <c r="A892" s="175"/>
      <c r="B892" s="142"/>
      <c r="C892" s="143"/>
      <c r="D892" s="143"/>
      <c r="E892" s="143"/>
      <c r="F892" s="143"/>
      <c r="G892" s="143"/>
      <c r="H892" s="143"/>
      <c r="I892" s="142"/>
      <c r="J892" s="142"/>
      <c r="K892" s="143"/>
      <c r="L892" s="178"/>
      <c r="M892" s="143"/>
      <c r="N892" s="143"/>
      <c r="O892" s="143"/>
      <c r="P892" s="143"/>
      <c r="Q892" s="176"/>
      <c r="R892" s="143"/>
      <c r="S892" s="177"/>
      <c r="T892" s="177"/>
      <c r="U892" s="177"/>
      <c r="V892" s="177"/>
      <c r="W892" s="177"/>
      <c r="X892" s="177"/>
      <c r="Y892" s="159"/>
      <c r="Z892" s="160"/>
      <c r="AA892" s="160"/>
      <c r="AB892" s="160"/>
      <c r="AC892" s="160"/>
      <c r="AD892" s="160"/>
      <c r="AE892" s="160"/>
    </row>
    <row r="893" spans="1:31" ht="23.4">
      <c r="A893" s="175"/>
      <c r="B893" s="142"/>
      <c r="C893" s="143"/>
      <c r="D893" s="143"/>
      <c r="E893" s="143"/>
      <c r="F893" s="143"/>
      <c r="G893" s="143"/>
      <c r="H893" s="143"/>
      <c r="I893" s="142"/>
      <c r="J893" s="142"/>
      <c r="K893" s="143"/>
      <c r="L893" s="178"/>
      <c r="M893" s="143"/>
      <c r="N893" s="143"/>
      <c r="O893" s="143"/>
      <c r="P893" s="143"/>
      <c r="Q893" s="176"/>
      <c r="R893" s="143"/>
      <c r="S893" s="177"/>
      <c r="T893" s="177"/>
      <c r="U893" s="177"/>
      <c r="V893" s="177"/>
      <c r="W893" s="177"/>
      <c r="X893" s="177"/>
      <c r="Y893" s="159"/>
      <c r="Z893" s="160"/>
      <c r="AA893" s="160"/>
      <c r="AB893" s="160"/>
      <c r="AC893" s="160"/>
      <c r="AD893" s="160"/>
      <c r="AE893" s="160"/>
    </row>
    <row r="894" spans="1:31" ht="23.4">
      <c r="A894" s="175"/>
      <c r="B894" s="142"/>
      <c r="C894" s="143"/>
      <c r="D894" s="143"/>
      <c r="E894" s="143"/>
      <c r="F894" s="143"/>
      <c r="G894" s="143"/>
      <c r="H894" s="143"/>
      <c r="I894" s="142"/>
      <c r="J894" s="142"/>
      <c r="K894" s="143"/>
      <c r="L894" s="178"/>
      <c r="M894" s="143"/>
      <c r="N894" s="143"/>
      <c r="O894" s="143"/>
      <c r="P894" s="143"/>
      <c r="Q894" s="176"/>
      <c r="R894" s="143"/>
      <c r="S894" s="177"/>
      <c r="T894" s="177"/>
      <c r="U894" s="177"/>
      <c r="V894" s="177"/>
      <c r="W894" s="177"/>
      <c r="X894" s="177"/>
      <c r="Y894" s="159"/>
      <c r="Z894" s="160"/>
      <c r="AA894" s="160"/>
      <c r="AB894" s="160"/>
      <c r="AC894" s="160"/>
      <c r="AD894" s="160"/>
      <c r="AE894" s="160"/>
    </row>
    <row r="895" spans="1:31" ht="23.4">
      <c r="A895" s="175"/>
      <c r="B895" s="142"/>
      <c r="C895" s="143"/>
      <c r="D895" s="143"/>
      <c r="E895" s="143"/>
      <c r="F895" s="143"/>
      <c r="G895" s="143"/>
      <c r="H895" s="143"/>
      <c r="I895" s="142"/>
      <c r="J895" s="142"/>
      <c r="K895" s="143"/>
      <c r="L895" s="178"/>
      <c r="M895" s="143"/>
      <c r="N895" s="143"/>
      <c r="O895" s="143"/>
      <c r="P895" s="143"/>
      <c r="Q895" s="176"/>
      <c r="R895" s="143"/>
      <c r="S895" s="177"/>
      <c r="T895" s="177"/>
      <c r="U895" s="177"/>
      <c r="V895" s="177"/>
      <c r="W895" s="177"/>
      <c r="X895" s="177"/>
      <c r="Y895" s="159"/>
      <c r="Z895" s="160"/>
      <c r="AA895" s="160"/>
      <c r="AB895" s="160"/>
      <c r="AC895" s="160"/>
      <c r="AD895" s="160"/>
      <c r="AE895" s="160"/>
    </row>
    <row r="896" spans="1:31" ht="23.4">
      <c r="A896" s="175"/>
      <c r="B896" s="142"/>
      <c r="C896" s="143"/>
      <c r="D896" s="143"/>
      <c r="E896" s="143"/>
      <c r="F896" s="143"/>
      <c r="G896" s="143"/>
      <c r="H896" s="143"/>
      <c r="I896" s="142"/>
      <c r="J896" s="142"/>
      <c r="K896" s="143"/>
      <c r="L896" s="178"/>
      <c r="M896" s="143"/>
      <c r="N896" s="143"/>
      <c r="O896" s="143"/>
      <c r="P896" s="143"/>
      <c r="Q896" s="176"/>
      <c r="R896" s="143"/>
      <c r="S896" s="177"/>
      <c r="T896" s="177"/>
      <c r="U896" s="177"/>
      <c r="V896" s="177"/>
      <c r="W896" s="177"/>
      <c r="X896" s="177"/>
      <c r="Y896" s="159"/>
      <c r="Z896" s="160"/>
      <c r="AA896" s="160"/>
      <c r="AB896" s="160"/>
      <c r="AC896" s="160"/>
      <c r="AD896" s="160"/>
      <c r="AE896" s="160"/>
    </row>
    <row r="897" spans="1:31" ht="23.4">
      <c r="A897" s="175"/>
      <c r="B897" s="142"/>
      <c r="C897" s="143"/>
      <c r="D897" s="143"/>
      <c r="E897" s="143"/>
      <c r="F897" s="143"/>
      <c r="G897" s="143"/>
      <c r="H897" s="143"/>
      <c r="I897" s="142"/>
      <c r="J897" s="142"/>
      <c r="K897" s="143"/>
      <c r="L897" s="178"/>
      <c r="M897" s="143"/>
      <c r="N897" s="143"/>
      <c r="O897" s="143"/>
      <c r="P897" s="143"/>
      <c r="Q897" s="176"/>
      <c r="R897" s="143"/>
      <c r="S897" s="177"/>
      <c r="T897" s="177"/>
      <c r="U897" s="177"/>
      <c r="V897" s="177"/>
      <c r="W897" s="177"/>
      <c r="X897" s="177"/>
      <c r="Y897" s="159"/>
      <c r="Z897" s="160"/>
      <c r="AA897" s="160"/>
      <c r="AB897" s="160"/>
      <c r="AC897" s="160"/>
      <c r="AD897" s="160"/>
      <c r="AE897" s="160"/>
    </row>
    <row r="898" spans="1:31" ht="23.4">
      <c r="A898" s="175"/>
      <c r="B898" s="142"/>
      <c r="C898" s="143"/>
      <c r="D898" s="143"/>
      <c r="E898" s="143"/>
      <c r="F898" s="143"/>
      <c r="G898" s="143"/>
      <c r="H898" s="143"/>
      <c r="I898" s="142"/>
      <c r="J898" s="142"/>
      <c r="K898" s="143"/>
      <c r="L898" s="178"/>
      <c r="M898" s="143"/>
      <c r="N898" s="143"/>
      <c r="O898" s="143"/>
      <c r="P898" s="143"/>
      <c r="Q898" s="176"/>
      <c r="R898" s="143"/>
      <c r="S898" s="177"/>
      <c r="T898" s="177"/>
      <c r="U898" s="177"/>
      <c r="V898" s="177"/>
      <c r="W898" s="177"/>
      <c r="X898" s="177"/>
      <c r="Y898" s="159"/>
      <c r="Z898" s="160"/>
      <c r="AA898" s="160"/>
      <c r="AB898" s="160"/>
      <c r="AC898" s="160"/>
      <c r="AD898" s="160"/>
      <c r="AE898" s="160"/>
    </row>
    <row r="899" spans="1:31" ht="23.4">
      <c r="A899" s="175"/>
      <c r="B899" s="142"/>
      <c r="C899" s="143"/>
      <c r="D899" s="143"/>
      <c r="E899" s="143"/>
      <c r="F899" s="143"/>
      <c r="G899" s="143"/>
      <c r="H899" s="143"/>
      <c r="I899" s="142"/>
      <c r="J899" s="142"/>
      <c r="K899" s="143"/>
      <c r="L899" s="178"/>
      <c r="M899" s="143"/>
      <c r="N899" s="143"/>
      <c r="O899" s="143"/>
      <c r="P899" s="143"/>
      <c r="Q899" s="176"/>
      <c r="R899" s="143"/>
      <c r="S899" s="177"/>
      <c r="T899" s="177"/>
      <c r="U899" s="177"/>
      <c r="V899" s="177"/>
      <c r="W899" s="177"/>
      <c r="X899" s="177"/>
      <c r="Y899" s="159"/>
      <c r="Z899" s="160"/>
      <c r="AA899" s="160"/>
      <c r="AB899" s="160"/>
      <c r="AC899" s="160"/>
      <c r="AD899" s="160"/>
      <c r="AE899" s="160"/>
    </row>
    <row r="900" spans="1:31" ht="23.4">
      <c r="A900" s="175"/>
      <c r="B900" s="142"/>
      <c r="C900" s="143"/>
      <c r="D900" s="143"/>
      <c r="E900" s="143"/>
      <c r="F900" s="143"/>
      <c r="G900" s="143"/>
      <c r="H900" s="143"/>
      <c r="I900" s="142"/>
      <c r="J900" s="142"/>
      <c r="K900" s="143"/>
      <c r="L900" s="178"/>
      <c r="M900" s="143"/>
      <c r="N900" s="143"/>
      <c r="O900" s="143"/>
      <c r="P900" s="143"/>
      <c r="Q900" s="176"/>
      <c r="R900" s="143"/>
      <c r="S900" s="177"/>
      <c r="T900" s="177"/>
      <c r="U900" s="177"/>
      <c r="V900" s="177"/>
      <c r="W900" s="177"/>
      <c r="X900" s="177"/>
      <c r="Y900" s="159"/>
      <c r="Z900" s="160"/>
      <c r="AA900" s="160"/>
      <c r="AB900" s="160"/>
      <c r="AC900" s="160"/>
      <c r="AD900" s="160"/>
      <c r="AE900" s="160"/>
    </row>
    <row r="901" spans="1:31" ht="23.4">
      <c r="A901" s="175"/>
      <c r="B901" s="142"/>
      <c r="C901" s="143"/>
      <c r="D901" s="143"/>
      <c r="E901" s="143"/>
      <c r="F901" s="143"/>
      <c r="G901" s="143"/>
      <c r="H901" s="143"/>
      <c r="I901" s="142"/>
      <c r="J901" s="142"/>
      <c r="K901" s="143"/>
      <c r="L901" s="178"/>
      <c r="M901" s="143"/>
      <c r="N901" s="143"/>
      <c r="O901" s="143"/>
      <c r="P901" s="143"/>
      <c r="Q901" s="176"/>
      <c r="R901" s="143"/>
      <c r="S901" s="177"/>
      <c r="T901" s="177"/>
      <c r="U901" s="177"/>
      <c r="V901" s="177"/>
      <c r="W901" s="177"/>
      <c r="X901" s="177"/>
      <c r="Y901" s="159"/>
      <c r="Z901" s="160"/>
      <c r="AA901" s="160"/>
      <c r="AB901" s="160"/>
      <c r="AC901" s="160"/>
      <c r="AD901" s="160"/>
      <c r="AE901" s="160"/>
    </row>
    <row r="902" spans="1:31" ht="23.4">
      <c r="A902" s="175"/>
      <c r="B902" s="142"/>
      <c r="C902" s="143"/>
      <c r="D902" s="143"/>
      <c r="E902" s="143"/>
      <c r="F902" s="143"/>
      <c r="G902" s="143"/>
      <c r="H902" s="143"/>
      <c r="I902" s="142"/>
      <c r="J902" s="142"/>
      <c r="K902" s="143"/>
      <c r="L902" s="178"/>
      <c r="M902" s="143"/>
      <c r="N902" s="143"/>
      <c r="O902" s="143"/>
      <c r="P902" s="143"/>
      <c r="Q902" s="176"/>
      <c r="R902" s="143"/>
      <c r="S902" s="177"/>
      <c r="T902" s="177"/>
      <c r="U902" s="177"/>
      <c r="V902" s="177"/>
      <c r="W902" s="177"/>
      <c r="X902" s="177"/>
      <c r="Y902" s="159"/>
      <c r="Z902" s="160"/>
      <c r="AA902" s="160"/>
      <c r="AB902" s="160"/>
      <c r="AC902" s="160"/>
      <c r="AD902" s="160"/>
      <c r="AE902" s="160"/>
    </row>
    <row r="903" spans="1:31" ht="23.4">
      <c r="A903" s="175"/>
      <c r="B903" s="142"/>
      <c r="C903" s="143"/>
      <c r="D903" s="143"/>
      <c r="E903" s="143"/>
      <c r="F903" s="143"/>
      <c r="G903" s="143"/>
      <c r="H903" s="143"/>
      <c r="I903" s="142"/>
      <c r="J903" s="142"/>
      <c r="K903" s="143"/>
      <c r="L903" s="178"/>
      <c r="M903" s="143"/>
      <c r="N903" s="143"/>
      <c r="O903" s="143"/>
      <c r="P903" s="143"/>
      <c r="Q903" s="176"/>
      <c r="R903" s="143"/>
      <c r="S903" s="177"/>
      <c r="T903" s="177"/>
      <c r="U903" s="177"/>
      <c r="V903" s="177"/>
      <c r="W903" s="177"/>
      <c r="X903" s="177"/>
      <c r="Y903" s="159"/>
      <c r="Z903" s="160"/>
      <c r="AA903" s="160"/>
      <c r="AB903" s="160"/>
      <c r="AC903" s="160"/>
      <c r="AD903" s="160"/>
      <c r="AE903" s="160"/>
    </row>
    <row r="904" spans="1:31" ht="23.4">
      <c r="A904" s="175"/>
      <c r="B904" s="142"/>
      <c r="C904" s="143"/>
      <c r="D904" s="143"/>
      <c r="E904" s="143"/>
      <c r="F904" s="143"/>
      <c r="G904" s="143"/>
      <c r="H904" s="143"/>
      <c r="I904" s="142"/>
      <c r="J904" s="142"/>
      <c r="K904" s="143"/>
      <c r="L904" s="178"/>
      <c r="M904" s="143"/>
      <c r="N904" s="143"/>
      <c r="O904" s="143"/>
      <c r="P904" s="143"/>
      <c r="Q904" s="176"/>
      <c r="R904" s="143"/>
      <c r="S904" s="177"/>
      <c r="T904" s="177"/>
      <c r="U904" s="177"/>
      <c r="V904" s="177"/>
      <c r="W904" s="177"/>
      <c r="X904" s="177"/>
      <c r="Y904" s="159"/>
      <c r="Z904" s="160"/>
      <c r="AA904" s="160"/>
      <c r="AB904" s="160"/>
      <c r="AC904" s="160"/>
      <c r="AD904" s="160"/>
      <c r="AE904" s="160"/>
    </row>
    <row r="905" spans="1:31" ht="23.4">
      <c r="A905" s="175"/>
      <c r="B905" s="142"/>
      <c r="C905" s="143"/>
      <c r="D905" s="143"/>
      <c r="E905" s="143"/>
      <c r="F905" s="143"/>
      <c r="G905" s="143"/>
      <c r="H905" s="143"/>
      <c r="I905" s="142"/>
      <c r="J905" s="142"/>
      <c r="K905" s="143"/>
      <c r="L905" s="178"/>
      <c r="M905" s="143"/>
      <c r="N905" s="143"/>
      <c r="O905" s="143"/>
      <c r="P905" s="143"/>
      <c r="Q905" s="176"/>
      <c r="R905" s="143"/>
      <c r="S905" s="177"/>
      <c r="T905" s="177"/>
      <c r="U905" s="177"/>
      <c r="V905" s="177"/>
      <c r="W905" s="177"/>
      <c r="X905" s="177"/>
      <c r="Y905" s="159"/>
      <c r="Z905" s="160"/>
      <c r="AA905" s="160"/>
      <c r="AB905" s="160"/>
      <c r="AC905" s="160"/>
      <c r="AD905" s="160"/>
      <c r="AE905" s="160"/>
    </row>
    <row r="906" spans="1:31" ht="23.4">
      <c r="A906" s="175"/>
      <c r="B906" s="142"/>
      <c r="C906" s="143"/>
      <c r="D906" s="143"/>
      <c r="E906" s="143"/>
      <c r="F906" s="143"/>
      <c r="G906" s="143"/>
      <c r="H906" s="143"/>
      <c r="I906" s="142"/>
      <c r="J906" s="142"/>
      <c r="K906" s="143"/>
      <c r="L906" s="178"/>
      <c r="M906" s="143"/>
      <c r="N906" s="143"/>
      <c r="O906" s="143"/>
      <c r="P906" s="143"/>
      <c r="Q906" s="176"/>
      <c r="R906" s="143"/>
      <c r="S906" s="177"/>
      <c r="T906" s="177"/>
      <c r="U906" s="177"/>
      <c r="V906" s="177"/>
      <c r="W906" s="177"/>
      <c r="X906" s="177"/>
      <c r="Y906" s="159"/>
      <c r="Z906" s="160"/>
      <c r="AA906" s="160"/>
      <c r="AB906" s="160"/>
      <c r="AC906" s="160"/>
      <c r="AD906" s="160"/>
      <c r="AE906" s="160"/>
    </row>
    <row r="907" spans="1:31" ht="23.4">
      <c r="A907" s="175"/>
      <c r="B907" s="142"/>
      <c r="C907" s="143"/>
      <c r="D907" s="143"/>
      <c r="E907" s="143"/>
      <c r="F907" s="143"/>
      <c r="G907" s="143"/>
      <c r="H907" s="143"/>
      <c r="I907" s="142"/>
      <c r="J907" s="142"/>
      <c r="K907" s="143"/>
      <c r="L907" s="178"/>
      <c r="M907" s="143"/>
      <c r="N907" s="143"/>
      <c r="O907" s="143"/>
      <c r="P907" s="143"/>
      <c r="Q907" s="176"/>
      <c r="R907" s="143"/>
      <c r="S907" s="177"/>
      <c r="T907" s="177"/>
      <c r="U907" s="177"/>
      <c r="V907" s="177"/>
      <c r="W907" s="177"/>
      <c r="X907" s="177"/>
      <c r="Y907" s="159"/>
      <c r="Z907" s="160"/>
      <c r="AA907" s="160"/>
      <c r="AB907" s="160"/>
      <c r="AC907" s="160"/>
      <c r="AD907" s="160"/>
      <c r="AE907" s="160"/>
    </row>
    <row r="908" spans="1:31" ht="23.4">
      <c r="A908" s="175"/>
      <c r="B908" s="142"/>
      <c r="C908" s="143"/>
      <c r="D908" s="143"/>
      <c r="E908" s="143"/>
      <c r="F908" s="143"/>
      <c r="G908" s="143"/>
      <c r="H908" s="143"/>
      <c r="I908" s="142"/>
      <c r="J908" s="142"/>
      <c r="K908" s="143"/>
      <c r="L908" s="178"/>
      <c r="M908" s="143"/>
      <c r="N908" s="143"/>
      <c r="O908" s="143"/>
      <c r="P908" s="143"/>
      <c r="Q908" s="176"/>
      <c r="R908" s="143"/>
      <c r="S908" s="177"/>
      <c r="T908" s="177"/>
      <c r="U908" s="177"/>
      <c r="V908" s="177"/>
      <c r="W908" s="177"/>
      <c r="X908" s="177"/>
      <c r="Y908" s="159"/>
      <c r="Z908" s="160"/>
      <c r="AA908" s="160"/>
      <c r="AB908" s="160"/>
      <c r="AC908" s="160"/>
      <c r="AD908" s="160"/>
      <c r="AE908" s="160"/>
    </row>
    <row r="909" spans="1:31" ht="23.4">
      <c r="A909" s="175"/>
      <c r="B909" s="142"/>
      <c r="C909" s="143"/>
      <c r="D909" s="143"/>
      <c r="E909" s="143"/>
      <c r="F909" s="143"/>
      <c r="G909" s="143"/>
      <c r="H909" s="143"/>
      <c r="I909" s="142"/>
      <c r="J909" s="142"/>
      <c r="K909" s="143"/>
      <c r="L909" s="178"/>
      <c r="M909" s="143"/>
      <c r="N909" s="143"/>
      <c r="O909" s="143"/>
      <c r="P909" s="143"/>
      <c r="Q909" s="176"/>
      <c r="R909" s="143"/>
      <c r="S909" s="177"/>
      <c r="T909" s="177"/>
      <c r="U909" s="177"/>
      <c r="V909" s="177"/>
      <c r="W909" s="177"/>
      <c r="X909" s="177"/>
      <c r="Y909" s="159"/>
      <c r="Z909" s="160"/>
      <c r="AA909" s="160"/>
      <c r="AB909" s="160"/>
      <c r="AC909" s="160"/>
      <c r="AD909" s="160"/>
      <c r="AE909" s="160"/>
    </row>
    <row r="910" spans="1:31" ht="23.4">
      <c r="A910" s="175"/>
      <c r="B910" s="142"/>
      <c r="C910" s="143"/>
      <c r="D910" s="143"/>
      <c r="E910" s="143"/>
      <c r="F910" s="143"/>
      <c r="G910" s="143"/>
      <c r="H910" s="143"/>
      <c r="I910" s="142"/>
      <c r="J910" s="142"/>
      <c r="K910" s="143"/>
      <c r="L910" s="178"/>
      <c r="M910" s="143"/>
      <c r="N910" s="143"/>
      <c r="O910" s="143"/>
      <c r="P910" s="143"/>
      <c r="Q910" s="176"/>
      <c r="R910" s="143"/>
      <c r="S910" s="177"/>
      <c r="T910" s="177"/>
      <c r="U910" s="177"/>
      <c r="V910" s="177"/>
      <c r="W910" s="177"/>
      <c r="X910" s="177"/>
      <c r="Y910" s="159"/>
      <c r="Z910" s="160"/>
      <c r="AA910" s="160"/>
      <c r="AB910" s="160"/>
      <c r="AC910" s="160"/>
      <c r="AD910" s="160"/>
      <c r="AE910" s="160"/>
    </row>
    <row r="911" spans="1:31" ht="23.4">
      <c r="A911" s="175"/>
      <c r="B911" s="142"/>
      <c r="C911" s="143"/>
      <c r="D911" s="143"/>
      <c r="E911" s="143"/>
      <c r="F911" s="143"/>
      <c r="G911" s="143"/>
      <c r="H911" s="143"/>
      <c r="I911" s="142"/>
      <c r="J911" s="142"/>
      <c r="K911" s="143"/>
      <c r="L911" s="178"/>
      <c r="M911" s="143"/>
      <c r="N911" s="143"/>
      <c r="O911" s="143"/>
      <c r="P911" s="143"/>
      <c r="Q911" s="176"/>
      <c r="R911" s="143"/>
      <c r="S911" s="177"/>
      <c r="T911" s="177"/>
      <c r="U911" s="177"/>
      <c r="V911" s="177"/>
      <c r="W911" s="177"/>
      <c r="X911" s="177"/>
      <c r="Y911" s="159"/>
      <c r="Z911" s="160"/>
      <c r="AA911" s="160"/>
      <c r="AB911" s="160"/>
      <c r="AC911" s="160"/>
      <c r="AD911" s="160"/>
      <c r="AE911" s="160"/>
    </row>
    <row r="912" spans="1:31" ht="23.4">
      <c r="A912" s="175"/>
      <c r="B912" s="142"/>
      <c r="C912" s="143"/>
      <c r="D912" s="143"/>
      <c r="E912" s="143"/>
      <c r="F912" s="143"/>
      <c r="G912" s="143"/>
      <c r="H912" s="143"/>
      <c r="I912" s="142"/>
      <c r="J912" s="142"/>
      <c r="K912" s="143"/>
      <c r="L912" s="178"/>
      <c r="M912" s="143"/>
      <c r="N912" s="143"/>
      <c r="O912" s="143"/>
      <c r="P912" s="143"/>
      <c r="Q912" s="176"/>
      <c r="R912" s="143"/>
      <c r="S912" s="177"/>
      <c r="T912" s="177"/>
      <c r="U912" s="177"/>
      <c r="V912" s="177"/>
      <c r="W912" s="177"/>
      <c r="X912" s="177"/>
      <c r="Y912" s="159"/>
      <c r="Z912" s="160"/>
      <c r="AA912" s="160"/>
      <c r="AB912" s="160"/>
      <c r="AC912" s="160"/>
      <c r="AD912" s="160"/>
      <c r="AE912" s="160"/>
    </row>
    <row r="913" spans="1:31" ht="23.4">
      <c r="A913" s="175"/>
      <c r="B913" s="142"/>
      <c r="C913" s="143"/>
      <c r="D913" s="143"/>
      <c r="E913" s="143"/>
      <c r="F913" s="143"/>
      <c r="G913" s="143"/>
      <c r="H913" s="143"/>
      <c r="I913" s="142"/>
      <c r="J913" s="142"/>
      <c r="K913" s="143"/>
      <c r="L913" s="178"/>
      <c r="M913" s="143"/>
      <c r="N913" s="143"/>
      <c r="O913" s="143"/>
      <c r="P913" s="143"/>
      <c r="Q913" s="176"/>
      <c r="R913" s="143"/>
      <c r="S913" s="177"/>
      <c r="T913" s="177"/>
      <c r="U913" s="177"/>
      <c r="V913" s="177"/>
      <c r="W913" s="177"/>
      <c r="X913" s="177"/>
      <c r="Y913" s="159"/>
      <c r="Z913" s="160"/>
      <c r="AA913" s="160"/>
      <c r="AB913" s="160"/>
      <c r="AC913" s="160"/>
      <c r="AD913" s="160"/>
      <c r="AE913" s="160"/>
    </row>
    <row r="914" spans="1:31" ht="23.4">
      <c r="A914" s="175"/>
      <c r="B914" s="142"/>
      <c r="C914" s="143"/>
      <c r="D914" s="143"/>
      <c r="E914" s="143"/>
      <c r="F914" s="143"/>
      <c r="G914" s="143"/>
      <c r="H914" s="143"/>
      <c r="I914" s="142"/>
      <c r="J914" s="142"/>
      <c r="K914" s="143"/>
      <c r="L914" s="178"/>
      <c r="M914" s="143"/>
      <c r="N914" s="143"/>
      <c r="O914" s="143"/>
      <c r="P914" s="143"/>
      <c r="Q914" s="176"/>
      <c r="R914" s="143"/>
      <c r="S914" s="177"/>
      <c r="T914" s="177"/>
      <c r="U914" s="177"/>
      <c r="V914" s="177"/>
      <c r="W914" s="177"/>
      <c r="X914" s="177"/>
      <c r="Y914" s="159"/>
      <c r="Z914" s="160"/>
      <c r="AA914" s="160"/>
      <c r="AB914" s="160"/>
      <c r="AC914" s="160"/>
      <c r="AD914" s="160"/>
      <c r="AE914" s="160"/>
    </row>
    <row r="915" spans="1:31" ht="23.4">
      <c r="A915" s="175"/>
      <c r="B915" s="142"/>
      <c r="C915" s="143"/>
      <c r="D915" s="143"/>
      <c r="E915" s="143"/>
      <c r="F915" s="143"/>
      <c r="G915" s="143"/>
      <c r="H915" s="143"/>
      <c r="I915" s="142"/>
      <c r="J915" s="142"/>
      <c r="K915" s="143"/>
      <c r="L915" s="178"/>
      <c r="M915" s="143"/>
      <c r="N915" s="143"/>
      <c r="O915" s="143"/>
      <c r="P915" s="143"/>
      <c r="Q915" s="176"/>
      <c r="R915" s="143"/>
      <c r="S915" s="177"/>
      <c r="T915" s="177"/>
      <c r="U915" s="177"/>
      <c r="V915" s="177"/>
      <c r="W915" s="177"/>
      <c r="X915" s="177"/>
      <c r="Y915" s="159"/>
      <c r="Z915" s="160"/>
      <c r="AA915" s="160"/>
      <c r="AB915" s="160"/>
      <c r="AC915" s="160"/>
      <c r="AD915" s="160"/>
      <c r="AE915" s="160"/>
    </row>
    <row r="916" spans="1:31" ht="23.4">
      <c r="A916" s="175"/>
      <c r="B916" s="142"/>
      <c r="C916" s="143"/>
      <c r="D916" s="143"/>
      <c r="E916" s="143"/>
      <c r="F916" s="143"/>
      <c r="G916" s="143"/>
      <c r="H916" s="143"/>
      <c r="I916" s="142"/>
      <c r="J916" s="142"/>
      <c r="K916" s="143"/>
      <c r="L916" s="178"/>
      <c r="M916" s="143"/>
      <c r="N916" s="143"/>
      <c r="O916" s="143"/>
      <c r="P916" s="143"/>
      <c r="Q916" s="176"/>
      <c r="R916" s="143"/>
      <c r="S916" s="177"/>
      <c r="T916" s="177"/>
      <c r="U916" s="177"/>
      <c r="V916" s="177"/>
      <c r="W916" s="177"/>
      <c r="X916" s="177"/>
      <c r="Y916" s="159"/>
      <c r="Z916" s="160"/>
      <c r="AA916" s="160"/>
      <c r="AB916" s="160"/>
      <c r="AC916" s="160"/>
      <c r="AD916" s="160"/>
      <c r="AE916" s="160"/>
    </row>
    <row r="917" spans="1:31" ht="23.4">
      <c r="A917" s="175"/>
      <c r="B917" s="142"/>
      <c r="C917" s="143"/>
      <c r="D917" s="143"/>
      <c r="E917" s="143"/>
      <c r="F917" s="143"/>
      <c r="G917" s="143"/>
      <c r="H917" s="143"/>
      <c r="I917" s="142"/>
      <c r="J917" s="142"/>
      <c r="K917" s="143"/>
      <c r="L917" s="178"/>
      <c r="M917" s="143"/>
      <c r="N917" s="143"/>
      <c r="O917" s="143"/>
      <c r="P917" s="143"/>
      <c r="Q917" s="176"/>
      <c r="R917" s="143"/>
      <c r="S917" s="177"/>
      <c r="T917" s="177"/>
      <c r="U917" s="177"/>
      <c r="V917" s="177"/>
      <c r="W917" s="177"/>
      <c r="X917" s="177"/>
      <c r="Y917" s="159"/>
      <c r="Z917" s="160"/>
      <c r="AA917" s="160"/>
      <c r="AB917" s="160"/>
      <c r="AC917" s="160"/>
      <c r="AD917" s="160"/>
      <c r="AE917" s="160"/>
    </row>
    <row r="918" spans="1:31" ht="23.4">
      <c r="A918" s="175"/>
      <c r="B918" s="142"/>
      <c r="C918" s="143"/>
      <c r="D918" s="143"/>
      <c r="E918" s="143"/>
      <c r="F918" s="143"/>
      <c r="G918" s="143"/>
      <c r="H918" s="143"/>
      <c r="I918" s="142"/>
      <c r="J918" s="142"/>
      <c r="K918" s="143"/>
      <c r="L918" s="178"/>
      <c r="M918" s="143"/>
      <c r="N918" s="143"/>
      <c r="O918" s="143"/>
      <c r="P918" s="143"/>
      <c r="Q918" s="176"/>
      <c r="R918" s="143"/>
      <c r="S918" s="177"/>
      <c r="T918" s="177"/>
      <c r="U918" s="177"/>
      <c r="V918" s="177"/>
      <c r="W918" s="177"/>
      <c r="X918" s="177"/>
      <c r="Y918" s="159"/>
      <c r="Z918" s="160"/>
      <c r="AA918" s="160"/>
      <c r="AB918" s="160"/>
      <c r="AC918" s="160"/>
      <c r="AD918" s="160"/>
      <c r="AE918" s="160"/>
    </row>
    <row r="919" spans="1:31" ht="23.4">
      <c r="A919" s="175"/>
      <c r="B919" s="142"/>
      <c r="C919" s="143"/>
      <c r="D919" s="143"/>
      <c r="E919" s="143"/>
      <c r="F919" s="143"/>
      <c r="G919" s="143"/>
      <c r="H919" s="143"/>
      <c r="I919" s="142"/>
      <c r="J919" s="142"/>
      <c r="K919" s="143"/>
      <c r="L919" s="178"/>
      <c r="M919" s="143"/>
      <c r="N919" s="143"/>
      <c r="O919" s="143"/>
      <c r="P919" s="143"/>
      <c r="Q919" s="176"/>
      <c r="R919" s="143"/>
      <c r="S919" s="177"/>
      <c r="T919" s="177"/>
      <c r="U919" s="177"/>
      <c r="V919" s="177"/>
      <c r="W919" s="177"/>
      <c r="X919" s="177"/>
      <c r="Y919" s="159"/>
      <c r="Z919" s="160"/>
      <c r="AA919" s="160"/>
      <c r="AB919" s="160"/>
      <c r="AC919" s="160"/>
      <c r="AD919" s="160"/>
      <c r="AE919" s="160"/>
    </row>
    <row r="920" spans="1:31" ht="23.4">
      <c r="A920" s="175"/>
      <c r="B920" s="142"/>
      <c r="C920" s="143"/>
      <c r="D920" s="143"/>
      <c r="E920" s="143"/>
      <c r="F920" s="143"/>
      <c r="G920" s="143"/>
      <c r="H920" s="143"/>
      <c r="I920" s="142"/>
      <c r="J920" s="142"/>
      <c r="K920" s="143"/>
      <c r="L920" s="178"/>
      <c r="M920" s="143"/>
      <c r="N920" s="143"/>
      <c r="O920" s="143"/>
      <c r="P920" s="143"/>
      <c r="Q920" s="176"/>
      <c r="R920" s="143"/>
      <c r="S920" s="177"/>
      <c r="T920" s="177"/>
      <c r="U920" s="177"/>
      <c r="V920" s="177"/>
      <c r="W920" s="177"/>
      <c r="X920" s="177"/>
      <c r="Y920" s="159"/>
      <c r="Z920" s="160"/>
      <c r="AA920" s="160"/>
      <c r="AB920" s="160"/>
      <c r="AC920" s="160"/>
      <c r="AD920" s="160"/>
      <c r="AE920" s="160"/>
    </row>
    <row r="921" spans="1:31" ht="23.4">
      <c r="A921" s="175"/>
      <c r="B921" s="142"/>
      <c r="C921" s="143"/>
      <c r="D921" s="143"/>
      <c r="E921" s="143"/>
      <c r="F921" s="143"/>
      <c r="G921" s="143"/>
      <c r="H921" s="143"/>
      <c r="I921" s="142"/>
      <c r="J921" s="142"/>
      <c r="K921" s="143"/>
      <c r="L921" s="178"/>
      <c r="M921" s="143"/>
      <c r="N921" s="143"/>
      <c r="O921" s="143"/>
      <c r="P921" s="143"/>
      <c r="Q921" s="176"/>
      <c r="R921" s="143"/>
      <c r="S921" s="177"/>
      <c r="T921" s="177"/>
      <c r="U921" s="177"/>
      <c r="V921" s="177"/>
      <c r="W921" s="177"/>
      <c r="X921" s="177"/>
      <c r="Y921" s="159"/>
      <c r="Z921" s="160"/>
      <c r="AA921" s="160"/>
      <c r="AB921" s="160"/>
      <c r="AC921" s="160"/>
      <c r="AD921" s="160"/>
      <c r="AE921" s="160"/>
    </row>
    <row r="922" spans="1:31" ht="23.4">
      <c r="A922" s="175"/>
      <c r="B922" s="142"/>
      <c r="C922" s="143"/>
      <c r="D922" s="143"/>
      <c r="E922" s="143"/>
      <c r="F922" s="143"/>
      <c r="G922" s="143"/>
      <c r="H922" s="143"/>
      <c r="I922" s="142"/>
      <c r="J922" s="142"/>
      <c r="K922" s="143"/>
      <c r="L922" s="178"/>
      <c r="M922" s="143"/>
      <c r="N922" s="143"/>
      <c r="O922" s="143"/>
      <c r="P922" s="143"/>
      <c r="Q922" s="176"/>
      <c r="R922" s="143"/>
      <c r="S922" s="177"/>
      <c r="T922" s="177"/>
      <c r="U922" s="177"/>
      <c r="V922" s="177"/>
      <c r="W922" s="177"/>
      <c r="X922" s="177"/>
      <c r="Y922" s="159"/>
      <c r="Z922" s="160"/>
      <c r="AA922" s="160"/>
      <c r="AB922" s="160"/>
      <c r="AC922" s="160"/>
      <c r="AD922" s="160"/>
      <c r="AE922" s="160"/>
    </row>
    <row r="923" spans="1:31" ht="23.4">
      <c r="A923" s="175"/>
      <c r="B923" s="142"/>
      <c r="C923" s="143"/>
      <c r="D923" s="143"/>
      <c r="E923" s="143"/>
      <c r="F923" s="143"/>
      <c r="G923" s="143"/>
      <c r="H923" s="143"/>
      <c r="I923" s="142"/>
      <c r="J923" s="142"/>
      <c r="K923" s="143"/>
      <c r="L923" s="178"/>
      <c r="M923" s="143"/>
      <c r="N923" s="143"/>
      <c r="O923" s="143"/>
      <c r="P923" s="143"/>
      <c r="Q923" s="176"/>
      <c r="R923" s="143"/>
      <c r="S923" s="177"/>
      <c r="T923" s="177"/>
      <c r="U923" s="177"/>
      <c r="V923" s="177"/>
      <c r="W923" s="177"/>
      <c r="X923" s="177"/>
      <c r="Y923" s="159"/>
      <c r="Z923" s="160"/>
      <c r="AA923" s="160"/>
      <c r="AB923" s="160"/>
      <c r="AC923" s="160"/>
      <c r="AD923" s="160"/>
      <c r="AE923" s="160"/>
    </row>
    <row r="924" spans="1:31" ht="23.4">
      <c r="A924" s="175"/>
      <c r="B924" s="142"/>
      <c r="C924" s="143"/>
      <c r="D924" s="143"/>
      <c r="E924" s="143"/>
      <c r="F924" s="143"/>
      <c r="G924" s="143"/>
      <c r="H924" s="143"/>
      <c r="I924" s="142"/>
      <c r="J924" s="142"/>
      <c r="K924" s="143"/>
      <c r="L924" s="178"/>
      <c r="M924" s="143"/>
      <c r="N924" s="143"/>
      <c r="O924" s="143"/>
      <c r="P924" s="143"/>
      <c r="Q924" s="176"/>
      <c r="R924" s="143"/>
      <c r="S924" s="177"/>
      <c r="T924" s="177"/>
      <c r="U924" s="177"/>
      <c r="V924" s="177"/>
      <c r="W924" s="177"/>
      <c r="X924" s="177"/>
      <c r="Y924" s="159"/>
      <c r="Z924" s="160"/>
      <c r="AA924" s="160"/>
      <c r="AB924" s="160"/>
      <c r="AC924" s="160"/>
      <c r="AD924" s="160"/>
      <c r="AE924" s="160"/>
    </row>
    <row r="925" spans="1:31" ht="23.4">
      <c r="A925" s="175"/>
      <c r="B925" s="142"/>
      <c r="C925" s="143"/>
      <c r="D925" s="143"/>
      <c r="E925" s="143"/>
      <c r="F925" s="143"/>
      <c r="G925" s="143"/>
      <c r="H925" s="143"/>
      <c r="I925" s="142"/>
      <c r="J925" s="142"/>
      <c r="K925" s="143"/>
      <c r="L925" s="178"/>
      <c r="M925" s="143"/>
      <c r="N925" s="143"/>
      <c r="O925" s="143"/>
      <c r="P925" s="143"/>
      <c r="Q925" s="176"/>
      <c r="R925" s="143"/>
      <c r="S925" s="177"/>
      <c r="T925" s="177"/>
      <c r="U925" s="177"/>
      <c r="V925" s="177"/>
      <c r="W925" s="177"/>
      <c r="X925" s="177"/>
      <c r="Y925" s="159"/>
      <c r="Z925" s="160"/>
      <c r="AA925" s="160"/>
      <c r="AB925" s="160"/>
      <c r="AC925" s="160"/>
      <c r="AD925" s="160"/>
      <c r="AE925" s="160"/>
    </row>
    <row r="926" spans="1:31" ht="23.4">
      <c r="A926" s="175"/>
      <c r="B926" s="142"/>
      <c r="C926" s="143"/>
      <c r="D926" s="143"/>
      <c r="E926" s="143"/>
      <c r="F926" s="143"/>
      <c r="G926" s="143"/>
      <c r="H926" s="143"/>
      <c r="I926" s="142"/>
      <c r="J926" s="142"/>
      <c r="K926" s="143"/>
      <c r="L926" s="178"/>
      <c r="M926" s="143"/>
      <c r="N926" s="143"/>
      <c r="O926" s="143"/>
      <c r="P926" s="143"/>
      <c r="Q926" s="176"/>
      <c r="R926" s="143"/>
      <c r="S926" s="177"/>
      <c r="T926" s="177"/>
      <c r="U926" s="177"/>
      <c r="V926" s="177"/>
      <c r="W926" s="177"/>
      <c r="X926" s="177"/>
      <c r="Y926" s="159"/>
      <c r="Z926" s="160"/>
      <c r="AA926" s="160"/>
      <c r="AB926" s="160"/>
      <c r="AC926" s="160"/>
      <c r="AD926" s="160"/>
      <c r="AE926" s="160"/>
    </row>
    <row r="927" spans="1:31" ht="23.4">
      <c r="A927" s="175"/>
      <c r="B927" s="142"/>
      <c r="C927" s="143"/>
      <c r="D927" s="143"/>
      <c r="E927" s="143"/>
      <c r="F927" s="143"/>
      <c r="G927" s="143"/>
      <c r="H927" s="143"/>
      <c r="I927" s="142"/>
      <c r="J927" s="142"/>
      <c r="K927" s="143"/>
      <c r="L927" s="178"/>
      <c r="M927" s="143"/>
      <c r="N927" s="143"/>
      <c r="O927" s="143"/>
      <c r="P927" s="143"/>
      <c r="Q927" s="176"/>
      <c r="R927" s="143"/>
      <c r="S927" s="177"/>
      <c r="T927" s="177"/>
      <c r="U927" s="177"/>
      <c r="V927" s="177"/>
      <c r="W927" s="177"/>
      <c r="X927" s="177"/>
      <c r="Y927" s="159"/>
      <c r="Z927" s="160"/>
      <c r="AA927" s="160"/>
      <c r="AB927" s="160"/>
      <c r="AC927" s="160"/>
      <c r="AD927" s="160"/>
      <c r="AE927" s="160"/>
    </row>
    <row r="928" spans="1:31" ht="23.4">
      <c r="A928" s="175"/>
      <c r="B928" s="142"/>
      <c r="C928" s="143"/>
      <c r="D928" s="143"/>
      <c r="E928" s="143"/>
      <c r="F928" s="143"/>
      <c r="G928" s="143"/>
      <c r="H928" s="143"/>
      <c r="I928" s="142"/>
      <c r="J928" s="142"/>
      <c r="K928" s="143"/>
      <c r="L928" s="178"/>
      <c r="M928" s="143"/>
      <c r="N928" s="143"/>
      <c r="O928" s="143"/>
      <c r="P928" s="143"/>
      <c r="Q928" s="176"/>
      <c r="R928" s="143"/>
      <c r="S928" s="177"/>
      <c r="T928" s="177"/>
      <c r="U928" s="177"/>
      <c r="V928" s="177"/>
      <c r="W928" s="177"/>
      <c r="X928" s="177"/>
      <c r="Y928" s="159"/>
      <c r="Z928" s="160"/>
      <c r="AA928" s="160"/>
      <c r="AB928" s="160"/>
      <c r="AC928" s="160"/>
      <c r="AD928" s="160"/>
      <c r="AE928" s="160"/>
    </row>
    <row r="929" spans="1:31" ht="23.4">
      <c r="A929" s="175"/>
      <c r="B929" s="142"/>
      <c r="C929" s="143"/>
      <c r="D929" s="143"/>
      <c r="E929" s="143"/>
      <c r="F929" s="143"/>
      <c r="G929" s="143"/>
      <c r="H929" s="143"/>
      <c r="I929" s="142"/>
      <c r="J929" s="142"/>
      <c r="K929" s="143"/>
      <c r="L929" s="178"/>
      <c r="M929" s="143"/>
      <c r="N929" s="143"/>
      <c r="O929" s="143"/>
      <c r="P929" s="143"/>
      <c r="Q929" s="176"/>
      <c r="R929" s="143"/>
      <c r="S929" s="177"/>
      <c r="T929" s="177"/>
      <c r="U929" s="177"/>
      <c r="V929" s="177"/>
      <c r="W929" s="177"/>
      <c r="X929" s="177"/>
      <c r="Y929" s="159"/>
      <c r="Z929" s="160"/>
      <c r="AA929" s="160"/>
      <c r="AB929" s="160"/>
      <c r="AC929" s="160"/>
      <c r="AD929" s="160"/>
      <c r="AE929" s="160"/>
    </row>
    <row r="930" spans="1:31" ht="23.4">
      <c r="A930" s="175"/>
      <c r="B930" s="142"/>
      <c r="C930" s="143"/>
      <c r="D930" s="143"/>
      <c r="E930" s="143"/>
      <c r="F930" s="143"/>
      <c r="G930" s="143"/>
      <c r="H930" s="143"/>
      <c r="I930" s="142"/>
      <c r="J930" s="142"/>
      <c r="K930" s="143"/>
      <c r="L930" s="178"/>
      <c r="M930" s="143"/>
      <c r="N930" s="143"/>
      <c r="O930" s="143"/>
      <c r="P930" s="143"/>
      <c r="Q930" s="176"/>
      <c r="R930" s="143"/>
      <c r="S930" s="177"/>
      <c r="T930" s="177"/>
      <c r="U930" s="177"/>
      <c r="V930" s="177"/>
      <c r="W930" s="177"/>
      <c r="X930" s="177"/>
      <c r="Y930" s="159"/>
      <c r="Z930" s="160"/>
      <c r="AA930" s="160"/>
      <c r="AB930" s="160"/>
      <c r="AC930" s="160"/>
      <c r="AD930" s="160"/>
      <c r="AE930" s="160"/>
    </row>
    <row r="931" spans="1:31" ht="23.4">
      <c r="A931" s="175"/>
      <c r="B931" s="142"/>
      <c r="C931" s="143"/>
      <c r="D931" s="143"/>
      <c r="E931" s="143"/>
      <c r="F931" s="143"/>
      <c r="G931" s="143"/>
      <c r="H931" s="143"/>
      <c r="I931" s="142"/>
      <c r="J931" s="142"/>
      <c r="K931" s="143"/>
      <c r="L931" s="178"/>
      <c r="M931" s="143"/>
      <c r="N931" s="143"/>
      <c r="O931" s="143"/>
      <c r="P931" s="143"/>
      <c r="Q931" s="176"/>
      <c r="R931" s="143"/>
      <c r="S931" s="177"/>
      <c r="T931" s="177"/>
      <c r="U931" s="177"/>
      <c r="V931" s="177"/>
      <c r="W931" s="177"/>
      <c r="X931" s="177"/>
      <c r="Y931" s="159"/>
      <c r="Z931" s="160"/>
      <c r="AA931" s="160"/>
      <c r="AB931" s="160"/>
      <c r="AC931" s="160"/>
      <c r="AD931" s="160"/>
      <c r="AE931" s="160"/>
    </row>
    <row r="932" spans="1:31" ht="23.4">
      <c r="A932" s="175"/>
      <c r="B932" s="142"/>
      <c r="C932" s="143"/>
      <c r="D932" s="143"/>
      <c r="E932" s="143"/>
      <c r="F932" s="143"/>
      <c r="G932" s="143"/>
      <c r="H932" s="143"/>
      <c r="I932" s="142"/>
      <c r="J932" s="142"/>
      <c r="K932" s="143"/>
      <c r="L932" s="178"/>
      <c r="M932" s="143"/>
      <c r="N932" s="143"/>
      <c r="O932" s="143"/>
      <c r="P932" s="143"/>
      <c r="Q932" s="176"/>
      <c r="R932" s="143"/>
      <c r="S932" s="177"/>
      <c r="T932" s="177"/>
      <c r="U932" s="177"/>
      <c r="V932" s="177"/>
      <c r="W932" s="177"/>
      <c r="X932" s="177"/>
      <c r="Y932" s="159"/>
      <c r="Z932" s="160"/>
      <c r="AA932" s="160"/>
      <c r="AB932" s="160"/>
      <c r="AC932" s="160"/>
      <c r="AD932" s="160"/>
      <c r="AE932" s="160"/>
    </row>
    <row r="933" spans="1:31" ht="23.4">
      <c r="A933" s="175"/>
      <c r="B933" s="142"/>
      <c r="C933" s="143"/>
      <c r="D933" s="143"/>
      <c r="E933" s="143"/>
      <c r="F933" s="143"/>
      <c r="G933" s="143"/>
      <c r="H933" s="143"/>
      <c r="I933" s="142"/>
      <c r="J933" s="142"/>
      <c r="K933" s="143"/>
      <c r="L933" s="178"/>
      <c r="M933" s="143"/>
      <c r="N933" s="143"/>
      <c r="O933" s="143"/>
      <c r="P933" s="143"/>
      <c r="Q933" s="176"/>
      <c r="R933" s="143"/>
      <c r="S933" s="177"/>
      <c r="T933" s="177"/>
      <c r="U933" s="177"/>
      <c r="V933" s="177"/>
      <c r="W933" s="177"/>
      <c r="X933" s="177"/>
      <c r="Y933" s="159"/>
      <c r="Z933" s="160"/>
      <c r="AA933" s="160"/>
      <c r="AB933" s="160"/>
      <c r="AC933" s="160"/>
      <c r="AD933" s="160"/>
      <c r="AE933" s="160"/>
    </row>
    <row r="934" spans="1:31" ht="23.4">
      <c r="A934" s="175"/>
      <c r="B934" s="142"/>
      <c r="C934" s="143"/>
      <c r="D934" s="143"/>
      <c r="E934" s="143"/>
      <c r="F934" s="143"/>
      <c r="G934" s="143"/>
      <c r="H934" s="143"/>
      <c r="I934" s="142"/>
      <c r="J934" s="142"/>
      <c r="K934" s="143"/>
      <c r="L934" s="178"/>
      <c r="M934" s="143"/>
      <c r="N934" s="143"/>
      <c r="O934" s="143"/>
      <c r="P934" s="143"/>
      <c r="Q934" s="176"/>
      <c r="R934" s="143"/>
      <c r="S934" s="177"/>
      <c r="T934" s="177"/>
      <c r="U934" s="177"/>
      <c r="V934" s="177"/>
      <c r="W934" s="177"/>
      <c r="X934" s="177"/>
      <c r="Y934" s="159"/>
      <c r="Z934" s="160"/>
      <c r="AA934" s="160"/>
      <c r="AB934" s="160"/>
      <c r="AC934" s="160"/>
      <c r="AD934" s="160"/>
      <c r="AE934" s="160"/>
    </row>
    <row r="935" spans="1:31" ht="23.4">
      <c r="A935" s="175"/>
      <c r="B935" s="142"/>
      <c r="C935" s="143"/>
      <c r="D935" s="143"/>
      <c r="E935" s="143"/>
      <c r="F935" s="143"/>
      <c r="G935" s="143"/>
      <c r="H935" s="143"/>
      <c r="I935" s="142"/>
      <c r="J935" s="142"/>
      <c r="K935" s="143"/>
      <c r="L935" s="178"/>
      <c r="M935" s="143"/>
      <c r="N935" s="143"/>
      <c r="O935" s="143"/>
      <c r="P935" s="143"/>
      <c r="Q935" s="176"/>
      <c r="R935" s="143"/>
      <c r="S935" s="177"/>
      <c r="T935" s="177"/>
      <c r="U935" s="177"/>
      <c r="V935" s="177"/>
      <c r="W935" s="177"/>
      <c r="X935" s="177"/>
      <c r="Y935" s="159"/>
      <c r="Z935" s="160"/>
      <c r="AA935" s="160"/>
      <c r="AB935" s="160"/>
      <c r="AC935" s="160"/>
      <c r="AD935" s="160"/>
      <c r="AE935" s="160"/>
    </row>
    <row r="936" spans="1:31" ht="23.4">
      <c r="A936" s="175"/>
      <c r="B936" s="142"/>
      <c r="C936" s="143"/>
      <c r="D936" s="143"/>
      <c r="E936" s="143"/>
      <c r="F936" s="143"/>
      <c r="G936" s="143"/>
      <c r="H936" s="143"/>
      <c r="I936" s="142"/>
      <c r="J936" s="142"/>
      <c r="K936" s="143"/>
      <c r="L936" s="178"/>
      <c r="M936" s="143"/>
      <c r="N936" s="143"/>
      <c r="O936" s="143"/>
      <c r="P936" s="143"/>
      <c r="Q936" s="176"/>
      <c r="R936" s="143"/>
      <c r="S936" s="177"/>
      <c r="T936" s="177"/>
      <c r="U936" s="177"/>
      <c r="V936" s="177"/>
      <c r="W936" s="177"/>
      <c r="X936" s="177"/>
      <c r="Y936" s="159"/>
      <c r="Z936" s="160"/>
      <c r="AA936" s="160"/>
      <c r="AB936" s="160"/>
      <c r="AC936" s="160"/>
      <c r="AD936" s="160"/>
      <c r="AE936" s="160"/>
    </row>
    <row r="937" spans="1:31" ht="23.4">
      <c r="A937" s="175"/>
      <c r="B937" s="142"/>
      <c r="C937" s="143"/>
      <c r="D937" s="143"/>
      <c r="E937" s="143"/>
      <c r="F937" s="143"/>
      <c r="G937" s="143"/>
      <c r="H937" s="143"/>
      <c r="I937" s="142"/>
      <c r="J937" s="142"/>
      <c r="K937" s="143"/>
      <c r="L937" s="178"/>
      <c r="M937" s="143"/>
      <c r="N937" s="143"/>
      <c r="O937" s="143"/>
      <c r="P937" s="143"/>
      <c r="Q937" s="176"/>
      <c r="R937" s="143"/>
      <c r="S937" s="177"/>
      <c r="T937" s="177"/>
      <c r="U937" s="177"/>
      <c r="V937" s="177"/>
      <c r="W937" s="177"/>
      <c r="X937" s="177"/>
      <c r="Y937" s="159"/>
      <c r="Z937" s="160"/>
      <c r="AA937" s="160"/>
      <c r="AB937" s="160"/>
      <c r="AC937" s="160"/>
      <c r="AD937" s="160"/>
      <c r="AE937" s="160"/>
    </row>
    <row r="938" spans="1:31" ht="23.4">
      <c r="A938" s="175"/>
      <c r="B938" s="142"/>
      <c r="C938" s="143"/>
      <c r="D938" s="143"/>
      <c r="E938" s="143"/>
      <c r="F938" s="143"/>
      <c r="G938" s="143"/>
      <c r="H938" s="143"/>
      <c r="I938" s="142"/>
      <c r="J938" s="142"/>
      <c r="K938" s="143"/>
      <c r="L938" s="178"/>
      <c r="M938" s="143"/>
      <c r="N938" s="143"/>
      <c r="O938" s="143"/>
      <c r="P938" s="143"/>
      <c r="Q938" s="176"/>
      <c r="R938" s="143"/>
      <c r="S938" s="177"/>
      <c r="T938" s="177"/>
      <c r="U938" s="177"/>
      <c r="V938" s="177"/>
      <c r="W938" s="177"/>
      <c r="X938" s="177"/>
      <c r="Y938" s="159"/>
      <c r="Z938" s="160"/>
      <c r="AA938" s="160"/>
      <c r="AB938" s="160"/>
      <c r="AC938" s="160"/>
      <c r="AD938" s="160"/>
      <c r="AE938" s="160"/>
    </row>
    <row r="939" spans="1:31" ht="23.4">
      <c r="A939" s="175"/>
      <c r="B939" s="142"/>
      <c r="C939" s="143"/>
      <c r="D939" s="143"/>
      <c r="E939" s="143"/>
      <c r="F939" s="143"/>
      <c r="G939" s="143"/>
      <c r="H939" s="143"/>
      <c r="I939" s="142"/>
      <c r="J939" s="142"/>
      <c r="K939" s="143"/>
      <c r="L939" s="178"/>
      <c r="M939" s="143"/>
      <c r="N939" s="143"/>
      <c r="O939" s="143"/>
      <c r="P939" s="143"/>
      <c r="Q939" s="176"/>
      <c r="R939" s="143"/>
      <c r="S939" s="177"/>
      <c r="T939" s="177"/>
      <c r="U939" s="177"/>
      <c r="V939" s="177"/>
      <c r="W939" s="177"/>
      <c r="X939" s="177"/>
      <c r="Y939" s="159"/>
      <c r="Z939" s="160"/>
      <c r="AA939" s="160"/>
      <c r="AB939" s="160"/>
      <c r="AC939" s="160"/>
      <c r="AD939" s="160"/>
      <c r="AE939" s="160"/>
    </row>
    <row r="940" spans="1:31" ht="23.4">
      <c r="A940" s="175"/>
      <c r="B940" s="142"/>
      <c r="C940" s="143"/>
      <c r="D940" s="143"/>
      <c r="E940" s="143"/>
      <c r="F940" s="143"/>
      <c r="G940" s="143"/>
      <c r="H940" s="143"/>
      <c r="I940" s="142"/>
      <c r="J940" s="142"/>
      <c r="K940" s="143"/>
      <c r="L940" s="178"/>
      <c r="M940" s="143"/>
      <c r="N940" s="143"/>
      <c r="O940" s="143"/>
      <c r="P940" s="143"/>
      <c r="Q940" s="176"/>
      <c r="R940" s="143"/>
      <c r="S940" s="177"/>
      <c r="T940" s="177"/>
      <c r="U940" s="177"/>
      <c r="V940" s="177"/>
      <c r="W940" s="177"/>
      <c r="X940" s="177"/>
      <c r="Y940" s="159"/>
      <c r="Z940" s="160"/>
      <c r="AA940" s="160"/>
      <c r="AB940" s="160"/>
      <c r="AC940" s="160"/>
      <c r="AD940" s="160"/>
      <c r="AE940" s="160"/>
    </row>
    <row r="941" spans="1:31" ht="23.4">
      <c r="A941" s="175"/>
      <c r="B941" s="142"/>
      <c r="C941" s="143"/>
      <c r="D941" s="143"/>
      <c r="E941" s="143"/>
      <c r="F941" s="143"/>
      <c r="G941" s="143"/>
      <c r="H941" s="143"/>
      <c r="I941" s="142"/>
      <c r="J941" s="142"/>
      <c r="K941" s="143"/>
      <c r="L941" s="178"/>
      <c r="M941" s="143"/>
      <c r="N941" s="143"/>
      <c r="O941" s="143"/>
      <c r="P941" s="143"/>
      <c r="Q941" s="176"/>
      <c r="R941" s="143"/>
      <c r="S941" s="177"/>
      <c r="T941" s="177"/>
      <c r="U941" s="177"/>
      <c r="V941" s="177"/>
      <c r="W941" s="177"/>
      <c r="X941" s="177"/>
      <c r="Y941" s="159"/>
      <c r="Z941" s="160"/>
      <c r="AA941" s="160"/>
      <c r="AB941" s="160"/>
      <c r="AC941" s="160"/>
      <c r="AD941" s="160"/>
      <c r="AE941" s="160"/>
    </row>
    <row r="942" spans="1:31" ht="23.4">
      <c r="A942" s="175"/>
      <c r="B942" s="142"/>
      <c r="C942" s="143"/>
      <c r="D942" s="143"/>
      <c r="E942" s="143"/>
      <c r="F942" s="143"/>
      <c r="G942" s="143"/>
      <c r="H942" s="143"/>
      <c r="I942" s="142"/>
      <c r="J942" s="142"/>
      <c r="K942" s="143"/>
      <c r="L942" s="178"/>
      <c r="M942" s="143"/>
      <c r="N942" s="143"/>
      <c r="O942" s="143"/>
      <c r="P942" s="143"/>
      <c r="Q942" s="176"/>
      <c r="R942" s="143"/>
      <c r="S942" s="177"/>
      <c r="T942" s="177"/>
      <c r="U942" s="177"/>
      <c r="V942" s="177"/>
      <c r="W942" s="177"/>
      <c r="X942" s="177"/>
      <c r="Y942" s="159"/>
      <c r="Z942" s="160"/>
      <c r="AA942" s="160"/>
      <c r="AB942" s="160"/>
      <c r="AC942" s="160"/>
      <c r="AD942" s="160"/>
      <c r="AE942" s="160"/>
    </row>
    <row r="943" spans="1:31" ht="23.4">
      <c r="A943" s="175"/>
      <c r="B943" s="142"/>
      <c r="C943" s="143"/>
      <c r="D943" s="143"/>
      <c r="E943" s="143"/>
      <c r="F943" s="143"/>
      <c r="G943" s="143"/>
      <c r="H943" s="143"/>
      <c r="I943" s="142"/>
      <c r="J943" s="142"/>
      <c r="K943" s="143"/>
      <c r="L943" s="178"/>
      <c r="M943" s="143"/>
      <c r="N943" s="143"/>
      <c r="O943" s="143"/>
      <c r="P943" s="143"/>
      <c r="Q943" s="176"/>
      <c r="R943" s="143"/>
      <c r="S943" s="177"/>
      <c r="T943" s="177"/>
      <c r="U943" s="177"/>
      <c r="V943" s="177"/>
      <c r="W943" s="177"/>
      <c r="X943" s="177"/>
      <c r="Y943" s="159"/>
      <c r="Z943" s="160"/>
      <c r="AA943" s="160"/>
      <c r="AB943" s="160"/>
      <c r="AC943" s="160"/>
      <c r="AD943" s="160"/>
      <c r="AE943" s="160"/>
    </row>
    <row r="944" spans="1:31" ht="23.4">
      <c r="A944" s="175"/>
      <c r="B944" s="142"/>
      <c r="C944" s="143"/>
      <c r="D944" s="143"/>
      <c r="E944" s="143"/>
      <c r="F944" s="143"/>
      <c r="G944" s="143"/>
      <c r="H944" s="143"/>
      <c r="I944" s="142"/>
      <c r="J944" s="142"/>
      <c r="K944" s="143"/>
      <c r="L944" s="178"/>
      <c r="M944" s="143"/>
      <c r="N944" s="143"/>
      <c r="O944" s="143"/>
      <c r="P944" s="143"/>
      <c r="Q944" s="176"/>
      <c r="R944" s="143"/>
      <c r="S944" s="177"/>
      <c r="T944" s="177"/>
      <c r="U944" s="177"/>
      <c r="V944" s="177"/>
      <c r="W944" s="177"/>
      <c r="X944" s="177"/>
      <c r="Y944" s="159"/>
      <c r="Z944" s="160"/>
      <c r="AA944" s="160"/>
      <c r="AB944" s="160"/>
      <c r="AC944" s="160"/>
      <c r="AD944" s="160"/>
      <c r="AE944" s="160"/>
    </row>
    <row r="945" spans="1:31" ht="23.4">
      <c r="A945" s="175"/>
      <c r="B945" s="142"/>
      <c r="C945" s="143"/>
      <c r="D945" s="143"/>
      <c r="E945" s="143"/>
      <c r="F945" s="143"/>
      <c r="G945" s="143"/>
      <c r="H945" s="143"/>
      <c r="I945" s="142"/>
      <c r="J945" s="142"/>
      <c r="K945" s="143"/>
      <c r="L945" s="178"/>
      <c r="M945" s="143"/>
      <c r="N945" s="143"/>
      <c r="O945" s="143"/>
      <c r="P945" s="143"/>
      <c r="Q945" s="176"/>
      <c r="R945" s="143"/>
      <c r="S945" s="177"/>
      <c r="T945" s="177"/>
      <c r="U945" s="177"/>
      <c r="V945" s="177"/>
      <c r="W945" s="177"/>
      <c r="X945" s="177"/>
      <c r="Y945" s="159"/>
      <c r="Z945" s="160"/>
      <c r="AA945" s="160"/>
      <c r="AB945" s="160"/>
      <c r="AC945" s="160"/>
      <c r="AD945" s="160"/>
      <c r="AE945" s="160"/>
    </row>
    <row r="946" spans="1:31" ht="23.4">
      <c r="A946" s="175"/>
      <c r="B946" s="142"/>
      <c r="C946" s="143"/>
      <c r="D946" s="143"/>
      <c r="E946" s="143"/>
      <c r="F946" s="143"/>
      <c r="G946" s="143"/>
      <c r="H946" s="143"/>
      <c r="I946" s="142"/>
      <c r="J946" s="142"/>
      <c r="K946" s="143"/>
      <c r="L946" s="178"/>
      <c r="M946" s="143"/>
      <c r="N946" s="143"/>
      <c r="O946" s="143"/>
      <c r="P946" s="143"/>
      <c r="Q946" s="176"/>
      <c r="R946" s="143"/>
      <c r="S946" s="177"/>
      <c r="T946" s="177"/>
      <c r="U946" s="177"/>
      <c r="V946" s="177"/>
      <c r="W946" s="177"/>
      <c r="X946" s="177"/>
      <c r="Y946" s="159"/>
      <c r="Z946" s="160"/>
      <c r="AA946" s="160"/>
      <c r="AB946" s="160"/>
      <c r="AC946" s="160"/>
      <c r="AD946" s="160"/>
      <c r="AE946" s="160"/>
    </row>
    <row r="947" spans="1:31" ht="23.4">
      <c r="A947" s="175"/>
      <c r="B947" s="142"/>
      <c r="C947" s="143"/>
      <c r="D947" s="143"/>
      <c r="E947" s="143"/>
      <c r="F947" s="143"/>
      <c r="G947" s="143"/>
      <c r="H947" s="143"/>
      <c r="I947" s="142"/>
      <c r="J947" s="142"/>
      <c r="K947" s="143"/>
      <c r="L947" s="178"/>
      <c r="M947" s="143"/>
      <c r="N947" s="143"/>
      <c r="O947" s="143"/>
      <c r="P947" s="143"/>
      <c r="Q947" s="176"/>
      <c r="R947" s="143"/>
      <c r="S947" s="177"/>
      <c r="T947" s="177"/>
      <c r="U947" s="177"/>
      <c r="V947" s="177"/>
      <c r="W947" s="177"/>
      <c r="X947" s="177"/>
      <c r="Y947" s="159"/>
      <c r="Z947" s="160"/>
      <c r="AA947" s="160"/>
      <c r="AB947" s="160"/>
      <c r="AC947" s="160"/>
      <c r="AD947" s="160"/>
      <c r="AE947" s="160"/>
    </row>
    <row r="948" spans="1:31" ht="23.4">
      <c r="A948" s="175"/>
      <c r="B948" s="142"/>
      <c r="C948" s="143"/>
      <c r="D948" s="143"/>
      <c r="E948" s="143"/>
      <c r="F948" s="143"/>
      <c r="G948" s="143"/>
      <c r="H948" s="143"/>
      <c r="I948" s="142"/>
      <c r="J948" s="142"/>
      <c r="K948" s="143"/>
      <c r="L948" s="178"/>
      <c r="M948" s="143"/>
      <c r="N948" s="143"/>
      <c r="O948" s="143"/>
      <c r="P948" s="143"/>
      <c r="Q948" s="176"/>
      <c r="R948" s="143"/>
      <c r="S948" s="177"/>
      <c r="T948" s="177"/>
      <c r="U948" s="177"/>
      <c r="V948" s="177"/>
      <c r="W948" s="177"/>
      <c r="X948" s="177"/>
      <c r="Y948" s="159"/>
      <c r="Z948" s="160"/>
      <c r="AA948" s="160"/>
      <c r="AB948" s="160"/>
      <c r="AC948" s="160"/>
      <c r="AD948" s="160"/>
      <c r="AE948" s="160"/>
    </row>
    <row r="949" spans="1:31" ht="23.4">
      <c r="A949" s="175"/>
      <c r="B949" s="142"/>
      <c r="C949" s="143"/>
      <c r="D949" s="143"/>
      <c r="E949" s="143"/>
      <c r="F949" s="143"/>
      <c r="G949" s="143"/>
      <c r="H949" s="143"/>
      <c r="I949" s="142"/>
      <c r="J949" s="142"/>
      <c r="K949" s="143"/>
      <c r="L949" s="178"/>
      <c r="M949" s="143"/>
      <c r="N949" s="143"/>
      <c r="O949" s="143"/>
      <c r="P949" s="143"/>
      <c r="Q949" s="176"/>
      <c r="R949" s="143"/>
      <c r="S949" s="177"/>
      <c r="T949" s="177"/>
      <c r="U949" s="177"/>
      <c r="V949" s="177"/>
      <c r="W949" s="177"/>
      <c r="X949" s="177"/>
      <c r="Y949" s="159"/>
      <c r="Z949" s="160"/>
      <c r="AA949" s="160"/>
      <c r="AB949" s="160"/>
      <c r="AC949" s="160"/>
      <c r="AD949" s="160"/>
      <c r="AE949" s="160"/>
    </row>
    <row r="950" spans="1:31" ht="23.4">
      <c r="A950" s="175"/>
      <c r="B950" s="142"/>
      <c r="C950" s="143"/>
      <c r="D950" s="143"/>
      <c r="E950" s="143"/>
      <c r="F950" s="143"/>
      <c r="G950" s="143"/>
      <c r="H950" s="143"/>
      <c r="I950" s="142"/>
      <c r="J950" s="142"/>
      <c r="K950" s="143"/>
      <c r="L950" s="178"/>
      <c r="M950" s="143"/>
      <c r="N950" s="143"/>
      <c r="O950" s="143"/>
      <c r="P950" s="143"/>
      <c r="Q950" s="176"/>
      <c r="R950" s="143"/>
      <c r="S950" s="177"/>
      <c r="T950" s="177"/>
      <c r="U950" s="177"/>
      <c r="V950" s="177"/>
      <c r="W950" s="177"/>
      <c r="X950" s="177"/>
      <c r="Y950" s="159"/>
      <c r="Z950" s="160"/>
      <c r="AA950" s="160"/>
      <c r="AB950" s="160"/>
      <c r="AC950" s="160"/>
      <c r="AD950" s="160"/>
      <c r="AE950" s="160"/>
    </row>
    <row r="951" spans="1:31" ht="23.4">
      <c r="A951" s="175"/>
      <c r="B951" s="142"/>
      <c r="C951" s="143"/>
      <c r="D951" s="143"/>
      <c r="E951" s="143"/>
      <c r="F951" s="143"/>
      <c r="G951" s="143"/>
      <c r="H951" s="143"/>
      <c r="I951" s="142"/>
      <c r="J951" s="142"/>
      <c r="K951" s="143"/>
      <c r="L951" s="178"/>
      <c r="M951" s="143"/>
      <c r="N951" s="143"/>
      <c r="O951" s="143"/>
      <c r="P951" s="143"/>
      <c r="Q951" s="176"/>
      <c r="R951" s="143"/>
      <c r="S951" s="177"/>
      <c r="T951" s="177"/>
      <c r="U951" s="177"/>
      <c r="V951" s="177"/>
      <c r="W951" s="177"/>
      <c r="X951" s="177"/>
      <c r="Y951" s="159"/>
      <c r="Z951" s="160"/>
      <c r="AA951" s="160"/>
      <c r="AB951" s="160"/>
      <c r="AC951" s="160"/>
      <c r="AD951" s="160"/>
      <c r="AE951" s="160"/>
    </row>
    <row r="952" spans="1:31" ht="23.4">
      <c r="A952" s="175"/>
      <c r="B952" s="142"/>
      <c r="C952" s="143"/>
      <c r="D952" s="143"/>
      <c r="E952" s="143"/>
      <c r="F952" s="143"/>
      <c r="G952" s="143"/>
      <c r="H952" s="143"/>
      <c r="I952" s="142"/>
      <c r="J952" s="142"/>
      <c r="K952" s="143"/>
      <c r="L952" s="178"/>
      <c r="M952" s="143"/>
      <c r="N952" s="143"/>
      <c r="O952" s="143"/>
      <c r="P952" s="143"/>
      <c r="Q952" s="176"/>
      <c r="R952" s="143"/>
      <c r="S952" s="177"/>
      <c r="T952" s="177"/>
      <c r="U952" s="177"/>
      <c r="V952" s="177"/>
      <c r="W952" s="177"/>
      <c r="X952" s="177"/>
      <c r="Y952" s="159"/>
      <c r="Z952" s="160"/>
      <c r="AA952" s="160"/>
      <c r="AB952" s="160"/>
      <c r="AC952" s="160"/>
      <c r="AD952" s="160"/>
      <c r="AE952" s="160"/>
    </row>
    <row r="953" spans="1:31" ht="23.4">
      <c r="A953" s="175"/>
      <c r="B953" s="142"/>
      <c r="C953" s="143"/>
      <c r="D953" s="143"/>
      <c r="E953" s="143"/>
      <c r="F953" s="143"/>
      <c r="G953" s="143"/>
      <c r="H953" s="143"/>
      <c r="I953" s="142"/>
      <c r="J953" s="142"/>
      <c r="K953" s="143"/>
      <c r="L953" s="178"/>
      <c r="M953" s="143"/>
      <c r="N953" s="143"/>
      <c r="O953" s="143"/>
      <c r="P953" s="143"/>
      <c r="Q953" s="176"/>
      <c r="R953" s="143"/>
      <c r="S953" s="177"/>
      <c r="T953" s="177"/>
      <c r="U953" s="177"/>
      <c r="V953" s="177"/>
      <c r="W953" s="177"/>
      <c r="X953" s="177"/>
      <c r="Y953" s="159"/>
      <c r="Z953" s="160"/>
      <c r="AA953" s="160"/>
      <c r="AB953" s="160"/>
      <c r="AC953" s="160"/>
      <c r="AD953" s="160"/>
      <c r="AE953" s="160"/>
    </row>
    <row r="954" spans="1:31" ht="23.4">
      <c r="A954" s="175"/>
      <c r="B954" s="142"/>
      <c r="C954" s="143"/>
      <c r="D954" s="143"/>
      <c r="E954" s="143"/>
      <c r="F954" s="143"/>
      <c r="G954" s="143"/>
      <c r="H954" s="143"/>
      <c r="I954" s="142"/>
      <c r="J954" s="142"/>
      <c r="K954" s="143"/>
      <c r="L954" s="178"/>
      <c r="M954" s="143"/>
      <c r="N954" s="143"/>
      <c r="O954" s="143"/>
      <c r="P954" s="143"/>
      <c r="Q954" s="176"/>
      <c r="R954" s="143"/>
      <c r="S954" s="177"/>
      <c r="T954" s="177"/>
      <c r="U954" s="177"/>
      <c r="V954" s="177"/>
      <c r="W954" s="177"/>
      <c r="X954" s="177"/>
      <c r="Y954" s="159"/>
      <c r="Z954" s="160"/>
      <c r="AA954" s="160"/>
      <c r="AB954" s="160"/>
      <c r="AC954" s="160"/>
      <c r="AD954" s="160"/>
      <c r="AE954" s="160"/>
    </row>
    <row r="955" spans="1:31" ht="23.4">
      <c r="A955" s="175"/>
      <c r="B955" s="142"/>
      <c r="C955" s="143"/>
      <c r="D955" s="143"/>
      <c r="E955" s="143"/>
      <c r="F955" s="143"/>
      <c r="G955" s="143"/>
      <c r="H955" s="143"/>
      <c r="I955" s="142"/>
      <c r="J955" s="142"/>
      <c r="K955" s="143"/>
      <c r="L955" s="178"/>
      <c r="M955" s="143"/>
      <c r="N955" s="143"/>
      <c r="O955" s="143"/>
      <c r="P955" s="143"/>
      <c r="Q955" s="176"/>
      <c r="R955" s="143"/>
      <c r="S955" s="177"/>
      <c r="T955" s="177"/>
      <c r="U955" s="177"/>
      <c r="V955" s="177"/>
      <c r="W955" s="177"/>
      <c r="X955" s="177"/>
      <c r="Y955" s="159"/>
      <c r="Z955" s="160"/>
      <c r="AA955" s="160"/>
      <c r="AB955" s="160"/>
      <c r="AC955" s="160"/>
      <c r="AD955" s="160"/>
      <c r="AE955" s="160"/>
    </row>
    <row r="956" spans="1:31" ht="23.4">
      <c r="A956" s="175"/>
      <c r="B956" s="142"/>
      <c r="C956" s="143"/>
      <c r="D956" s="143"/>
      <c r="E956" s="143"/>
      <c r="F956" s="143"/>
      <c r="G956" s="143"/>
      <c r="H956" s="143"/>
      <c r="I956" s="142"/>
      <c r="J956" s="142"/>
      <c r="K956" s="143"/>
      <c r="L956" s="178"/>
      <c r="M956" s="143"/>
      <c r="N956" s="143"/>
      <c r="O956" s="143"/>
      <c r="P956" s="143"/>
      <c r="Q956" s="176"/>
      <c r="R956" s="143"/>
      <c r="S956" s="177"/>
      <c r="T956" s="177"/>
      <c r="U956" s="177"/>
      <c r="V956" s="177"/>
      <c r="W956" s="177"/>
      <c r="X956" s="177"/>
      <c r="Y956" s="159"/>
      <c r="Z956" s="160"/>
      <c r="AA956" s="160"/>
      <c r="AB956" s="160"/>
      <c r="AC956" s="160"/>
      <c r="AD956" s="160"/>
      <c r="AE956" s="160"/>
    </row>
    <row r="957" spans="1:31" ht="23.4">
      <c r="A957" s="175"/>
      <c r="B957" s="142"/>
      <c r="C957" s="143"/>
      <c r="D957" s="143"/>
      <c r="E957" s="143"/>
      <c r="F957" s="143"/>
      <c r="G957" s="143"/>
      <c r="H957" s="143"/>
      <c r="I957" s="142"/>
      <c r="J957" s="142"/>
      <c r="K957" s="143"/>
      <c r="L957" s="178"/>
      <c r="M957" s="143"/>
      <c r="N957" s="143"/>
      <c r="O957" s="143"/>
      <c r="P957" s="143"/>
      <c r="Q957" s="176"/>
      <c r="R957" s="143"/>
      <c r="S957" s="177"/>
      <c r="T957" s="177"/>
      <c r="U957" s="177"/>
      <c r="V957" s="177"/>
      <c r="W957" s="177"/>
      <c r="X957" s="177"/>
      <c r="Y957" s="159"/>
      <c r="Z957" s="160"/>
      <c r="AA957" s="160"/>
      <c r="AB957" s="160"/>
      <c r="AC957" s="160"/>
      <c r="AD957" s="160"/>
      <c r="AE957" s="160"/>
    </row>
    <row r="958" spans="1:31" ht="23.4">
      <c r="A958" s="175"/>
      <c r="B958" s="142"/>
      <c r="C958" s="143"/>
      <c r="D958" s="143"/>
      <c r="E958" s="143"/>
      <c r="F958" s="143"/>
      <c r="G958" s="143"/>
      <c r="H958" s="143"/>
      <c r="I958" s="142"/>
      <c r="J958" s="142"/>
      <c r="K958" s="143"/>
      <c r="L958" s="178"/>
      <c r="M958" s="143"/>
      <c r="N958" s="143"/>
      <c r="O958" s="143"/>
      <c r="P958" s="143"/>
      <c r="Q958" s="176"/>
      <c r="R958" s="143"/>
      <c r="S958" s="177"/>
      <c r="T958" s="177"/>
      <c r="U958" s="177"/>
      <c r="V958" s="177"/>
      <c r="W958" s="177"/>
      <c r="X958" s="177"/>
      <c r="Y958" s="159"/>
      <c r="Z958" s="160"/>
      <c r="AA958" s="160"/>
      <c r="AB958" s="160"/>
      <c r="AC958" s="160"/>
      <c r="AD958" s="160"/>
      <c r="AE958" s="160"/>
    </row>
    <row r="959" spans="1:31" ht="23.4">
      <c r="A959" s="175"/>
      <c r="B959" s="142"/>
      <c r="C959" s="143"/>
      <c r="D959" s="143"/>
      <c r="E959" s="143"/>
      <c r="F959" s="143"/>
      <c r="G959" s="143"/>
      <c r="H959" s="143"/>
      <c r="I959" s="142"/>
      <c r="J959" s="142"/>
      <c r="K959" s="143"/>
      <c r="L959" s="178"/>
      <c r="M959" s="143"/>
      <c r="N959" s="143"/>
      <c r="O959" s="143"/>
      <c r="P959" s="143"/>
      <c r="Q959" s="176"/>
      <c r="R959" s="143"/>
      <c r="S959" s="177"/>
      <c r="T959" s="177"/>
      <c r="U959" s="177"/>
      <c r="V959" s="177"/>
      <c r="W959" s="177"/>
      <c r="X959" s="177"/>
      <c r="Y959" s="159"/>
      <c r="Z959" s="160"/>
      <c r="AA959" s="160"/>
      <c r="AB959" s="160"/>
      <c r="AC959" s="160"/>
      <c r="AD959" s="160"/>
      <c r="AE959" s="160"/>
    </row>
    <row r="960" spans="1:31" ht="23.4">
      <c r="A960" s="175"/>
      <c r="B960" s="142"/>
      <c r="C960" s="143"/>
      <c r="D960" s="143"/>
      <c r="E960" s="143"/>
      <c r="F960" s="143"/>
      <c r="G960" s="143"/>
      <c r="H960" s="143"/>
      <c r="I960" s="142"/>
      <c r="J960" s="142"/>
      <c r="K960" s="143"/>
      <c r="L960" s="178"/>
      <c r="M960" s="143"/>
      <c r="N960" s="143"/>
      <c r="O960" s="143"/>
      <c r="P960" s="143"/>
      <c r="Q960" s="176"/>
      <c r="R960" s="143"/>
      <c r="S960" s="177"/>
      <c r="T960" s="177"/>
      <c r="U960" s="177"/>
      <c r="V960" s="177"/>
      <c r="W960" s="177"/>
      <c r="X960" s="177"/>
      <c r="Y960" s="159"/>
      <c r="Z960" s="160"/>
      <c r="AA960" s="160"/>
      <c r="AB960" s="160"/>
      <c r="AC960" s="160"/>
      <c r="AD960" s="160"/>
      <c r="AE960" s="160"/>
    </row>
    <row r="961" spans="1:31" ht="23.4">
      <c r="A961" s="175"/>
      <c r="B961" s="142"/>
      <c r="C961" s="143"/>
      <c r="D961" s="143"/>
      <c r="E961" s="143"/>
      <c r="F961" s="143"/>
      <c r="G961" s="143"/>
      <c r="H961" s="143"/>
      <c r="I961" s="142"/>
      <c r="J961" s="142"/>
      <c r="K961" s="143"/>
      <c r="L961" s="178"/>
      <c r="M961" s="143"/>
      <c r="N961" s="143"/>
      <c r="O961" s="143"/>
      <c r="P961" s="143"/>
      <c r="Q961" s="176"/>
      <c r="R961" s="143"/>
      <c r="S961" s="177"/>
      <c r="T961" s="177"/>
      <c r="U961" s="177"/>
      <c r="V961" s="177"/>
      <c r="W961" s="177"/>
      <c r="X961" s="177"/>
      <c r="Y961" s="159"/>
      <c r="Z961" s="160"/>
      <c r="AA961" s="160"/>
      <c r="AB961" s="160"/>
      <c r="AC961" s="160"/>
      <c r="AD961" s="160"/>
      <c r="AE961" s="160"/>
    </row>
    <row r="962" spans="1:31" ht="23.4">
      <c r="A962" s="175"/>
      <c r="B962" s="142"/>
      <c r="C962" s="143"/>
      <c r="D962" s="143"/>
      <c r="E962" s="143"/>
      <c r="F962" s="143"/>
      <c r="G962" s="143"/>
      <c r="H962" s="143"/>
      <c r="I962" s="142"/>
      <c r="J962" s="142"/>
      <c r="K962" s="143"/>
      <c r="L962" s="178"/>
      <c r="M962" s="143"/>
      <c r="N962" s="143"/>
      <c r="O962" s="143"/>
      <c r="P962" s="143"/>
      <c r="Q962" s="176"/>
      <c r="R962" s="143"/>
      <c r="S962" s="177"/>
      <c r="T962" s="177"/>
      <c r="U962" s="177"/>
      <c r="V962" s="177"/>
      <c r="W962" s="177"/>
      <c r="X962" s="177"/>
      <c r="Y962" s="159"/>
      <c r="Z962" s="160"/>
      <c r="AA962" s="160"/>
      <c r="AB962" s="160"/>
      <c r="AC962" s="160"/>
      <c r="AD962" s="160"/>
      <c r="AE962" s="160"/>
    </row>
    <row r="963" spans="1:31" ht="23.4">
      <c r="A963" s="175"/>
      <c r="B963" s="142"/>
      <c r="C963" s="143"/>
      <c r="D963" s="143"/>
      <c r="E963" s="143"/>
      <c r="F963" s="143"/>
      <c r="G963" s="143"/>
      <c r="H963" s="143"/>
      <c r="I963" s="142"/>
      <c r="J963" s="142"/>
      <c r="K963" s="143"/>
      <c r="L963" s="178"/>
      <c r="M963" s="143"/>
      <c r="N963" s="143"/>
      <c r="O963" s="143"/>
      <c r="P963" s="143"/>
      <c r="Q963" s="176"/>
      <c r="R963" s="143"/>
      <c r="S963" s="177"/>
      <c r="T963" s="177"/>
      <c r="U963" s="177"/>
      <c r="V963" s="177"/>
      <c r="W963" s="177"/>
      <c r="X963" s="177"/>
      <c r="Y963" s="159"/>
      <c r="Z963" s="160"/>
      <c r="AA963" s="160"/>
      <c r="AB963" s="160"/>
      <c r="AC963" s="160"/>
      <c r="AD963" s="160"/>
      <c r="AE963" s="160"/>
    </row>
    <row r="964" spans="1:31" ht="23.4">
      <c r="A964" s="175"/>
      <c r="B964" s="142"/>
      <c r="C964" s="143"/>
      <c r="D964" s="143"/>
      <c r="E964" s="143"/>
      <c r="F964" s="143"/>
      <c r="G964" s="143"/>
      <c r="H964" s="143"/>
      <c r="I964" s="142"/>
      <c r="J964" s="142"/>
      <c r="K964" s="143"/>
      <c r="L964" s="178"/>
      <c r="M964" s="143"/>
      <c r="N964" s="143"/>
      <c r="O964" s="143"/>
      <c r="P964" s="143"/>
      <c r="Q964" s="176"/>
      <c r="R964" s="143"/>
      <c r="S964" s="177"/>
      <c r="T964" s="177"/>
      <c r="U964" s="177"/>
      <c r="V964" s="177"/>
      <c r="W964" s="177"/>
      <c r="X964" s="177"/>
      <c r="Y964" s="159"/>
      <c r="Z964" s="160"/>
      <c r="AA964" s="160"/>
      <c r="AB964" s="160"/>
      <c r="AC964" s="160"/>
      <c r="AD964" s="160"/>
      <c r="AE964" s="160"/>
    </row>
    <row r="965" spans="1:31" ht="23.4">
      <c r="A965" s="175"/>
      <c r="B965" s="142"/>
      <c r="C965" s="143"/>
      <c r="D965" s="143"/>
      <c r="E965" s="143"/>
      <c r="F965" s="143"/>
      <c r="G965" s="143"/>
      <c r="H965" s="143"/>
      <c r="I965" s="142"/>
      <c r="J965" s="142"/>
      <c r="K965" s="143"/>
      <c r="L965" s="178"/>
      <c r="M965" s="143"/>
      <c r="N965" s="143"/>
      <c r="O965" s="143"/>
      <c r="P965" s="143"/>
      <c r="Q965" s="176"/>
      <c r="R965" s="143"/>
      <c r="S965" s="177"/>
      <c r="T965" s="177"/>
      <c r="U965" s="177"/>
      <c r="V965" s="177"/>
      <c r="W965" s="177"/>
      <c r="X965" s="177"/>
      <c r="Y965" s="159"/>
      <c r="Z965" s="160"/>
      <c r="AA965" s="160"/>
      <c r="AB965" s="160"/>
      <c r="AC965" s="160"/>
      <c r="AD965" s="160"/>
      <c r="AE965" s="160"/>
    </row>
    <row r="966" spans="1:31" ht="23.4">
      <c r="A966" s="175"/>
      <c r="B966" s="142"/>
      <c r="C966" s="143"/>
      <c r="D966" s="143"/>
      <c r="E966" s="143"/>
      <c r="F966" s="143"/>
      <c r="G966" s="143"/>
      <c r="H966" s="143"/>
      <c r="I966" s="142"/>
      <c r="J966" s="142"/>
      <c r="K966" s="143"/>
      <c r="L966" s="178"/>
      <c r="M966" s="143"/>
      <c r="N966" s="143"/>
      <c r="O966" s="143"/>
      <c r="P966" s="143"/>
      <c r="Q966" s="176"/>
      <c r="R966" s="143"/>
      <c r="S966" s="177"/>
      <c r="T966" s="177"/>
      <c r="U966" s="177"/>
      <c r="V966" s="177"/>
      <c r="W966" s="177"/>
      <c r="X966" s="177"/>
      <c r="Y966" s="159"/>
      <c r="Z966" s="160"/>
      <c r="AA966" s="160"/>
      <c r="AB966" s="160"/>
      <c r="AC966" s="160"/>
      <c r="AD966" s="160"/>
      <c r="AE966" s="160"/>
    </row>
    <row r="967" spans="1:31" ht="23.4">
      <c r="A967" s="175"/>
      <c r="B967" s="142"/>
      <c r="C967" s="143"/>
      <c r="D967" s="143"/>
      <c r="E967" s="143"/>
      <c r="F967" s="143"/>
      <c r="G967" s="143"/>
      <c r="H967" s="143"/>
      <c r="I967" s="142"/>
      <c r="J967" s="142"/>
      <c r="K967" s="143"/>
      <c r="L967" s="178"/>
      <c r="M967" s="143"/>
      <c r="N967" s="143"/>
      <c r="O967" s="143"/>
      <c r="P967" s="143"/>
      <c r="Q967" s="176"/>
      <c r="R967" s="143"/>
      <c r="S967" s="177"/>
      <c r="T967" s="177"/>
      <c r="U967" s="177"/>
      <c r="V967" s="177"/>
      <c r="W967" s="177"/>
      <c r="X967" s="177"/>
      <c r="Y967" s="159"/>
      <c r="Z967" s="160"/>
      <c r="AA967" s="160"/>
      <c r="AB967" s="160"/>
      <c r="AC967" s="160"/>
      <c r="AD967" s="160"/>
      <c r="AE967" s="160"/>
    </row>
    <row r="968" spans="1:31" ht="23.4">
      <c r="A968" s="175"/>
      <c r="B968" s="142"/>
      <c r="C968" s="143"/>
      <c r="D968" s="143"/>
      <c r="E968" s="143"/>
      <c r="F968" s="143"/>
      <c r="G968" s="143"/>
      <c r="H968" s="143"/>
      <c r="I968" s="142"/>
      <c r="J968" s="142"/>
      <c r="K968" s="143"/>
      <c r="L968" s="178"/>
      <c r="M968" s="143"/>
      <c r="N968" s="143"/>
      <c r="O968" s="143"/>
      <c r="P968" s="143"/>
      <c r="Q968" s="176"/>
      <c r="R968" s="143"/>
      <c r="S968" s="177"/>
      <c r="T968" s="177"/>
      <c r="U968" s="177"/>
      <c r="V968" s="177"/>
      <c r="W968" s="177"/>
      <c r="X968" s="177"/>
      <c r="Y968" s="159"/>
      <c r="Z968" s="160"/>
      <c r="AA968" s="160"/>
      <c r="AB968" s="160"/>
      <c r="AC968" s="160"/>
      <c r="AD968" s="160"/>
      <c r="AE968" s="160"/>
    </row>
    <row r="969" spans="1:31" ht="23.4">
      <c r="A969" s="175"/>
      <c r="B969" s="142"/>
      <c r="C969" s="143"/>
      <c r="D969" s="143"/>
      <c r="E969" s="143"/>
      <c r="F969" s="143"/>
      <c r="G969" s="143"/>
      <c r="H969" s="143"/>
      <c r="I969" s="142"/>
      <c r="J969" s="142"/>
      <c r="K969" s="143"/>
      <c r="L969" s="178"/>
      <c r="M969" s="143"/>
      <c r="N969" s="143"/>
      <c r="O969" s="143"/>
      <c r="P969" s="143"/>
      <c r="Q969" s="176"/>
      <c r="R969" s="143"/>
      <c r="S969" s="177"/>
      <c r="T969" s="177"/>
      <c r="U969" s="177"/>
      <c r="V969" s="177"/>
      <c r="W969" s="177"/>
      <c r="X969" s="177"/>
      <c r="Y969" s="159"/>
      <c r="Z969" s="160"/>
      <c r="AA969" s="160"/>
      <c r="AB969" s="160"/>
      <c r="AC969" s="160"/>
      <c r="AD969" s="160"/>
      <c r="AE969" s="160"/>
    </row>
    <row r="970" spans="1:31" ht="23.4">
      <c r="A970" s="175"/>
      <c r="B970" s="142"/>
      <c r="C970" s="143"/>
      <c r="D970" s="143"/>
      <c r="E970" s="143"/>
      <c r="F970" s="143"/>
      <c r="G970" s="143"/>
      <c r="H970" s="143"/>
      <c r="I970" s="142"/>
      <c r="J970" s="142"/>
      <c r="K970" s="143"/>
      <c r="L970" s="178"/>
      <c r="M970" s="143"/>
      <c r="N970" s="143"/>
      <c r="O970" s="143"/>
      <c r="P970" s="143"/>
      <c r="Q970" s="176"/>
      <c r="R970" s="143"/>
      <c r="S970" s="177"/>
      <c r="T970" s="177"/>
      <c r="U970" s="177"/>
      <c r="V970" s="177"/>
      <c r="W970" s="177"/>
      <c r="X970" s="177"/>
      <c r="Y970" s="159"/>
      <c r="Z970" s="160"/>
      <c r="AA970" s="160"/>
      <c r="AB970" s="160"/>
      <c r="AC970" s="160"/>
      <c r="AD970" s="160"/>
      <c r="AE970" s="160"/>
    </row>
    <row r="971" spans="1:31" ht="23.4">
      <c r="A971" s="175"/>
      <c r="B971" s="142"/>
      <c r="C971" s="143"/>
      <c r="D971" s="143"/>
      <c r="E971" s="143"/>
      <c r="F971" s="143"/>
      <c r="G971" s="143"/>
      <c r="H971" s="143"/>
      <c r="I971" s="142"/>
      <c r="J971" s="142"/>
      <c r="K971" s="143"/>
      <c r="L971" s="178"/>
      <c r="M971" s="143"/>
      <c r="N971" s="143"/>
      <c r="O971" s="143"/>
      <c r="P971" s="143"/>
      <c r="Q971" s="176"/>
      <c r="R971" s="143"/>
      <c r="S971" s="177"/>
      <c r="T971" s="177"/>
      <c r="U971" s="177"/>
      <c r="V971" s="177"/>
      <c r="W971" s="177"/>
      <c r="X971" s="177"/>
      <c r="Y971" s="159"/>
      <c r="Z971" s="160"/>
      <c r="AA971" s="160"/>
      <c r="AB971" s="160"/>
      <c r="AC971" s="160"/>
      <c r="AD971" s="160"/>
      <c r="AE971" s="160"/>
    </row>
    <row r="972" spans="1:31" ht="23.4">
      <c r="A972" s="175"/>
      <c r="B972" s="142"/>
      <c r="C972" s="143"/>
      <c r="D972" s="143"/>
      <c r="E972" s="143"/>
      <c r="F972" s="143"/>
      <c r="G972" s="143"/>
      <c r="H972" s="143"/>
      <c r="I972" s="142"/>
      <c r="J972" s="142"/>
      <c r="K972" s="143"/>
      <c r="L972" s="178"/>
      <c r="M972" s="143"/>
      <c r="N972" s="143"/>
      <c r="O972" s="143"/>
      <c r="P972" s="143"/>
      <c r="Q972" s="176"/>
      <c r="R972" s="143"/>
      <c r="S972" s="177"/>
      <c r="T972" s="177"/>
      <c r="U972" s="177"/>
      <c r="V972" s="177"/>
      <c r="W972" s="177"/>
      <c r="X972" s="177"/>
      <c r="Y972" s="159"/>
      <c r="Z972" s="160"/>
      <c r="AA972" s="160"/>
      <c r="AB972" s="160"/>
      <c r="AC972" s="160"/>
      <c r="AD972" s="160"/>
      <c r="AE972" s="160"/>
    </row>
    <row r="973" spans="1:31" ht="23.4">
      <c r="A973" s="175"/>
      <c r="B973" s="142"/>
      <c r="C973" s="143"/>
      <c r="D973" s="143"/>
      <c r="E973" s="143"/>
      <c r="F973" s="143"/>
      <c r="G973" s="143"/>
      <c r="H973" s="143"/>
      <c r="I973" s="142"/>
      <c r="J973" s="142"/>
      <c r="K973" s="143"/>
      <c r="L973" s="178"/>
      <c r="M973" s="143"/>
      <c r="N973" s="143"/>
      <c r="O973" s="143"/>
      <c r="P973" s="143"/>
      <c r="Q973" s="176"/>
      <c r="R973" s="143"/>
      <c r="S973" s="177"/>
      <c r="T973" s="177"/>
      <c r="U973" s="177"/>
      <c r="V973" s="177"/>
      <c r="W973" s="177"/>
      <c r="X973" s="177"/>
      <c r="Y973" s="159"/>
      <c r="Z973" s="160"/>
      <c r="AA973" s="160"/>
      <c r="AB973" s="160"/>
      <c r="AC973" s="160"/>
      <c r="AD973" s="160"/>
      <c r="AE973" s="160"/>
    </row>
    <row r="974" spans="1:31" ht="23.4">
      <c r="A974" s="175"/>
      <c r="B974" s="142"/>
      <c r="C974" s="143"/>
      <c r="D974" s="143"/>
      <c r="E974" s="143"/>
      <c r="F974" s="143"/>
      <c r="G974" s="143"/>
      <c r="H974" s="143"/>
      <c r="I974" s="142"/>
      <c r="J974" s="142"/>
      <c r="K974" s="143"/>
      <c r="L974" s="178"/>
      <c r="M974" s="143"/>
      <c r="N974" s="143"/>
      <c r="O974" s="143"/>
      <c r="P974" s="143"/>
      <c r="Q974" s="176"/>
      <c r="R974" s="143"/>
      <c r="S974" s="177"/>
      <c r="T974" s="177"/>
      <c r="U974" s="177"/>
      <c r="V974" s="177"/>
      <c r="W974" s="177"/>
      <c r="X974" s="177"/>
      <c r="Y974" s="159"/>
      <c r="Z974" s="160"/>
      <c r="AA974" s="160"/>
      <c r="AB974" s="160"/>
      <c r="AC974" s="160"/>
      <c r="AD974" s="160"/>
      <c r="AE974" s="160"/>
    </row>
    <row r="975" spans="1:31" ht="23.4">
      <c r="A975" s="175"/>
      <c r="B975" s="142"/>
      <c r="C975" s="143"/>
      <c r="D975" s="143"/>
      <c r="E975" s="143"/>
      <c r="F975" s="143"/>
      <c r="G975" s="143"/>
      <c r="H975" s="143"/>
      <c r="I975" s="142"/>
      <c r="J975" s="142"/>
      <c r="K975" s="143"/>
      <c r="L975" s="178"/>
      <c r="M975" s="143"/>
      <c r="N975" s="143"/>
      <c r="O975" s="143"/>
      <c r="P975" s="143"/>
      <c r="Q975" s="176"/>
      <c r="R975" s="143"/>
      <c r="S975" s="177"/>
      <c r="T975" s="177"/>
      <c r="U975" s="177"/>
      <c r="V975" s="177"/>
      <c r="W975" s="177"/>
      <c r="X975" s="177"/>
      <c r="Y975" s="159"/>
      <c r="Z975" s="160"/>
      <c r="AA975" s="160"/>
      <c r="AB975" s="160"/>
      <c r="AC975" s="160"/>
      <c r="AD975" s="160"/>
      <c r="AE975" s="160"/>
    </row>
    <row r="976" spans="1:31" ht="23.4">
      <c r="A976" s="175"/>
      <c r="B976" s="142"/>
      <c r="C976" s="143"/>
      <c r="D976" s="143"/>
      <c r="E976" s="143"/>
      <c r="F976" s="143"/>
      <c r="G976" s="143"/>
      <c r="H976" s="143"/>
      <c r="I976" s="142"/>
      <c r="J976" s="142"/>
      <c r="K976" s="143"/>
      <c r="L976" s="178"/>
      <c r="M976" s="143"/>
      <c r="N976" s="143"/>
      <c r="O976" s="143"/>
      <c r="P976" s="143"/>
      <c r="Q976" s="176"/>
      <c r="R976" s="143"/>
      <c r="S976" s="177"/>
      <c r="T976" s="177"/>
      <c r="U976" s="177"/>
      <c r="V976" s="177"/>
      <c r="W976" s="177"/>
      <c r="X976" s="177"/>
      <c r="Y976" s="159"/>
      <c r="Z976" s="160"/>
      <c r="AA976" s="160"/>
      <c r="AB976" s="160"/>
      <c r="AC976" s="160"/>
      <c r="AD976" s="160"/>
      <c r="AE976" s="160"/>
    </row>
    <row r="977" spans="1:31" ht="23.4">
      <c r="A977" s="175"/>
      <c r="B977" s="142"/>
      <c r="C977" s="143"/>
      <c r="D977" s="143"/>
      <c r="E977" s="143"/>
      <c r="F977" s="143"/>
      <c r="G977" s="143"/>
      <c r="H977" s="143"/>
      <c r="I977" s="142"/>
      <c r="J977" s="142"/>
      <c r="K977" s="143"/>
      <c r="L977" s="178"/>
      <c r="M977" s="143"/>
      <c r="N977" s="143"/>
      <c r="O977" s="143"/>
      <c r="P977" s="143"/>
      <c r="Q977" s="176"/>
      <c r="R977" s="143"/>
      <c r="S977" s="177"/>
      <c r="T977" s="177"/>
      <c r="U977" s="177"/>
      <c r="V977" s="177"/>
      <c r="W977" s="177"/>
      <c r="X977" s="177"/>
      <c r="Y977" s="159"/>
      <c r="Z977" s="160"/>
      <c r="AA977" s="160"/>
      <c r="AB977" s="160"/>
      <c r="AC977" s="160"/>
      <c r="AD977" s="160"/>
      <c r="AE977" s="160"/>
    </row>
    <row r="978" spans="1:31" ht="23.4">
      <c r="A978" s="175"/>
      <c r="B978" s="142"/>
      <c r="C978" s="143"/>
      <c r="D978" s="143"/>
      <c r="E978" s="143"/>
      <c r="F978" s="143"/>
      <c r="G978" s="143"/>
      <c r="H978" s="143"/>
      <c r="I978" s="142"/>
      <c r="J978" s="142"/>
      <c r="K978" s="143"/>
      <c r="L978" s="178"/>
      <c r="M978" s="143"/>
      <c r="N978" s="143"/>
      <c r="O978" s="143"/>
      <c r="P978" s="143"/>
      <c r="Q978" s="176"/>
      <c r="R978" s="143"/>
      <c r="S978" s="177"/>
      <c r="T978" s="177"/>
      <c r="U978" s="177"/>
      <c r="V978" s="177"/>
      <c r="W978" s="177"/>
      <c r="X978" s="177"/>
      <c r="Y978" s="159"/>
      <c r="Z978" s="160"/>
      <c r="AA978" s="160"/>
      <c r="AB978" s="160"/>
      <c r="AC978" s="160"/>
      <c r="AD978" s="160"/>
      <c r="AE978" s="160"/>
    </row>
    <row r="979" spans="1:31" ht="23.4">
      <c r="A979" s="175"/>
      <c r="B979" s="142"/>
      <c r="C979" s="143"/>
      <c r="D979" s="143"/>
      <c r="E979" s="143"/>
      <c r="F979" s="143"/>
      <c r="G979" s="143"/>
      <c r="H979" s="143"/>
      <c r="I979" s="142"/>
      <c r="J979" s="142"/>
      <c r="K979" s="143"/>
      <c r="L979" s="178"/>
      <c r="M979" s="143"/>
      <c r="N979" s="143"/>
      <c r="O979" s="143"/>
      <c r="P979" s="143"/>
      <c r="Q979" s="176"/>
      <c r="R979" s="143"/>
      <c r="S979" s="177"/>
      <c r="T979" s="177"/>
      <c r="U979" s="177"/>
      <c r="V979" s="177"/>
      <c r="W979" s="177"/>
      <c r="X979" s="177"/>
      <c r="Y979" s="159"/>
      <c r="Z979" s="160"/>
      <c r="AA979" s="160"/>
      <c r="AB979" s="160"/>
      <c r="AC979" s="160"/>
      <c r="AD979" s="160"/>
      <c r="AE979" s="160"/>
    </row>
    <row r="980" spans="1:31" ht="23.4">
      <c r="A980" s="175"/>
      <c r="B980" s="142"/>
      <c r="C980" s="143"/>
      <c r="D980" s="143"/>
      <c r="E980" s="143"/>
      <c r="F980" s="143"/>
      <c r="G980" s="143"/>
      <c r="H980" s="143"/>
      <c r="I980" s="142"/>
      <c r="J980" s="142"/>
      <c r="K980" s="143"/>
      <c r="L980" s="178"/>
      <c r="M980" s="143"/>
      <c r="N980" s="143"/>
      <c r="O980" s="143"/>
      <c r="P980" s="143"/>
      <c r="Q980" s="176"/>
      <c r="R980" s="143"/>
      <c r="S980" s="177"/>
      <c r="T980" s="177"/>
      <c r="U980" s="177"/>
      <c r="V980" s="177"/>
      <c r="W980" s="177"/>
      <c r="X980" s="177"/>
      <c r="Y980" s="159"/>
      <c r="Z980" s="160"/>
      <c r="AA980" s="160"/>
      <c r="AB980" s="160"/>
      <c r="AC980" s="160"/>
      <c r="AD980" s="160"/>
      <c r="AE980" s="160"/>
    </row>
    <row r="981" spans="1:31" ht="23.4">
      <c r="A981" s="175"/>
      <c r="B981" s="142"/>
      <c r="C981" s="143"/>
      <c r="D981" s="143"/>
      <c r="E981" s="143"/>
      <c r="F981" s="143"/>
      <c r="G981" s="143"/>
      <c r="H981" s="143"/>
      <c r="I981" s="142"/>
      <c r="J981" s="142"/>
      <c r="K981" s="143"/>
      <c r="L981" s="178"/>
      <c r="M981" s="143"/>
      <c r="N981" s="143"/>
      <c r="O981" s="143"/>
      <c r="P981" s="143"/>
      <c r="Q981" s="176"/>
      <c r="R981" s="143"/>
      <c r="S981" s="177"/>
      <c r="T981" s="177"/>
      <c r="U981" s="177"/>
      <c r="V981" s="177"/>
      <c r="W981" s="177"/>
      <c r="X981" s="177"/>
      <c r="Y981" s="159"/>
      <c r="Z981" s="160"/>
      <c r="AA981" s="160"/>
      <c r="AB981" s="160"/>
      <c r="AC981" s="160"/>
      <c r="AD981" s="160"/>
      <c r="AE981" s="160"/>
    </row>
    <row r="982" spans="1:31" ht="23.4">
      <c r="A982" s="175"/>
      <c r="B982" s="142"/>
      <c r="C982" s="143"/>
      <c r="D982" s="143"/>
      <c r="E982" s="143"/>
      <c r="F982" s="143"/>
      <c r="G982" s="143"/>
      <c r="H982" s="143"/>
      <c r="I982" s="142"/>
      <c r="J982" s="142"/>
      <c r="K982" s="143"/>
      <c r="L982" s="178"/>
      <c r="M982" s="143"/>
      <c r="N982" s="143"/>
      <c r="O982" s="143"/>
      <c r="P982" s="143"/>
      <c r="Q982" s="176"/>
      <c r="R982" s="143"/>
      <c r="S982" s="177"/>
      <c r="T982" s="177"/>
      <c r="U982" s="177"/>
      <c r="V982" s="177"/>
      <c r="W982" s="177"/>
      <c r="X982" s="177"/>
      <c r="Y982" s="159"/>
      <c r="Z982" s="160"/>
      <c r="AA982" s="160"/>
      <c r="AB982" s="160"/>
      <c r="AC982" s="160"/>
      <c r="AD982" s="160"/>
      <c r="AE982" s="160"/>
    </row>
    <row r="983" spans="1:31" ht="23.4">
      <c r="A983" s="175"/>
      <c r="B983" s="142"/>
      <c r="C983" s="143"/>
      <c r="D983" s="143"/>
      <c r="E983" s="143"/>
      <c r="F983" s="143"/>
      <c r="G983" s="143"/>
      <c r="H983" s="143"/>
      <c r="I983" s="142"/>
      <c r="J983" s="142"/>
      <c r="K983" s="143"/>
      <c r="L983" s="178"/>
      <c r="M983" s="143"/>
      <c r="N983" s="143"/>
      <c r="O983" s="143"/>
      <c r="P983" s="143"/>
      <c r="Q983" s="176"/>
      <c r="R983" s="143"/>
      <c r="S983" s="177"/>
      <c r="T983" s="177"/>
      <c r="U983" s="177"/>
      <c r="V983" s="177"/>
      <c r="W983" s="177"/>
      <c r="X983" s="177"/>
      <c r="Y983" s="159"/>
      <c r="Z983" s="160"/>
      <c r="AA983" s="160"/>
      <c r="AB983" s="160"/>
      <c r="AC983" s="160"/>
      <c r="AD983" s="160"/>
      <c r="AE983" s="160"/>
    </row>
    <row r="984" spans="1:31" ht="23.4">
      <c r="A984" s="175"/>
      <c r="B984" s="142"/>
      <c r="C984" s="143"/>
      <c r="D984" s="143"/>
      <c r="E984" s="143"/>
      <c r="F984" s="143"/>
      <c r="G984" s="143"/>
      <c r="H984" s="143"/>
      <c r="I984" s="142"/>
      <c r="J984" s="142"/>
      <c r="K984" s="143"/>
      <c r="L984" s="178"/>
      <c r="M984" s="143"/>
      <c r="N984" s="143"/>
      <c r="O984" s="143"/>
      <c r="P984" s="143"/>
      <c r="Q984" s="176"/>
      <c r="R984" s="143"/>
      <c r="S984" s="177"/>
      <c r="T984" s="177"/>
      <c r="U984" s="177"/>
      <c r="V984" s="177"/>
      <c r="W984" s="177"/>
      <c r="X984" s="177"/>
      <c r="Y984" s="159"/>
      <c r="Z984" s="160"/>
      <c r="AA984" s="160"/>
      <c r="AB984" s="160"/>
      <c r="AC984" s="160"/>
      <c r="AD984" s="160"/>
      <c r="AE984" s="160"/>
    </row>
    <row r="985" spans="1:31" ht="23.4">
      <c r="A985" s="175"/>
      <c r="B985" s="142"/>
      <c r="C985" s="143"/>
      <c r="D985" s="143"/>
      <c r="E985" s="143"/>
      <c r="F985" s="143"/>
      <c r="G985" s="143"/>
      <c r="H985" s="143"/>
      <c r="I985" s="142"/>
      <c r="J985" s="142"/>
      <c r="K985" s="143"/>
      <c r="L985" s="178"/>
      <c r="M985" s="143"/>
      <c r="N985" s="143"/>
      <c r="O985" s="143"/>
      <c r="P985" s="143"/>
      <c r="Q985" s="176"/>
      <c r="R985" s="143"/>
      <c r="S985" s="177"/>
      <c r="T985" s="177"/>
      <c r="U985" s="177"/>
      <c r="V985" s="177"/>
      <c r="W985" s="177"/>
      <c r="X985" s="177"/>
      <c r="Y985" s="159"/>
      <c r="Z985" s="160"/>
      <c r="AA985" s="160"/>
      <c r="AB985" s="160"/>
      <c r="AC985" s="160"/>
      <c r="AD985" s="160"/>
      <c r="AE985" s="160"/>
    </row>
    <row r="986" spans="1:31" ht="23.4">
      <c r="A986" s="175"/>
      <c r="B986" s="142"/>
      <c r="C986" s="143"/>
      <c r="D986" s="143"/>
      <c r="E986" s="143"/>
      <c r="F986" s="143"/>
      <c r="G986" s="143"/>
      <c r="H986" s="143"/>
      <c r="I986" s="142"/>
      <c r="J986" s="142"/>
      <c r="K986" s="143"/>
      <c r="L986" s="178"/>
      <c r="M986" s="143"/>
      <c r="N986" s="143"/>
      <c r="O986" s="143"/>
      <c r="P986" s="143"/>
      <c r="Q986" s="176"/>
      <c r="R986" s="143"/>
      <c r="S986" s="177"/>
      <c r="T986" s="177"/>
      <c r="U986" s="177"/>
      <c r="V986" s="177"/>
      <c r="W986" s="177"/>
      <c r="X986" s="177"/>
      <c r="Y986" s="159"/>
      <c r="Z986" s="160"/>
      <c r="AA986" s="160"/>
      <c r="AB986" s="160"/>
      <c r="AC986" s="160"/>
      <c r="AD986" s="160"/>
      <c r="AE986" s="160"/>
    </row>
    <row r="987" spans="1:31" ht="23.4">
      <c r="A987" s="175"/>
      <c r="B987" s="142"/>
      <c r="C987" s="143"/>
      <c r="D987" s="143"/>
      <c r="E987" s="143"/>
      <c r="F987" s="143"/>
      <c r="G987" s="143"/>
      <c r="H987" s="143"/>
      <c r="I987" s="142"/>
      <c r="J987" s="142"/>
      <c r="K987" s="143"/>
      <c r="L987" s="178"/>
      <c r="M987" s="143"/>
      <c r="N987" s="143"/>
      <c r="O987" s="143"/>
      <c r="P987" s="143"/>
      <c r="Q987" s="176"/>
      <c r="R987" s="143"/>
      <c r="S987" s="177"/>
      <c r="T987" s="177"/>
      <c r="U987" s="177"/>
      <c r="V987" s="177"/>
      <c r="W987" s="177"/>
      <c r="X987" s="177"/>
      <c r="Y987" s="159"/>
      <c r="Z987" s="160"/>
      <c r="AA987" s="160"/>
      <c r="AB987" s="160"/>
      <c r="AC987" s="160"/>
      <c r="AD987" s="160"/>
      <c r="AE987" s="160"/>
    </row>
    <row r="988" spans="1:31" ht="23.4">
      <c r="A988" s="175"/>
      <c r="B988" s="142"/>
      <c r="C988" s="143"/>
      <c r="D988" s="143"/>
      <c r="E988" s="143"/>
      <c r="F988" s="143"/>
      <c r="G988" s="143"/>
      <c r="H988" s="143"/>
      <c r="I988" s="142"/>
      <c r="J988" s="142"/>
      <c r="K988" s="143"/>
      <c r="L988" s="178"/>
      <c r="M988" s="143"/>
      <c r="N988" s="143"/>
      <c r="O988" s="143"/>
      <c r="P988" s="143"/>
      <c r="Q988" s="176"/>
      <c r="R988" s="143"/>
      <c r="S988" s="177"/>
      <c r="T988" s="177"/>
      <c r="U988" s="177"/>
      <c r="V988" s="177"/>
      <c r="W988" s="177"/>
      <c r="X988" s="177"/>
      <c r="Y988" s="159"/>
      <c r="Z988" s="160"/>
      <c r="AA988" s="160"/>
      <c r="AB988" s="160"/>
      <c r="AC988" s="160"/>
      <c r="AD988" s="160"/>
      <c r="AE988" s="160"/>
    </row>
    <row r="989" spans="1:31" ht="23.4">
      <c r="A989" s="175"/>
      <c r="B989" s="142"/>
      <c r="C989" s="143"/>
      <c r="D989" s="143"/>
      <c r="E989" s="143"/>
      <c r="F989" s="143"/>
      <c r="G989" s="143"/>
      <c r="H989" s="143"/>
      <c r="I989" s="142"/>
      <c r="J989" s="142"/>
      <c r="K989" s="143"/>
      <c r="L989" s="178"/>
      <c r="M989" s="143"/>
      <c r="N989" s="143"/>
      <c r="O989" s="143"/>
      <c r="P989" s="143"/>
      <c r="Q989" s="176"/>
      <c r="R989" s="143"/>
      <c r="S989" s="177"/>
      <c r="T989" s="177"/>
      <c r="U989" s="177"/>
      <c r="V989" s="177"/>
      <c r="W989" s="177"/>
      <c r="X989" s="177"/>
      <c r="Y989" s="159"/>
      <c r="Z989" s="160"/>
      <c r="AA989" s="160"/>
      <c r="AB989" s="160"/>
      <c r="AC989" s="160"/>
      <c r="AD989" s="160"/>
      <c r="AE989" s="160"/>
    </row>
    <row r="990" spans="1:31" ht="23.4">
      <c r="A990" s="175"/>
      <c r="B990" s="142"/>
      <c r="C990" s="143"/>
      <c r="D990" s="143"/>
      <c r="E990" s="143"/>
      <c r="F990" s="143"/>
      <c r="G990" s="143"/>
      <c r="H990" s="143"/>
      <c r="I990" s="142"/>
      <c r="J990" s="142"/>
      <c r="K990" s="143"/>
      <c r="L990" s="178"/>
      <c r="M990" s="143"/>
      <c r="N990" s="143"/>
      <c r="O990" s="143"/>
      <c r="P990" s="143"/>
      <c r="Q990" s="176"/>
      <c r="R990" s="143"/>
      <c r="S990" s="177"/>
      <c r="T990" s="177"/>
      <c r="U990" s="177"/>
      <c r="V990" s="177"/>
      <c r="W990" s="177"/>
      <c r="X990" s="177"/>
      <c r="Y990" s="159"/>
      <c r="Z990" s="160"/>
      <c r="AA990" s="160"/>
      <c r="AB990" s="160"/>
      <c r="AC990" s="160"/>
      <c r="AD990" s="160"/>
      <c r="AE990" s="160"/>
    </row>
    <row r="991" spans="1:31" ht="23.4">
      <c r="A991" s="175"/>
      <c r="B991" s="142"/>
      <c r="C991" s="143"/>
      <c r="D991" s="143"/>
      <c r="E991" s="143"/>
      <c r="F991" s="143"/>
      <c r="G991" s="143"/>
      <c r="H991" s="143"/>
      <c r="I991" s="142"/>
      <c r="J991" s="142"/>
      <c r="K991" s="143"/>
      <c r="L991" s="178"/>
      <c r="M991" s="143"/>
      <c r="N991" s="143"/>
      <c r="O991" s="143"/>
      <c r="P991" s="143"/>
      <c r="Q991" s="176"/>
      <c r="R991" s="143"/>
      <c r="S991" s="177"/>
      <c r="T991" s="177"/>
      <c r="U991" s="177"/>
      <c r="V991" s="177"/>
      <c r="W991" s="177"/>
      <c r="X991" s="177"/>
      <c r="Y991" s="159"/>
      <c r="Z991" s="160"/>
      <c r="AA991" s="160"/>
      <c r="AB991" s="160"/>
      <c r="AC991" s="160"/>
      <c r="AD991" s="160"/>
      <c r="AE991" s="160"/>
    </row>
    <row r="992" spans="1:31" ht="23.4">
      <c r="A992" s="175"/>
      <c r="B992" s="142"/>
      <c r="C992" s="143"/>
      <c r="D992" s="143"/>
      <c r="E992" s="143"/>
      <c r="F992" s="143"/>
      <c r="G992" s="143"/>
      <c r="H992" s="143"/>
      <c r="I992" s="142"/>
      <c r="J992" s="142"/>
      <c r="K992" s="143"/>
      <c r="L992" s="178"/>
      <c r="M992" s="143"/>
      <c r="N992" s="143"/>
      <c r="O992" s="143"/>
      <c r="P992" s="143"/>
      <c r="Q992" s="176"/>
      <c r="R992" s="143"/>
      <c r="S992" s="177"/>
      <c r="T992" s="177"/>
      <c r="U992" s="177"/>
      <c r="V992" s="177"/>
      <c r="W992" s="177"/>
      <c r="X992" s="177"/>
      <c r="Y992" s="159"/>
      <c r="Z992" s="160"/>
      <c r="AA992" s="160"/>
      <c r="AB992" s="160"/>
      <c r="AC992" s="160"/>
      <c r="AD992" s="160"/>
      <c r="AE992" s="160"/>
    </row>
    <row r="993" spans="1:31" ht="23.4">
      <c r="A993" s="175"/>
      <c r="B993" s="142"/>
      <c r="C993" s="143"/>
      <c r="D993" s="143"/>
      <c r="E993" s="143"/>
      <c r="F993" s="143"/>
      <c r="G993" s="143"/>
      <c r="H993" s="143"/>
      <c r="I993" s="142"/>
      <c r="J993" s="142"/>
      <c r="K993" s="143"/>
      <c r="L993" s="178"/>
      <c r="M993" s="143"/>
      <c r="N993" s="143"/>
      <c r="O993" s="143"/>
      <c r="P993" s="143"/>
      <c r="Q993" s="176"/>
      <c r="R993" s="143"/>
      <c r="S993" s="177"/>
      <c r="T993" s="177"/>
      <c r="U993" s="177"/>
      <c r="V993" s="177"/>
      <c r="W993" s="177"/>
      <c r="X993" s="177"/>
      <c r="Y993" s="159"/>
      <c r="Z993" s="160"/>
      <c r="AA993" s="160"/>
      <c r="AB993" s="160"/>
      <c r="AC993" s="160"/>
      <c r="AD993" s="160"/>
      <c r="AE993" s="160"/>
    </row>
    <row r="994" spans="1:31" ht="23.4">
      <c r="A994" s="175"/>
      <c r="B994" s="142"/>
      <c r="C994" s="143"/>
      <c r="D994" s="143"/>
      <c r="E994" s="143"/>
      <c r="F994" s="143"/>
      <c r="G994" s="143"/>
      <c r="H994" s="143"/>
      <c r="I994" s="142"/>
      <c r="J994" s="142"/>
      <c r="K994" s="143"/>
      <c r="L994" s="178"/>
      <c r="M994" s="143"/>
      <c r="N994" s="143"/>
      <c r="O994" s="143"/>
      <c r="P994" s="143"/>
      <c r="Q994" s="176"/>
      <c r="R994" s="143"/>
      <c r="S994" s="177"/>
      <c r="T994" s="177"/>
      <c r="U994" s="177"/>
      <c r="V994" s="177"/>
      <c r="W994" s="177"/>
      <c r="X994" s="177"/>
      <c r="Y994" s="159"/>
      <c r="Z994" s="160"/>
      <c r="AA994" s="160"/>
      <c r="AB994" s="160"/>
      <c r="AC994" s="160"/>
      <c r="AD994" s="160"/>
      <c r="AE994" s="160"/>
    </row>
    <row r="995" spans="1:31" ht="23.4">
      <c r="A995" s="175"/>
      <c r="B995" s="142"/>
      <c r="C995" s="143"/>
      <c r="D995" s="143"/>
      <c r="E995" s="143"/>
      <c r="F995" s="143"/>
      <c r="G995" s="143"/>
      <c r="H995" s="143"/>
      <c r="I995" s="142"/>
      <c r="J995" s="142"/>
      <c r="K995" s="143"/>
      <c r="L995" s="178"/>
      <c r="M995" s="143"/>
      <c r="N995" s="143"/>
      <c r="O995" s="143"/>
      <c r="P995" s="143"/>
      <c r="Q995" s="176"/>
      <c r="R995" s="143"/>
      <c r="S995" s="177"/>
      <c r="T995" s="177"/>
      <c r="U995" s="177"/>
      <c r="V995" s="177"/>
      <c r="W995" s="177"/>
      <c r="X995" s="177"/>
      <c r="Y995" s="159"/>
      <c r="Z995" s="160"/>
      <c r="AA995" s="160"/>
      <c r="AB995" s="160"/>
      <c r="AC995" s="160"/>
      <c r="AD995" s="160"/>
      <c r="AE995" s="160"/>
    </row>
    <row r="996" spans="1:31" ht="23.4">
      <c r="A996" s="175"/>
      <c r="B996" s="142"/>
      <c r="C996" s="143"/>
      <c r="D996" s="143"/>
      <c r="E996" s="143"/>
      <c r="F996" s="143"/>
      <c r="G996" s="143"/>
      <c r="H996" s="143"/>
      <c r="I996" s="142"/>
      <c r="J996" s="142"/>
      <c r="K996" s="143"/>
      <c r="L996" s="178"/>
      <c r="M996" s="143"/>
      <c r="N996" s="143"/>
      <c r="O996" s="143"/>
      <c r="P996" s="143"/>
      <c r="Q996" s="176"/>
      <c r="R996" s="143"/>
      <c r="S996" s="177"/>
      <c r="T996" s="177"/>
      <c r="U996" s="177"/>
      <c r="V996" s="177"/>
      <c r="W996" s="177"/>
      <c r="X996" s="177"/>
      <c r="Y996" s="159"/>
      <c r="Z996" s="160"/>
      <c r="AA996" s="160"/>
      <c r="AB996" s="160"/>
      <c r="AC996" s="160"/>
      <c r="AD996" s="160"/>
      <c r="AE996" s="160"/>
    </row>
    <row r="997" spans="1:31" ht="23.4">
      <c r="A997" s="175"/>
      <c r="B997" s="142"/>
      <c r="C997" s="143"/>
      <c r="D997" s="143"/>
      <c r="E997" s="143"/>
      <c r="F997" s="143"/>
      <c r="G997" s="143"/>
      <c r="H997" s="143"/>
      <c r="I997" s="142"/>
      <c r="J997" s="142"/>
      <c r="K997" s="143"/>
      <c r="L997" s="178"/>
      <c r="M997" s="143"/>
      <c r="N997" s="143"/>
      <c r="O997" s="143"/>
      <c r="P997" s="143"/>
      <c r="Q997" s="176"/>
      <c r="R997" s="143"/>
      <c r="S997" s="177"/>
      <c r="T997" s="177"/>
      <c r="U997" s="177"/>
      <c r="V997" s="177"/>
      <c r="W997" s="177"/>
      <c r="X997" s="177"/>
      <c r="Y997" s="159"/>
      <c r="Z997" s="160"/>
      <c r="AA997" s="160"/>
      <c r="AB997" s="160"/>
      <c r="AC997" s="160"/>
      <c r="AD997" s="160"/>
      <c r="AE997" s="160"/>
    </row>
    <row r="998" spans="1:31" ht="23.4">
      <c r="A998" s="175"/>
      <c r="B998" s="142"/>
      <c r="C998" s="143"/>
      <c r="D998" s="143"/>
      <c r="E998" s="143"/>
      <c r="F998" s="143"/>
      <c r="G998" s="143"/>
      <c r="H998" s="143"/>
      <c r="I998" s="142"/>
      <c r="J998" s="142"/>
      <c r="K998" s="143"/>
      <c r="L998" s="178"/>
      <c r="M998" s="143"/>
      <c r="N998" s="143"/>
      <c r="O998" s="143"/>
      <c r="P998" s="143"/>
      <c r="Q998" s="176"/>
      <c r="R998" s="143"/>
      <c r="S998" s="177"/>
      <c r="T998" s="177"/>
      <c r="U998" s="177"/>
      <c r="V998" s="177"/>
      <c r="W998" s="177"/>
      <c r="X998" s="177"/>
      <c r="Y998" s="159"/>
      <c r="Z998" s="160"/>
      <c r="AA998" s="160"/>
      <c r="AB998" s="160"/>
      <c r="AC998" s="160"/>
      <c r="AD998" s="160"/>
      <c r="AE998" s="160"/>
    </row>
    <row r="999" spans="1:31" ht="23.4">
      <c r="A999" s="175"/>
      <c r="B999" s="142"/>
      <c r="C999" s="143"/>
      <c r="D999" s="143"/>
      <c r="E999" s="143"/>
      <c r="F999" s="143"/>
      <c r="G999" s="143"/>
      <c r="H999" s="143"/>
      <c r="I999" s="142"/>
      <c r="J999" s="142"/>
      <c r="K999" s="143"/>
      <c r="L999" s="178"/>
      <c r="M999" s="143"/>
      <c r="N999" s="143"/>
      <c r="O999" s="143"/>
      <c r="P999" s="143"/>
      <c r="Q999" s="176"/>
      <c r="R999" s="143"/>
      <c r="S999" s="177"/>
      <c r="T999" s="177"/>
      <c r="U999" s="177"/>
      <c r="V999" s="177"/>
      <c r="W999" s="177"/>
      <c r="X999" s="177"/>
      <c r="Y999" s="159"/>
      <c r="Z999" s="160"/>
      <c r="AA999" s="160"/>
      <c r="AB999" s="160"/>
      <c r="AC999" s="160"/>
      <c r="AD999" s="160"/>
      <c r="AE999" s="160"/>
    </row>
    <row r="1000" spans="1:31" ht="23.4">
      <c r="A1000" s="175"/>
      <c r="B1000" s="142"/>
      <c r="C1000" s="143"/>
      <c r="D1000" s="143"/>
      <c r="E1000" s="143"/>
      <c r="F1000" s="143"/>
      <c r="G1000" s="143"/>
      <c r="H1000" s="143"/>
      <c r="I1000" s="142"/>
      <c r="J1000" s="142"/>
      <c r="K1000" s="143"/>
      <c r="L1000" s="178"/>
      <c r="M1000" s="143"/>
      <c r="N1000" s="143"/>
      <c r="O1000" s="143"/>
      <c r="P1000" s="143"/>
      <c r="Q1000" s="176"/>
      <c r="R1000" s="143"/>
      <c r="S1000" s="177"/>
      <c r="T1000" s="177"/>
      <c r="U1000" s="177"/>
      <c r="V1000" s="177"/>
      <c r="W1000" s="177"/>
      <c r="X1000" s="177"/>
      <c r="Y1000" s="159"/>
      <c r="Z1000" s="160"/>
      <c r="AA1000" s="160"/>
      <c r="AB1000" s="160"/>
      <c r="AC1000" s="160"/>
      <c r="AD1000" s="160"/>
      <c r="AE1000" s="160"/>
    </row>
    <row r="1001" spans="1:31" ht="23.4">
      <c r="A1001" s="175"/>
      <c r="B1001" s="142"/>
      <c r="C1001" s="143"/>
      <c r="D1001" s="143"/>
      <c r="E1001" s="143"/>
      <c r="F1001" s="143"/>
      <c r="G1001" s="143"/>
      <c r="H1001" s="143"/>
      <c r="I1001" s="142"/>
      <c r="J1001" s="142"/>
      <c r="K1001" s="143"/>
      <c r="L1001" s="178"/>
      <c r="M1001" s="143"/>
      <c r="N1001" s="143"/>
      <c r="O1001" s="143"/>
      <c r="P1001" s="143"/>
      <c r="Q1001" s="176"/>
      <c r="R1001" s="143"/>
      <c r="S1001" s="177"/>
      <c r="T1001" s="177"/>
      <c r="U1001" s="177"/>
      <c r="V1001" s="177"/>
      <c r="W1001" s="177"/>
      <c r="X1001" s="177"/>
      <c r="Y1001" s="159"/>
      <c r="Z1001" s="160"/>
      <c r="AA1001" s="160"/>
      <c r="AB1001" s="160"/>
      <c r="AC1001" s="160"/>
      <c r="AD1001" s="160"/>
      <c r="AE1001" s="160"/>
    </row>
    <row r="1002" spans="1:31" ht="23.4">
      <c r="A1002" s="175"/>
      <c r="B1002" s="142"/>
      <c r="C1002" s="143"/>
      <c r="D1002" s="143"/>
      <c r="E1002" s="143"/>
      <c r="F1002" s="143"/>
      <c r="G1002" s="143"/>
      <c r="H1002" s="143"/>
      <c r="I1002" s="142"/>
      <c r="J1002" s="142"/>
      <c r="K1002" s="143"/>
      <c r="L1002" s="178"/>
      <c r="M1002" s="143"/>
      <c r="N1002" s="143"/>
      <c r="O1002" s="143"/>
      <c r="P1002" s="143"/>
      <c r="Q1002" s="176"/>
      <c r="R1002" s="143"/>
      <c r="S1002" s="177"/>
      <c r="T1002" s="177"/>
      <c r="U1002" s="177"/>
      <c r="V1002" s="177"/>
      <c r="W1002" s="177"/>
      <c r="X1002" s="177"/>
      <c r="Y1002" s="159"/>
      <c r="Z1002" s="160"/>
      <c r="AA1002" s="160"/>
      <c r="AB1002" s="160"/>
      <c r="AC1002" s="160"/>
      <c r="AD1002" s="160"/>
      <c r="AE1002" s="160"/>
    </row>
    <row r="1003" spans="1:31" ht="23.4">
      <c r="A1003" s="175"/>
      <c r="B1003" s="142"/>
      <c r="C1003" s="143"/>
      <c r="D1003" s="143"/>
      <c r="E1003" s="143"/>
      <c r="F1003" s="143"/>
      <c r="G1003" s="143"/>
      <c r="H1003" s="143"/>
      <c r="I1003" s="142"/>
      <c r="J1003" s="142"/>
      <c r="K1003" s="143"/>
      <c r="L1003" s="178"/>
      <c r="M1003" s="143"/>
      <c r="N1003" s="143"/>
      <c r="O1003" s="143"/>
      <c r="P1003" s="143"/>
      <c r="Q1003" s="176"/>
      <c r="R1003" s="143"/>
      <c r="S1003" s="177"/>
      <c r="T1003" s="177"/>
      <c r="U1003" s="177"/>
      <c r="V1003" s="177"/>
      <c r="W1003" s="177"/>
      <c r="X1003" s="177"/>
      <c r="Y1003" s="159"/>
      <c r="Z1003" s="160"/>
      <c r="AA1003" s="160"/>
      <c r="AB1003" s="160"/>
      <c r="AC1003" s="160"/>
      <c r="AD1003" s="160"/>
      <c r="AE1003" s="160"/>
    </row>
    <row r="1004" spans="1:31" ht="23.4">
      <c r="A1004" s="175"/>
      <c r="B1004" s="142"/>
      <c r="C1004" s="143"/>
      <c r="D1004" s="143"/>
      <c r="E1004" s="143"/>
      <c r="F1004" s="143"/>
      <c r="G1004" s="143"/>
      <c r="H1004" s="143"/>
      <c r="I1004" s="142"/>
      <c r="J1004" s="142"/>
      <c r="K1004" s="143"/>
      <c r="L1004" s="178"/>
      <c r="M1004" s="143"/>
      <c r="N1004" s="143"/>
      <c r="O1004" s="143"/>
      <c r="P1004" s="143"/>
      <c r="Q1004" s="176"/>
      <c r="R1004" s="143"/>
      <c r="S1004" s="177"/>
      <c r="T1004" s="177"/>
      <c r="U1004" s="177"/>
      <c r="V1004" s="177"/>
      <c r="W1004" s="177"/>
      <c r="X1004" s="177"/>
      <c r="Y1004" s="159"/>
      <c r="Z1004" s="160"/>
      <c r="AA1004" s="160"/>
      <c r="AB1004" s="160"/>
      <c r="AC1004" s="160"/>
      <c r="AD1004" s="160"/>
      <c r="AE1004" s="160"/>
    </row>
    <row r="1005" spans="1:31" ht="23.4">
      <c r="A1005" s="175"/>
      <c r="B1005" s="142"/>
      <c r="C1005" s="143"/>
      <c r="D1005" s="143"/>
      <c r="E1005" s="143"/>
      <c r="F1005" s="143"/>
      <c r="G1005" s="143"/>
      <c r="H1005" s="143"/>
      <c r="I1005" s="142"/>
      <c r="J1005" s="142"/>
      <c r="K1005" s="143"/>
      <c r="L1005" s="178"/>
      <c r="M1005" s="143"/>
      <c r="N1005" s="143"/>
      <c r="O1005" s="143"/>
      <c r="P1005" s="143"/>
      <c r="Q1005" s="176"/>
      <c r="R1005" s="143"/>
      <c r="S1005" s="177"/>
      <c r="T1005" s="177"/>
      <c r="U1005" s="177"/>
      <c r="V1005" s="177"/>
      <c r="W1005" s="177"/>
      <c r="X1005" s="177"/>
      <c r="Y1005" s="159"/>
      <c r="Z1005" s="160"/>
      <c r="AA1005" s="160"/>
      <c r="AB1005" s="160"/>
      <c r="AC1005" s="160"/>
      <c r="AD1005" s="160"/>
      <c r="AE1005" s="160"/>
    </row>
    <row r="1006" spans="1:31" ht="23.4">
      <c r="A1006" s="175"/>
      <c r="B1006" s="142"/>
      <c r="C1006" s="143"/>
      <c r="D1006" s="143"/>
      <c r="E1006" s="143"/>
      <c r="F1006" s="143"/>
      <c r="G1006" s="143"/>
      <c r="H1006" s="143"/>
      <c r="I1006" s="142"/>
      <c r="J1006" s="142"/>
      <c r="K1006" s="143"/>
      <c r="L1006" s="178"/>
      <c r="M1006" s="143"/>
      <c r="N1006" s="143"/>
      <c r="O1006" s="143"/>
      <c r="P1006" s="143"/>
      <c r="Q1006" s="176"/>
      <c r="R1006" s="143"/>
      <c r="S1006" s="177"/>
      <c r="T1006" s="177"/>
      <c r="U1006" s="177"/>
      <c r="V1006" s="177"/>
      <c r="W1006" s="177"/>
      <c r="X1006" s="177"/>
      <c r="Y1006" s="159"/>
      <c r="Z1006" s="160"/>
      <c r="AA1006" s="160"/>
      <c r="AB1006" s="160"/>
      <c r="AC1006" s="160"/>
      <c r="AD1006" s="160"/>
      <c r="AE1006" s="160"/>
    </row>
    <row r="1007" spans="1:31" ht="23.4">
      <c r="A1007" s="175"/>
      <c r="B1007" s="142"/>
      <c r="C1007" s="143"/>
      <c r="D1007" s="143"/>
      <c r="E1007" s="143"/>
      <c r="F1007" s="143"/>
      <c r="G1007" s="143"/>
      <c r="H1007" s="143"/>
      <c r="I1007" s="142"/>
      <c r="J1007" s="142"/>
      <c r="K1007" s="143"/>
      <c r="L1007" s="178"/>
      <c r="M1007" s="143"/>
      <c r="N1007" s="143"/>
      <c r="O1007" s="143"/>
      <c r="P1007" s="143"/>
      <c r="Q1007" s="176"/>
      <c r="R1007" s="143"/>
      <c r="S1007" s="177"/>
      <c r="T1007" s="177"/>
      <c r="U1007" s="177"/>
      <c r="V1007" s="177"/>
      <c r="W1007" s="177"/>
      <c r="X1007" s="177"/>
      <c r="Y1007" s="159"/>
      <c r="Z1007" s="160"/>
      <c r="AA1007" s="160"/>
      <c r="AB1007" s="160"/>
      <c r="AC1007" s="160"/>
      <c r="AD1007" s="160"/>
      <c r="AE1007" s="160"/>
    </row>
    <row r="1008" spans="1:31" ht="23.4">
      <c r="A1008" s="175"/>
      <c r="B1008" s="142"/>
      <c r="C1008" s="143"/>
      <c r="D1008" s="143"/>
      <c r="E1008" s="143"/>
      <c r="F1008" s="143"/>
      <c r="G1008" s="143"/>
      <c r="H1008" s="143"/>
      <c r="I1008" s="142"/>
      <c r="J1008" s="142"/>
      <c r="K1008" s="143"/>
      <c r="L1008" s="178"/>
      <c r="M1008" s="143"/>
      <c r="N1008" s="143"/>
      <c r="O1008" s="143"/>
      <c r="P1008" s="143"/>
      <c r="Q1008" s="176"/>
      <c r="R1008" s="143"/>
      <c r="S1008" s="177"/>
      <c r="T1008" s="177"/>
      <c r="U1008" s="177"/>
      <c r="V1008" s="177"/>
      <c r="W1008" s="177"/>
      <c r="X1008" s="177"/>
      <c r="Y1008" s="159"/>
      <c r="Z1008" s="160"/>
      <c r="AA1008" s="160"/>
      <c r="AB1008" s="160"/>
      <c r="AC1008" s="160"/>
      <c r="AD1008" s="160"/>
      <c r="AE1008" s="160"/>
    </row>
    <row r="1009" spans="1:31" ht="23.4">
      <c r="A1009" s="175"/>
      <c r="B1009" s="142"/>
      <c r="C1009" s="143"/>
      <c r="D1009" s="143"/>
      <c r="E1009" s="143"/>
      <c r="F1009" s="143"/>
      <c r="G1009" s="143"/>
      <c r="H1009" s="143"/>
      <c r="I1009" s="142"/>
      <c r="J1009" s="142"/>
      <c r="K1009" s="143"/>
      <c r="L1009" s="178"/>
      <c r="M1009" s="143"/>
      <c r="N1009" s="143"/>
      <c r="O1009" s="143"/>
      <c r="P1009" s="143"/>
      <c r="Q1009" s="176"/>
      <c r="R1009" s="143"/>
      <c r="S1009" s="177"/>
      <c r="T1009" s="177"/>
      <c r="U1009" s="177"/>
      <c r="V1009" s="177"/>
      <c r="W1009" s="177"/>
      <c r="X1009" s="177"/>
      <c r="Y1009" s="159"/>
      <c r="Z1009" s="160"/>
      <c r="AA1009" s="160"/>
      <c r="AB1009" s="160"/>
      <c r="AC1009" s="160"/>
      <c r="AD1009" s="160"/>
      <c r="AE1009" s="160"/>
    </row>
    <row r="1010" spans="1:31" ht="23.4">
      <c r="A1010" s="175"/>
      <c r="B1010" s="142"/>
      <c r="C1010" s="143"/>
      <c r="D1010" s="143"/>
      <c r="E1010" s="143"/>
      <c r="F1010" s="143"/>
      <c r="G1010" s="143"/>
      <c r="H1010" s="143"/>
      <c r="I1010" s="142"/>
      <c r="J1010" s="142"/>
      <c r="K1010" s="143"/>
      <c r="L1010" s="178"/>
      <c r="M1010" s="143"/>
      <c r="N1010" s="143"/>
      <c r="O1010" s="143"/>
      <c r="P1010" s="143"/>
      <c r="Q1010" s="176"/>
      <c r="R1010" s="143"/>
      <c r="S1010" s="177"/>
      <c r="T1010" s="177"/>
      <c r="U1010" s="177"/>
      <c r="V1010" s="177"/>
      <c r="W1010" s="177"/>
      <c r="X1010" s="177"/>
      <c r="Y1010" s="159"/>
      <c r="Z1010" s="160"/>
      <c r="AA1010" s="160"/>
      <c r="AB1010" s="160"/>
      <c r="AC1010" s="160"/>
      <c r="AD1010" s="160"/>
      <c r="AE1010" s="160"/>
    </row>
    <row r="1011" spans="1:31" ht="23.4">
      <c r="A1011" s="175"/>
      <c r="B1011" s="142"/>
      <c r="C1011" s="143"/>
      <c r="D1011" s="143"/>
      <c r="E1011" s="143"/>
      <c r="F1011" s="143"/>
      <c r="G1011" s="143"/>
      <c r="H1011" s="143"/>
      <c r="I1011" s="142"/>
      <c r="J1011" s="142"/>
      <c r="K1011" s="143"/>
      <c r="L1011" s="178"/>
      <c r="M1011" s="143"/>
      <c r="N1011" s="143"/>
      <c r="O1011" s="143"/>
      <c r="P1011" s="143"/>
      <c r="Q1011" s="176"/>
      <c r="R1011" s="143"/>
      <c r="S1011" s="177"/>
      <c r="T1011" s="177"/>
      <c r="U1011" s="177"/>
      <c r="V1011" s="177"/>
      <c r="W1011" s="177"/>
      <c r="X1011" s="177"/>
      <c r="Y1011" s="159"/>
      <c r="Z1011" s="160"/>
      <c r="AA1011" s="160"/>
      <c r="AB1011" s="160"/>
      <c r="AC1011" s="160"/>
      <c r="AD1011" s="160"/>
      <c r="AE1011" s="160"/>
    </row>
    <row r="1012" spans="1:31" ht="23.4">
      <c r="A1012" s="175"/>
      <c r="B1012" s="142"/>
      <c r="C1012" s="143"/>
      <c r="D1012" s="143"/>
      <c r="E1012" s="143"/>
      <c r="F1012" s="143"/>
      <c r="G1012" s="143"/>
      <c r="H1012" s="143"/>
      <c r="I1012" s="142"/>
      <c r="J1012" s="142"/>
      <c r="K1012" s="143"/>
      <c r="L1012" s="178"/>
      <c r="M1012" s="143"/>
      <c r="N1012" s="143"/>
      <c r="O1012" s="143"/>
      <c r="P1012" s="143"/>
      <c r="Q1012" s="176"/>
      <c r="R1012" s="143"/>
      <c r="S1012" s="177"/>
      <c r="T1012" s="177"/>
      <c r="U1012" s="177"/>
      <c r="V1012" s="177"/>
      <c r="W1012" s="177"/>
      <c r="X1012" s="177"/>
      <c r="Y1012" s="159"/>
      <c r="Z1012" s="160"/>
      <c r="AA1012" s="160"/>
      <c r="AB1012" s="160"/>
      <c r="AC1012" s="160"/>
      <c r="AD1012" s="160"/>
      <c r="AE1012" s="160"/>
    </row>
    <row r="1013" spans="1:31" ht="23.4">
      <c r="A1013" s="175"/>
      <c r="B1013" s="142"/>
      <c r="C1013" s="143"/>
      <c r="D1013" s="143"/>
      <c r="E1013" s="143"/>
      <c r="F1013" s="143"/>
      <c r="G1013" s="143"/>
      <c r="H1013" s="143"/>
      <c r="I1013" s="142"/>
      <c r="J1013" s="142"/>
      <c r="K1013" s="143"/>
      <c r="L1013" s="178"/>
      <c r="M1013" s="143"/>
      <c r="N1013" s="143"/>
      <c r="O1013" s="143"/>
      <c r="P1013" s="143"/>
      <c r="Q1013" s="176"/>
      <c r="R1013" s="143"/>
      <c r="S1013" s="177"/>
      <c r="T1013" s="177"/>
      <c r="U1013" s="177"/>
      <c r="V1013" s="177"/>
      <c r="W1013" s="177"/>
      <c r="X1013" s="177"/>
      <c r="Y1013" s="159"/>
      <c r="Z1013" s="160"/>
      <c r="AA1013" s="160"/>
      <c r="AB1013" s="160"/>
      <c r="AC1013" s="160"/>
      <c r="AD1013" s="160"/>
      <c r="AE1013" s="160"/>
    </row>
    <row r="1014" spans="1:31" ht="23.4">
      <c r="A1014" s="175"/>
      <c r="B1014" s="142"/>
      <c r="C1014" s="143"/>
      <c r="D1014" s="143"/>
      <c r="E1014" s="143"/>
      <c r="F1014" s="143"/>
      <c r="G1014" s="143"/>
      <c r="H1014" s="143"/>
      <c r="I1014" s="142"/>
      <c r="J1014" s="142"/>
      <c r="K1014" s="143"/>
      <c r="L1014" s="178"/>
      <c r="M1014" s="143"/>
      <c r="N1014" s="143"/>
      <c r="O1014" s="143"/>
      <c r="P1014" s="143"/>
      <c r="Q1014" s="176"/>
      <c r="R1014" s="143"/>
      <c r="S1014" s="177"/>
      <c r="T1014" s="177"/>
      <c r="U1014" s="177"/>
      <c r="V1014" s="177"/>
      <c r="W1014" s="177"/>
      <c r="X1014" s="177"/>
      <c r="Y1014" s="159"/>
      <c r="Z1014" s="160"/>
      <c r="AA1014" s="160"/>
      <c r="AB1014" s="160"/>
      <c r="AC1014" s="160"/>
      <c r="AD1014" s="160"/>
      <c r="AE1014" s="160"/>
    </row>
    <row r="1015" spans="1:31" ht="23.4">
      <c r="A1015" s="175"/>
      <c r="B1015" s="142"/>
      <c r="C1015" s="143"/>
      <c r="D1015" s="143"/>
      <c r="E1015" s="143"/>
      <c r="F1015" s="143"/>
      <c r="G1015" s="143"/>
      <c r="H1015" s="143"/>
      <c r="I1015" s="142"/>
      <c r="J1015" s="142"/>
      <c r="K1015" s="143"/>
      <c r="L1015" s="178"/>
      <c r="M1015" s="143"/>
      <c r="N1015" s="143"/>
      <c r="O1015" s="143"/>
      <c r="P1015" s="143"/>
      <c r="Q1015" s="176"/>
      <c r="R1015" s="143"/>
      <c r="S1015" s="177"/>
      <c r="T1015" s="177"/>
      <c r="U1015" s="177"/>
      <c r="V1015" s="177"/>
      <c r="W1015" s="177"/>
      <c r="X1015" s="177"/>
      <c r="Y1015" s="159"/>
      <c r="Z1015" s="160"/>
      <c r="AA1015" s="160"/>
      <c r="AB1015" s="160"/>
      <c r="AC1015" s="160"/>
      <c r="AD1015" s="160"/>
      <c r="AE1015" s="160"/>
    </row>
    <row r="1016" spans="1:31" ht="23.4">
      <c r="A1016" s="175"/>
      <c r="B1016" s="142"/>
      <c r="C1016" s="143"/>
      <c r="D1016" s="143"/>
      <c r="E1016" s="143"/>
      <c r="F1016" s="143"/>
      <c r="G1016" s="143"/>
      <c r="H1016" s="143"/>
      <c r="I1016" s="142"/>
      <c r="J1016" s="142"/>
      <c r="K1016" s="143"/>
      <c r="L1016" s="178"/>
      <c r="M1016" s="143"/>
      <c r="N1016" s="143"/>
      <c r="O1016" s="143"/>
      <c r="P1016" s="143"/>
      <c r="Q1016" s="176"/>
      <c r="R1016" s="143"/>
      <c r="S1016" s="177"/>
      <c r="T1016" s="177"/>
      <c r="U1016" s="177"/>
      <c r="V1016" s="177"/>
      <c r="W1016" s="177"/>
      <c r="X1016" s="177"/>
      <c r="Y1016" s="159"/>
      <c r="Z1016" s="160"/>
      <c r="AA1016" s="160"/>
      <c r="AB1016" s="160"/>
      <c r="AC1016" s="160"/>
      <c r="AD1016" s="160"/>
      <c r="AE1016" s="160"/>
    </row>
    <row r="1017" spans="1:31" ht="23.4">
      <c r="A1017" s="175"/>
      <c r="B1017" s="142"/>
      <c r="C1017" s="143"/>
      <c r="D1017" s="143"/>
      <c r="E1017" s="143"/>
      <c r="F1017" s="143"/>
      <c r="G1017" s="143"/>
      <c r="H1017" s="143"/>
      <c r="I1017" s="142"/>
      <c r="J1017" s="142"/>
      <c r="K1017" s="143"/>
      <c r="L1017" s="178"/>
      <c r="M1017" s="143"/>
      <c r="N1017" s="143"/>
      <c r="O1017" s="143"/>
      <c r="P1017" s="143"/>
      <c r="Q1017" s="176"/>
      <c r="R1017" s="143"/>
      <c r="S1017" s="177"/>
      <c r="T1017" s="177"/>
      <c r="U1017" s="177"/>
      <c r="V1017" s="177"/>
      <c r="W1017" s="177"/>
      <c r="X1017" s="177"/>
      <c r="Y1017" s="159"/>
      <c r="Z1017" s="160"/>
      <c r="AA1017" s="160"/>
      <c r="AB1017" s="160"/>
      <c r="AC1017" s="160"/>
      <c r="AD1017" s="160"/>
      <c r="AE1017" s="160"/>
    </row>
    <row r="1018" spans="1:31" ht="23.4">
      <c r="A1018" s="175"/>
      <c r="B1018" s="142"/>
      <c r="C1018" s="143"/>
      <c r="D1018" s="143"/>
      <c r="E1018" s="143"/>
      <c r="F1018" s="143"/>
      <c r="G1018" s="143"/>
      <c r="H1018" s="143"/>
      <c r="I1018" s="142"/>
      <c r="J1018" s="142"/>
      <c r="K1018" s="143"/>
      <c r="L1018" s="178"/>
      <c r="M1018" s="143"/>
      <c r="N1018" s="143"/>
      <c r="O1018" s="143"/>
      <c r="P1018" s="143"/>
      <c r="Q1018" s="176"/>
      <c r="R1018" s="143"/>
      <c r="S1018" s="177"/>
      <c r="T1018" s="177"/>
      <c r="U1018" s="177"/>
      <c r="V1018" s="177"/>
      <c r="W1018" s="177"/>
      <c r="X1018" s="177"/>
      <c r="Y1018" s="159"/>
      <c r="Z1018" s="160"/>
      <c r="AA1018" s="160"/>
      <c r="AB1018" s="160"/>
      <c r="AC1018" s="160"/>
      <c r="AD1018" s="160"/>
      <c r="AE1018" s="160"/>
    </row>
    <row r="1019" spans="1:31" ht="23.4">
      <c r="A1019" s="175"/>
      <c r="B1019" s="142"/>
      <c r="C1019" s="143"/>
      <c r="D1019" s="143"/>
      <c r="E1019" s="143"/>
      <c r="F1019" s="143"/>
      <c r="G1019" s="143"/>
      <c r="H1019" s="143"/>
      <c r="I1019" s="142"/>
      <c r="J1019" s="142"/>
      <c r="K1019" s="143"/>
      <c r="L1019" s="178"/>
      <c r="M1019" s="143"/>
      <c r="N1019" s="143"/>
      <c r="O1019" s="143"/>
      <c r="P1019" s="143"/>
      <c r="Q1019" s="176"/>
      <c r="R1019" s="143"/>
      <c r="S1019" s="177"/>
      <c r="T1019" s="177"/>
      <c r="U1019" s="177"/>
      <c r="V1019" s="177"/>
      <c r="W1019" s="177"/>
      <c r="X1019" s="177"/>
      <c r="Y1019" s="159"/>
      <c r="Z1019" s="160"/>
      <c r="AA1019" s="160"/>
      <c r="AB1019" s="160"/>
      <c r="AC1019" s="160"/>
      <c r="AD1019" s="160"/>
      <c r="AE1019" s="160"/>
    </row>
    <row r="1020" spans="1:31" ht="23.4">
      <c r="A1020" s="175"/>
      <c r="B1020" s="142"/>
      <c r="C1020" s="143"/>
      <c r="D1020" s="143"/>
      <c r="E1020" s="143"/>
      <c r="F1020" s="143"/>
      <c r="G1020" s="143"/>
      <c r="H1020" s="143"/>
      <c r="I1020" s="142"/>
      <c r="J1020" s="142"/>
      <c r="K1020" s="143"/>
      <c r="L1020" s="178"/>
      <c r="M1020" s="143"/>
      <c r="N1020" s="143"/>
      <c r="O1020" s="143"/>
      <c r="P1020" s="143"/>
      <c r="Q1020" s="176"/>
      <c r="R1020" s="143"/>
      <c r="S1020" s="177"/>
      <c r="T1020" s="177"/>
      <c r="U1020" s="177"/>
      <c r="V1020" s="177"/>
      <c r="W1020" s="177"/>
      <c r="X1020" s="177"/>
      <c r="Y1020" s="159"/>
      <c r="Z1020" s="160"/>
      <c r="AA1020" s="160"/>
      <c r="AB1020" s="160"/>
      <c r="AC1020" s="160"/>
      <c r="AD1020" s="160"/>
      <c r="AE1020" s="160"/>
    </row>
    <row r="1021" spans="1:31" ht="23.4">
      <c r="A1021" s="175"/>
      <c r="B1021" s="142"/>
      <c r="C1021" s="143"/>
      <c r="D1021" s="143"/>
      <c r="E1021" s="143"/>
      <c r="F1021" s="143"/>
      <c r="G1021" s="143"/>
      <c r="H1021" s="143"/>
      <c r="I1021" s="142"/>
      <c r="J1021" s="142"/>
      <c r="K1021" s="143"/>
      <c r="L1021" s="178"/>
      <c r="M1021" s="143"/>
      <c r="N1021" s="143"/>
      <c r="O1021" s="143"/>
      <c r="P1021" s="143"/>
      <c r="Q1021" s="176"/>
      <c r="R1021" s="143"/>
      <c r="S1021" s="177"/>
      <c r="T1021" s="177"/>
      <c r="U1021" s="177"/>
      <c r="V1021" s="177"/>
      <c r="W1021" s="177"/>
      <c r="X1021" s="177"/>
      <c r="Y1021" s="159"/>
      <c r="Z1021" s="160"/>
      <c r="AA1021" s="160"/>
      <c r="AB1021" s="160"/>
      <c r="AC1021" s="160"/>
      <c r="AD1021" s="160"/>
      <c r="AE1021" s="160"/>
    </row>
    <row r="1022" spans="1:31" ht="23.4">
      <c r="A1022" s="175"/>
      <c r="B1022" s="142"/>
      <c r="C1022" s="143"/>
      <c r="D1022" s="143"/>
      <c r="E1022" s="143"/>
      <c r="F1022" s="143"/>
      <c r="G1022" s="143"/>
      <c r="H1022" s="143"/>
      <c r="I1022" s="142"/>
      <c r="J1022" s="142"/>
      <c r="K1022" s="143"/>
      <c r="L1022" s="178"/>
      <c r="M1022" s="143"/>
      <c r="N1022" s="143"/>
      <c r="O1022" s="143"/>
      <c r="P1022" s="143"/>
      <c r="Q1022" s="176"/>
      <c r="R1022" s="143"/>
      <c r="S1022" s="177"/>
      <c r="T1022" s="177"/>
      <c r="U1022" s="177"/>
      <c r="V1022" s="177"/>
      <c r="W1022" s="177"/>
      <c r="X1022" s="177"/>
      <c r="Y1022" s="159"/>
      <c r="Z1022" s="160"/>
      <c r="AA1022" s="160"/>
      <c r="AB1022" s="160"/>
      <c r="AC1022" s="160"/>
      <c r="AD1022" s="160"/>
      <c r="AE1022" s="160"/>
    </row>
    <row r="1023" spans="1:31" ht="23.4">
      <c r="A1023" s="175"/>
      <c r="B1023" s="142"/>
      <c r="C1023" s="143"/>
      <c r="D1023" s="143"/>
      <c r="E1023" s="143"/>
      <c r="F1023" s="143"/>
      <c r="G1023" s="143"/>
      <c r="H1023" s="143"/>
      <c r="I1023" s="142"/>
      <c r="J1023" s="142"/>
      <c r="K1023" s="143"/>
      <c r="L1023" s="178"/>
      <c r="M1023" s="143"/>
      <c r="N1023" s="143"/>
      <c r="O1023" s="143"/>
      <c r="P1023" s="143"/>
      <c r="Q1023" s="176"/>
      <c r="R1023" s="143"/>
      <c r="S1023" s="177"/>
      <c r="T1023" s="177"/>
      <c r="U1023" s="177"/>
      <c r="V1023" s="177"/>
      <c r="W1023" s="177"/>
      <c r="X1023" s="177"/>
      <c r="Y1023" s="159"/>
      <c r="Z1023" s="160"/>
      <c r="AA1023" s="160"/>
      <c r="AB1023" s="160"/>
      <c r="AC1023" s="160"/>
      <c r="AD1023" s="160"/>
      <c r="AE1023" s="160"/>
    </row>
    <row r="1024" spans="1:31" ht="23.4">
      <c r="A1024" s="175"/>
      <c r="B1024" s="142"/>
      <c r="C1024" s="143"/>
      <c r="D1024" s="143"/>
      <c r="E1024" s="143"/>
      <c r="F1024" s="143"/>
      <c r="G1024" s="143"/>
      <c r="H1024" s="143"/>
      <c r="I1024" s="142"/>
      <c r="J1024" s="142"/>
      <c r="K1024" s="143"/>
      <c r="L1024" s="178"/>
      <c r="M1024" s="143"/>
      <c r="N1024" s="143"/>
      <c r="O1024" s="143"/>
      <c r="P1024" s="143"/>
      <c r="Q1024" s="176"/>
      <c r="R1024" s="143"/>
      <c r="S1024" s="177"/>
      <c r="T1024" s="177"/>
      <c r="U1024" s="177"/>
      <c r="V1024" s="177"/>
      <c r="W1024" s="177"/>
      <c r="X1024" s="177"/>
      <c r="Y1024" s="159"/>
      <c r="Z1024" s="160"/>
      <c r="AA1024" s="160"/>
      <c r="AB1024" s="160"/>
      <c r="AC1024" s="160"/>
      <c r="AD1024" s="160"/>
      <c r="AE1024" s="160"/>
    </row>
    <row r="1025" spans="1:31" ht="23.4">
      <c r="A1025" s="175"/>
      <c r="B1025" s="142"/>
      <c r="C1025" s="143"/>
      <c r="D1025" s="143"/>
      <c r="E1025" s="143"/>
      <c r="F1025" s="143"/>
      <c r="G1025" s="143"/>
      <c r="H1025" s="143"/>
      <c r="I1025" s="142"/>
      <c r="J1025" s="142"/>
      <c r="K1025" s="143"/>
      <c r="L1025" s="178"/>
      <c r="M1025" s="143"/>
      <c r="N1025" s="143"/>
      <c r="O1025" s="143"/>
      <c r="P1025" s="143"/>
      <c r="Q1025" s="176"/>
      <c r="R1025" s="143"/>
      <c r="S1025" s="177"/>
      <c r="T1025" s="177"/>
      <c r="U1025" s="177"/>
      <c r="V1025" s="177"/>
      <c r="W1025" s="177"/>
      <c r="X1025" s="177"/>
      <c r="Y1025" s="159"/>
      <c r="Z1025" s="160"/>
      <c r="AA1025" s="160"/>
      <c r="AB1025" s="160"/>
      <c r="AC1025" s="160"/>
      <c r="AD1025" s="160"/>
      <c r="AE1025" s="160"/>
    </row>
    <row r="1026" spans="1:31" ht="23.4">
      <c r="A1026" s="175"/>
      <c r="B1026" s="142"/>
      <c r="C1026" s="143"/>
      <c r="D1026" s="143"/>
      <c r="E1026" s="143"/>
      <c r="F1026" s="143"/>
      <c r="G1026" s="143"/>
      <c r="H1026" s="143"/>
      <c r="I1026" s="142"/>
      <c r="J1026" s="142"/>
      <c r="K1026" s="143"/>
      <c r="L1026" s="178"/>
      <c r="M1026" s="143"/>
      <c r="N1026" s="143"/>
      <c r="O1026" s="143"/>
      <c r="P1026" s="143"/>
      <c r="Q1026" s="176"/>
      <c r="R1026" s="143"/>
      <c r="S1026" s="177"/>
      <c r="T1026" s="177"/>
      <c r="U1026" s="177"/>
      <c r="V1026" s="177"/>
      <c r="W1026" s="177"/>
      <c r="X1026" s="177"/>
      <c r="Y1026" s="159"/>
      <c r="Z1026" s="160"/>
      <c r="AA1026" s="160"/>
      <c r="AB1026" s="160"/>
      <c r="AC1026" s="160"/>
      <c r="AD1026" s="160"/>
      <c r="AE1026" s="160"/>
    </row>
    <row r="1027" spans="1:31" ht="23.4">
      <c r="A1027" s="175"/>
      <c r="B1027" s="142"/>
      <c r="C1027" s="143"/>
      <c r="D1027" s="143"/>
      <c r="E1027" s="143"/>
      <c r="F1027" s="143"/>
      <c r="G1027" s="143"/>
      <c r="H1027" s="143"/>
      <c r="I1027" s="142"/>
      <c r="J1027" s="142"/>
      <c r="K1027" s="143"/>
      <c r="L1027" s="178"/>
      <c r="M1027" s="143"/>
      <c r="N1027" s="143"/>
      <c r="O1027" s="143"/>
      <c r="P1027" s="143"/>
      <c r="Q1027" s="176"/>
      <c r="R1027" s="143"/>
      <c r="S1027" s="177"/>
      <c r="T1027" s="177"/>
      <c r="U1027" s="177"/>
      <c r="V1027" s="177"/>
      <c r="W1027" s="177"/>
      <c r="X1027" s="177"/>
      <c r="Y1027" s="159"/>
      <c r="Z1027" s="160"/>
      <c r="AA1027" s="160"/>
      <c r="AB1027" s="160"/>
      <c r="AC1027" s="160"/>
      <c r="AD1027" s="160"/>
      <c r="AE1027" s="160"/>
    </row>
    <row r="1028" spans="1:31" ht="23.4">
      <c r="A1028" s="175"/>
      <c r="B1028" s="142"/>
      <c r="C1028" s="143"/>
      <c r="D1028" s="143"/>
      <c r="E1028" s="143"/>
      <c r="F1028" s="143"/>
      <c r="G1028" s="143"/>
      <c r="H1028" s="143"/>
      <c r="I1028" s="142"/>
      <c r="J1028" s="142"/>
      <c r="K1028" s="143"/>
      <c r="L1028" s="178"/>
      <c r="M1028" s="143"/>
      <c r="N1028" s="143"/>
      <c r="O1028" s="143"/>
      <c r="P1028" s="143"/>
      <c r="Q1028" s="176"/>
      <c r="R1028" s="143"/>
      <c r="S1028" s="177"/>
      <c r="T1028" s="177"/>
      <c r="U1028" s="177"/>
      <c r="V1028" s="177"/>
      <c r="W1028" s="177"/>
      <c r="X1028" s="177"/>
      <c r="Y1028" s="159"/>
      <c r="Z1028" s="160"/>
      <c r="AA1028" s="160"/>
      <c r="AB1028" s="160"/>
      <c r="AC1028" s="160"/>
      <c r="AD1028" s="160"/>
      <c r="AE1028" s="160"/>
    </row>
    <row r="1029" spans="1:31" ht="23.4">
      <c r="A1029" s="175"/>
      <c r="B1029" s="142"/>
      <c r="C1029" s="143"/>
      <c r="D1029" s="143"/>
      <c r="E1029" s="143"/>
      <c r="F1029" s="143"/>
      <c r="G1029" s="143"/>
      <c r="H1029" s="143"/>
      <c r="I1029" s="142"/>
      <c r="J1029" s="142"/>
      <c r="K1029" s="143"/>
      <c r="L1029" s="178"/>
      <c r="M1029" s="143"/>
      <c r="N1029" s="143"/>
      <c r="O1029" s="143"/>
      <c r="P1029" s="143"/>
      <c r="Q1029" s="176"/>
      <c r="R1029" s="143"/>
      <c r="S1029" s="177"/>
      <c r="T1029" s="177"/>
      <c r="U1029" s="177"/>
      <c r="V1029" s="177"/>
      <c r="W1029" s="177"/>
      <c r="X1029" s="177"/>
      <c r="Y1029" s="159"/>
      <c r="Z1029" s="160"/>
      <c r="AA1029" s="160"/>
      <c r="AB1029" s="160"/>
      <c r="AC1029" s="160"/>
      <c r="AD1029" s="160"/>
      <c r="AE1029" s="160"/>
    </row>
    <row r="1030" spans="1:31" ht="23.4">
      <c r="A1030" s="175"/>
      <c r="B1030" s="142"/>
      <c r="C1030" s="143"/>
      <c r="D1030" s="143"/>
      <c r="E1030" s="143"/>
      <c r="F1030" s="143"/>
      <c r="G1030" s="143"/>
      <c r="H1030" s="143"/>
      <c r="I1030" s="142"/>
      <c r="J1030" s="142"/>
      <c r="K1030" s="143"/>
      <c r="L1030" s="178"/>
      <c r="M1030" s="143"/>
      <c r="N1030" s="143"/>
      <c r="O1030" s="143"/>
      <c r="P1030" s="143"/>
      <c r="Q1030" s="176"/>
      <c r="R1030" s="143"/>
      <c r="S1030" s="177"/>
      <c r="T1030" s="177"/>
      <c r="U1030" s="177"/>
      <c r="V1030" s="177"/>
      <c r="W1030" s="177"/>
      <c r="X1030" s="177"/>
      <c r="Y1030" s="159"/>
      <c r="Z1030" s="160"/>
      <c r="AA1030" s="160"/>
      <c r="AB1030" s="160"/>
      <c r="AC1030" s="160"/>
      <c r="AD1030" s="160"/>
      <c r="AE1030" s="160"/>
    </row>
    <row r="1031" spans="1:31" ht="23.4">
      <c r="A1031" s="175"/>
      <c r="B1031" s="142"/>
      <c r="C1031" s="143"/>
      <c r="D1031" s="143"/>
      <c r="E1031" s="143"/>
      <c r="F1031" s="143"/>
      <c r="G1031" s="143"/>
      <c r="H1031" s="143"/>
      <c r="I1031" s="142"/>
      <c r="J1031" s="142"/>
      <c r="K1031" s="143"/>
      <c r="L1031" s="178"/>
      <c r="M1031" s="143"/>
      <c r="N1031" s="143"/>
      <c r="O1031" s="143"/>
      <c r="P1031" s="143"/>
      <c r="Q1031" s="176"/>
      <c r="R1031" s="143"/>
      <c r="S1031" s="177"/>
      <c r="T1031" s="177"/>
      <c r="U1031" s="177"/>
      <c r="V1031" s="177"/>
      <c r="W1031" s="177"/>
      <c r="X1031" s="177"/>
      <c r="Y1031" s="159"/>
      <c r="Z1031" s="160"/>
      <c r="AA1031" s="160"/>
      <c r="AB1031" s="160"/>
      <c r="AC1031" s="160"/>
      <c r="AD1031" s="160"/>
      <c r="AE1031" s="160"/>
    </row>
    <row r="1032" spans="1:31" ht="23.4">
      <c r="A1032" s="175"/>
      <c r="B1032" s="142"/>
      <c r="C1032" s="143"/>
      <c r="D1032" s="143"/>
      <c r="E1032" s="143"/>
      <c r="F1032" s="143"/>
      <c r="G1032" s="143"/>
      <c r="H1032" s="143"/>
      <c r="I1032" s="142"/>
      <c r="J1032" s="142"/>
      <c r="K1032" s="143"/>
      <c r="L1032" s="178"/>
      <c r="M1032" s="143"/>
      <c r="N1032" s="143"/>
      <c r="O1032" s="143"/>
      <c r="P1032" s="143"/>
      <c r="Q1032" s="176"/>
      <c r="R1032" s="143"/>
      <c r="S1032" s="177"/>
      <c r="T1032" s="177"/>
      <c r="U1032" s="177"/>
      <c r="V1032" s="177"/>
      <c r="W1032" s="177"/>
      <c r="X1032" s="177"/>
      <c r="Y1032" s="159"/>
      <c r="Z1032" s="160"/>
      <c r="AA1032" s="160"/>
      <c r="AB1032" s="160"/>
      <c r="AC1032" s="160"/>
      <c r="AD1032" s="160"/>
      <c r="AE1032" s="160"/>
    </row>
    <row r="1033" spans="1:31" ht="23.4">
      <c r="A1033" s="175"/>
      <c r="B1033" s="142"/>
      <c r="C1033" s="143"/>
      <c r="D1033" s="143"/>
      <c r="E1033" s="143"/>
      <c r="F1033" s="143"/>
      <c r="G1033" s="143"/>
      <c r="H1033" s="143"/>
      <c r="I1033" s="142"/>
      <c r="J1033" s="142"/>
      <c r="K1033" s="143"/>
      <c r="L1033" s="178"/>
      <c r="M1033" s="143"/>
      <c r="N1033" s="143"/>
      <c r="O1033" s="143"/>
      <c r="P1033" s="143"/>
      <c r="Q1033" s="176"/>
      <c r="R1033" s="143"/>
      <c r="S1033" s="177"/>
      <c r="T1033" s="177"/>
      <c r="U1033" s="177"/>
      <c r="V1033" s="177"/>
      <c r="W1033" s="177"/>
      <c r="X1033" s="177"/>
      <c r="Y1033" s="159"/>
      <c r="Z1033" s="160"/>
      <c r="AA1033" s="160"/>
      <c r="AB1033" s="160"/>
      <c r="AC1033" s="160"/>
      <c r="AD1033" s="160"/>
      <c r="AE1033" s="160"/>
    </row>
    <row r="1034" spans="1:31" ht="23.4">
      <c r="A1034" s="175"/>
      <c r="B1034" s="142"/>
      <c r="C1034" s="143"/>
      <c r="D1034" s="143"/>
      <c r="E1034" s="143"/>
      <c r="F1034" s="143"/>
      <c r="G1034" s="143"/>
      <c r="H1034" s="143"/>
      <c r="I1034" s="142"/>
      <c r="J1034" s="142"/>
      <c r="K1034" s="143"/>
      <c r="L1034" s="178"/>
      <c r="M1034" s="143"/>
      <c r="N1034" s="143"/>
      <c r="O1034" s="143"/>
      <c r="P1034" s="143"/>
      <c r="Q1034" s="176"/>
      <c r="R1034" s="143"/>
      <c r="S1034" s="177"/>
      <c r="T1034" s="177"/>
      <c r="U1034" s="177"/>
      <c r="V1034" s="177"/>
      <c r="W1034" s="177"/>
      <c r="X1034" s="177"/>
      <c r="Y1034" s="159"/>
      <c r="Z1034" s="160"/>
      <c r="AA1034" s="160"/>
      <c r="AB1034" s="160"/>
      <c r="AC1034" s="160"/>
      <c r="AD1034" s="160"/>
      <c r="AE1034" s="160"/>
    </row>
    <row r="1035" spans="1:31" ht="23.4">
      <c r="A1035" s="175"/>
      <c r="B1035" s="142"/>
      <c r="C1035" s="143"/>
      <c r="D1035" s="143"/>
      <c r="E1035" s="143"/>
      <c r="F1035" s="143"/>
      <c r="G1035" s="143"/>
      <c r="H1035" s="143"/>
      <c r="I1035" s="142"/>
      <c r="J1035" s="142"/>
      <c r="K1035" s="143"/>
      <c r="L1035" s="178"/>
      <c r="M1035" s="143"/>
      <c r="N1035" s="143"/>
      <c r="O1035" s="143"/>
      <c r="P1035" s="143"/>
      <c r="Q1035" s="176"/>
      <c r="R1035" s="143"/>
      <c r="S1035" s="177"/>
      <c r="T1035" s="177"/>
      <c r="U1035" s="177"/>
      <c r="V1035" s="177"/>
      <c r="W1035" s="177"/>
      <c r="X1035" s="177"/>
      <c r="Y1035" s="159"/>
      <c r="Z1035" s="160"/>
      <c r="AA1035" s="160"/>
      <c r="AB1035" s="160"/>
      <c r="AC1035" s="160"/>
      <c r="AD1035" s="160"/>
      <c r="AE1035" s="160"/>
    </row>
    <row r="1036" spans="1:31" ht="23.4">
      <c r="A1036" s="175"/>
      <c r="B1036" s="142"/>
      <c r="C1036" s="143"/>
      <c r="D1036" s="143"/>
      <c r="E1036" s="143"/>
      <c r="F1036" s="143"/>
      <c r="G1036" s="143"/>
      <c r="H1036" s="143"/>
      <c r="I1036" s="142"/>
      <c r="J1036" s="142"/>
      <c r="K1036" s="143"/>
      <c r="L1036" s="178"/>
      <c r="M1036" s="143"/>
      <c r="N1036" s="143"/>
      <c r="O1036" s="143"/>
      <c r="P1036" s="143"/>
      <c r="Q1036" s="176"/>
      <c r="R1036" s="143"/>
      <c r="S1036" s="177"/>
      <c r="T1036" s="177"/>
      <c r="U1036" s="177"/>
      <c r="V1036" s="177"/>
      <c r="W1036" s="177"/>
      <c r="X1036" s="177"/>
      <c r="Y1036" s="159"/>
      <c r="Z1036" s="160"/>
      <c r="AA1036" s="160"/>
      <c r="AB1036" s="160"/>
      <c r="AC1036" s="160"/>
      <c r="AD1036" s="160"/>
      <c r="AE1036" s="160"/>
    </row>
    <row r="1037" spans="1:31" ht="23.4">
      <c r="A1037" s="175"/>
      <c r="B1037" s="142"/>
      <c r="C1037" s="143"/>
      <c r="D1037" s="143"/>
      <c r="E1037" s="143"/>
      <c r="F1037" s="143"/>
      <c r="G1037" s="143"/>
      <c r="H1037" s="143"/>
      <c r="I1037" s="142"/>
      <c r="J1037" s="142"/>
      <c r="K1037" s="143"/>
      <c r="L1037" s="178"/>
      <c r="M1037" s="143"/>
      <c r="N1037" s="143"/>
      <c r="O1037" s="143"/>
      <c r="P1037" s="143"/>
      <c r="Q1037" s="176"/>
      <c r="R1037" s="143"/>
      <c r="S1037" s="177"/>
      <c r="T1037" s="177"/>
      <c r="U1037" s="177"/>
      <c r="V1037" s="177"/>
      <c r="W1037" s="177"/>
      <c r="X1037" s="177"/>
      <c r="Y1037" s="159"/>
      <c r="Z1037" s="160"/>
      <c r="AA1037" s="160"/>
      <c r="AB1037" s="160"/>
      <c r="AC1037" s="160"/>
      <c r="AD1037" s="160"/>
      <c r="AE1037" s="160"/>
    </row>
    <row r="1038" spans="1:31" ht="23.4">
      <c r="A1038" s="175"/>
      <c r="B1038" s="142"/>
      <c r="C1038" s="143"/>
      <c r="D1038" s="143"/>
      <c r="E1038" s="143"/>
      <c r="F1038" s="143"/>
      <c r="G1038" s="143"/>
      <c r="H1038" s="143"/>
      <c r="I1038" s="142"/>
      <c r="J1038" s="142"/>
      <c r="K1038" s="143"/>
      <c r="L1038" s="178"/>
      <c r="M1038" s="143"/>
      <c r="N1038" s="143"/>
      <c r="O1038" s="143"/>
      <c r="P1038" s="143"/>
      <c r="Q1038" s="176"/>
      <c r="R1038" s="143"/>
      <c r="S1038" s="177"/>
      <c r="T1038" s="177"/>
      <c r="U1038" s="177"/>
      <c r="V1038" s="177"/>
      <c r="W1038" s="177"/>
      <c r="X1038" s="177"/>
      <c r="Y1038" s="159"/>
      <c r="Z1038" s="160"/>
      <c r="AA1038" s="160"/>
      <c r="AB1038" s="160"/>
      <c r="AC1038" s="160"/>
      <c r="AD1038" s="160"/>
      <c r="AE1038" s="160"/>
    </row>
    <row r="1039" spans="1:31" ht="23.4">
      <c r="A1039" s="175"/>
      <c r="B1039" s="142"/>
      <c r="C1039" s="143"/>
      <c r="D1039" s="143"/>
      <c r="E1039" s="143"/>
      <c r="F1039" s="143"/>
      <c r="G1039" s="143"/>
      <c r="H1039" s="143"/>
      <c r="I1039" s="142"/>
      <c r="J1039" s="142"/>
      <c r="K1039" s="143"/>
      <c r="L1039" s="178"/>
      <c r="M1039" s="143"/>
      <c r="N1039" s="143"/>
      <c r="O1039" s="143"/>
      <c r="P1039" s="143"/>
      <c r="Q1039" s="176"/>
      <c r="R1039" s="143"/>
      <c r="S1039" s="177"/>
      <c r="T1039" s="177"/>
      <c r="U1039" s="177"/>
      <c r="V1039" s="177"/>
      <c r="W1039" s="177"/>
      <c r="X1039" s="177"/>
      <c r="Y1039" s="159"/>
      <c r="Z1039" s="160"/>
      <c r="AA1039" s="160"/>
      <c r="AB1039" s="160"/>
      <c r="AC1039" s="160"/>
      <c r="AD1039" s="160"/>
      <c r="AE1039" s="160"/>
    </row>
    <row r="1040" spans="1:31" ht="23.4">
      <c r="A1040" s="175"/>
      <c r="B1040" s="142"/>
      <c r="C1040" s="143"/>
      <c r="D1040" s="143"/>
      <c r="E1040" s="143"/>
      <c r="F1040" s="143"/>
      <c r="G1040" s="143"/>
      <c r="H1040" s="143"/>
      <c r="I1040" s="142"/>
      <c r="J1040" s="142"/>
      <c r="K1040" s="143"/>
      <c r="L1040" s="178"/>
      <c r="M1040" s="143"/>
      <c r="N1040" s="143"/>
      <c r="O1040" s="143"/>
      <c r="P1040" s="143"/>
      <c r="Q1040" s="176"/>
      <c r="R1040" s="143"/>
      <c r="S1040" s="177"/>
      <c r="T1040" s="177"/>
      <c r="U1040" s="177"/>
      <c r="V1040" s="177"/>
      <c r="W1040" s="177"/>
      <c r="X1040" s="177"/>
      <c r="Y1040" s="159"/>
      <c r="Z1040" s="160"/>
      <c r="AA1040" s="160"/>
      <c r="AB1040" s="160"/>
      <c r="AC1040" s="160"/>
      <c r="AD1040" s="160"/>
      <c r="AE1040" s="160"/>
    </row>
    <row r="1041" spans="1:31" ht="23.4">
      <c r="A1041" s="175"/>
      <c r="B1041" s="142"/>
      <c r="C1041" s="143"/>
      <c r="D1041" s="143"/>
      <c r="E1041" s="143"/>
      <c r="F1041" s="143"/>
      <c r="G1041" s="143"/>
      <c r="H1041" s="143"/>
      <c r="I1041" s="142"/>
      <c r="J1041" s="142"/>
      <c r="K1041" s="143"/>
      <c r="L1041" s="178"/>
      <c r="M1041" s="143"/>
      <c r="N1041" s="143"/>
      <c r="O1041" s="143"/>
      <c r="P1041" s="143"/>
      <c r="Q1041" s="176"/>
      <c r="R1041" s="143"/>
      <c r="S1041" s="177"/>
      <c r="T1041" s="177"/>
      <c r="U1041" s="177"/>
      <c r="V1041" s="177"/>
      <c r="W1041" s="177"/>
      <c r="X1041" s="177"/>
      <c r="Y1041" s="159"/>
      <c r="Z1041" s="160"/>
      <c r="AA1041" s="160"/>
      <c r="AB1041" s="160"/>
      <c r="AC1041" s="160"/>
      <c r="AD1041" s="160"/>
      <c r="AE1041" s="160"/>
    </row>
    <row r="1042" spans="1:31" ht="23.4">
      <c r="A1042" s="175"/>
      <c r="B1042" s="142"/>
      <c r="C1042" s="143"/>
      <c r="D1042" s="143"/>
      <c r="E1042" s="143"/>
      <c r="F1042" s="143"/>
      <c r="G1042" s="143"/>
      <c r="H1042" s="143"/>
      <c r="I1042" s="142"/>
      <c r="J1042" s="142"/>
      <c r="K1042" s="143"/>
      <c r="L1042" s="178"/>
      <c r="M1042" s="143"/>
      <c r="N1042" s="143"/>
      <c r="O1042" s="143"/>
      <c r="P1042" s="143"/>
      <c r="Q1042" s="176"/>
      <c r="R1042" s="143"/>
      <c r="S1042" s="177"/>
      <c r="T1042" s="177"/>
      <c r="U1042" s="177"/>
      <c r="V1042" s="177"/>
      <c r="W1042" s="177"/>
      <c r="X1042" s="177"/>
      <c r="Y1042" s="159"/>
      <c r="Z1042" s="160"/>
      <c r="AA1042" s="160"/>
      <c r="AB1042" s="160"/>
      <c r="AC1042" s="160"/>
      <c r="AD1042" s="160"/>
      <c r="AE1042" s="160"/>
    </row>
    <row r="1043" spans="1:31" ht="23.4">
      <c r="A1043" s="175"/>
      <c r="B1043" s="142"/>
      <c r="C1043" s="143"/>
      <c r="D1043" s="143"/>
      <c r="E1043" s="143"/>
      <c r="F1043" s="143"/>
      <c r="G1043" s="143"/>
      <c r="H1043" s="143"/>
      <c r="I1043" s="142"/>
      <c r="J1043" s="142"/>
      <c r="K1043" s="143"/>
      <c r="L1043" s="178"/>
      <c r="M1043" s="143"/>
      <c r="N1043" s="143"/>
      <c r="O1043" s="143"/>
      <c r="P1043" s="143"/>
      <c r="Q1043" s="176"/>
      <c r="R1043" s="143"/>
      <c r="S1043" s="177"/>
      <c r="T1043" s="177"/>
      <c r="U1043" s="177"/>
      <c r="V1043" s="177"/>
      <c r="W1043" s="177"/>
      <c r="X1043" s="177"/>
      <c r="Y1043" s="159"/>
      <c r="Z1043" s="160"/>
      <c r="AA1043" s="160"/>
      <c r="AB1043" s="160"/>
      <c r="AC1043" s="160"/>
      <c r="AD1043" s="160"/>
      <c r="AE1043" s="160"/>
    </row>
    <row r="1044" spans="1:31" ht="23.4">
      <c r="A1044" s="175"/>
      <c r="B1044" s="142"/>
      <c r="C1044" s="143"/>
      <c r="D1044" s="143"/>
      <c r="E1044" s="143"/>
      <c r="F1044" s="143"/>
      <c r="G1044" s="143"/>
      <c r="H1044" s="143"/>
      <c r="I1044" s="142"/>
      <c r="J1044" s="142"/>
      <c r="K1044" s="143"/>
      <c r="L1044" s="178"/>
      <c r="M1044" s="143"/>
      <c r="N1044" s="143"/>
      <c r="O1044" s="143"/>
      <c r="P1044" s="143"/>
      <c r="Q1044" s="176"/>
      <c r="R1044" s="143"/>
      <c r="S1044" s="177"/>
      <c r="T1044" s="177"/>
      <c r="U1044" s="177"/>
      <c r="V1044" s="177"/>
      <c r="W1044" s="177"/>
      <c r="X1044" s="177"/>
      <c r="Y1044" s="159"/>
      <c r="Z1044" s="160"/>
      <c r="AA1044" s="160"/>
      <c r="AB1044" s="160"/>
      <c r="AC1044" s="160"/>
      <c r="AD1044" s="160"/>
      <c r="AE1044" s="160"/>
    </row>
    <row r="1045" spans="1:31" ht="23.4">
      <c r="A1045" s="175"/>
      <c r="B1045" s="142"/>
      <c r="C1045" s="143"/>
      <c r="D1045" s="143"/>
      <c r="E1045" s="143"/>
      <c r="F1045" s="143"/>
      <c r="G1045" s="143"/>
      <c r="H1045" s="143"/>
      <c r="I1045" s="142"/>
      <c r="J1045" s="142"/>
      <c r="K1045" s="143"/>
      <c r="L1045" s="178"/>
      <c r="M1045" s="143"/>
      <c r="N1045" s="143"/>
      <c r="O1045" s="143"/>
      <c r="P1045" s="143"/>
      <c r="Q1045" s="176"/>
      <c r="R1045" s="143"/>
      <c r="S1045" s="177"/>
      <c r="T1045" s="177"/>
      <c r="U1045" s="177"/>
      <c r="V1045" s="177"/>
      <c r="W1045" s="177"/>
      <c r="X1045" s="177"/>
      <c r="Y1045" s="159"/>
      <c r="Z1045" s="160"/>
      <c r="AA1045" s="160"/>
      <c r="AB1045" s="160"/>
      <c r="AC1045" s="160"/>
      <c r="AD1045" s="160"/>
      <c r="AE1045" s="160"/>
    </row>
    <row r="1046" spans="1:31" ht="23.4">
      <c r="A1046" s="175"/>
      <c r="B1046" s="142"/>
      <c r="C1046" s="143"/>
      <c r="D1046" s="143"/>
      <c r="E1046" s="143"/>
      <c r="F1046" s="143"/>
      <c r="G1046" s="143"/>
      <c r="H1046" s="143"/>
      <c r="I1046" s="142"/>
      <c r="J1046" s="142"/>
      <c r="K1046" s="143"/>
      <c r="L1046" s="178"/>
      <c r="M1046" s="143"/>
      <c r="N1046" s="143"/>
      <c r="O1046" s="143"/>
      <c r="P1046" s="143"/>
      <c r="Q1046" s="176"/>
      <c r="R1046" s="143"/>
      <c r="S1046" s="177"/>
      <c r="T1046" s="177"/>
      <c r="U1046" s="177"/>
      <c r="V1046" s="177"/>
      <c r="W1046" s="177"/>
      <c r="X1046" s="177"/>
      <c r="Y1046" s="159"/>
      <c r="Z1046" s="160"/>
      <c r="AA1046" s="160"/>
      <c r="AB1046" s="160"/>
      <c r="AC1046" s="160"/>
      <c r="AD1046" s="160"/>
      <c r="AE1046" s="160"/>
    </row>
    <row r="1047" spans="1:31" ht="23.4">
      <c r="A1047" s="175"/>
      <c r="B1047" s="142"/>
      <c r="C1047" s="143"/>
      <c r="D1047" s="143"/>
      <c r="E1047" s="143"/>
      <c r="F1047" s="143"/>
      <c r="G1047" s="143"/>
      <c r="H1047" s="143"/>
      <c r="I1047" s="142"/>
      <c r="J1047" s="142"/>
      <c r="K1047" s="143"/>
      <c r="L1047" s="178"/>
      <c r="M1047" s="143"/>
      <c r="N1047" s="143"/>
      <c r="O1047" s="143"/>
      <c r="P1047" s="143"/>
      <c r="Q1047" s="176"/>
      <c r="R1047" s="143"/>
      <c r="S1047" s="177"/>
      <c r="T1047" s="177"/>
      <c r="U1047" s="177"/>
      <c r="V1047" s="177"/>
      <c r="W1047" s="177"/>
      <c r="X1047" s="177"/>
      <c r="Y1047" s="159"/>
      <c r="Z1047" s="160"/>
      <c r="AA1047" s="160"/>
      <c r="AB1047" s="160"/>
      <c r="AC1047" s="160"/>
      <c r="AD1047" s="160"/>
      <c r="AE1047" s="160"/>
    </row>
    <row r="1048" spans="1:31" ht="23.4">
      <c r="A1048" s="175"/>
      <c r="B1048" s="142"/>
      <c r="C1048" s="143"/>
      <c r="D1048" s="143"/>
      <c r="E1048" s="143"/>
      <c r="F1048" s="143"/>
      <c r="G1048" s="143"/>
      <c r="H1048" s="143"/>
      <c r="I1048" s="142"/>
      <c r="J1048" s="142"/>
      <c r="K1048" s="143"/>
      <c r="L1048" s="178"/>
      <c r="M1048" s="143"/>
      <c r="N1048" s="143"/>
      <c r="O1048" s="143"/>
      <c r="P1048" s="143"/>
      <c r="Q1048" s="176"/>
      <c r="R1048" s="143"/>
      <c r="S1048" s="177"/>
      <c r="T1048" s="177"/>
      <c r="U1048" s="177"/>
      <c r="V1048" s="177"/>
      <c r="W1048" s="177"/>
      <c r="X1048" s="177"/>
      <c r="Y1048" s="159"/>
      <c r="Z1048" s="160"/>
      <c r="AA1048" s="160"/>
      <c r="AB1048" s="160"/>
      <c r="AC1048" s="160"/>
      <c r="AD1048" s="160"/>
      <c r="AE1048" s="160"/>
    </row>
    <row r="1049" spans="1:31" ht="23.4">
      <c r="A1049" s="175"/>
      <c r="B1049" s="142"/>
      <c r="C1049" s="143"/>
      <c r="D1049" s="143"/>
      <c r="E1049" s="143"/>
      <c r="F1049" s="143"/>
      <c r="G1049" s="143"/>
      <c r="H1049" s="143"/>
      <c r="I1049" s="142"/>
      <c r="J1049" s="142"/>
      <c r="K1049" s="143"/>
      <c r="L1049" s="178"/>
      <c r="M1049" s="143"/>
      <c r="N1049" s="143"/>
      <c r="O1049" s="143"/>
      <c r="P1049" s="143"/>
      <c r="Q1049" s="176"/>
      <c r="R1049" s="143"/>
      <c r="S1049" s="177"/>
      <c r="T1049" s="177"/>
      <c r="U1049" s="177"/>
      <c r="V1049" s="177"/>
      <c r="W1049" s="177"/>
      <c r="X1049" s="177"/>
      <c r="Y1049" s="160"/>
      <c r="Z1049" s="160"/>
      <c r="AA1049" s="160"/>
      <c r="AB1049" s="160"/>
      <c r="AC1049" s="160"/>
      <c r="AD1049" s="160"/>
      <c r="AE1049" s="160"/>
    </row>
    <row r="1050" spans="1:31" ht="23.4">
      <c r="A1050" s="175"/>
      <c r="B1050" s="142"/>
      <c r="C1050" s="143"/>
      <c r="D1050" s="143"/>
      <c r="E1050" s="143"/>
      <c r="F1050" s="143"/>
      <c r="G1050" s="143"/>
      <c r="H1050" s="143"/>
      <c r="I1050" s="142"/>
      <c r="J1050" s="142"/>
      <c r="K1050" s="143"/>
      <c r="L1050" s="178"/>
      <c r="M1050" s="143"/>
      <c r="N1050" s="143"/>
      <c r="O1050" s="143"/>
      <c r="P1050" s="143"/>
      <c r="Q1050" s="176"/>
      <c r="R1050" s="143"/>
      <c r="S1050" s="177"/>
      <c r="T1050" s="177"/>
      <c r="U1050" s="177"/>
      <c r="V1050" s="177"/>
      <c r="W1050" s="177"/>
      <c r="X1050" s="177"/>
      <c r="Y1050" s="160"/>
      <c r="Z1050" s="160"/>
      <c r="AA1050" s="160"/>
      <c r="AB1050" s="160"/>
      <c r="AC1050" s="160"/>
      <c r="AD1050" s="160"/>
      <c r="AE1050" s="160"/>
    </row>
    <row r="1051" spans="1:31" ht="23.4">
      <c r="A1051" s="175"/>
      <c r="B1051" s="142"/>
      <c r="C1051" s="143"/>
      <c r="D1051" s="143"/>
      <c r="E1051" s="143"/>
      <c r="F1051" s="143"/>
      <c r="G1051" s="143"/>
      <c r="H1051" s="143"/>
      <c r="I1051" s="142"/>
      <c r="J1051" s="142"/>
      <c r="K1051" s="143"/>
      <c r="L1051" s="178"/>
      <c r="M1051" s="143"/>
      <c r="N1051" s="143"/>
      <c r="O1051" s="143"/>
      <c r="P1051" s="143"/>
      <c r="Q1051" s="176"/>
      <c r="R1051" s="143"/>
      <c r="S1051" s="177"/>
      <c r="T1051" s="177"/>
      <c r="U1051" s="177"/>
      <c r="V1051" s="177"/>
      <c r="W1051" s="177"/>
      <c r="X1051" s="177"/>
      <c r="Y1051" s="160"/>
      <c r="Z1051" s="160"/>
      <c r="AA1051" s="160"/>
      <c r="AB1051" s="160"/>
      <c r="AC1051" s="160"/>
      <c r="AD1051" s="160"/>
      <c r="AE1051" s="160"/>
    </row>
    <row r="1052" spans="1:31" ht="23.4">
      <c r="A1052" s="175"/>
      <c r="B1052" s="142"/>
      <c r="C1052" s="143"/>
      <c r="D1052" s="143"/>
      <c r="E1052" s="143"/>
      <c r="F1052" s="143"/>
      <c r="G1052" s="143"/>
      <c r="H1052" s="143"/>
      <c r="I1052" s="142"/>
      <c r="J1052" s="142"/>
      <c r="K1052" s="143"/>
      <c r="L1052" s="178"/>
      <c r="M1052" s="143"/>
      <c r="N1052" s="143"/>
      <c r="O1052" s="143"/>
      <c r="P1052" s="143"/>
      <c r="Q1052" s="176"/>
      <c r="R1052" s="143"/>
      <c r="S1052" s="177"/>
      <c r="T1052" s="177"/>
      <c r="U1052" s="177"/>
      <c r="V1052" s="177"/>
      <c r="W1052" s="177"/>
      <c r="X1052" s="177"/>
      <c r="Y1052" s="160"/>
      <c r="Z1052" s="160"/>
      <c r="AA1052" s="160"/>
      <c r="AB1052" s="160"/>
      <c r="AC1052" s="160"/>
      <c r="AD1052" s="160"/>
      <c r="AE1052" s="160"/>
    </row>
    <row r="1053" spans="1:31" ht="23.4">
      <c r="A1053" s="175"/>
      <c r="B1053" s="142"/>
      <c r="C1053" s="143"/>
      <c r="D1053" s="143"/>
      <c r="E1053" s="143"/>
      <c r="F1053" s="143"/>
      <c r="G1053" s="143"/>
      <c r="H1053" s="143"/>
      <c r="I1053" s="142"/>
      <c r="J1053" s="142"/>
      <c r="K1053" s="143"/>
      <c r="L1053" s="178"/>
      <c r="M1053" s="143"/>
      <c r="N1053" s="143"/>
      <c r="O1053" s="143"/>
      <c r="P1053" s="143"/>
      <c r="Q1053" s="176"/>
      <c r="R1053" s="143"/>
      <c r="S1053" s="177"/>
      <c r="T1053" s="177"/>
      <c r="U1053" s="177"/>
      <c r="V1053" s="177"/>
      <c r="W1053" s="177"/>
      <c r="X1053" s="177"/>
      <c r="Y1053" s="160"/>
      <c r="Z1053" s="160"/>
      <c r="AA1053" s="160"/>
      <c r="AB1053" s="160"/>
      <c r="AC1053" s="160"/>
      <c r="AD1053" s="160"/>
      <c r="AE1053" s="160"/>
    </row>
    <row r="1054" spans="1:31" ht="23.4">
      <c r="A1054" s="175"/>
      <c r="B1054" s="142"/>
      <c r="C1054" s="143"/>
      <c r="D1054" s="143"/>
      <c r="E1054" s="143"/>
      <c r="F1054" s="143"/>
      <c r="G1054" s="143"/>
      <c r="H1054" s="143"/>
      <c r="I1054" s="142"/>
      <c r="J1054" s="142"/>
      <c r="K1054" s="143"/>
      <c r="L1054" s="178"/>
      <c r="M1054" s="143"/>
      <c r="N1054" s="143"/>
      <c r="O1054" s="143"/>
      <c r="P1054" s="143"/>
      <c r="Q1054" s="176"/>
      <c r="R1054" s="143"/>
      <c r="S1054" s="177"/>
      <c r="T1054" s="177"/>
      <c r="U1054" s="177"/>
      <c r="V1054" s="177"/>
      <c r="W1054" s="177"/>
      <c r="X1054" s="177"/>
      <c r="Y1054" s="160"/>
      <c r="Z1054" s="160"/>
      <c r="AA1054" s="160"/>
      <c r="AB1054" s="160"/>
      <c r="AC1054" s="160"/>
      <c r="AD1054" s="160"/>
      <c r="AE1054" s="160"/>
    </row>
    <row r="1055" spans="1:31" ht="23.4">
      <c r="A1055" s="175"/>
      <c r="B1055" s="142"/>
      <c r="C1055" s="143"/>
      <c r="D1055" s="143"/>
      <c r="E1055" s="143"/>
      <c r="F1055" s="143"/>
      <c r="G1055" s="143"/>
      <c r="H1055" s="143"/>
      <c r="I1055" s="142"/>
      <c r="J1055" s="142"/>
      <c r="K1055" s="143"/>
      <c r="L1055" s="178"/>
      <c r="M1055" s="143"/>
      <c r="N1055" s="143"/>
      <c r="O1055" s="143"/>
      <c r="P1055" s="143"/>
      <c r="Q1055" s="176"/>
      <c r="R1055" s="143"/>
      <c r="S1055" s="177"/>
      <c r="T1055" s="177"/>
      <c r="U1055" s="177"/>
      <c r="V1055" s="177"/>
      <c r="W1055" s="177"/>
      <c r="X1055" s="177"/>
      <c r="Y1055" s="160"/>
      <c r="Z1055" s="160"/>
      <c r="AA1055" s="160"/>
      <c r="AB1055" s="160"/>
      <c r="AC1055" s="160"/>
      <c r="AD1055" s="160"/>
      <c r="AE1055" s="160"/>
    </row>
    <row r="1056" spans="1:31" ht="23.4">
      <c r="A1056" s="175"/>
      <c r="B1056" s="142"/>
      <c r="C1056" s="143"/>
      <c r="D1056" s="143"/>
      <c r="E1056" s="143"/>
      <c r="F1056" s="143"/>
      <c r="G1056" s="143"/>
      <c r="H1056" s="143"/>
      <c r="I1056" s="142"/>
      <c r="J1056" s="142"/>
      <c r="K1056" s="143"/>
      <c r="L1056" s="178"/>
      <c r="M1056" s="143"/>
      <c r="N1056" s="143"/>
      <c r="O1056" s="143"/>
      <c r="P1056" s="143"/>
      <c r="Q1056" s="176"/>
      <c r="R1056" s="143"/>
      <c r="S1056" s="177"/>
      <c r="T1056" s="177"/>
      <c r="U1056" s="177"/>
      <c r="V1056" s="177"/>
      <c r="W1056" s="177"/>
      <c r="X1056" s="177"/>
      <c r="Y1056" s="160"/>
      <c r="Z1056" s="160"/>
      <c r="AA1056" s="160"/>
      <c r="AB1056" s="160"/>
      <c r="AC1056" s="160"/>
      <c r="AD1056" s="160"/>
      <c r="AE1056" s="160"/>
    </row>
    <row r="1057" spans="1:31" ht="23.4">
      <c r="A1057" s="175"/>
      <c r="B1057" s="142"/>
      <c r="C1057" s="143"/>
      <c r="D1057" s="143"/>
      <c r="E1057" s="143"/>
      <c r="F1057" s="143"/>
      <c r="G1057" s="143"/>
      <c r="H1057" s="143"/>
      <c r="I1057" s="142"/>
      <c r="J1057" s="142"/>
      <c r="K1057" s="143"/>
      <c r="L1057" s="178"/>
      <c r="M1057" s="143"/>
      <c r="N1057" s="143"/>
      <c r="O1057" s="143"/>
      <c r="P1057" s="143"/>
      <c r="Q1057" s="176"/>
      <c r="R1057" s="143"/>
      <c r="S1057" s="177"/>
      <c r="T1057" s="177"/>
      <c r="U1057" s="177"/>
      <c r="V1057" s="177"/>
      <c r="W1057" s="177"/>
      <c r="X1057" s="177"/>
      <c r="Y1057" s="160"/>
      <c r="Z1057" s="160"/>
      <c r="AA1057" s="160"/>
      <c r="AB1057" s="160"/>
      <c r="AC1057" s="160"/>
      <c r="AD1057" s="160"/>
      <c r="AE1057" s="160"/>
    </row>
    <row r="1058" spans="1:31" ht="23.4">
      <c r="A1058" s="175"/>
      <c r="B1058" s="142"/>
      <c r="C1058" s="143"/>
      <c r="D1058" s="143"/>
      <c r="E1058" s="143"/>
      <c r="F1058" s="143"/>
      <c r="G1058" s="143"/>
      <c r="H1058" s="143"/>
      <c r="I1058" s="142"/>
      <c r="J1058" s="142"/>
      <c r="K1058" s="143"/>
      <c r="L1058" s="178"/>
      <c r="M1058" s="143"/>
      <c r="N1058" s="143"/>
      <c r="O1058" s="143"/>
      <c r="P1058" s="143"/>
      <c r="Q1058" s="176"/>
      <c r="R1058" s="143"/>
      <c r="S1058" s="177"/>
      <c r="T1058" s="177"/>
      <c r="U1058" s="177"/>
      <c r="V1058" s="177"/>
      <c r="W1058" s="177"/>
      <c r="X1058" s="177"/>
      <c r="Y1058" s="160"/>
      <c r="Z1058" s="160"/>
      <c r="AA1058" s="160"/>
      <c r="AB1058" s="160"/>
      <c r="AC1058" s="160"/>
      <c r="AD1058" s="160"/>
      <c r="AE1058" s="160"/>
    </row>
    <row r="1059" spans="1:31" ht="23.4">
      <c r="A1059" s="175"/>
      <c r="B1059" s="142"/>
      <c r="C1059" s="143"/>
      <c r="D1059" s="143"/>
      <c r="E1059" s="143"/>
      <c r="F1059" s="143"/>
      <c r="G1059" s="143"/>
      <c r="H1059" s="143"/>
      <c r="I1059" s="142"/>
      <c r="J1059" s="142"/>
      <c r="K1059" s="143"/>
      <c r="L1059" s="178"/>
      <c r="M1059" s="143"/>
      <c r="N1059" s="143"/>
      <c r="O1059" s="143"/>
      <c r="P1059" s="143"/>
      <c r="Q1059" s="176"/>
      <c r="R1059" s="143"/>
      <c r="S1059" s="177"/>
      <c r="T1059" s="177"/>
      <c r="U1059" s="177"/>
      <c r="V1059" s="177"/>
      <c r="W1059" s="177"/>
      <c r="X1059" s="177"/>
      <c r="Y1059" s="160"/>
      <c r="Z1059" s="160"/>
      <c r="AA1059" s="160"/>
      <c r="AB1059" s="160"/>
      <c r="AC1059" s="160"/>
      <c r="AD1059" s="160"/>
      <c r="AE1059" s="160"/>
    </row>
    <row r="1060" spans="1:31" ht="23.4">
      <c r="A1060" s="175"/>
      <c r="B1060" s="142"/>
      <c r="C1060" s="143"/>
      <c r="D1060" s="143"/>
      <c r="E1060" s="143"/>
      <c r="F1060" s="143"/>
      <c r="G1060" s="143"/>
      <c r="H1060" s="143"/>
      <c r="I1060" s="142"/>
      <c r="J1060" s="142"/>
      <c r="K1060" s="143"/>
      <c r="L1060" s="178"/>
      <c r="M1060" s="143"/>
      <c r="N1060" s="143"/>
      <c r="O1060" s="143"/>
      <c r="P1060" s="143"/>
      <c r="Q1060" s="176"/>
      <c r="R1060" s="143"/>
      <c r="S1060" s="177"/>
      <c r="T1060" s="177"/>
      <c r="U1060" s="177"/>
      <c r="V1060" s="177"/>
      <c r="W1060" s="177"/>
      <c r="X1060" s="177"/>
      <c r="Y1060" s="160"/>
      <c r="Z1060" s="160"/>
      <c r="AA1060" s="160"/>
      <c r="AB1060" s="160"/>
      <c r="AC1060" s="160"/>
      <c r="AD1060" s="160"/>
      <c r="AE1060" s="160"/>
    </row>
    <row r="1061" spans="1:31" ht="23.4">
      <c r="A1061" s="175"/>
      <c r="B1061" s="142"/>
      <c r="C1061" s="143"/>
      <c r="D1061" s="143"/>
      <c r="E1061" s="143"/>
      <c r="F1061" s="143"/>
      <c r="G1061" s="143"/>
      <c r="H1061" s="143"/>
      <c r="I1061" s="142"/>
      <c r="J1061" s="142"/>
      <c r="K1061" s="143"/>
      <c r="L1061" s="178"/>
      <c r="M1061" s="143"/>
      <c r="N1061" s="143"/>
      <c r="O1061" s="143"/>
      <c r="P1061" s="143"/>
      <c r="Q1061" s="176"/>
      <c r="R1061" s="143"/>
      <c r="S1061" s="177"/>
      <c r="T1061" s="177"/>
      <c r="U1061" s="177"/>
      <c r="V1061" s="177"/>
      <c r="W1061" s="177"/>
      <c r="X1061" s="177"/>
      <c r="Y1061" s="160"/>
      <c r="Z1061" s="160"/>
      <c r="AA1061" s="160"/>
      <c r="AB1061" s="160"/>
      <c r="AC1061" s="160"/>
      <c r="AD1061" s="160"/>
      <c r="AE1061" s="160"/>
    </row>
    <row r="1062" spans="1:31" ht="23.4">
      <c r="A1062" s="175"/>
      <c r="B1062" s="142"/>
      <c r="C1062" s="143"/>
      <c r="D1062" s="143"/>
      <c r="E1062" s="143"/>
      <c r="F1062" s="143"/>
      <c r="G1062" s="143"/>
      <c r="H1062" s="143"/>
      <c r="I1062" s="142"/>
      <c r="J1062" s="142"/>
      <c r="K1062" s="143"/>
      <c r="L1062" s="178"/>
      <c r="M1062" s="143"/>
      <c r="N1062" s="143"/>
      <c r="O1062" s="143"/>
      <c r="P1062" s="143"/>
      <c r="Q1062" s="176"/>
      <c r="R1062" s="143"/>
      <c r="S1062" s="177"/>
      <c r="T1062" s="177"/>
      <c r="U1062" s="177"/>
      <c r="V1062" s="177"/>
      <c r="W1062" s="177"/>
      <c r="X1062" s="177"/>
      <c r="Y1062" s="160"/>
      <c r="Z1062" s="160"/>
      <c r="AA1062" s="160"/>
      <c r="AB1062" s="160"/>
      <c r="AC1062" s="160"/>
      <c r="AD1062" s="160"/>
      <c r="AE1062" s="160"/>
    </row>
    <row r="1063" spans="1:31" ht="23.4">
      <c r="A1063" s="175"/>
      <c r="B1063" s="142"/>
      <c r="C1063" s="143"/>
      <c r="D1063" s="143"/>
      <c r="E1063" s="143"/>
      <c r="F1063" s="143"/>
      <c r="G1063" s="143"/>
      <c r="H1063" s="143"/>
      <c r="I1063" s="142"/>
      <c r="J1063" s="142"/>
      <c r="K1063" s="143"/>
      <c r="L1063" s="178"/>
      <c r="M1063" s="143"/>
      <c r="N1063" s="143"/>
      <c r="O1063" s="143"/>
      <c r="P1063" s="143"/>
      <c r="Q1063" s="176"/>
      <c r="R1063" s="143"/>
      <c r="S1063" s="177"/>
      <c r="T1063" s="177"/>
      <c r="U1063" s="177"/>
      <c r="V1063" s="177"/>
      <c r="W1063" s="177"/>
      <c r="X1063" s="177"/>
      <c r="Y1063" s="160"/>
      <c r="Z1063" s="160"/>
      <c r="AA1063" s="160"/>
      <c r="AB1063" s="160"/>
      <c r="AC1063" s="160"/>
      <c r="AD1063" s="160"/>
      <c r="AE1063" s="160"/>
    </row>
    <row r="1064" spans="1:31" ht="23.4">
      <c r="A1064" s="175"/>
      <c r="B1064" s="142"/>
      <c r="C1064" s="143"/>
      <c r="D1064" s="143"/>
      <c r="E1064" s="143"/>
      <c r="F1064" s="143"/>
      <c r="G1064" s="143"/>
      <c r="H1064" s="143"/>
      <c r="I1064" s="142"/>
      <c r="J1064" s="142"/>
      <c r="K1064" s="143"/>
      <c r="L1064" s="178"/>
      <c r="M1064" s="143"/>
      <c r="N1064" s="143"/>
      <c r="O1064" s="143"/>
      <c r="P1064" s="143"/>
      <c r="Q1064" s="176"/>
      <c r="R1064" s="143"/>
      <c r="S1064" s="177"/>
      <c r="T1064" s="177"/>
      <c r="U1064" s="177"/>
      <c r="V1064" s="177"/>
      <c r="W1064" s="177"/>
      <c r="X1064" s="177"/>
      <c r="Y1064" s="160"/>
      <c r="Z1064" s="160"/>
      <c r="AA1064" s="160"/>
      <c r="AB1064" s="160"/>
      <c r="AC1064" s="160"/>
      <c r="AD1064" s="160"/>
      <c r="AE1064" s="160"/>
    </row>
    <row r="1065" spans="1:31" ht="18">
      <c r="A1065" s="179"/>
      <c r="B1065" s="180"/>
      <c r="C1065" s="181"/>
      <c r="D1065" s="181"/>
      <c r="E1065" s="181"/>
      <c r="F1065" s="181"/>
      <c r="G1065" s="181"/>
      <c r="H1065" s="181"/>
      <c r="I1065" s="180"/>
      <c r="J1065" s="180"/>
      <c r="K1065" s="181"/>
      <c r="L1065" s="182"/>
      <c r="M1065" s="181"/>
      <c r="N1065" s="181"/>
      <c r="O1065" s="181"/>
      <c r="P1065" s="181"/>
      <c r="Q1065" s="183"/>
      <c r="R1065" s="181"/>
      <c r="S1065" s="184"/>
      <c r="T1065" s="184"/>
      <c r="U1065" s="184"/>
      <c r="V1065" s="184"/>
      <c r="W1065" s="184"/>
      <c r="X1065" s="184"/>
      <c r="Y1065" s="160"/>
      <c r="Z1065" s="160"/>
      <c r="AA1065" s="160"/>
      <c r="AB1065" s="160"/>
      <c r="AC1065" s="160"/>
      <c r="AD1065" s="160"/>
      <c r="AE1065" s="160"/>
    </row>
    <row r="1066" spans="1:31" ht="18">
      <c r="A1066" s="179"/>
      <c r="B1066" s="180"/>
      <c r="C1066" s="181"/>
      <c r="D1066" s="181"/>
      <c r="E1066" s="181"/>
      <c r="F1066" s="181"/>
      <c r="G1066" s="181"/>
      <c r="H1066" s="181"/>
      <c r="I1066" s="180"/>
      <c r="J1066" s="180"/>
      <c r="K1066" s="181"/>
      <c r="L1066" s="182"/>
      <c r="M1066" s="181"/>
      <c r="N1066" s="181"/>
      <c r="O1066" s="181"/>
      <c r="P1066" s="181"/>
      <c r="Q1066" s="183"/>
      <c r="R1066" s="181"/>
      <c r="S1066" s="184"/>
      <c r="T1066" s="184"/>
      <c r="U1066" s="184"/>
      <c r="V1066" s="184"/>
      <c r="W1066" s="184"/>
      <c r="X1066" s="184"/>
      <c r="Y1066" s="160"/>
      <c r="Z1066" s="160"/>
      <c r="AA1066" s="160"/>
      <c r="AB1066" s="160"/>
      <c r="AC1066" s="160"/>
      <c r="AD1066" s="160"/>
      <c r="AE1066" s="160"/>
    </row>
    <row r="1067" spans="1:31" ht="18">
      <c r="A1067" s="179"/>
      <c r="B1067" s="180"/>
      <c r="C1067" s="181"/>
      <c r="D1067" s="181"/>
      <c r="E1067" s="181"/>
      <c r="F1067" s="181"/>
      <c r="G1067" s="181"/>
      <c r="H1067" s="181"/>
      <c r="I1067" s="180"/>
      <c r="J1067" s="180"/>
      <c r="K1067" s="181"/>
      <c r="L1067" s="182"/>
      <c r="M1067" s="181"/>
      <c r="N1067" s="181"/>
      <c r="O1067" s="181"/>
      <c r="P1067" s="181"/>
      <c r="Q1067" s="183"/>
      <c r="R1067" s="181"/>
      <c r="S1067" s="184"/>
      <c r="T1067" s="184"/>
      <c r="U1067" s="184"/>
      <c r="V1067" s="184"/>
      <c r="W1067" s="184"/>
      <c r="X1067" s="184"/>
      <c r="Y1067" s="160"/>
      <c r="Z1067" s="160"/>
      <c r="AA1067" s="160"/>
      <c r="AB1067" s="160"/>
      <c r="AC1067" s="160"/>
      <c r="AD1067" s="160"/>
      <c r="AE1067" s="160"/>
    </row>
    <row r="1068" spans="1:31" ht="18">
      <c r="A1068" s="179"/>
      <c r="B1068" s="180"/>
      <c r="C1068" s="181"/>
      <c r="D1068" s="181"/>
      <c r="E1068" s="181"/>
      <c r="F1068" s="181"/>
      <c r="G1068" s="181"/>
      <c r="H1068" s="181"/>
      <c r="I1068" s="180"/>
      <c r="J1068" s="180"/>
      <c r="K1068" s="181"/>
      <c r="L1068" s="182"/>
      <c r="M1068" s="181"/>
      <c r="N1068" s="181"/>
      <c r="O1068" s="181"/>
      <c r="P1068" s="181"/>
      <c r="Q1068" s="183"/>
      <c r="R1068" s="181"/>
      <c r="S1068" s="184"/>
      <c r="T1068" s="184"/>
      <c r="U1068" s="184"/>
      <c r="V1068" s="184"/>
      <c r="W1068" s="184"/>
      <c r="X1068" s="184"/>
      <c r="Y1068" s="160"/>
      <c r="Z1068" s="160"/>
      <c r="AA1068" s="160"/>
      <c r="AB1068" s="160"/>
      <c r="AC1068" s="160"/>
      <c r="AD1068" s="160"/>
      <c r="AE1068" s="160"/>
    </row>
    <row r="1069" spans="1:31" ht="18">
      <c r="A1069" s="179"/>
      <c r="B1069" s="180"/>
      <c r="C1069" s="181"/>
      <c r="D1069" s="181"/>
      <c r="E1069" s="181"/>
      <c r="F1069" s="181"/>
      <c r="G1069" s="181"/>
      <c r="H1069" s="181"/>
      <c r="I1069" s="180"/>
      <c r="J1069" s="180"/>
      <c r="K1069" s="181"/>
      <c r="L1069" s="182"/>
      <c r="M1069" s="181"/>
      <c r="N1069" s="181"/>
      <c r="O1069" s="181"/>
      <c r="P1069" s="181"/>
      <c r="Q1069" s="183"/>
      <c r="R1069" s="181"/>
      <c r="S1069" s="184"/>
      <c r="T1069" s="184"/>
      <c r="U1069" s="184"/>
      <c r="V1069" s="184"/>
      <c r="W1069" s="184"/>
      <c r="X1069" s="184"/>
      <c r="Y1069" s="160"/>
      <c r="Z1069" s="160"/>
      <c r="AA1069" s="160"/>
      <c r="AB1069" s="160"/>
      <c r="AC1069" s="160"/>
      <c r="AD1069" s="160"/>
      <c r="AE1069" s="160"/>
    </row>
    <row r="1070" spans="1:31" ht="18">
      <c r="A1070" s="179"/>
      <c r="B1070" s="180"/>
      <c r="C1070" s="181"/>
      <c r="D1070" s="181"/>
      <c r="E1070" s="181"/>
      <c r="F1070" s="181"/>
      <c r="G1070" s="181"/>
      <c r="H1070" s="181"/>
      <c r="I1070" s="180"/>
      <c r="J1070" s="180"/>
      <c r="K1070" s="181"/>
      <c r="L1070" s="182"/>
      <c r="M1070" s="181"/>
      <c r="N1070" s="181"/>
      <c r="O1070" s="181"/>
      <c r="P1070" s="181"/>
      <c r="Q1070" s="183"/>
      <c r="R1070" s="181"/>
      <c r="S1070" s="184"/>
      <c r="T1070" s="184"/>
      <c r="U1070" s="184"/>
      <c r="V1070" s="184"/>
      <c r="W1070" s="184"/>
      <c r="X1070" s="184"/>
      <c r="Y1070" s="160"/>
      <c r="Z1070" s="160"/>
      <c r="AA1070" s="160"/>
      <c r="AB1070" s="160"/>
      <c r="AC1070" s="160"/>
      <c r="AD1070" s="160"/>
      <c r="AE1070" s="160"/>
    </row>
    <row r="1071" spans="1:31" ht="18">
      <c r="A1071" s="179"/>
      <c r="B1071" s="180"/>
      <c r="C1071" s="181"/>
      <c r="D1071" s="181"/>
      <c r="E1071" s="181"/>
      <c r="F1071" s="181"/>
      <c r="G1071" s="181"/>
      <c r="H1071" s="181"/>
      <c r="I1071" s="180"/>
      <c r="J1071" s="180"/>
      <c r="K1071" s="181"/>
      <c r="L1071" s="182"/>
      <c r="M1071" s="181"/>
      <c r="N1071" s="181"/>
      <c r="O1071" s="181"/>
      <c r="P1071" s="181"/>
      <c r="Q1071" s="183"/>
      <c r="R1071" s="181"/>
      <c r="S1071" s="184"/>
      <c r="T1071" s="184"/>
      <c r="U1071" s="184"/>
      <c r="V1071" s="184"/>
      <c r="W1071" s="184"/>
      <c r="X1071" s="184"/>
      <c r="Y1071" s="160"/>
      <c r="Z1071" s="160"/>
      <c r="AA1071" s="160"/>
      <c r="AB1071" s="160"/>
      <c r="AC1071" s="160"/>
      <c r="AD1071" s="160"/>
      <c r="AE1071" s="160"/>
    </row>
    <row r="1072" spans="1:31" ht="18">
      <c r="A1072" s="179"/>
      <c r="B1072" s="180"/>
      <c r="C1072" s="181"/>
      <c r="D1072" s="181"/>
      <c r="E1072" s="181"/>
      <c r="F1072" s="181"/>
      <c r="G1072" s="181"/>
      <c r="H1072" s="181"/>
      <c r="I1072" s="180"/>
      <c r="J1072" s="180"/>
      <c r="K1072" s="181"/>
      <c r="L1072" s="182"/>
      <c r="M1072" s="181"/>
      <c r="N1072" s="181"/>
      <c r="O1072" s="181"/>
      <c r="P1072" s="181"/>
      <c r="Q1072" s="183"/>
      <c r="R1072" s="181"/>
      <c r="S1072" s="184"/>
      <c r="T1072" s="184"/>
      <c r="U1072" s="184"/>
      <c r="V1072" s="184"/>
      <c r="W1072" s="184"/>
      <c r="X1072" s="184"/>
      <c r="Y1072" s="160"/>
      <c r="Z1072" s="160"/>
      <c r="AA1072" s="160"/>
      <c r="AB1072" s="160"/>
      <c r="AC1072" s="160"/>
      <c r="AD1072" s="160"/>
      <c r="AE1072" s="160"/>
    </row>
    <row r="1073" spans="1:31" ht="18">
      <c r="A1073" s="179"/>
      <c r="B1073" s="180"/>
      <c r="C1073" s="181"/>
      <c r="D1073" s="181"/>
      <c r="E1073" s="181"/>
      <c r="F1073" s="181"/>
      <c r="G1073" s="181"/>
      <c r="H1073" s="181"/>
      <c r="I1073" s="180"/>
      <c r="J1073" s="180"/>
      <c r="K1073" s="181"/>
      <c r="L1073" s="182"/>
      <c r="M1073" s="181"/>
      <c r="N1073" s="181"/>
      <c r="O1073" s="181"/>
      <c r="P1073" s="181"/>
      <c r="Q1073" s="183"/>
      <c r="R1073" s="181"/>
      <c r="S1073" s="184"/>
      <c r="T1073" s="184"/>
      <c r="U1073" s="184"/>
      <c r="V1073" s="184"/>
      <c r="W1073" s="184"/>
      <c r="X1073" s="184"/>
      <c r="Y1073" s="160"/>
      <c r="Z1073" s="160"/>
      <c r="AA1073" s="160"/>
      <c r="AB1073" s="160"/>
      <c r="AC1073" s="160"/>
      <c r="AD1073" s="160"/>
      <c r="AE1073" s="160"/>
    </row>
    <row r="1074" spans="1:31" ht="18">
      <c r="A1074" s="179"/>
      <c r="B1074" s="180"/>
      <c r="C1074" s="181"/>
      <c r="D1074" s="181"/>
      <c r="E1074" s="181"/>
      <c r="F1074" s="181"/>
      <c r="G1074" s="181"/>
      <c r="H1074" s="181"/>
      <c r="I1074" s="180"/>
      <c r="J1074" s="180"/>
      <c r="K1074" s="181"/>
      <c r="L1074" s="182"/>
      <c r="M1074" s="181"/>
      <c r="N1074" s="181"/>
      <c r="O1074" s="181"/>
      <c r="P1074" s="181"/>
      <c r="Q1074" s="183"/>
      <c r="R1074" s="181"/>
      <c r="S1074" s="184"/>
      <c r="T1074" s="184"/>
      <c r="U1074" s="184"/>
      <c r="V1074" s="184"/>
      <c r="W1074" s="184"/>
      <c r="X1074" s="184"/>
      <c r="Y1074" s="160"/>
      <c r="Z1074" s="160"/>
      <c r="AA1074" s="160"/>
      <c r="AB1074" s="160"/>
      <c r="AC1074" s="160"/>
      <c r="AD1074" s="160"/>
      <c r="AE1074" s="160"/>
    </row>
    <row r="1075" spans="1:31" ht="18">
      <c r="A1075" s="179"/>
      <c r="B1075" s="180"/>
      <c r="C1075" s="181"/>
      <c r="D1075" s="181"/>
      <c r="E1075" s="181"/>
      <c r="F1075" s="181"/>
      <c r="G1075" s="181"/>
      <c r="H1075" s="181"/>
      <c r="I1075" s="180"/>
      <c r="J1075" s="180"/>
      <c r="K1075" s="181"/>
      <c r="L1075" s="182"/>
      <c r="M1075" s="181"/>
      <c r="N1075" s="181"/>
      <c r="O1075" s="181"/>
      <c r="P1075" s="181"/>
      <c r="Q1075" s="183"/>
      <c r="R1075" s="181"/>
      <c r="S1075" s="185"/>
      <c r="T1075" s="185"/>
      <c r="U1075" s="185"/>
      <c r="V1075" s="185"/>
      <c r="W1075" s="185"/>
      <c r="X1075" s="185"/>
      <c r="Y1075" s="160"/>
      <c r="Z1075" s="160"/>
      <c r="AA1075" s="160"/>
      <c r="AB1075" s="160"/>
      <c r="AC1075" s="160"/>
      <c r="AD1075" s="160"/>
      <c r="AE1075" s="160"/>
    </row>
    <row r="1076" spans="1:31" ht="18">
      <c r="A1076" s="179"/>
      <c r="B1076" s="180"/>
      <c r="C1076" s="181"/>
      <c r="D1076" s="181"/>
      <c r="E1076" s="181"/>
      <c r="F1076" s="181"/>
      <c r="G1076" s="181"/>
      <c r="H1076" s="181"/>
      <c r="I1076" s="180"/>
      <c r="J1076" s="180"/>
      <c r="K1076" s="181"/>
      <c r="L1076" s="182"/>
      <c r="M1076" s="181"/>
      <c r="N1076" s="181"/>
      <c r="O1076" s="181"/>
      <c r="P1076" s="181"/>
      <c r="Q1076" s="183"/>
      <c r="R1076" s="181"/>
      <c r="S1076" s="185"/>
      <c r="T1076" s="185"/>
      <c r="U1076" s="185"/>
      <c r="V1076" s="185"/>
      <c r="W1076" s="185"/>
      <c r="X1076" s="185"/>
      <c r="Y1076" s="160"/>
      <c r="Z1076" s="160"/>
      <c r="AA1076" s="160"/>
      <c r="AB1076" s="160"/>
      <c r="AC1076" s="160"/>
      <c r="AD1076" s="160"/>
      <c r="AE1076" s="160"/>
    </row>
    <row r="1077" spans="1:31" ht="18">
      <c r="A1077" s="179"/>
      <c r="B1077" s="180"/>
      <c r="C1077" s="181"/>
      <c r="D1077" s="181"/>
      <c r="E1077" s="181"/>
      <c r="F1077" s="181"/>
      <c r="G1077" s="181"/>
      <c r="H1077" s="181"/>
      <c r="I1077" s="180"/>
      <c r="J1077" s="180"/>
      <c r="K1077" s="181"/>
      <c r="L1077" s="182"/>
      <c r="M1077" s="181"/>
      <c r="N1077" s="181"/>
      <c r="O1077" s="181"/>
      <c r="P1077" s="181"/>
      <c r="Q1077" s="183"/>
      <c r="R1077" s="181"/>
      <c r="S1077" s="185"/>
      <c r="T1077" s="185"/>
      <c r="U1077" s="185"/>
      <c r="V1077" s="185"/>
      <c r="W1077" s="185"/>
      <c r="X1077" s="185"/>
      <c r="Y1077" s="160"/>
      <c r="Z1077" s="160"/>
      <c r="AA1077" s="160"/>
      <c r="AB1077" s="160"/>
      <c r="AC1077" s="160"/>
      <c r="AD1077" s="160"/>
      <c r="AE1077" s="160"/>
    </row>
    <row r="1078" spans="1:31" ht="18">
      <c r="A1078" s="179"/>
      <c r="B1078" s="180"/>
      <c r="C1078" s="181"/>
      <c r="D1078" s="181"/>
      <c r="E1078" s="181"/>
      <c r="F1078" s="181"/>
      <c r="G1078" s="181"/>
      <c r="H1078" s="181"/>
      <c r="I1078" s="180"/>
      <c r="J1078" s="180"/>
      <c r="K1078" s="181"/>
      <c r="L1078" s="182"/>
      <c r="M1078" s="181"/>
      <c r="N1078" s="181"/>
      <c r="O1078" s="181"/>
      <c r="P1078" s="181"/>
      <c r="Q1078" s="183"/>
      <c r="R1078" s="181"/>
      <c r="S1078" s="185"/>
      <c r="T1078" s="185"/>
      <c r="U1078" s="185"/>
      <c r="V1078" s="185"/>
      <c r="W1078" s="185"/>
      <c r="X1078" s="185"/>
      <c r="Y1078" s="160"/>
      <c r="Z1078" s="160"/>
      <c r="AA1078" s="160"/>
      <c r="AB1078" s="160"/>
      <c r="AC1078" s="160"/>
      <c r="AD1078" s="160"/>
      <c r="AE1078" s="160"/>
    </row>
    <row r="1079" spans="1:31" ht="18">
      <c r="A1079" s="179"/>
      <c r="B1079" s="180"/>
      <c r="C1079" s="181"/>
      <c r="D1079" s="181"/>
      <c r="E1079" s="181"/>
      <c r="F1079" s="181"/>
      <c r="G1079" s="181"/>
      <c r="H1079" s="181"/>
      <c r="I1079" s="180"/>
      <c r="J1079" s="180"/>
      <c r="K1079" s="181"/>
      <c r="L1079" s="182"/>
      <c r="M1079" s="181"/>
      <c r="N1079" s="181"/>
      <c r="O1079" s="181"/>
      <c r="P1079" s="181"/>
      <c r="Q1079" s="183"/>
      <c r="R1079" s="181"/>
      <c r="S1079" s="185"/>
      <c r="T1079" s="185"/>
      <c r="U1079" s="185"/>
      <c r="V1079" s="185"/>
      <c r="W1079" s="185"/>
      <c r="X1079" s="185"/>
      <c r="Y1079" s="160"/>
      <c r="Z1079" s="160"/>
      <c r="AA1079" s="160"/>
      <c r="AB1079" s="160"/>
      <c r="AC1079" s="160"/>
      <c r="AD1079" s="160"/>
      <c r="AE1079" s="160"/>
    </row>
  </sheetData>
  <sheetProtection sort="0" autoFilter="0"/>
  <autoFilter ref="A9:R455" xr:uid="{00000000-0009-0000-0000-000003000000}">
    <filterColumn colId="0">
      <filters>
        <filter val="СЗИ"/>
      </filters>
    </filterColumn>
    <filterColumn colId="1">
      <filters>
        <filter val="SIEM"/>
        <filter val="Анализ и расследование"/>
        <filter val="Аномалии и события"/>
        <filter val="Восстановление - Коммуникации"/>
        <filter val="Двухфакторная аутентификация пользователей (2FA)"/>
        <filter val="Защита внешнего инфраструктурного периметра (CPT)"/>
        <filter val="Защита данных и информации"/>
        <filter val="Защита и фильтрация сетевого трафика (Прокси-сервер)"/>
        <filter val="Защита от ВПО"/>
        <filter val="Защита от вредоносного трафика (Anti-DDoS)"/>
        <filter val="Защита удаленного доступа (RA VPN)"/>
        <filter val="Идентификация и аутентификация"/>
        <filter val="Инвентаризация"/>
        <filter val="Коммерческая тайна"/>
        <filter val="Коммуникации"/>
        <filter val="Контроль учетных записей (PAM)"/>
        <filter val="Мониторинг - Процессы"/>
        <filter val="Обеспечение доступности"/>
        <filter val="Обнаружение и блокирование сетевых атак на web-приложении (WAF)"/>
        <filter val="Осведомленность пользователей и обучение персонала"/>
        <filter val="ПДн"/>
        <filter val="Персонал"/>
        <filter val="Планирование восстановления"/>
        <filter val="Планирование реагирования"/>
        <filter val="Плейбуки"/>
        <filter val="Предотвращение утечки данных (Data Loss Prevention (DLP)"/>
        <filter val="Приобретение, разработка и обслуживание систем и ПО"/>
        <filter val="Сетевая безопасность (NGFW)"/>
        <filter val="Система управления ИБ"/>
        <filter val="Сканер уязвимостей"/>
        <filter val="СКЗИ"/>
        <filter val="СКЗИ ГОСТ"/>
        <filter val="Управление активами"/>
        <filter val="Управление доступом"/>
        <filter val="Управление рисками"/>
        <filter val="Управление рисками в цепочке поставок"/>
        <filter val="Физический доступ"/>
        <filter val="Фильтрация нежелательных и вредоносных сообщений (Антиспам)"/>
      </filters>
    </filterColumn>
    <sortState xmlns:xlrd2="http://schemas.microsoft.com/office/spreadsheetml/2017/richdata2" ref="A11:R455">
      <sortCondition ref="I9:I455"/>
    </sortState>
  </autoFilter>
  <sortState xmlns:xlrd2="http://schemas.microsoft.com/office/spreadsheetml/2017/richdata2" ref="B2:AA908">
    <sortCondition ref="H2:H908"/>
  </sortState>
  <mergeCells count="29">
    <mergeCell ref="A7:B7"/>
    <mergeCell ref="W7:X7"/>
    <mergeCell ref="A8:A9"/>
    <mergeCell ref="B8:B9"/>
    <mergeCell ref="C8:C9"/>
    <mergeCell ref="D8:D9"/>
    <mergeCell ref="E8:E9"/>
    <mergeCell ref="F8:F9"/>
    <mergeCell ref="G8:G9"/>
    <mergeCell ref="H8:H9"/>
    <mergeCell ref="I8:I9"/>
    <mergeCell ref="S8:S9"/>
    <mergeCell ref="T8:T9"/>
    <mergeCell ref="A1:X1"/>
    <mergeCell ref="A2:N2"/>
    <mergeCell ref="S2:X2"/>
    <mergeCell ref="A3:N3"/>
    <mergeCell ref="O3:Q7"/>
    <mergeCell ref="S3:X3"/>
    <mergeCell ref="A4:B4"/>
    <mergeCell ref="D4:N4"/>
    <mergeCell ref="S4:U4"/>
    <mergeCell ref="W4:X4"/>
    <mergeCell ref="A5:B5"/>
    <mergeCell ref="D5:N5"/>
    <mergeCell ref="S5:U5"/>
    <mergeCell ref="W5:X5"/>
    <mergeCell ref="A6:B6"/>
    <mergeCell ref="W6:X6"/>
  </mergeCells>
  <conditionalFormatting sqref="N10:N455">
    <cfRule type="cellIs" dxfId="73" priority="10" operator="equal">
      <formula>0</formula>
    </cfRule>
    <cfRule type="cellIs" dxfId="72" priority="11" operator="lessThan">
      <formula>0</formula>
    </cfRule>
    <cfRule type="cellIs" dxfId="71" priority="12" operator="greaterThan">
      <formula>0</formula>
    </cfRule>
  </conditionalFormatting>
  <conditionalFormatting sqref="T10:T455">
    <cfRule type="cellIs" dxfId="70" priority="1" operator="equal">
      <formula>"Выполнено"</formula>
    </cfRule>
    <cfRule type="cellIs" dxfId="69" priority="2" operator="equal">
      <formula>"В процессе"</formula>
    </cfRule>
    <cfRule type="cellIs" dxfId="68" priority="3" operator="equal">
      <formula>"Не готово"</formula>
    </cfRule>
  </conditionalFormatting>
  <dataValidations count="1">
    <dataValidation type="list" allowBlank="1" showInputMessage="1" showErrorMessage="1" sqref="T10:T455" xr:uid="{00000000-0002-0000-0300-000000000000}">
      <formula1>"Выполнено,В процессе,Не готово,На согласовании в БИБ"</formula1>
    </dataValidation>
  </dataValidations>
  <pageMargins left="0.7" right="0.7" top="0.75" bottom="0.75" header="0.18720238095238095" footer="0.3"/>
  <pageSetup paperSize="9" scale="34" fitToHeight="0" orientation="landscape" r:id="rId1"/>
  <headerFooter>
    <oddFooter>&amp;R&amp;P из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tabColor theme="3" tint="0.39997558519241921"/>
    <outlinePr summaryBelow="0" summaryRight="0"/>
  </sheetPr>
  <dimension ref="A1:AE239"/>
  <sheetViews>
    <sheetView topLeftCell="A62" zoomScale="70" zoomScaleNormal="70" workbookViewId="0"/>
  </sheetViews>
  <sheetFormatPr defaultColWidth="11.09765625" defaultRowHeight="15.6" outlineLevelRow="1"/>
  <cols>
    <col min="1" max="1" width="9.59765625" style="160" customWidth="1"/>
    <col min="2" max="2" width="81" style="160" customWidth="1"/>
    <col min="3" max="3" width="20.59765625" style="160" customWidth="1"/>
    <col min="4" max="4" width="9.59765625" style="186" customWidth="1"/>
    <col min="5" max="5" width="9.5" style="186" customWidth="1"/>
    <col min="6" max="6" width="12.09765625" style="186" customWidth="1"/>
    <col min="7" max="7" width="12.09765625" style="186" hidden="1" customWidth="1"/>
    <col min="8" max="8" width="11.5" style="186" hidden="1" customWidth="1"/>
    <col min="9" max="9" width="12.09765625" style="186" hidden="1" customWidth="1"/>
    <col min="10" max="10" width="13.59765625" style="186" hidden="1" customWidth="1"/>
    <col min="11" max="11" width="12" style="186" customWidth="1"/>
    <col min="12" max="12" width="12.09765625" style="186" customWidth="1"/>
    <col min="13" max="13" width="12.5" customWidth="1"/>
    <col min="14" max="14" width="20.3984375" style="187" customWidth="1"/>
    <col min="15" max="15" width="24.09765625" style="188" customWidth="1"/>
    <col min="16" max="18" width="24.09765625" style="128" customWidth="1"/>
    <col min="19" max="19" width="16.09765625" style="160" customWidth="1"/>
    <col min="20" max="20" width="47.59765625" style="641" customWidth="1"/>
    <col min="21" max="21" width="47.59765625" style="644" customWidth="1"/>
    <col min="22" max="22" width="10.5" style="160" bestFit="1" customWidth="1"/>
    <col min="23" max="23" width="58.09765625" style="160" customWidth="1"/>
    <col min="24" max="24" width="58.09765625" style="128" customWidth="1"/>
    <col min="25" max="25" width="10.5" style="160" bestFit="1" customWidth="1"/>
    <col min="26" max="26" width="62" style="160" customWidth="1"/>
    <col min="27" max="27" width="62" style="128" customWidth="1"/>
    <col min="28" max="34" width="10.5" style="160" bestFit="1" customWidth="1"/>
    <col min="35" max="35" width="11.09765625" style="160" bestFit="1"/>
    <col min="36" max="16384" width="11.09765625" style="160"/>
  </cols>
  <sheetData>
    <row r="1" spans="2:14" ht="122.4">
      <c r="B1" s="189" t="s">
        <v>157</v>
      </c>
      <c r="N1" s="190">
        <f>COUNTA(N2:N6955)</f>
        <v>95</v>
      </c>
    </row>
    <row r="2" spans="2:14">
      <c r="N2" s="190"/>
    </row>
    <row r="3" spans="2:14">
      <c r="N3" s="190"/>
    </row>
    <row r="4" spans="2:14">
      <c r="N4" s="190"/>
    </row>
    <row r="5" spans="2:14">
      <c r="N5" s="190"/>
    </row>
    <row r="6" spans="2:14">
      <c r="N6" s="190"/>
    </row>
    <row r="7" spans="2:14">
      <c r="N7" s="190"/>
    </row>
    <row r="8" spans="2:14">
      <c r="N8" s="190"/>
    </row>
    <row r="9" spans="2:14">
      <c r="N9" s="190"/>
    </row>
    <row r="10" spans="2:14">
      <c r="N10" s="190"/>
    </row>
    <row r="11" spans="2:14">
      <c r="N11" s="190"/>
    </row>
    <row r="12" spans="2:14">
      <c r="N12" s="190"/>
    </row>
    <row r="13" spans="2:14">
      <c r="N13" s="190"/>
    </row>
    <row r="14" spans="2:14">
      <c r="N14" s="190"/>
    </row>
    <row r="15" spans="2:14">
      <c r="N15" s="190"/>
    </row>
    <row r="16" spans="2:14">
      <c r="N16" s="190"/>
    </row>
    <row r="17" spans="14:14">
      <c r="N17" s="190"/>
    </row>
    <row r="18" spans="14:14">
      <c r="N18" s="190"/>
    </row>
    <row r="19" spans="14:14">
      <c r="N19" s="190"/>
    </row>
    <row r="20" spans="14:14">
      <c r="N20" s="190"/>
    </row>
    <row r="21" spans="14:14">
      <c r="N21" s="190"/>
    </row>
    <row r="22" spans="14:14">
      <c r="N22" s="190"/>
    </row>
    <row r="23" spans="14:14">
      <c r="N23" s="190"/>
    </row>
    <row r="24" spans="14:14">
      <c r="N24" s="190"/>
    </row>
    <row r="25" spans="14:14">
      <c r="N25" s="190"/>
    </row>
    <row r="26" spans="14:14">
      <c r="N26" s="190"/>
    </row>
    <row r="27" spans="14:14">
      <c r="N27" s="190"/>
    </row>
    <row r="28" spans="14:14">
      <c r="N28" s="190"/>
    </row>
    <row r="29" spans="14:14">
      <c r="N29" s="190"/>
    </row>
    <row r="30" spans="14:14">
      <c r="N30" s="190"/>
    </row>
    <row r="31" spans="14:14">
      <c r="N31" s="190"/>
    </row>
    <row r="32" spans="14:14">
      <c r="N32" s="190"/>
    </row>
    <row r="33" spans="1:19">
      <c r="N33" s="190"/>
    </row>
    <row r="34" spans="1:19">
      <c r="N34" s="190"/>
    </row>
    <row r="35" spans="1:19">
      <c r="N35" s="190"/>
    </row>
    <row r="36" spans="1:19">
      <c r="N36" s="190"/>
    </row>
    <row r="37" spans="1:19">
      <c r="N37" s="190"/>
    </row>
    <row r="38" spans="1:19">
      <c r="N38" s="190"/>
    </row>
    <row r="39" spans="1:19">
      <c r="N39" s="190"/>
    </row>
    <row r="40" spans="1:19" ht="17.399999999999999">
      <c r="B40" s="191"/>
      <c r="G40" s="28">
        <f>Расчет!$F$2</f>
        <v>45017</v>
      </c>
      <c r="H40" s="28">
        <f>Расчет!$H$2</f>
        <v>45444</v>
      </c>
      <c r="I40" s="28">
        <v>45657</v>
      </c>
      <c r="L40" s="192">
        <f ca="1">TODAY()</f>
        <v>46038</v>
      </c>
      <c r="N40" s="190"/>
      <c r="P40" s="701" t="s">
        <v>36</v>
      </c>
      <c r="Q40" s="702" t="s">
        <v>37</v>
      </c>
      <c r="R40" s="703" t="s">
        <v>38</v>
      </c>
    </row>
    <row r="41" spans="1:19" ht="41.4">
      <c r="B41" s="193" t="s">
        <v>317</v>
      </c>
      <c r="C41" s="194" t="s">
        <v>79</v>
      </c>
      <c r="D41" s="195" t="s">
        <v>11</v>
      </c>
      <c r="E41" s="196" t="s">
        <v>10</v>
      </c>
      <c r="F41" s="197" t="s">
        <v>9</v>
      </c>
      <c r="G41" s="198" t="s">
        <v>318</v>
      </c>
      <c r="H41" s="198" t="s">
        <v>318</v>
      </c>
      <c r="I41" s="198" t="s">
        <v>318</v>
      </c>
      <c r="J41" s="199">
        <v>2026</v>
      </c>
      <c r="K41" s="200" t="s">
        <v>84</v>
      </c>
      <c r="L41" s="201" t="s">
        <v>33</v>
      </c>
      <c r="N41" s="202"/>
      <c r="O41" s="203"/>
      <c r="P41" s="701"/>
      <c r="Q41" s="702"/>
      <c r="R41" s="703"/>
      <c r="S41" s="204"/>
    </row>
    <row r="42" spans="1:19">
      <c r="A42" s="205"/>
      <c r="B42" s="206" t="str">
        <f>B60</f>
        <v>Система управления ИБ</v>
      </c>
      <c r="C42" s="207" t="str">
        <f>C60</f>
        <v>СУИБ</v>
      </c>
      <c r="D42" s="208">
        <f>AVERAGE('Управление ИБ'!D61:D70)</f>
        <v>5</v>
      </c>
      <c r="E42" s="209">
        <f>AVERAGE('Управление ИБ'!E61:E70)</f>
        <v>4.6400000000000006</v>
      </c>
      <c r="F42" s="210">
        <f>AVERAGE('Управление ИБ'!F61:F70)</f>
        <v>2.5</v>
      </c>
      <c r="G42" s="61" t="e">
        <f>AVERAGE('Управление ИБ'!G61:G70)</f>
        <v>#DIV/0!</v>
      </c>
      <c r="H42" s="61" t="e">
        <f>AVERAGE('Управление ИБ'!H61:H70)</f>
        <v>#DIV/0!</v>
      </c>
      <c r="I42" s="61" t="e">
        <f>AVERAGE('Управление ИБ'!I61:I70)</f>
        <v>#DIV/0!</v>
      </c>
      <c r="J42" s="211" t="e">
        <f>AVERAGE('Управление ИБ'!J61:J70)</f>
        <v>#DIV/0!</v>
      </c>
      <c r="K42" s="212">
        <f>IF(ЦУКБ="КБ 1",AVERAGE('Управление ИБ'!F61:F70),IF(ЦУКБ="КБ 2",AVERAGE('Управление ИБ'!E61:E70),AVERAGE('Управление ИБ'!D61:D70)))</f>
        <v>5</v>
      </c>
      <c r="L42" s="213">
        <f>AVERAGE('Управление ИБ'!L61:L70)</f>
        <v>0</v>
      </c>
      <c r="M42" s="214"/>
      <c r="N42" s="215"/>
      <c r="O42" s="216"/>
      <c r="P42" s="217">
        <f>AVERAGE('Управление ИБ'!P61:P70)</f>
        <v>0</v>
      </c>
      <c r="Q42" s="217">
        <f>AVERAGE('Управление ИБ'!Q61:Q70)</f>
        <v>0</v>
      </c>
      <c r="R42" s="217">
        <f>AVERAGE(R61:R65)</f>
        <v>0</v>
      </c>
      <c r="S42" s="204"/>
    </row>
    <row r="43" spans="1:19">
      <c r="A43" s="46"/>
      <c r="B43" s="218" t="str">
        <f>B71</f>
        <v>Управление рисками</v>
      </c>
      <c r="C43" s="219" t="s">
        <v>319</v>
      </c>
      <c r="D43" s="220">
        <f>AVERAGE('Управление ИБ'!D72:D76)</f>
        <v>4.8</v>
      </c>
      <c r="E43" s="221">
        <f>AVERAGE('Управление ИБ'!E72:E76)</f>
        <v>2</v>
      </c>
      <c r="F43" s="222">
        <f>AVERAGE('Управление ИБ'!F72:F76)</f>
        <v>1</v>
      </c>
      <c r="G43" s="50" t="e">
        <f>AVERAGE('Управление ИБ'!G72:G76)</f>
        <v>#DIV/0!</v>
      </c>
      <c r="H43" s="50" t="e">
        <f>AVERAGE('Управление ИБ'!H72:H76)</f>
        <v>#DIV/0!</v>
      </c>
      <c r="I43" s="50" t="e">
        <f>AVERAGE('Управление ИБ'!I72:I76)</f>
        <v>#DIV/0!</v>
      </c>
      <c r="J43" s="223" t="e">
        <f>AVERAGE('Управление ИБ'!J72:J76)</f>
        <v>#DIV/0!</v>
      </c>
      <c r="K43" s="224">
        <f>IF(ЦУКБ="КБ 1",AVERAGE('Управление ИБ'!F72:F76),IF(ЦУКБ="КБ 2",AVERAGE('Управление ИБ'!E72:E76),AVERAGE('Управление ИБ'!D72:D76)))</f>
        <v>4.8</v>
      </c>
      <c r="L43" s="225">
        <f>AVERAGE('Управление ИБ'!L72:L76)</f>
        <v>0</v>
      </c>
      <c r="M43" s="214"/>
      <c r="N43" s="215"/>
      <c r="O43" s="216"/>
      <c r="P43" s="217">
        <f>0.5*P72+0.3*(AVERAGE(P74:P75))+0.2*(AVERAGE(P73,P76))</f>
        <v>0</v>
      </c>
      <c r="Q43" s="217">
        <f>0.7*Q72+0.3*Q74</f>
        <v>0</v>
      </c>
      <c r="R43" s="217">
        <f>R72</f>
        <v>0</v>
      </c>
      <c r="S43" s="204"/>
    </row>
    <row r="44" spans="1:19">
      <c r="A44" s="46"/>
      <c r="B44" s="218" t="str">
        <f>B105</f>
        <v>Управление рисками в цепочке поставок</v>
      </c>
      <c r="C44" s="219" t="s">
        <v>320</v>
      </c>
      <c r="D44" s="220">
        <f>AVERAGE('Управление ИБ'!D106:D108)</f>
        <v>5</v>
      </c>
      <c r="E44" s="221">
        <f>AVERAGE('Управление ИБ'!E106:E108)</f>
        <v>3.7999999999999994</v>
      </c>
      <c r="F44" s="222">
        <f>AVERAGE('Управление ИБ'!F106:F108)</f>
        <v>2.7333333333333329</v>
      </c>
      <c r="G44" s="50" t="e">
        <f>AVERAGE('Управление ИБ'!G106:G108)</f>
        <v>#DIV/0!</v>
      </c>
      <c r="H44" s="50" t="e">
        <f>AVERAGE('Управление ИБ'!H106:H108)</f>
        <v>#DIV/0!</v>
      </c>
      <c r="I44" s="50" t="e">
        <f>AVERAGE('Управление ИБ'!I106:I108)</f>
        <v>#DIV/0!</v>
      </c>
      <c r="J44" s="223" t="e">
        <f>AVERAGE('Управление ИБ'!J106:J108)</f>
        <v>#DIV/0!</v>
      </c>
      <c r="K44" s="224">
        <f>IF(ЦУКБ="КБ 1",AVERAGE('Управление ИБ'!F106:F108),IF(ЦУКБ="КБ 2",AVERAGE('Управление ИБ'!E106:E108),AVERAGE('Управление ИБ'!D106:D108)))</f>
        <v>5</v>
      </c>
      <c r="L44" s="225">
        <f>AVERAGE('Управление ИБ'!L106:L108)</f>
        <v>0</v>
      </c>
      <c r="M44" s="214"/>
      <c r="N44" s="215"/>
      <c r="O44" s="216"/>
      <c r="P44" s="217">
        <f>AVERAGE('Управление ИБ'!P106:P108)</f>
        <v>0</v>
      </c>
      <c r="Q44" s="217">
        <f>AVERAGE('Управление ИБ'!Q106:Q108)</f>
        <v>0</v>
      </c>
      <c r="R44" s="217">
        <f>AVERAGE(R106:R108)</f>
        <v>0</v>
      </c>
      <c r="S44" s="204"/>
    </row>
    <row r="45" spans="1:19">
      <c r="A45" s="46"/>
      <c r="B45" s="218" t="str">
        <f>B109</f>
        <v>Инвентаризация</v>
      </c>
      <c r="C45" s="219" t="s">
        <v>321</v>
      </c>
      <c r="D45" s="220">
        <f>AVERAGE('Управление ИБ'!D110:D123)</f>
        <v>4.9285714285714288</v>
      </c>
      <c r="E45" s="221">
        <f>AVERAGE('Управление ИБ'!E110:E123)</f>
        <v>3.1857142857142864</v>
      </c>
      <c r="F45" s="222">
        <f>AVERAGE('Управление ИБ'!F110:F123)</f>
        <v>1.2142857142857142</v>
      </c>
      <c r="G45" s="50" t="e">
        <f>AVERAGE('Управление ИБ'!G110:G123)</f>
        <v>#DIV/0!</v>
      </c>
      <c r="H45" s="50" t="e">
        <f>AVERAGE('Управление ИБ'!H110:H123)</f>
        <v>#DIV/0!</v>
      </c>
      <c r="I45" s="50" t="e">
        <f>AVERAGE('Управление ИБ'!I110:I123)</f>
        <v>#DIV/0!</v>
      </c>
      <c r="J45" s="223" t="e">
        <f>AVERAGE('Управление ИБ'!J110:J123)</f>
        <v>#DIV/0!</v>
      </c>
      <c r="K45" s="224">
        <f>AVERAGE('Управление ИБ'!K110:K123)</f>
        <v>4.9285714285714288</v>
      </c>
      <c r="L45" s="225">
        <f>AVERAGE('Управление ИБ'!L110:L123)</f>
        <v>0</v>
      </c>
      <c r="M45" s="214"/>
      <c r="N45" s="215"/>
      <c r="O45" s="216"/>
      <c r="P45" s="217">
        <f>AVERAGE('Управление ИБ'!P110:P123)</f>
        <v>0</v>
      </c>
      <c r="Q45" s="217">
        <f>AVERAGE('Управление ИБ'!Q110:Q123)</f>
        <v>0</v>
      </c>
      <c r="R45" s="217">
        <f>AVERAGE('Управление ИБ'!R110:R118)</f>
        <v>0</v>
      </c>
      <c r="S45" s="204"/>
    </row>
    <row r="46" spans="1:19">
      <c r="A46" s="46"/>
      <c r="B46" s="218" t="str">
        <f>B99</f>
        <v>Управление активами</v>
      </c>
      <c r="C46" s="219" t="s">
        <v>322</v>
      </c>
      <c r="D46" s="220">
        <f>AVERAGE('Управление ИБ'!D100:D104)</f>
        <v>4.8</v>
      </c>
      <c r="E46" s="221">
        <f>AVERAGE('Управление ИБ'!E100:E104)</f>
        <v>3.16</v>
      </c>
      <c r="F46" s="222">
        <f>AVERAGE('Управление ИБ'!F100:F104)</f>
        <v>0.52</v>
      </c>
      <c r="G46" s="50" t="e">
        <f>AVERAGE('Управление ИБ'!G100:G104)</f>
        <v>#DIV/0!</v>
      </c>
      <c r="H46" s="50" t="e">
        <f>AVERAGE('Управление ИБ'!H100:H104)</f>
        <v>#DIV/0!</v>
      </c>
      <c r="I46" s="50" t="e">
        <f>AVERAGE('Управление ИБ'!I100:I104)</f>
        <v>#DIV/0!</v>
      </c>
      <c r="J46" s="223" t="e">
        <f>AVERAGE('Управление ИБ'!J100:J104)</f>
        <v>#DIV/0!</v>
      </c>
      <c r="K46" s="224">
        <f>AVERAGE('Управление ИБ'!K100:K104)</f>
        <v>4.8</v>
      </c>
      <c r="L46" s="225">
        <f>AVERAGE('Управление ИБ'!L100:L104)</f>
        <v>0</v>
      </c>
      <c r="M46" s="214"/>
      <c r="N46" s="215"/>
      <c r="O46" s="216"/>
      <c r="P46" s="217">
        <f>AVERAGE('Управление ИБ'!P100:P104)</f>
        <v>0</v>
      </c>
      <c r="Q46" s="217">
        <f>AVERAGE('Управление ИБ'!Q100:Q104)</f>
        <v>0</v>
      </c>
      <c r="R46" s="217">
        <f>AVERAGE(R100:R101)</f>
        <v>0</v>
      </c>
      <c r="S46" s="204"/>
    </row>
    <row r="47" spans="1:19">
      <c r="A47" s="46"/>
      <c r="B47" s="218" t="str">
        <f>B163</f>
        <v xml:space="preserve">Управление доступом </v>
      </c>
      <c r="C47" s="219" t="str">
        <f>C163</f>
        <v>УД</v>
      </c>
      <c r="D47" s="220">
        <f>AVERAGE(D164:D173)</f>
        <v>4.4599999999999991</v>
      </c>
      <c r="E47" s="221">
        <f t="shared" ref="E47:L47" si="0">AVERAGE(E164:E173)</f>
        <v>3.2600000000000002</v>
      </c>
      <c r="F47" s="222">
        <f t="shared" si="0"/>
        <v>2.14</v>
      </c>
      <c r="G47" s="50" t="e">
        <f t="shared" si="0"/>
        <v>#DIV/0!</v>
      </c>
      <c r="H47" s="50" t="e">
        <f t="shared" si="0"/>
        <v>#DIV/0!</v>
      </c>
      <c r="I47" s="50" t="e">
        <f t="shared" si="0"/>
        <v>#DIV/0!</v>
      </c>
      <c r="J47" s="223" t="e">
        <f t="shared" si="0"/>
        <v>#DIV/0!</v>
      </c>
      <c r="K47" s="224">
        <f t="shared" si="0"/>
        <v>4.4599999999999991</v>
      </c>
      <c r="L47" s="225">
        <f t="shared" si="0"/>
        <v>0</v>
      </c>
      <c r="M47" s="214"/>
      <c r="N47" s="215"/>
      <c r="O47" s="216"/>
      <c r="P47" s="217">
        <f>AVERAGE(P164:P173)</f>
        <v>0</v>
      </c>
      <c r="Q47" s="217">
        <f>AVERAGE(Q164:Q173)</f>
        <v>0</v>
      </c>
      <c r="R47" s="217">
        <f>AVERAGE(R165,R166,R169,R170,R171,R172,R173)</f>
        <v>0</v>
      </c>
      <c r="S47" s="204"/>
    </row>
    <row r="48" spans="1:19">
      <c r="A48" s="46"/>
      <c r="B48" s="218" t="str">
        <f>B174</f>
        <v>Идентификация и аутентификация</v>
      </c>
      <c r="C48" s="219" t="str">
        <f>C174</f>
        <v>ИА</v>
      </c>
      <c r="D48" s="220">
        <f>AVERAGE(D175:D183)</f>
        <v>5</v>
      </c>
      <c r="E48" s="221">
        <f t="shared" ref="E48:L48" si="1">AVERAGE(E175:E183)</f>
        <v>4.6000000000000005</v>
      </c>
      <c r="F48" s="222">
        <f t="shared" si="1"/>
        <v>3.3111111111111113</v>
      </c>
      <c r="G48" s="50" t="e">
        <f t="shared" si="1"/>
        <v>#DIV/0!</v>
      </c>
      <c r="H48" s="50" t="e">
        <f t="shared" si="1"/>
        <v>#DIV/0!</v>
      </c>
      <c r="I48" s="50" t="e">
        <f>AVERAGE(I175:I183)</f>
        <v>#DIV/0!</v>
      </c>
      <c r="J48" s="223" t="e">
        <f>AVERAGE(J175:J183)</f>
        <v>#DIV/0!</v>
      </c>
      <c r="K48" s="224">
        <f t="shared" si="1"/>
        <v>5</v>
      </c>
      <c r="L48" s="225">
        <f t="shared" si="1"/>
        <v>0</v>
      </c>
      <c r="M48" s="214"/>
      <c r="N48" s="215"/>
      <c r="O48" s="216"/>
      <c r="P48" s="217">
        <f>AVERAGE(P175:P183)</f>
        <v>0</v>
      </c>
      <c r="Q48" s="217">
        <f>AVERAGE(Q175:Q183)</f>
        <v>0</v>
      </c>
      <c r="R48" s="217">
        <f>AVERAGE(R175:R178,R180:R182)</f>
        <v>0</v>
      </c>
      <c r="S48" s="204"/>
    </row>
    <row r="49" spans="1:31">
      <c r="A49" s="46"/>
      <c r="B49" s="218" t="str">
        <f>B184</f>
        <v>Защита данных и информации</v>
      </c>
      <c r="C49" s="219" t="str">
        <f>C184</f>
        <v>Д</v>
      </c>
      <c r="D49" s="220">
        <f t="shared" ref="D49:L49" si="2">AVERAGE(D185:D188)</f>
        <v>4.55</v>
      </c>
      <c r="E49" s="221">
        <f t="shared" si="2"/>
        <v>3.6999999999999997</v>
      </c>
      <c r="F49" s="222">
        <f t="shared" si="2"/>
        <v>1.2000000000000002</v>
      </c>
      <c r="G49" s="50" t="e">
        <f t="shared" si="2"/>
        <v>#DIV/0!</v>
      </c>
      <c r="H49" s="50" t="e">
        <f t="shared" si="2"/>
        <v>#DIV/0!</v>
      </c>
      <c r="I49" s="50" t="e">
        <f>AVERAGE(I185:I188)</f>
        <v>#DIV/0!</v>
      </c>
      <c r="J49" s="223" t="e">
        <f>AVERAGE(J185:J188)</f>
        <v>#DIV/0!</v>
      </c>
      <c r="K49" s="224">
        <f t="shared" si="2"/>
        <v>4.55</v>
      </c>
      <c r="L49" s="225">
        <f t="shared" si="2"/>
        <v>0</v>
      </c>
      <c r="M49" s="214"/>
      <c r="N49" s="215"/>
      <c r="O49" s="216"/>
      <c r="P49" s="217">
        <f>AVERAGE(P185:P188)</f>
        <v>0</v>
      </c>
      <c r="Q49" s="217">
        <f>AVERAGE(Q185:Q188)</f>
        <v>0</v>
      </c>
      <c r="R49" s="217">
        <f>AVERAGE(R186:R187)</f>
        <v>0</v>
      </c>
      <c r="S49" s="204"/>
    </row>
    <row r="50" spans="1:31">
      <c r="A50" s="46"/>
      <c r="B50" s="218" t="str">
        <f>B124</f>
        <v>Обеспечение доступности</v>
      </c>
      <c r="C50" s="219" t="str">
        <f>C124</f>
        <v>ОД</v>
      </c>
      <c r="D50" s="220">
        <f>AVERAGE('Управление ИБ'!D125:D129)</f>
        <v>5</v>
      </c>
      <c r="E50" s="221">
        <f>AVERAGE('Управление ИБ'!E125:E129)</f>
        <v>2.9199999999999995</v>
      </c>
      <c r="F50" s="222">
        <f>AVERAGE('Управление ИБ'!F125:F129)</f>
        <v>0</v>
      </c>
      <c r="G50" s="50" t="e">
        <f>AVERAGE('Управление ИБ'!G128:G129)</f>
        <v>#DIV/0!</v>
      </c>
      <c r="H50" s="50" t="e">
        <f>AVERAGE('Управление ИБ'!H128:H129)</f>
        <v>#DIV/0!</v>
      </c>
      <c r="I50" s="50" t="e">
        <f>AVERAGE('Управление ИБ'!I125:I129)</f>
        <v>#DIV/0!</v>
      </c>
      <c r="J50" s="223" t="e">
        <f>AVERAGE('Управление ИБ'!J125:J129)</f>
        <v>#DIV/0!</v>
      </c>
      <c r="K50" s="224">
        <f>AVERAGE('Управление ИБ'!K125:K129)</f>
        <v>5</v>
      </c>
      <c r="L50" s="225">
        <f>AVERAGE('Управление ИБ'!L125:L129)</f>
        <v>0</v>
      </c>
      <c r="M50" s="214"/>
      <c r="N50" s="215"/>
      <c r="O50" s="216"/>
      <c r="P50" s="217">
        <f>AVERAGE('Управление ИБ'!P125:P129)</f>
        <v>0</v>
      </c>
      <c r="Q50" s="217">
        <f>AVERAGE('Управление ИБ'!Q125, Q126,Q128, Q129)</f>
        <v>0</v>
      </c>
      <c r="R50" s="217"/>
      <c r="S50" s="204"/>
    </row>
    <row r="51" spans="1:31">
      <c r="A51" s="46"/>
      <c r="B51" s="218" t="str">
        <f>B142</f>
        <v>Персонал</v>
      </c>
      <c r="C51" s="219" t="str">
        <f>C142</f>
        <v>Люди</v>
      </c>
      <c r="D51" s="220">
        <f>AVERAGE(D143:D145)</f>
        <v>5</v>
      </c>
      <c r="E51" s="221">
        <f t="shared" ref="E51:L51" si="3">AVERAGE(E143:E145)</f>
        <v>5</v>
      </c>
      <c r="F51" s="222">
        <f t="shared" si="3"/>
        <v>5</v>
      </c>
      <c r="G51" s="50" t="e">
        <f t="shared" si="3"/>
        <v>#DIV/0!</v>
      </c>
      <c r="H51" s="50" t="e">
        <f t="shared" si="3"/>
        <v>#DIV/0!</v>
      </c>
      <c r="I51" s="50" t="e">
        <f>AVERAGE(I143:I145)</f>
        <v>#DIV/0!</v>
      </c>
      <c r="J51" s="223" t="e">
        <f>AVERAGE(J143:J145)</f>
        <v>#DIV/0!</v>
      </c>
      <c r="K51" s="224">
        <f t="shared" si="3"/>
        <v>5</v>
      </c>
      <c r="L51" s="225">
        <f t="shared" si="3"/>
        <v>0</v>
      </c>
      <c r="M51" s="214"/>
      <c r="N51" s="215"/>
      <c r="O51" s="216"/>
      <c r="P51" s="217">
        <f>AVERAGE(P143:P145)</f>
        <v>0</v>
      </c>
      <c r="Q51" s="217">
        <f>AVERAGE(Q143:Q145)</f>
        <v>0</v>
      </c>
      <c r="R51" s="217">
        <f>AVERAGE(R143:R145)</f>
        <v>0</v>
      </c>
      <c r="S51" s="204"/>
    </row>
    <row r="52" spans="1:31">
      <c r="A52" s="46"/>
      <c r="B52" s="218" t="str">
        <f>B152</f>
        <v>Осведомленность пользователей и обучение персонала</v>
      </c>
      <c r="C52" s="219" t="str">
        <f>C152</f>
        <v>AW</v>
      </c>
      <c r="D52" s="220">
        <f t="shared" ref="D52:L52" si="4">AVERAGE(D153:D162)</f>
        <v>5</v>
      </c>
      <c r="E52" s="221">
        <f t="shared" si="4"/>
        <v>3.1999999999999997</v>
      </c>
      <c r="F52" s="222">
        <f t="shared" si="4"/>
        <v>1.5999999999999999</v>
      </c>
      <c r="G52" s="50" t="e">
        <f t="shared" si="4"/>
        <v>#DIV/0!</v>
      </c>
      <c r="H52" s="50" t="e">
        <f t="shared" si="4"/>
        <v>#DIV/0!</v>
      </c>
      <c r="I52" s="50" t="e">
        <f t="shared" si="4"/>
        <v>#DIV/0!</v>
      </c>
      <c r="J52" s="223" t="e">
        <f t="shared" si="4"/>
        <v>#DIV/0!</v>
      </c>
      <c r="K52" s="224">
        <f t="shared" si="4"/>
        <v>5</v>
      </c>
      <c r="L52" s="225">
        <f t="shared" si="4"/>
        <v>0</v>
      </c>
      <c r="M52" s="214"/>
      <c r="N52" s="215"/>
      <c r="O52" s="216"/>
      <c r="P52" s="217">
        <f>AVERAGE(P153:P162)</f>
        <v>0</v>
      </c>
      <c r="Q52" s="217">
        <f>AVERAGE(Q153:Q162)</f>
        <v>0</v>
      </c>
      <c r="R52" s="217">
        <f>AVERAGE(R153:R162)</f>
        <v>0</v>
      </c>
      <c r="S52" s="204"/>
    </row>
    <row r="53" spans="1:31">
      <c r="A53" s="46"/>
      <c r="B53" s="226" t="str">
        <f>B77</f>
        <v>Процессы</v>
      </c>
      <c r="C53" s="227" t="s">
        <v>323</v>
      </c>
      <c r="D53" s="228">
        <f t="shared" ref="D53:L53" si="5">AVERAGE(D78:D98)</f>
        <v>4.1428571428571432</v>
      </c>
      <c r="E53" s="228">
        <f t="shared" si="5"/>
        <v>2.7904761904761908</v>
      </c>
      <c r="F53" s="228">
        <f t="shared" si="5"/>
        <v>0.69523809523809521</v>
      </c>
      <c r="G53" s="228">
        <f t="shared" si="5"/>
        <v>0</v>
      </c>
      <c r="H53" s="228">
        <f t="shared" si="5"/>
        <v>0</v>
      </c>
      <c r="I53" s="228">
        <f t="shared" si="5"/>
        <v>0</v>
      </c>
      <c r="J53" s="228">
        <f t="shared" si="5"/>
        <v>0</v>
      </c>
      <c r="K53" s="228">
        <f t="shared" si="5"/>
        <v>4.1428571428571432</v>
      </c>
      <c r="L53" s="229">
        <f t="shared" si="5"/>
        <v>0</v>
      </c>
      <c r="M53" s="230"/>
      <c r="N53" s="231"/>
      <c r="O53" s="232"/>
      <c r="P53" s="217"/>
      <c r="Q53" s="217"/>
      <c r="R53" s="217"/>
      <c r="S53" s="204"/>
    </row>
    <row r="54" spans="1:31">
      <c r="A54" s="46"/>
      <c r="B54" s="218" t="str">
        <f>B130</f>
        <v>Приобретение, разработка и обслуживание систем и ПО</v>
      </c>
      <c r="C54" s="219" t="str">
        <f>C130</f>
        <v>ПРС</v>
      </c>
      <c r="D54" s="220">
        <f t="shared" ref="D54:L54" si="6">AVERAGE(D131:D141)</f>
        <v>5</v>
      </c>
      <c r="E54" s="221">
        <f t="shared" si="6"/>
        <v>3.8545454545454545</v>
      </c>
      <c r="F54" s="222">
        <f t="shared" si="6"/>
        <v>1.0181818181818181</v>
      </c>
      <c r="G54" s="50" t="e">
        <f t="shared" si="6"/>
        <v>#DIV/0!</v>
      </c>
      <c r="H54" s="50" t="e">
        <f t="shared" si="6"/>
        <v>#DIV/0!</v>
      </c>
      <c r="I54" s="50" t="e">
        <f t="shared" si="6"/>
        <v>#DIV/0!</v>
      </c>
      <c r="J54" s="223" t="e">
        <f t="shared" si="6"/>
        <v>#DIV/0!</v>
      </c>
      <c r="K54" s="224">
        <f t="shared" si="6"/>
        <v>5</v>
      </c>
      <c r="L54" s="225">
        <f t="shared" si="6"/>
        <v>0</v>
      </c>
      <c r="M54" s="214"/>
      <c r="N54" s="215"/>
      <c r="O54" s="216"/>
      <c r="P54" s="217">
        <f>AVERAGE(P131:P141)</f>
        <v>0</v>
      </c>
      <c r="Q54" s="217">
        <f>AVERAGE(Q131:Q141)</f>
        <v>0</v>
      </c>
      <c r="R54" s="217">
        <f>AVERAGE(R131,R133,R134,R136,R137,R138,R139)</f>
        <v>0</v>
      </c>
      <c r="S54" s="204"/>
    </row>
    <row r="55" spans="1:31">
      <c r="B55" s="233" t="str">
        <f>B146</f>
        <v>Физический доступ</v>
      </c>
      <c r="C55" s="234" t="str">
        <f>C146</f>
        <v>ФД</v>
      </c>
      <c r="D55" s="235">
        <f>AVERAGE(D147:D151)</f>
        <v>5</v>
      </c>
      <c r="E55" s="236">
        <f t="shared" ref="E55:K55" si="7">AVERAGE(E147:E151)</f>
        <v>4.6399999999999997</v>
      </c>
      <c r="F55" s="237">
        <f t="shared" si="7"/>
        <v>4.32</v>
      </c>
      <c r="G55" s="238" t="e">
        <f t="shared" si="7"/>
        <v>#DIV/0!</v>
      </c>
      <c r="H55" s="238" t="e">
        <f t="shared" si="7"/>
        <v>#DIV/0!</v>
      </c>
      <c r="I55" s="238" t="e">
        <f>AVERAGE(I147:I151)</f>
        <v>#DIV/0!</v>
      </c>
      <c r="J55" s="239" t="e">
        <f>AVERAGE(J147:J151)</f>
        <v>#DIV/0!</v>
      </c>
      <c r="K55" s="240">
        <f t="shared" si="7"/>
        <v>5</v>
      </c>
      <c r="L55" s="241">
        <f>AVERAGE(L147:L151)</f>
        <v>0</v>
      </c>
      <c r="M55" s="214"/>
      <c r="N55" s="215"/>
      <c r="O55" s="216"/>
      <c r="P55" s="217">
        <f>AVERAGE(P147:P151)</f>
        <v>0</v>
      </c>
      <c r="Q55" s="217">
        <f>AVERAGE(Q147:Q151)</f>
        <v>0</v>
      </c>
      <c r="R55" s="217">
        <f>AVERAGE(R147:R151)</f>
        <v>0</v>
      </c>
      <c r="S55" s="204"/>
    </row>
    <row r="56" spans="1:31">
      <c r="N56" s="215"/>
      <c r="O56" s="216"/>
      <c r="P56" s="242"/>
      <c r="Q56" s="242"/>
      <c r="R56" s="242"/>
      <c r="S56" s="204"/>
    </row>
    <row r="57" spans="1:31">
      <c r="B57" s="204"/>
      <c r="C57" s="204"/>
      <c r="D57" s="242"/>
      <c r="E57" s="242"/>
      <c r="F57" s="242"/>
      <c r="G57" s="242"/>
      <c r="H57" s="242"/>
      <c r="I57" s="242"/>
      <c r="J57" s="219"/>
      <c r="K57" s="219"/>
      <c r="L57" s="242"/>
      <c r="N57" s="215"/>
      <c r="O57" s="216"/>
      <c r="P57" s="242"/>
      <c r="Q57" s="242"/>
      <c r="R57" s="242"/>
      <c r="S57" s="204"/>
    </row>
    <row r="58" spans="1:31">
      <c r="B58" s="204"/>
      <c r="C58" s="204"/>
      <c r="D58" s="242"/>
      <c r="E58" s="242"/>
      <c r="F58" s="242"/>
      <c r="G58" s="242"/>
      <c r="H58" s="242"/>
      <c r="I58" s="242"/>
      <c r="J58" s="219"/>
      <c r="K58" s="219"/>
      <c r="L58" s="242"/>
      <c r="N58" s="215"/>
      <c r="O58" s="216"/>
      <c r="P58" s="242"/>
      <c r="Q58" s="242"/>
      <c r="R58" s="242"/>
      <c r="S58" s="204"/>
    </row>
    <row r="59" spans="1:31" ht="31.2">
      <c r="B59" s="204"/>
      <c r="C59" s="204"/>
      <c r="D59" s="242"/>
      <c r="E59" s="242"/>
      <c r="F59" s="242"/>
      <c r="G59" s="242"/>
      <c r="H59" s="242"/>
      <c r="I59" s="242"/>
      <c r="J59" s="219"/>
      <c r="K59" s="219"/>
      <c r="L59" s="242"/>
      <c r="M59" s="243"/>
      <c r="N59" s="244" t="s">
        <v>324</v>
      </c>
      <c r="O59" s="245" t="s">
        <v>325</v>
      </c>
      <c r="P59" s="246"/>
      <c r="Q59" s="246"/>
      <c r="R59" s="246"/>
      <c r="S59" s="247" t="s">
        <v>80</v>
      </c>
      <c r="T59" s="248" t="s">
        <v>1312</v>
      </c>
      <c r="U59" s="248" t="s">
        <v>1315</v>
      </c>
      <c r="V59" s="248"/>
      <c r="W59" s="248" t="s">
        <v>1313</v>
      </c>
      <c r="X59" s="248" t="s">
        <v>1316</v>
      </c>
      <c r="Y59" s="247"/>
      <c r="Z59" s="248" t="s">
        <v>1314</v>
      </c>
      <c r="AA59" s="248" t="s">
        <v>1317</v>
      </c>
    </row>
    <row r="60" spans="1:31" ht="17.399999999999999">
      <c r="B60" s="249" t="s">
        <v>157</v>
      </c>
      <c r="C60" s="21" t="s">
        <v>42</v>
      </c>
      <c r="D60" s="21"/>
      <c r="E60" s="21"/>
      <c r="F60" s="21"/>
      <c r="G60" s="250"/>
      <c r="H60" s="21"/>
      <c r="I60" s="21"/>
      <c r="J60" s="21"/>
      <c r="K60" s="21"/>
      <c r="L60" s="21"/>
      <c r="M60" s="21"/>
      <c r="N60" s="251"/>
      <c r="O60" s="251"/>
      <c r="P60" s="21"/>
      <c r="Q60" s="21"/>
      <c r="R60" s="21"/>
      <c r="S60" s="252">
        <f>VLOOKUP(B60,Приоритет!$G$9:$K$52,5,0)</f>
        <v>14</v>
      </c>
      <c r="T60" s="253" t="s">
        <v>42</v>
      </c>
      <c r="U60" s="268"/>
      <c r="V60" s="252">
        <f>S60+200</f>
        <v>214</v>
      </c>
      <c r="W60" s="253" t="s">
        <v>42</v>
      </c>
      <c r="X60" s="268"/>
      <c r="Y60" s="252">
        <f>S60+300</f>
        <v>314</v>
      </c>
      <c r="Z60" s="253" t="s">
        <v>42</v>
      </c>
      <c r="AA60" s="268"/>
    </row>
    <row r="61" spans="1:31" ht="46.8" outlineLevel="1">
      <c r="B61" s="254" t="s">
        <v>329</v>
      </c>
      <c r="C61" s="255" t="s">
        <v>330</v>
      </c>
      <c r="D61" s="256">
        <v>5</v>
      </c>
      <c r="E61" s="257">
        <v>5</v>
      </c>
      <c r="F61" s="258">
        <v>5</v>
      </c>
      <c r="G61" s="128"/>
      <c r="H61" s="128"/>
      <c r="I61" s="128"/>
      <c r="J61" s="259"/>
      <c r="K61" s="260">
        <f t="shared" ref="K61:K76" si="8">IF(ЦУКБ="КБ 1",F61, IF(ЦУКБ="КБ 2",E61,D61))</f>
        <v>5</v>
      </c>
      <c r="L61" s="128">
        <f t="shared" ref="L61:L76" si="9">VALUE(LEFT(N61,3))</f>
        <v>0</v>
      </c>
      <c r="M61">
        <f t="shared" ref="M61:M77" si="10">L61-K61</f>
        <v>-5</v>
      </c>
      <c r="N61" s="261" t="s">
        <v>331</v>
      </c>
      <c r="O61" s="216"/>
      <c r="P61" s="262">
        <f t="shared" ref="P61:Q65" si="11">IFERROR(IF($L61&gt;D61,1,$L61/D61),0)</f>
        <v>0</v>
      </c>
      <c r="Q61" s="262">
        <f t="shared" si="11"/>
        <v>0</v>
      </c>
      <c r="R61" s="262">
        <f t="shared" ref="R61:R72" si="12">IFERROR(IF($L61&gt;=F61,1,$L61/F61),0)</f>
        <v>0</v>
      </c>
      <c r="S61" s="263">
        <f t="shared" ref="S61:S70" si="13">S60+0.01</f>
        <v>14.01</v>
      </c>
      <c r="T61" s="640" t="str">
        <f>IF(($L61-$F61)&gt;=0,"",
"- Разработать или Получить в Блоке ИБ ПАО Ростелеком типовую политику  ИБ;
- Утвердить в Обществе Политику ИБ")</f>
        <v>- Разработать или Получить в Блоке ИБ ПАО Ростелеком типовую политику  ИБ;
- Утвердить в Обществе Политику ИБ</v>
      </c>
      <c r="U61" s="644" t="s">
        <v>158</v>
      </c>
      <c r="V61" s="263">
        <f t="shared" ref="V61:V70" si="14">V60+0.01</f>
        <v>214.01</v>
      </c>
      <c r="W61" s="122" t="str">
        <f>IF(($L61-$E61)&gt;=0,"","")</f>
        <v/>
      </c>
      <c r="Y61" s="263">
        <f t="shared" ref="Y61:Y70" si="15">Y60+0.01</f>
        <v>314.01</v>
      </c>
      <c r="Z61" s="122" t="str">
        <f>IF(($L61-$D61)&gt;=0,"","")</f>
        <v/>
      </c>
    </row>
    <row r="62" spans="1:31" ht="62.4" outlineLevel="1">
      <c r="B62" s="254" t="s">
        <v>332</v>
      </c>
      <c r="C62" s="636" t="s">
        <v>337</v>
      </c>
      <c r="D62" s="256">
        <v>5</v>
      </c>
      <c r="E62" s="257">
        <v>5</v>
      </c>
      <c r="F62" s="258">
        <v>5</v>
      </c>
      <c r="G62" s="128"/>
      <c r="H62" s="128"/>
      <c r="I62" s="128"/>
      <c r="J62" s="259"/>
      <c r="K62" s="260">
        <f t="shared" si="8"/>
        <v>5</v>
      </c>
      <c r="L62" s="128">
        <f t="shared" si="9"/>
        <v>0</v>
      </c>
      <c r="M62">
        <f t="shared" si="10"/>
        <v>-5</v>
      </c>
      <c r="N62" s="261" t="s">
        <v>331</v>
      </c>
      <c r="O62" s="216"/>
      <c r="P62" s="262">
        <f t="shared" si="11"/>
        <v>0</v>
      </c>
      <c r="Q62" s="262">
        <f t="shared" si="11"/>
        <v>0</v>
      </c>
      <c r="R62" s="262">
        <f t="shared" si="12"/>
        <v>0</v>
      </c>
      <c r="S62" s="263">
        <f t="shared" si="13"/>
        <v>14.02</v>
      </c>
      <c r="T62" s="641" t="str">
        <f>IF(($L62-$F62)&gt;=0,"","- Определить полномочия ответственного за обеспечение ИБ в Обществе."&amp;"
- Подготовить и утвердить приказ об ответственном за обеспечение ИБ в Обществе")</f>
        <v>- Определить полномочия ответственного за обеспечение ИБ в Обществе.
- Подготовить и утвердить приказ об ответственном за обеспечение ИБ в Обществе</v>
      </c>
      <c r="U62" s="644" t="s">
        <v>159</v>
      </c>
      <c r="V62" s="263">
        <f t="shared" si="14"/>
        <v>214.01999999999998</v>
      </c>
      <c r="W62" s="122"/>
      <c r="Y62" s="263">
        <f t="shared" si="15"/>
        <v>314.02</v>
      </c>
      <c r="Z62" s="122"/>
      <c r="AC62" s="264"/>
      <c r="AD62" s="265"/>
      <c r="AE62" s="265"/>
    </row>
    <row r="63" spans="1:31" ht="234" outlineLevel="1">
      <c r="B63" s="254" t="s">
        <v>334</v>
      </c>
      <c r="C63" s="255" t="s">
        <v>339</v>
      </c>
      <c r="D63" s="256">
        <v>5</v>
      </c>
      <c r="E63" s="257">
        <v>5</v>
      </c>
      <c r="F63" s="258">
        <v>5</v>
      </c>
      <c r="G63" s="128"/>
      <c r="H63" s="128"/>
      <c r="I63" s="128"/>
      <c r="J63" s="259"/>
      <c r="K63" s="260">
        <f t="shared" si="8"/>
        <v>5</v>
      </c>
      <c r="L63" s="128">
        <f t="shared" si="9"/>
        <v>0</v>
      </c>
      <c r="M63">
        <f t="shared" si="10"/>
        <v>-5</v>
      </c>
      <c r="N63" s="261" t="s">
        <v>331</v>
      </c>
      <c r="O63" s="216"/>
      <c r="P63" s="262">
        <f t="shared" si="11"/>
        <v>0</v>
      </c>
      <c r="Q63" s="262">
        <f t="shared" si="11"/>
        <v>0</v>
      </c>
      <c r="R63" s="262">
        <f t="shared" si="12"/>
        <v>0</v>
      </c>
      <c r="S63" s="263">
        <f t="shared" si="13"/>
        <v>14.03</v>
      </c>
      <c r="T63" s="642" t="str">
        <f>IF(($L63-$F63)&gt;=0,"",
" -  Определить полномочия для подразделения, ответственное за ИБ (как минимум уровня отдела ИБ).
 -  Подготовить положение  о подразделении, обеспечивающим ИБ в Обществе."&amp;"
 -  Создать выделенное подразделение, ответственное за ИБ (как минимум уровня отдела ИБ):
- Утвердить приказом по орг. структуре создание подразделения ИБ."&amp;"
- Утвердить положение  о подразделении, обеспечивающим ИБ в Обществе.
 -  Распоряжением/приказом определили подразделение ИБ, как подразделение Общества, ответственное за обеспечение ИБ")</f>
        <v xml:space="preserve"> -  Определить полномочия для подразделения, ответственное за ИБ (как минимум уровня отдела ИБ).
 -  Подготовить положение  о подразделении, обеспечивающим ИБ в Обществе.
 -  Создать выделенное подразделение, ответственное за ИБ (как минимум уровня отдела ИБ):
- Утвердить приказом по орг. структуре создание подразделения ИБ.
- Утвердить положение  о подразделении, обеспечивающим ИБ в Обществе.
 -  Распоряжением/приказом определили подразделение ИБ, как подразделение Общества, ответственное за обеспечение ИБ</v>
      </c>
      <c r="U63" s="638" t="s">
        <v>160</v>
      </c>
      <c r="V63" s="263">
        <f t="shared" si="14"/>
        <v>214.02999999999997</v>
      </c>
      <c r="W63" s="122"/>
      <c r="Y63" s="263">
        <f t="shared" si="15"/>
        <v>314.02999999999997</v>
      </c>
      <c r="Z63" s="122"/>
      <c r="AC63" s="264"/>
      <c r="AD63" s="265"/>
      <c r="AE63" s="265"/>
    </row>
    <row r="64" spans="1:31" ht="46.8" outlineLevel="1">
      <c r="B64" s="254" t="s">
        <v>336</v>
      </c>
      <c r="C64" s="636" t="s">
        <v>341</v>
      </c>
      <c r="D64" s="256">
        <v>5</v>
      </c>
      <c r="E64" s="257">
        <v>5</v>
      </c>
      <c r="F64" s="258">
        <v>5</v>
      </c>
      <c r="G64" s="128"/>
      <c r="H64" s="128"/>
      <c r="I64" s="128"/>
      <c r="J64" s="259"/>
      <c r="K64" s="260">
        <f t="shared" si="8"/>
        <v>5</v>
      </c>
      <c r="L64" s="128">
        <f t="shared" si="9"/>
        <v>0</v>
      </c>
      <c r="M64">
        <f t="shared" si="10"/>
        <v>-5</v>
      </c>
      <c r="N64" s="261" t="s">
        <v>331</v>
      </c>
      <c r="O64" s="216"/>
      <c r="P64" s="262">
        <f t="shared" si="11"/>
        <v>0</v>
      </c>
      <c r="Q64" s="262">
        <f t="shared" si="11"/>
        <v>0</v>
      </c>
      <c r="R64" s="262">
        <f t="shared" si="12"/>
        <v>0</v>
      </c>
      <c r="S64" s="263">
        <f t="shared" si="13"/>
        <v>14.04</v>
      </c>
      <c r="T64" s="640" t="str">
        <f>IF(($L64-$F64)&gt;=0,"","- Провести анализ целей Общества в области ИБ и отразить в Политике ИБ, стратегии развития или планах развития")</f>
        <v>- Провести анализ целей Общества в области ИБ и отразить в Политике ИБ, стратегии развития или планах развития</v>
      </c>
      <c r="U64" s="643" t="s">
        <v>161</v>
      </c>
      <c r="V64" s="263">
        <f t="shared" si="14"/>
        <v>214.03999999999996</v>
      </c>
      <c r="W64" s="122" t="str">
        <f>IF(($L64-$E64)&gt;=0,"",
"")</f>
        <v/>
      </c>
      <c r="Y64" s="263">
        <f t="shared" si="15"/>
        <v>314.03999999999996</v>
      </c>
      <c r="Z64" s="122" t="str">
        <f>IF(($L64-$D64)&gt;=0,""," ")</f>
        <v xml:space="preserve"> </v>
      </c>
    </row>
    <row r="65" spans="2:27" ht="31.2" outlineLevel="1">
      <c r="B65" s="254" t="s">
        <v>338</v>
      </c>
      <c r="C65" s="255" t="s">
        <v>344</v>
      </c>
      <c r="D65" s="256">
        <v>5</v>
      </c>
      <c r="E65" s="257">
        <v>5</v>
      </c>
      <c r="F65" s="258">
        <v>5</v>
      </c>
      <c r="G65" s="128"/>
      <c r="H65" s="128"/>
      <c r="I65" s="128"/>
      <c r="J65" s="259"/>
      <c r="K65" s="260">
        <f t="shared" si="8"/>
        <v>5</v>
      </c>
      <c r="L65" s="128">
        <f t="shared" si="9"/>
        <v>0</v>
      </c>
      <c r="M65">
        <f t="shared" si="10"/>
        <v>-5</v>
      </c>
      <c r="N65" s="261" t="s">
        <v>331</v>
      </c>
      <c r="P65" s="262">
        <f t="shared" si="11"/>
        <v>0</v>
      </c>
      <c r="Q65" s="262">
        <f t="shared" si="11"/>
        <v>0</v>
      </c>
      <c r="R65" s="262">
        <f t="shared" si="12"/>
        <v>0</v>
      </c>
      <c r="S65" s="263">
        <f t="shared" si="13"/>
        <v>14.049999999999999</v>
      </c>
      <c r="T65" s="640" t="str">
        <f>IF(($L65-$F65)&gt;=0,"",
"- Разработать планы развития ИБ или адаптировать типовые планы, предоставленные ПАО Ростелеком")</f>
        <v>- Разработать планы развития ИБ или адаптировать типовые планы, предоставленные ПАО Ростелеком</v>
      </c>
      <c r="U65" s="644" t="s">
        <v>162</v>
      </c>
      <c r="V65" s="263">
        <f t="shared" si="14"/>
        <v>214.04999999999995</v>
      </c>
      <c r="W65" s="122" t="str">
        <f>IF(($L65-$E65)&gt;=0,"","")</f>
        <v/>
      </c>
      <c r="Y65" s="263">
        <f t="shared" si="15"/>
        <v>314.04999999999995</v>
      </c>
      <c r="Z65" s="122" t="str">
        <f>IF(($L65-$D65)&gt;=0,"","")</f>
        <v/>
      </c>
    </row>
    <row r="66" spans="2:27" ht="42" outlineLevel="1">
      <c r="B66" s="254" t="s">
        <v>340</v>
      </c>
      <c r="C66" s="636" t="s">
        <v>346</v>
      </c>
      <c r="D66" s="256">
        <v>5</v>
      </c>
      <c r="E66" s="257">
        <v>3.2</v>
      </c>
      <c r="F66" s="258">
        <v>0</v>
      </c>
      <c r="G66" s="128"/>
      <c r="H66" s="128"/>
      <c r="I66" s="128"/>
      <c r="J66" s="259"/>
      <c r="K66" s="260">
        <f t="shared" si="8"/>
        <v>5</v>
      </c>
      <c r="L66" s="128">
        <f t="shared" si="9"/>
        <v>0</v>
      </c>
      <c r="M66">
        <f t="shared" si="10"/>
        <v>-5</v>
      </c>
      <c r="N66" s="261" t="s">
        <v>342</v>
      </c>
      <c r="O66" s="216"/>
      <c r="P66" s="262">
        <f>IFERROR(IF($L66&gt;D66,1*IF(P64=0,0,1),$L66/D66*IF(P64=0,0,1)),0)</f>
        <v>0</v>
      </c>
      <c r="Q66" s="262">
        <f>IFERROR(IF($L66&gt;E66,1*IF(Q64=0,0,1),$L66/E66*IF(Q64=0,0,1)),0)</f>
        <v>0</v>
      </c>
      <c r="R66" s="262"/>
      <c r="S66" s="263">
        <f t="shared" si="13"/>
        <v>14.059999999999999</v>
      </c>
      <c r="T66" s="640" t="str">
        <f>IF(($L66-$F66)&gt;=0,"",)</f>
        <v/>
      </c>
      <c r="V66" s="263">
        <f t="shared" si="14"/>
        <v>214.05999999999995</v>
      </c>
      <c r="W66" s="122" t="str">
        <f>IF(($L66-$E66)&gt;=0,""," Сформировать отчет о достижении целей ИБ. Представить отчет руководству Общества")</f>
        <v xml:space="preserve"> Сформировать отчет о достижении целей ИБ. Представить отчет руководству Общества</v>
      </c>
      <c r="X66" s="128" t="s">
        <v>255</v>
      </c>
      <c r="Y66" s="263">
        <f t="shared" si="15"/>
        <v>314.05999999999995</v>
      </c>
      <c r="Z66" s="122" t="str">
        <f>IF(($L66-$D66)&gt;=0,"","Организовать процесс регулярной отчетности перед руководством по достижению целей ИБ")</f>
        <v>Организовать процесс регулярной отчетности перед руководством по достижению целей ИБ</v>
      </c>
      <c r="AA66" s="128" t="s">
        <v>204</v>
      </c>
    </row>
    <row r="67" spans="2:27" ht="62.4" outlineLevel="1">
      <c r="B67" s="254" t="s">
        <v>343</v>
      </c>
      <c r="C67" s="255" t="s">
        <v>348</v>
      </c>
      <c r="D67" s="256">
        <v>5</v>
      </c>
      <c r="E67" s="257">
        <v>5</v>
      </c>
      <c r="F67" s="258">
        <v>0</v>
      </c>
      <c r="G67" s="128"/>
      <c r="H67" s="128"/>
      <c r="I67" s="128"/>
      <c r="J67" s="259"/>
      <c r="K67" s="260">
        <f t="shared" si="8"/>
        <v>5</v>
      </c>
      <c r="L67" s="128">
        <f t="shared" si="9"/>
        <v>0</v>
      </c>
      <c r="M67">
        <f t="shared" si="10"/>
        <v>-5</v>
      </c>
      <c r="N67" s="261" t="s">
        <v>331</v>
      </c>
      <c r="O67" s="216" t="str">
        <f>IF((СК="Да"),"Совместная зона ответственности ДЗО и Сервисной компании", "")</f>
        <v/>
      </c>
      <c r="P67" s="262">
        <f t="shared" ref="P67:Q72" si="16">IFERROR(IF($L67&gt;D67,1,$L67/D67),0)</f>
        <v>0</v>
      </c>
      <c r="Q67" s="262">
        <f t="shared" si="16"/>
        <v>0</v>
      </c>
      <c r="R67" s="262"/>
      <c r="S67" s="263">
        <f t="shared" si="13"/>
        <v>14.069999999999999</v>
      </c>
      <c r="T67" s="640" t="str">
        <f>IF(($L67-$F67)&gt;=0,"",)</f>
        <v/>
      </c>
      <c r="V67" s="263">
        <f t="shared" si="14"/>
        <v>214.06999999999994</v>
      </c>
      <c r="W67" s="122" t="str">
        <f>IF(($L67-$E67)&gt;=0,""," - Определить требования к процессу внешнего аудита
- Организовать процесс регулярных внешних аудитов ИБ. 
- Принимать меры по повышению уровня ИБ по результатам аудита")</f>
        <v xml:space="preserve"> - Определить требования к процессу внешнего аудита
- Организовать процесс регулярных внешних аудитов ИБ. 
- Принимать меры по повышению уровня ИБ по результатам аудита</v>
      </c>
      <c r="X67" s="644" t="s">
        <v>1188</v>
      </c>
      <c r="Y67" s="263">
        <f t="shared" si="15"/>
        <v>314.06999999999994</v>
      </c>
      <c r="Z67" s="122" t="str">
        <f>IF(($L67-$D67)&gt;=0,""," ")</f>
        <v xml:space="preserve"> </v>
      </c>
    </row>
    <row r="68" spans="2:27" ht="62.4" outlineLevel="1">
      <c r="B68" s="254" t="s">
        <v>345</v>
      </c>
      <c r="C68" s="636" t="s">
        <v>351</v>
      </c>
      <c r="D68" s="256">
        <v>5</v>
      </c>
      <c r="E68" s="257">
        <v>5</v>
      </c>
      <c r="F68" s="258">
        <v>0</v>
      </c>
      <c r="G68" s="128"/>
      <c r="H68" s="128"/>
      <c r="I68" s="128"/>
      <c r="J68" s="259"/>
      <c r="K68" s="260">
        <f t="shared" si="8"/>
        <v>5</v>
      </c>
      <c r="L68" s="128">
        <f t="shared" si="9"/>
        <v>0</v>
      </c>
      <c r="M68">
        <f t="shared" si="10"/>
        <v>-5</v>
      </c>
      <c r="N68" s="261" t="s">
        <v>331</v>
      </c>
      <c r="O68" s="216" t="str">
        <f>IF((СК="Да"),"Совместная зона ответственности ДЗО и Сервисной компании", "")</f>
        <v/>
      </c>
      <c r="P68" s="262">
        <f t="shared" si="16"/>
        <v>0</v>
      </c>
      <c r="Q68" s="262">
        <f t="shared" si="16"/>
        <v>0</v>
      </c>
      <c r="R68" s="262"/>
      <c r="S68" s="263">
        <f t="shared" si="13"/>
        <v>14.079999999999998</v>
      </c>
      <c r="T68" s="640" t="str">
        <f>IF(($L68-$F68)&gt;=0,"",)</f>
        <v/>
      </c>
      <c r="V68" s="263">
        <f t="shared" si="14"/>
        <v>214.07999999999993</v>
      </c>
      <c r="W68" s="122" t="str">
        <f>IF(($L68-$E68)&gt;=0,""," - Определить требования к процессу киберучений
- Организовать процесс регулярных киберучений. 
- Принимать меры по повышению уровня ИБ по результатам киберучений")</f>
        <v xml:space="preserve"> - Определить требования к процессу киберучений
- Организовать процесс регулярных киберучений. 
- Принимать меры по повышению уровня ИБ по результатам киберучений</v>
      </c>
      <c r="X68" s="644" t="s">
        <v>1189</v>
      </c>
      <c r="Y68" s="263">
        <f t="shared" si="15"/>
        <v>314.07999999999993</v>
      </c>
      <c r="Z68" s="122" t="str">
        <f>IF(($L68-$D68)&gt;=0,"",
"")</f>
        <v/>
      </c>
    </row>
    <row r="69" spans="2:27" ht="78" outlineLevel="1">
      <c r="B69" s="254" t="s">
        <v>347</v>
      </c>
      <c r="C69" s="255" t="s">
        <v>1311</v>
      </c>
      <c r="D69" s="256">
        <v>5</v>
      </c>
      <c r="E69" s="257">
        <v>3.2</v>
      </c>
      <c r="F69" s="258">
        <v>0</v>
      </c>
      <c r="G69" s="128"/>
      <c r="H69" s="128"/>
      <c r="I69" s="128"/>
      <c r="J69" s="259"/>
      <c r="K69" s="260">
        <f t="shared" si="8"/>
        <v>5</v>
      </c>
      <c r="L69" s="128">
        <f t="shared" si="9"/>
        <v>0</v>
      </c>
      <c r="M69">
        <f t="shared" si="10"/>
        <v>-5</v>
      </c>
      <c r="N69" s="261" t="s">
        <v>349</v>
      </c>
      <c r="O69" s="216"/>
      <c r="P69" s="262">
        <f t="shared" si="16"/>
        <v>0</v>
      </c>
      <c r="Q69" s="262">
        <f t="shared" si="16"/>
        <v>0</v>
      </c>
      <c r="R69" s="262"/>
      <c r="S69" s="263">
        <f t="shared" si="13"/>
        <v>14.089999999999998</v>
      </c>
      <c r="T69" s="640" t="str">
        <f>IF(($L69-$F69)&gt;=0,"",)</f>
        <v/>
      </c>
      <c r="V69" s="263">
        <f t="shared" si="14"/>
        <v>214.08999999999992</v>
      </c>
      <c r="W69" s="122" t="str">
        <f>IF(($L69-$E69)&gt;=0,"",
"- Организовать процесс создания / приобретения ИА;
  - Определить требования к процессу; 
  - Обеспечить участие подразделения ИБ в процессе;"&amp;"
  - Обеспечить формирование требований ИБ на этапе принятия решения о создании/приобретении ИА.")</f>
        <v>- Организовать процесс создания / приобретения ИА;
  - Определить требования к процессу; 
  - Обеспечить участие подразделения ИБ в процессе;
  - Обеспечить формирование требований ИБ на этапе принятия решения о создании/приобретении ИА.</v>
      </c>
      <c r="X69" s="644" t="s">
        <v>1190</v>
      </c>
      <c r="Y69" s="263">
        <f t="shared" si="15"/>
        <v>314.08999999999992</v>
      </c>
      <c r="Z69" s="122" t="str">
        <f>IF(($L69-$D69)&gt;=0,"",
"- Обеспечить формирование, коректировку, согласование, контроль исполнения требований ИБ на каждом этапе жизненного цикла ИА")</f>
        <v>- Обеспечить формирование, коректировку, согласование, контроль исполнения требований ИБ на каждом этапе жизненного цикла ИА</v>
      </c>
      <c r="AA69" s="644" t="s">
        <v>1191</v>
      </c>
    </row>
    <row r="70" spans="2:27" ht="78" outlineLevel="1">
      <c r="B70" s="254" t="s">
        <v>350</v>
      </c>
      <c r="C70" s="636" t="s">
        <v>333</v>
      </c>
      <c r="D70" s="256">
        <v>5</v>
      </c>
      <c r="E70" s="257">
        <v>5</v>
      </c>
      <c r="F70" s="258">
        <v>0</v>
      </c>
      <c r="G70" s="128"/>
      <c r="H70" s="128"/>
      <c r="I70" s="128"/>
      <c r="J70" s="259"/>
      <c r="K70" s="260">
        <f t="shared" si="8"/>
        <v>5</v>
      </c>
      <c r="L70" s="128">
        <f t="shared" si="9"/>
        <v>0</v>
      </c>
      <c r="M70">
        <f t="shared" si="10"/>
        <v>-5</v>
      </c>
      <c r="N70" s="261" t="s">
        <v>331</v>
      </c>
      <c r="O70" s="216"/>
      <c r="P70" s="262">
        <f t="shared" si="16"/>
        <v>0</v>
      </c>
      <c r="Q70" s="262">
        <f t="shared" si="16"/>
        <v>0</v>
      </c>
      <c r="R70" s="262"/>
      <c r="S70" s="267">
        <f t="shared" si="13"/>
        <v>14.099999999999998</v>
      </c>
      <c r="T70" s="640" t="str">
        <f>IF(($L70-$F70)&gt;=0,"",)</f>
        <v/>
      </c>
      <c r="V70" s="267">
        <f t="shared" si="14"/>
        <v>214.09999999999991</v>
      </c>
      <c r="W70" s="122" t="str">
        <f>IF(($L70-$E70)&gt;=0,"",
"- Определить ответственных за мониторинг НПА и организовать процесс мониторинга;
- Организовать процесс доведения информации до всех заинтересованных подразделений. Реализовать процесс выполнения требований НПА.")</f>
        <v>- Определить ответственных за мониторинг НПА и организовать процесс мониторинга;
- Организовать процесс доведения информации до всех заинтересованных подразделений. Реализовать процесс выполнения требований НПА.</v>
      </c>
      <c r="X70" s="644" t="s">
        <v>1150</v>
      </c>
      <c r="Y70" s="267">
        <f t="shared" si="15"/>
        <v>314.09999999999991</v>
      </c>
      <c r="Z70" s="122" t="str">
        <f>IF(($L70-$D70)&gt;=0,"",
"")</f>
        <v/>
      </c>
    </row>
    <row r="71" spans="2:27" ht="17.399999999999999">
      <c r="B71" s="249" t="s">
        <v>231</v>
      </c>
      <c r="C71" s="21" t="s">
        <v>319</v>
      </c>
      <c r="D71" s="21"/>
      <c r="E71" s="21"/>
      <c r="F71" s="21"/>
      <c r="G71" s="250"/>
      <c r="H71" s="21"/>
      <c r="I71" s="21"/>
      <c r="J71" s="21"/>
      <c r="K71" s="21"/>
      <c r="L71" s="21"/>
      <c r="M71" s="21">
        <f t="shared" si="10"/>
        <v>0</v>
      </c>
      <c r="N71" s="251"/>
      <c r="O71" s="251"/>
      <c r="P71" s="21"/>
      <c r="Q71" s="21"/>
      <c r="R71" s="21"/>
      <c r="S71" s="252">
        <f>VLOOKUP(B71,Приоритет!$G$9:$K$52,5,0)</f>
        <v>41</v>
      </c>
      <c r="T71" s="268" t="s">
        <v>319</v>
      </c>
      <c r="U71" s="268"/>
      <c r="V71" s="252">
        <f>S71+200</f>
        <v>241</v>
      </c>
      <c r="W71" s="268" t="s">
        <v>319</v>
      </c>
      <c r="X71" s="268"/>
      <c r="Y71" s="252">
        <f>S71+300</f>
        <v>341</v>
      </c>
      <c r="Z71" s="268" t="s">
        <v>319</v>
      </c>
      <c r="AA71" s="268"/>
    </row>
    <row r="72" spans="2:27" ht="62.4" outlineLevel="1">
      <c r="B72" s="254" t="s">
        <v>352</v>
      </c>
      <c r="C72" s="255" t="s">
        <v>353</v>
      </c>
      <c r="D72" s="256">
        <v>5</v>
      </c>
      <c r="E72" s="257">
        <v>5</v>
      </c>
      <c r="F72" s="258">
        <v>5</v>
      </c>
      <c r="G72" s="128"/>
      <c r="H72" s="128"/>
      <c r="I72" s="128"/>
      <c r="J72" s="259"/>
      <c r="K72" s="260">
        <f t="shared" si="8"/>
        <v>5</v>
      </c>
      <c r="L72" s="128">
        <f t="shared" si="9"/>
        <v>0</v>
      </c>
      <c r="M72">
        <f t="shared" si="10"/>
        <v>-5</v>
      </c>
      <c r="N72" s="261" t="s">
        <v>331</v>
      </c>
      <c r="O72" s="216"/>
      <c r="P72" s="262">
        <f t="shared" si="16"/>
        <v>0</v>
      </c>
      <c r="Q72" s="262">
        <f>IFERROR(IF($L72&gt;E72,1,$L72/E72),0)</f>
        <v>0</v>
      </c>
      <c r="R72" s="262">
        <f t="shared" si="12"/>
        <v>0</v>
      </c>
      <c r="S72" s="263">
        <f>S71+0.01</f>
        <v>41.01</v>
      </c>
      <c r="T72" s="640" t="str">
        <f>IF(($L72-$F72)&gt;=0,"","- Составить перечень нежелательныхх событий в ИБ. Согласовать перечень с руководством Общества и со всеми заинтересованными подразделениями. Утвердить перечень ")</f>
        <v xml:space="preserve">- Составить перечень нежелательныхх событий в ИБ. Согласовать перечень с руководством Общества и со всеми заинтересованными подразделениями. Утвердить перечень </v>
      </c>
      <c r="U72" s="644" t="s">
        <v>1244</v>
      </c>
      <c r="V72" s="263">
        <f>V71+0.01</f>
        <v>241.01</v>
      </c>
      <c r="W72" s="122" t="str">
        <f>IF(($L72-$E72)&gt;=0,"","")</f>
        <v/>
      </c>
      <c r="Y72" s="263">
        <f>Y71+0.01</f>
        <v>341.01</v>
      </c>
      <c r="Z72" s="122" t="str">
        <f>IF(($L72-$D72)&gt;=0,"","")</f>
        <v/>
      </c>
    </row>
    <row r="73" spans="2:27" ht="46.8" outlineLevel="1">
      <c r="B73" s="254" t="s">
        <v>354</v>
      </c>
      <c r="C73" s="255" t="s">
        <v>355</v>
      </c>
      <c r="D73" s="256">
        <v>5</v>
      </c>
      <c r="E73" s="257">
        <v>0</v>
      </c>
      <c r="F73" s="258">
        <v>0</v>
      </c>
      <c r="G73" s="128"/>
      <c r="H73" s="128"/>
      <c r="I73" s="128"/>
      <c r="J73" s="259"/>
      <c r="K73" s="260">
        <f t="shared" si="8"/>
        <v>5</v>
      </c>
      <c r="L73" s="128">
        <f t="shared" si="9"/>
        <v>0</v>
      </c>
      <c r="M73">
        <f t="shared" si="10"/>
        <v>-5</v>
      </c>
      <c r="N73" s="261" t="s">
        <v>331</v>
      </c>
      <c r="O73" s="216"/>
      <c r="P73" s="262">
        <f>IFERROR(IF($L73&gt;=D73,1,$L73/D73),0)</f>
        <v>0</v>
      </c>
      <c r="Q73" s="262"/>
      <c r="R73" s="262"/>
      <c r="S73" s="263">
        <f>S72+0.01</f>
        <v>41.019999999999996</v>
      </c>
      <c r="T73" s="640" t="str">
        <f>IF(($L73-$F73)&gt;=0,"",)</f>
        <v/>
      </c>
      <c r="V73" s="263">
        <f>V72+0.01</f>
        <v>241.01999999999998</v>
      </c>
      <c r="W73" s="122" t="str">
        <f>IF(($L73-$E73)&gt;=0,"","")</f>
        <v/>
      </c>
      <c r="Y73" s="263">
        <f>Y72+0.01</f>
        <v>341.02</v>
      </c>
      <c r="Z73" s="122" t="str">
        <f>IF(($L73-$D73)&gt;=0,"",
"- Разработать или Получить в Блоке ИБ ПАО Ростелеком типовую политику  управления рисками;
- Утвердить в Обществе политику  управления рисками")</f>
        <v>- Разработать или Получить в Блоке ИБ ПАО Ростелеком типовую политику  управления рисками;
- Утвердить в Обществе политику  управления рисками</v>
      </c>
      <c r="AA73" s="644" t="s">
        <v>1292</v>
      </c>
    </row>
    <row r="74" spans="2:27" ht="31.2" outlineLevel="1">
      <c r="B74" s="254" t="s">
        <v>356</v>
      </c>
      <c r="C74" s="255" t="s">
        <v>357</v>
      </c>
      <c r="D74" s="256">
        <v>5</v>
      </c>
      <c r="E74" s="257">
        <v>5</v>
      </c>
      <c r="F74" s="258">
        <v>0</v>
      </c>
      <c r="G74" s="128"/>
      <c r="H74" s="128"/>
      <c r="I74" s="128"/>
      <c r="J74" s="259"/>
      <c r="K74" s="260">
        <f t="shared" si="8"/>
        <v>5</v>
      </c>
      <c r="L74" s="128">
        <f t="shared" si="9"/>
        <v>0</v>
      </c>
      <c r="M74">
        <f t="shared" si="10"/>
        <v>-5</v>
      </c>
      <c r="N74" s="261" t="s">
        <v>331</v>
      </c>
      <c r="O74" s="216"/>
      <c r="P74" s="262">
        <f>IFERROR(IF($L74&gt;D74,1,$L74/D74),0)</f>
        <v>0</v>
      </c>
      <c r="Q74" s="262">
        <f>IFERROR(IF($L74&gt;=E74,1,$L74/E74),0)</f>
        <v>0</v>
      </c>
      <c r="R74" s="262"/>
      <c r="S74" s="263">
        <f>S73+0.01</f>
        <v>41.029999999999994</v>
      </c>
      <c r="T74" s="640" t="str">
        <f>IF(($L74-$F74)&gt;=0,"")</f>
        <v/>
      </c>
      <c r="V74" s="263">
        <f>V73+0.01</f>
        <v>241.02999999999997</v>
      </c>
      <c r="W74" s="122" t="str">
        <f>IF(($L74-$E74)&gt;=0,"","- Реализовать процесс качественной оценки рисков ИБ на основе экспертной оценки")</f>
        <v>- Реализовать процесс качественной оценки рисков ИБ на основе экспертной оценки</v>
      </c>
      <c r="X74" s="644" t="s">
        <v>1300</v>
      </c>
      <c r="Y74" s="263">
        <f>Y73+0.01</f>
        <v>341.03</v>
      </c>
      <c r="Z74" s="122" t="str">
        <f>IF(($L74-$D74)&gt;=0,"","")</f>
        <v/>
      </c>
    </row>
    <row r="75" spans="2:27" ht="124.8" outlineLevel="1">
      <c r="B75" s="254" t="s">
        <v>1170</v>
      </c>
      <c r="C75" s="255" t="s">
        <v>358</v>
      </c>
      <c r="D75" s="256">
        <v>4</v>
      </c>
      <c r="E75" s="257">
        <v>0</v>
      </c>
      <c r="F75" s="258">
        <v>0</v>
      </c>
      <c r="G75" s="128"/>
      <c r="H75" s="128"/>
      <c r="I75" s="128"/>
      <c r="J75" s="259"/>
      <c r="K75" s="260">
        <f t="shared" si="8"/>
        <v>4</v>
      </c>
      <c r="L75" s="128">
        <f t="shared" si="9"/>
        <v>0</v>
      </c>
      <c r="M75">
        <f t="shared" si="10"/>
        <v>-4</v>
      </c>
      <c r="N75" s="269" t="s">
        <v>359</v>
      </c>
      <c r="O75" s="216"/>
      <c r="P75" s="262">
        <f>IFERROR(IF($L75&gt;D75,1,$L75/D75),0)</f>
        <v>0</v>
      </c>
      <c r="Q75" s="262"/>
      <c r="R75" s="262"/>
      <c r="S75" s="263">
        <f>S74+0.01</f>
        <v>41.039999999999992</v>
      </c>
      <c r="T75" s="640" t="str">
        <f>IF(($L75-$F75)&gt;=0,"",)</f>
        <v/>
      </c>
      <c r="V75" s="263">
        <f>V74+0.01</f>
        <v>241.03999999999996</v>
      </c>
      <c r="W75" s="122" t="str">
        <f>IF(($L75-$E75)&gt;=0,"","")</f>
        <v/>
      </c>
      <c r="Y75" s="263">
        <f>Y74+0.01</f>
        <v>341.03999999999996</v>
      </c>
      <c r="Z75" s="122" t="str">
        <f>IF(($L75-$D75)&gt;=0,"",
"- Разработать и утвердить методику количественной оценки рисков ИБ;
- Реализовать процесс количественной оценки рисков ИБ на основе методологии ПАО Ростелеком
- Автоматизировать систему оценки рисков ИБ"&amp;"
- разработаны и внедрены ключевые индикаторы риска (КИР), 
- организован мониторинг значений КИР, определены процедуры при выходе КИР в красную зону")</f>
        <v>- Разработать и утвердить методику количественной оценки рисков ИБ;
- Реализовать процесс количественной оценки рисков ИБ на основе методологии ПАО Ростелеком
- Автоматизировать систему оценки рисков ИБ
- разработаны и внедрены ключевые индикаторы риска (КИР), 
- организован мониторинг значений КИР, определены процедуры при выходе КИР в красную зону</v>
      </c>
      <c r="AA75" s="644" t="s">
        <v>1301</v>
      </c>
    </row>
    <row r="76" spans="2:27" ht="31.2" outlineLevel="1">
      <c r="B76" s="254" t="s">
        <v>360</v>
      </c>
      <c r="C76" s="255" t="s">
        <v>361</v>
      </c>
      <c r="D76" s="256">
        <v>5</v>
      </c>
      <c r="E76" s="257">
        <v>0</v>
      </c>
      <c r="F76" s="258">
        <v>0</v>
      </c>
      <c r="G76" s="128"/>
      <c r="H76" s="128"/>
      <c r="I76" s="128"/>
      <c r="J76" s="259"/>
      <c r="K76" s="260">
        <f t="shared" si="8"/>
        <v>5</v>
      </c>
      <c r="L76" s="128">
        <f t="shared" si="9"/>
        <v>0</v>
      </c>
      <c r="M76">
        <f t="shared" si="10"/>
        <v>-5</v>
      </c>
      <c r="N76" s="261" t="s">
        <v>331</v>
      </c>
      <c r="O76" s="216"/>
      <c r="P76" s="262">
        <f>IFERROR(IF($L76&gt;D76,1,$L76/D76),0)</f>
        <v>0</v>
      </c>
      <c r="Q76" s="262"/>
      <c r="R76" s="262"/>
      <c r="S76" s="263">
        <f>S75+0.01</f>
        <v>41.04999999999999</v>
      </c>
      <c r="T76" s="640" t="str">
        <f>IF(($L76-$F76)&gt;=0,"",)</f>
        <v/>
      </c>
      <c r="V76" s="263">
        <f>V75+0.01</f>
        <v>241.04999999999995</v>
      </c>
      <c r="W76" s="122" t="str">
        <f>IF(($L76-$E76)&gt;=0,"","")</f>
        <v/>
      </c>
      <c r="Y76" s="263">
        <f>Y75+0.01</f>
        <v>341.04999999999995</v>
      </c>
      <c r="Z76" s="122" t="str">
        <f>IF(($L76-$D76)&gt;=0,"",
"-Интегрировать риски ИБ в общую систему управления рисками Общества")</f>
        <v>-Интегрировать риски ИБ в общую систему управления рисками Общества</v>
      </c>
      <c r="AA76" s="644" t="s">
        <v>1302</v>
      </c>
    </row>
    <row r="77" spans="2:27" ht="17.399999999999999" collapsed="1">
      <c r="B77" s="249" t="s">
        <v>362</v>
      </c>
      <c r="C77" s="21" t="s">
        <v>323</v>
      </c>
      <c r="D77" s="21"/>
      <c r="E77" s="21"/>
      <c r="F77" s="21"/>
      <c r="G77" s="270"/>
      <c r="H77" s="21"/>
      <c r="I77" s="21"/>
      <c r="J77" s="21"/>
      <c r="K77" s="21"/>
      <c r="L77" s="21"/>
      <c r="M77" s="21">
        <f t="shared" si="10"/>
        <v>0</v>
      </c>
      <c r="N77" s="251"/>
      <c r="O77" s="251"/>
      <c r="P77" s="21"/>
      <c r="Q77" s="21"/>
      <c r="R77" s="21"/>
      <c r="S77" s="252">
        <f>VLOOKUP(B77,Приоритет!$G$9:$K$52,5,0)</f>
        <v>28</v>
      </c>
      <c r="T77" s="248" t="s">
        <v>323</v>
      </c>
      <c r="U77" s="248"/>
      <c r="V77" s="252">
        <f>S77+200</f>
        <v>228</v>
      </c>
      <c r="W77" s="21" t="s">
        <v>323</v>
      </c>
      <c r="X77" s="21"/>
      <c r="Y77" s="252">
        <f>S77+300</f>
        <v>328</v>
      </c>
      <c r="Z77" s="21" t="s">
        <v>323</v>
      </c>
      <c r="AA77" s="21"/>
    </row>
    <row r="78" spans="2:27" s="271" customFormat="1" ht="171.6" hidden="1" outlineLevel="1">
      <c r="B78" s="272" t="str">
        <f>СЗИ!B88</f>
        <v>Внедрен процесс управления уязвимостями</v>
      </c>
      <c r="C78" s="273" t="str">
        <f>СЗИ!C88</f>
        <v>СЗИ.САЗ.3</v>
      </c>
      <c r="D78" s="273">
        <f>СЗИ!D88</f>
        <v>4</v>
      </c>
      <c r="E78" s="273">
        <f>СЗИ!E88</f>
        <v>3</v>
      </c>
      <c r="F78" s="273">
        <f>СЗИ!F88</f>
        <v>0</v>
      </c>
      <c r="G78" s="273">
        <f>СЗИ!G88</f>
        <v>0</v>
      </c>
      <c r="H78" s="273">
        <f>СЗИ!H88</f>
        <v>0</v>
      </c>
      <c r="I78" s="273">
        <f>СЗИ!I88</f>
        <v>0</v>
      </c>
      <c r="J78" s="273">
        <f>СЗИ!J88</f>
        <v>0</v>
      </c>
      <c r="K78" s="273">
        <f>СЗИ!K88</f>
        <v>4</v>
      </c>
      <c r="L78" s="273">
        <f>СЗИ!L88</f>
        <v>0</v>
      </c>
      <c r="M78" s="73"/>
      <c r="N78" s="274"/>
      <c r="O78" s="275"/>
      <c r="P78" s="276"/>
      <c r="Q78" s="276"/>
      <c r="R78" s="276"/>
      <c r="S78" s="263">
        <f t="shared" ref="S78:S98" si="17">S77+0.01</f>
        <v>28.01</v>
      </c>
      <c r="T78" s="645" t="str">
        <f>СЗИ!T88</f>
        <v/>
      </c>
      <c r="U78" s="654"/>
      <c r="V78" s="263">
        <f t="shared" ref="V78:V98" si="18">V77+0.01</f>
        <v>228.01</v>
      </c>
      <c r="W78" s="277" t="str">
        <f>СЗИ!W88</f>
        <v xml:space="preserve"> - Разработать или Получить в Блоке ИБ ПАО Ростелеком типовое описание процесса управления уязвимостями;
 -  Реализовать процесс управления уязвимостями; 
 - Обеспечить устранение или митигацию всех выявленных уязвимостей;
 - Обеспечить устранение уязвимостей критичного уровня в срок не более 3 рабочих дней при их обнаружении.</v>
      </c>
      <c r="X78" s="276"/>
      <c r="Y78" s="263">
        <f t="shared" ref="Y78:Y98" si="19">Y77+0.01</f>
        <v>328.01</v>
      </c>
      <c r="Z78" s="278" t="str">
        <f>СЗИ!Z88</f>
        <v xml:space="preserve"> - Автоматизировать процесс управления уязвимостями. Обеспечить устранение уязвимостей критичного уровня в срок не более 24 часов, высокого уровня в срок не более 72 часов;
 - Разработать систему метрик для процесса управления уязвимостями;
 - Создать средство визуального мониторинга параметров процесса управления уязвимостями;
 - Реализовать мониторинг параметров процесса управления уязвимостями;
 - Реализовать реагирование на факты отклонения параметров процесса управления уязвимостями от определенных показателей.</v>
      </c>
      <c r="AA78" s="276"/>
    </row>
    <row r="79" spans="2:27" s="271" customFormat="1" ht="93.6" hidden="1" outlineLevel="1">
      <c r="B79" s="272" t="str">
        <f>СЗИ!B62</f>
        <v>Внедрен процесс управления уязвимостями на периметре (CPT)</v>
      </c>
      <c r="C79" s="273" t="str">
        <f>СЗИ!C62</f>
        <v>СЗИ.CPT.3</v>
      </c>
      <c r="D79" s="273">
        <f>СЗИ!D62</f>
        <v>4</v>
      </c>
      <c r="E79" s="273">
        <f>СЗИ!E62</f>
        <v>3</v>
      </c>
      <c r="F79" s="273">
        <f>СЗИ!F62</f>
        <v>1</v>
      </c>
      <c r="G79" s="273">
        <f>СЗИ!G62</f>
        <v>0</v>
      </c>
      <c r="H79" s="273">
        <f>СЗИ!H62</f>
        <v>0</v>
      </c>
      <c r="I79" s="273">
        <f>СЗИ!I62</f>
        <v>0</v>
      </c>
      <c r="J79" s="273">
        <f>СЗИ!J62</f>
        <v>0</v>
      </c>
      <c r="K79" s="273">
        <f>СЗИ!K62</f>
        <v>4</v>
      </c>
      <c r="L79" s="273">
        <f>СЗИ!L62</f>
        <v>0</v>
      </c>
      <c r="M79" s="273"/>
      <c r="N79" s="279"/>
      <c r="O79" s="232"/>
      <c r="P79" s="280"/>
      <c r="Q79" s="280"/>
      <c r="R79" s="280"/>
      <c r="S79" s="263">
        <f t="shared" si="17"/>
        <v>28.020000000000003</v>
      </c>
      <c r="T79" s="281" t="str">
        <f>СЗИ!T62</f>
        <v xml:space="preserve"> - Уязвимости High и Critical устраняются</v>
      </c>
      <c r="U79" s="637"/>
      <c r="V79" s="263">
        <f t="shared" si="18"/>
        <v>228.01999999999998</v>
      </c>
      <c r="W79" s="277" t="str">
        <f>СЗИ!W62</f>
        <v>Разработать или Получить в Блоке ИБ ПАО Ростелеком типовое описание процесса контроля уязвимостей
 - Реализовать в Обществе процесс управления уязвимостями на периметре. 
 - Автоматизировать процесс управления выявленными уязвимостями (учет, информирование, контроль устранения).</v>
      </c>
      <c r="X79" s="276"/>
      <c r="Y79" s="263">
        <f t="shared" si="19"/>
        <v>328.02</v>
      </c>
      <c r="Z79" s="277" t="str">
        <f>СЗИ!Z62</f>
        <v xml:space="preserve"> - Разработать систему метрик для процесса CPT;
 - Создать средство визуального мониторинга параметров процесса CPT;
 - Реализовать мониторинг параметров процесса CPT;
 - Реализовать реагирование на факты отклонения параметров процесса CPT</v>
      </c>
      <c r="AA79" s="276"/>
    </row>
    <row r="80" spans="2:27" s="271" customFormat="1" ht="62.4" hidden="1" outlineLevel="1">
      <c r="B80" s="272" t="str">
        <f>Мониторинг!B62</f>
        <v>Процесс анализа информации о киберугрозах</v>
      </c>
      <c r="C80" s="273" t="str">
        <f>Мониторинг!C62</f>
        <v>МНТ.ПР.1</v>
      </c>
      <c r="D80" s="273">
        <f>Мониторинг!D62</f>
        <v>4</v>
      </c>
      <c r="E80" s="273">
        <f>Мониторинг!E62</f>
        <v>1</v>
      </c>
      <c r="F80" s="273">
        <f>Мониторинг!F62</f>
        <v>0</v>
      </c>
      <c r="G80" s="273">
        <f>Мониторинг!G62</f>
        <v>0</v>
      </c>
      <c r="H80" s="273">
        <f>Мониторинг!H62</f>
        <v>0</v>
      </c>
      <c r="I80" s="273">
        <f>Мониторинг!I62</f>
        <v>0</v>
      </c>
      <c r="J80" s="273">
        <f>Мониторинг!J62</f>
        <v>0</v>
      </c>
      <c r="K80" s="273">
        <f>Мониторинг!K62</f>
        <v>4</v>
      </c>
      <c r="L80" s="273">
        <f>Мониторинг!L62</f>
        <v>0</v>
      </c>
      <c r="M80" s="273"/>
      <c r="N80" s="279"/>
      <c r="O80" s="232"/>
      <c r="P80" s="280"/>
      <c r="Q80" s="280"/>
      <c r="R80" s="280"/>
      <c r="S80" s="263">
        <f t="shared" si="17"/>
        <v>28.030000000000005</v>
      </c>
      <c r="T80" s="281" t="str">
        <f>Мониторинг!T62</f>
        <v/>
      </c>
      <c r="U80" s="637"/>
      <c r="V80" s="263">
        <f t="shared" si="18"/>
        <v>228.02999999999997</v>
      </c>
      <c r="W80" s="277" t="str">
        <f>Мониторинг!W62</f>
        <v xml:space="preserve"> - Организовать процесс анализа информации об угрозах, направленой РТК, ФСТЭК и НКЦКИ. Выполнять проверку применимости угроз и мер защиты в Обществе. Выполнять рекомендуемые меры.</v>
      </c>
      <c r="X80" s="276"/>
      <c r="Y80" s="263">
        <f t="shared" si="19"/>
        <v>328.03</v>
      </c>
      <c r="Z80" s="277" t="str">
        <f>Мониторинг!Z62</f>
        <v xml:space="preserve"> - Организовать получение данных от  поставщиков информации об угрозах и из открытых источников. Реализовать процесс анализа угроз и защиты от релевантных угроз.</v>
      </c>
      <c r="AA80" s="276"/>
    </row>
    <row r="81" spans="2:28" s="271" customFormat="1" ht="62.4" hidden="1" outlineLevel="1">
      <c r="B81" s="272" t="str">
        <f>Мониторинг!B63</f>
        <v>Процесс мониторинга событий ИБ</v>
      </c>
      <c r="C81" s="273" t="str">
        <f>Мониторинг!C63</f>
        <v>МНТ.ПР.2</v>
      </c>
      <c r="D81" s="273">
        <f>Мониторинг!D63</f>
        <v>4</v>
      </c>
      <c r="E81" s="273">
        <f>Мониторинг!E63</f>
        <v>4</v>
      </c>
      <c r="F81" s="273">
        <f>Мониторинг!F63</f>
        <v>0</v>
      </c>
      <c r="G81" s="273">
        <f>Мониторинг!G63</f>
        <v>0</v>
      </c>
      <c r="H81" s="273">
        <f>Мониторинг!H63</f>
        <v>0</v>
      </c>
      <c r="I81" s="273">
        <f>Мониторинг!I63</f>
        <v>0</v>
      </c>
      <c r="J81" s="273">
        <f>Мониторинг!J63</f>
        <v>0</v>
      </c>
      <c r="K81" s="273">
        <f>Мониторинг!K63</f>
        <v>4</v>
      </c>
      <c r="L81" s="273">
        <f>Мониторинг!L63</f>
        <v>0</v>
      </c>
      <c r="M81" s="273"/>
      <c r="N81" s="279"/>
      <c r="O81" s="232"/>
      <c r="P81" s="280"/>
      <c r="Q81" s="280"/>
      <c r="R81" s="280"/>
      <c r="S81" s="263">
        <f t="shared" si="17"/>
        <v>28.040000000000006</v>
      </c>
      <c r="T81" s="281" t="str">
        <f>Мониторинг!T63</f>
        <v/>
      </c>
      <c r="U81" s="637"/>
      <c r="V81" s="263">
        <f t="shared" si="18"/>
        <v>228.03999999999996</v>
      </c>
      <c r="W81" s="277" t="str">
        <f>Мониторинг!W63</f>
        <v xml:space="preserve"> - Регламентировать процесс мониторинга событий ИБ, определить критерии определения и классификации инцидентов, Определить порядок инициации реагирования на инцидент.</v>
      </c>
      <c r="X81" s="276"/>
      <c r="Y81" s="263">
        <f t="shared" si="19"/>
        <v>328.03999999999996</v>
      </c>
      <c r="Z81" s="277" t="str">
        <f>Мониторинг!Z63</f>
        <v/>
      </c>
      <c r="AA81" s="276"/>
    </row>
    <row r="82" spans="2:28" s="271" customFormat="1" ht="93.6" hidden="1" outlineLevel="1">
      <c r="B82" s="272" t="str">
        <f>Реагирование!B40</f>
        <v>Процесс категорирования инцидентов ИБ</v>
      </c>
      <c r="C82" s="273" t="str">
        <f>Реагирование!C40</f>
        <v>РЕАГ.ПЛР.2</v>
      </c>
      <c r="D82" s="273">
        <f>Реагирование!D40</f>
        <v>4</v>
      </c>
      <c r="E82" s="273">
        <f>Реагирование!E40</f>
        <v>3</v>
      </c>
      <c r="F82" s="273">
        <f>Реагирование!F40</f>
        <v>1</v>
      </c>
      <c r="G82" s="273">
        <f>Реагирование!G40</f>
        <v>0</v>
      </c>
      <c r="H82" s="273">
        <f>Реагирование!H40</f>
        <v>0</v>
      </c>
      <c r="I82" s="273">
        <f>Реагирование!I40</f>
        <v>0</v>
      </c>
      <c r="J82" s="273">
        <f>Реагирование!J40</f>
        <v>0</v>
      </c>
      <c r="K82" s="273">
        <f>Реагирование!K40</f>
        <v>4</v>
      </c>
      <c r="L82" s="273">
        <f>Реагирование!L40</f>
        <v>0</v>
      </c>
      <c r="M82" s="273"/>
      <c r="N82" s="279"/>
      <c r="O82" s="232"/>
      <c r="P82" s="280"/>
      <c r="Q82" s="280"/>
      <c r="R82" s="280"/>
      <c r="S82" s="263">
        <f t="shared" si="17"/>
        <v>28.050000000000008</v>
      </c>
      <c r="T82" s="281" t="str">
        <f>Реагирование!T40</f>
        <v xml:space="preserve"> - В Обществе неформально определить категории инцидентов ИБ</v>
      </c>
      <c r="U82" s="637"/>
      <c r="V82" s="263">
        <f t="shared" si="18"/>
        <v>228.04999999999995</v>
      </c>
      <c r="W82" s="277" t="str">
        <f>Реагирование!W40</f>
        <v>- Формализовать критерии определения критичности инцидентов ИБ; 
- Определить мандаты на действия участников процесса;
  -  Официально сформировать ГЭР и ОКУ;
  -  Не реже 1 раза в год проводить учения в формате штабных игр.</v>
      </c>
      <c r="X82" s="276"/>
      <c r="Y82" s="263">
        <f t="shared" si="19"/>
        <v>328.04999999999995</v>
      </c>
      <c r="Z82" s="277" t="str">
        <f>Реагирование!Z40</f>
        <v xml:space="preserve"> - Реализовать возможность корректировки категорий инцидента ИБ в процессе реагирования</v>
      </c>
      <c r="AA82" s="276"/>
    </row>
    <row r="83" spans="2:28" s="271" customFormat="1" ht="93.6" hidden="1" outlineLevel="1">
      <c r="B83" s="272" t="str">
        <f>Реагирование!B51</f>
        <v>Процесс расследования инцидентов</v>
      </c>
      <c r="C83" s="273" t="str">
        <f>Реагирование!C51</f>
        <v>РЕАГ.АНЛЗ.2</v>
      </c>
      <c r="D83" s="273">
        <f>Реагирование!D51</f>
        <v>4</v>
      </c>
      <c r="E83" s="273">
        <f>Реагирование!E51</f>
        <v>3</v>
      </c>
      <c r="F83" s="273">
        <f>Реагирование!F51</f>
        <v>1</v>
      </c>
      <c r="G83" s="273">
        <f>Реагирование!G51</f>
        <v>0</v>
      </c>
      <c r="H83" s="273">
        <f>Реагирование!H51</f>
        <v>0</v>
      </c>
      <c r="I83" s="273">
        <f>Реагирование!I51</f>
        <v>0</v>
      </c>
      <c r="J83" s="273">
        <f>Реагирование!J51</f>
        <v>0</v>
      </c>
      <c r="K83" s="273">
        <f>Реагирование!K51</f>
        <v>4</v>
      </c>
      <c r="L83" s="273">
        <f>Реагирование!L51</f>
        <v>0</v>
      </c>
      <c r="M83" s="273"/>
      <c r="N83" s="279"/>
      <c r="O83" s="232"/>
      <c r="P83" s="280"/>
      <c r="Q83" s="280"/>
      <c r="R83" s="280"/>
      <c r="S83" s="263">
        <f t="shared" si="17"/>
        <v>28.060000000000009</v>
      </c>
      <c r="T83" s="281" t="str">
        <f>Реагирование!T51</f>
        <v>- Проводить расследование инцидентов информационной безопасности
- Результаты расследований должны быть задокументированы</v>
      </c>
      <c r="U83" s="637"/>
      <c r="V83" s="263">
        <f t="shared" si="18"/>
        <v>228.05999999999995</v>
      </c>
      <c r="W83" s="277" t="str">
        <f>Реагирование!W51</f>
        <v xml:space="preserve"> - Разработать и задокументировать процесс расследования инцидентов, довести до сведения заинтересованных лиц;
  - Расследование инцидентов должно проводиться с использованием средств автоматизации;
 -  Создать единую базу знаний по расследованиям. Результаты расследований и артефакты хранить в единой базе знаний.</v>
      </c>
      <c r="X83" s="276"/>
      <c r="Y83" s="263">
        <f t="shared" si="19"/>
        <v>328.05999999999995</v>
      </c>
      <c r="Z83" s="277" t="str">
        <f>Реагирование!Z51</f>
        <v xml:space="preserve"> - Определить метрики процесса реагирования на инциденты и  расследования;
  -  На постоянной основе проводить мониторинг процесса по утвержденным метрикам и показателям;
  -  Интегрировать процесс расследования инцидентов в единый процесс управления инцидентами ИБ</v>
      </c>
      <c r="AA83" s="276"/>
    </row>
    <row r="84" spans="2:28" s="271" customFormat="1" ht="55.2" hidden="1" outlineLevel="1">
      <c r="B84" s="272" t="str">
        <f>Реагирование!B47</f>
        <v>Определен порядок взаимодействия с регуляторами по инцидентам ИБ</v>
      </c>
      <c r="C84" s="273" t="str">
        <f>Реагирование!C47</f>
        <v>РЕАГ.КМНК.4</v>
      </c>
      <c r="D84" s="273">
        <f>Реагирование!D47</f>
        <v>5</v>
      </c>
      <c r="E84" s="273">
        <f>Реагирование!E47</f>
        <v>3.2</v>
      </c>
      <c r="F84" s="273">
        <f>Реагирование!F47</f>
        <v>1.6</v>
      </c>
      <c r="G84" s="273">
        <f>Реагирование!G47</f>
        <v>0</v>
      </c>
      <c r="H84" s="273">
        <f>Реагирование!H47</f>
        <v>0</v>
      </c>
      <c r="I84" s="273">
        <f>Реагирование!I47</f>
        <v>0</v>
      </c>
      <c r="J84" s="273">
        <f>Реагирование!J47</f>
        <v>0</v>
      </c>
      <c r="K84" s="273">
        <f>Реагирование!K47</f>
        <v>5</v>
      </c>
      <c r="L84" s="273">
        <f>Реагирование!L47</f>
        <v>0</v>
      </c>
      <c r="M84" s="273"/>
      <c r="N84" s="279"/>
      <c r="O84" s="232"/>
      <c r="P84" s="280"/>
      <c r="Q84" s="280"/>
      <c r="R84" s="280"/>
      <c r="S84" s="263">
        <f t="shared" si="17"/>
        <v>28.070000000000011</v>
      </c>
      <c r="T84" s="646" t="str">
        <f>Реагирование!T47</f>
        <v xml:space="preserve"> - Взаимодействовать с регуляторами по инциденту ИБ в установленных законом случаях</v>
      </c>
      <c r="U84" s="646"/>
      <c r="V84" s="263">
        <f t="shared" si="18"/>
        <v>228.06999999999994</v>
      </c>
      <c r="W84" s="280" t="str">
        <f>Реагирование!W47</f>
        <v xml:space="preserve"> - Регламентировать процесс взаимодействия с регуляторами;
  -  Определить ответственных за взаимодействие;
 -  Определить состав и объем предоставляемой информации об инцидентах.</v>
      </c>
      <c r="X84" s="280"/>
      <c r="Y84" s="263">
        <f t="shared" si="19"/>
        <v>328.06999999999994</v>
      </c>
      <c r="Z84" s="280" t="str">
        <f>Реагирование!Z47</f>
        <v>- Регламентировать процесс взаимодействия с регуляторами;
  -  Определить ответственных за взаимодействие;
 -  Определить состав и объем предоставляемой информации об инцидентах.</v>
      </c>
      <c r="AA84" s="280"/>
    </row>
    <row r="85" spans="2:28" s="271" customFormat="1" ht="400.2" hidden="1" outlineLevel="1">
      <c r="B85" s="272" t="str">
        <f>Реагирование!B39</f>
        <v>Процесс реагирования на инциденты ИБ</v>
      </c>
      <c r="C85" s="273" t="str">
        <f>Реагирование!C39</f>
        <v>РЕАГ.ПЛР.1</v>
      </c>
      <c r="D85" s="273">
        <f>Реагирование!D39</f>
        <v>4</v>
      </c>
      <c r="E85" s="273">
        <f>Реагирование!E39</f>
        <v>3</v>
      </c>
      <c r="F85" s="273">
        <f>Реагирование!F39</f>
        <v>1</v>
      </c>
      <c r="G85" s="273">
        <f>Реагирование!G39</f>
        <v>0</v>
      </c>
      <c r="H85" s="273">
        <f>Реагирование!H39</f>
        <v>0</v>
      </c>
      <c r="I85" s="273">
        <f>Реагирование!I39</f>
        <v>0</v>
      </c>
      <c r="J85" s="273">
        <f>Реагирование!J39</f>
        <v>0</v>
      </c>
      <c r="K85" s="273">
        <f>Реагирование!K39</f>
        <v>4</v>
      </c>
      <c r="L85" s="273">
        <f>Реагирование!L39</f>
        <v>0</v>
      </c>
      <c r="M85" s="272"/>
      <c r="N85" s="282"/>
      <c r="O85" s="232"/>
      <c r="P85" s="280"/>
      <c r="Q85" s="280"/>
      <c r="R85" s="280"/>
      <c r="S85" s="263">
        <f t="shared" si="17"/>
        <v>28.080000000000013</v>
      </c>
      <c r="T85" s="647" t="str">
        <f>Реагирование!T39</f>
        <v xml:space="preserve"> - Определить ответственных за решение инцидентов ИБ, включая ответственного за коммуникации внутри и со сторонними компаниями;
  -  Составить и актуализировать список заинтересованных лиц, которые должны получить уведомление об инциденте;
  -  Для критичных инцидентов определить SLA и порядок действий по реагированию;
 </v>
      </c>
      <c r="U85" s="655"/>
      <c r="V85" s="263">
        <f t="shared" si="18"/>
        <v>228.07999999999993</v>
      </c>
      <c r="W85" s="272" t="str">
        <f>Реагирование!W39</f>
        <v xml:space="preserve"> Разработать и/или Получить в Блоке ИБ ПАО Ростелеком типовое описание процесса реагирования на инциденты ИБ (Политика, Регламенты, процедуры реагирования на инциденты ИБ), определяющие:
  -  Ответственность за координацию процесса работы с инцидентами и документирование результатов в процессе решения инцидента;
  -  Список заинтересованных лиц, которые должны получить уведомление об инциденте, актуализиировать и пересматривать его не реже раза в год;
 - SLA по реагированию, механизмы обращения, минимальная информация для создания инцидента/Процедуру довести до всех работников Общества;
 - Роли и обязанности, план коммуникации по поводу инцидента;
 - План реагирования на инциденты, включая сценарии реагирования с привлечением юристов, специалистов по ИТ и ИБ, служб PR, HR и аналитиков;
 -  Учебные сценарии по реагированию, включающие взаимодействие заинтересованных лиц и позволяющие тестировать постановку задач, процессы коммуникации и принятия решений;
 -  Сценарии реагирования для разных событий безопасности: подозрительной активности, обнаруженной уязвимости, утечки информации;
Для автоматизации процесса внедрить специализированное ПО: SIEM, IRP/ServiceDesk.</v>
      </c>
      <c r="X85" s="273"/>
      <c r="Y85" s="263">
        <f t="shared" si="19"/>
        <v>328.07999999999993</v>
      </c>
      <c r="Z85" s="283" t="str">
        <f>Реагирование!Z39</f>
        <v xml:space="preserve"> -  Разработать КПЭ по процессу реагирования на инциденты ИБ для руководства ИБ;
 -  Разработать метрики по процессу;
 -  Назначить сервис-менеджеров процесса;
 -  Создать средство визуального мониторинга параметров процесса;
 -  Реализовать мониторинг параметров процесса;
 -  Реализовать реагирование на факты отклонения параметров процесса от определенных показателей</v>
      </c>
      <c r="AA85" s="280"/>
    </row>
    <row r="86" spans="2:28" s="271" customFormat="1" ht="193.2" hidden="1" outlineLevel="1">
      <c r="B86" s="272" t="str">
        <f>Реагирование!B53</f>
        <v>Процесс пост-анализа инцидентов</v>
      </c>
      <c r="C86" s="273" t="str">
        <f>Реагирование!C53</f>
        <v>РЕАГ.АНЛЗ.4</v>
      </c>
      <c r="D86" s="273">
        <f>Реагирование!D53</f>
        <v>4</v>
      </c>
      <c r="E86" s="273">
        <f>Реагирование!E53</f>
        <v>3</v>
      </c>
      <c r="F86" s="273">
        <f>Реагирование!F53</f>
        <v>1</v>
      </c>
      <c r="G86" s="273">
        <f>Реагирование!G53</f>
        <v>0</v>
      </c>
      <c r="H86" s="273">
        <f>Реагирование!H53</f>
        <v>0</v>
      </c>
      <c r="I86" s="273">
        <f>Реагирование!I53</f>
        <v>0</v>
      </c>
      <c r="J86" s="273">
        <f>Реагирование!J53</f>
        <v>0</v>
      </c>
      <c r="K86" s="273">
        <f>Реагирование!K53</f>
        <v>4</v>
      </c>
      <c r="L86" s="273">
        <f>Реагирование!L53</f>
        <v>0</v>
      </c>
      <c r="M86" s="273"/>
      <c r="N86" s="279"/>
      <c r="O86" s="232"/>
      <c r="P86" s="280"/>
      <c r="Q86" s="280"/>
      <c r="R86" s="280"/>
      <c r="S86" s="263">
        <f t="shared" si="17"/>
        <v>28.090000000000014</v>
      </c>
      <c r="T86" s="647" t="str">
        <f>Реагирование!T53</f>
        <v>Проводится анализ критичных инцидентов ИБ на ИС классов MissionCritical и BusinesCritical в режиме рабочих встреч с подразделениями ИТ, с составлением протоколов, содержащих первоочередные меры митигации</v>
      </c>
      <c r="U86" s="655"/>
      <c r="V86" s="263">
        <f t="shared" si="18"/>
        <v>228.08999999999992</v>
      </c>
      <c r="W86" s="283" t="str">
        <f>Реагирование!W53</f>
        <v xml:space="preserve"> - Формализовать и утвердить процесс пост-анализа инцидентов ИБ;
  -  Довести процесс до заинтересованных лиц;
- Обеспечить проведение пост-анализа инцидентов ИБ с применением средств автоматизации;
 -  Создать единую базу знаний инцидентов ИБ;
 - Проводить оценку и анализ инцидентов ИБ;
 - По результатам расследования инцидентов разрабатывать рекомендации по устранению выявленных уязвимостей и предотвращению аналогичных инцидентов в будущем;
 - Разрабатывать рекомендации по улучшению применяемых методов и средств защиты информации
- Повышать эффективность решающих правил SIEM с учетом инцидентов</v>
      </c>
      <c r="X86" s="280"/>
      <c r="Y86" s="263">
        <f t="shared" si="19"/>
        <v>328.08999999999992</v>
      </c>
      <c r="Z86" s="283" t="str">
        <f>Реагирование!Z53</f>
        <v>-  Обеспечить контроль за выполнением рекомендаций и оценку эффективности выполненных мероприятий;
  -  На постоянной основе проводить мониторинг процесса по утвержденным метрикам и показателям;
  - Назначить ответственных за соблюдением сроков проведения утвержденных мероприятий.</v>
      </c>
      <c r="AA86" s="280"/>
    </row>
    <row r="87" spans="2:28" s="271" customFormat="1" ht="124.8" hidden="1" outlineLevel="1">
      <c r="B87" s="272" t="str">
        <f>Мониторинг!B64</f>
        <v>Процесс создания решающих правил</v>
      </c>
      <c r="C87" s="273" t="str">
        <f>Мониторинг!C64</f>
        <v>МНТ.ПР.3</v>
      </c>
      <c r="D87" s="273">
        <f>Мониторинг!D64</f>
        <v>4</v>
      </c>
      <c r="E87" s="273">
        <f>Мониторинг!E64</f>
        <v>3</v>
      </c>
      <c r="F87" s="273">
        <f>Мониторинг!F64</f>
        <v>0</v>
      </c>
      <c r="G87" s="273">
        <f>Мониторинг!G64</f>
        <v>0</v>
      </c>
      <c r="H87" s="273">
        <f>Мониторинг!H64</f>
        <v>0</v>
      </c>
      <c r="I87" s="273">
        <f>Мониторинг!I64</f>
        <v>0</v>
      </c>
      <c r="J87" s="273">
        <f>Мониторинг!J64</f>
        <v>0</v>
      </c>
      <c r="K87" s="273">
        <f>Мониторинг!K64</f>
        <v>4</v>
      </c>
      <c r="L87" s="273">
        <f>Мониторинг!L64</f>
        <v>0</v>
      </c>
      <c r="M87" s="273"/>
      <c r="N87" s="279"/>
      <c r="O87" s="232"/>
      <c r="P87" s="280"/>
      <c r="Q87" s="280"/>
      <c r="R87" s="280"/>
      <c r="S87" s="267">
        <f t="shared" si="17"/>
        <v>28.100000000000016</v>
      </c>
      <c r="T87" s="645" t="str">
        <f>Мониторинг!T64</f>
        <v/>
      </c>
      <c r="U87" s="654"/>
      <c r="V87" s="267">
        <f t="shared" si="18"/>
        <v>228.09999999999991</v>
      </c>
      <c r="W87" s="277" t="str">
        <f>Мониторинг!W64</f>
        <v xml:space="preserve"> - Получить типовые решающие правила SIEM от разработчика SIEM и из других доступных источников. Адаптировать решающие правила для применения в инфрастурктуре организации.</v>
      </c>
      <c r="X87" s="276"/>
      <c r="Y87" s="267">
        <f t="shared" si="19"/>
        <v>328.09999999999991</v>
      </c>
      <c r="Z87" s="277" t="str">
        <f>Мониторинг!Z64</f>
        <v xml:space="preserve"> - Организовать процесс разработки решающих правил;
 - Создать базу знаний или инструкции по разработке решающих правил;
 -  Составить план разработки решающих правил;
 -  Организовать процесс анализа журналов событий для разработки решающих правил SIEM;
 -  Применить результаты расследования инцидентов для разработки решающих правил.</v>
      </c>
      <c r="AA87" s="276"/>
    </row>
    <row r="88" spans="2:28" s="271" customFormat="1" ht="82.8" hidden="1" outlineLevel="1">
      <c r="B88" s="272" t="str">
        <f>Мониторинг!B65</f>
        <v>Процесс подключения источников информации</v>
      </c>
      <c r="C88" s="273" t="str">
        <f>Мониторинг!C65</f>
        <v>МНТ.ПР.4</v>
      </c>
      <c r="D88" s="273">
        <f>Мониторинг!D65</f>
        <v>4</v>
      </c>
      <c r="E88" s="273">
        <f>Мониторинг!E65</f>
        <v>2</v>
      </c>
      <c r="F88" s="273">
        <f>Мониторинг!F65</f>
        <v>0</v>
      </c>
      <c r="G88" s="273">
        <f>Мониторинг!G65</f>
        <v>0</v>
      </c>
      <c r="H88" s="273">
        <f>Мониторинг!H65</f>
        <v>0</v>
      </c>
      <c r="I88" s="273">
        <f>Мониторинг!I65</f>
        <v>0</v>
      </c>
      <c r="J88" s="273">
        <f>Мониторинг!J65</f>
        <v>0</v>
      </c>
      <c r="K88" s="273">
        <f>Мониторинг!K65</f>
        <v>4</v>
      </c>
      <c r="L88" s="273">
        <f>Мониторинг!L65</f>
        <v>0</v>
      </c>
      <c r="M88" s="273"/>
      <c r="N88" s="279"/>
      <c r="O88" s="232"/>
      <c r="P88" s="280"/>
      <c r="Q88" s="280"/>
      <c r="R88" s="280"/>
      <c r="S88" s="263">
        <f t="shared" si="17"/>
        <v>28.110000000000017</v>
      </c>
      <c r="T88" s="646" t="str">
        <f>Мониторинг!T65</f>
        <v/>
      </c>
      <c r="U88" s="646"/>
      <c r="V88" s="263">
        <f t="shared" si="18"/>
        <v>228.1099999999999</v>
      </c>
      <c r="W88" s="280" t="str">
        <f>Мониторинг!W65</f>
        <v xml:space="preserve"> - Провести инвентаризацию источников событий и подключить их к SIEM</v>
      </c>
      <c r="X88" s="280"/>
      <c r="Y88" s="263">
        <f t="shared" si="19"/>
        <v>328.1099999999999</v>
      </c>
      <c r="Z88" s="280" t="str">
        <f>Мониторинг!Z65</f>
        <v xml:space="preserve"> - Регламентировать порядок подключения источников информации к SIEM;
 -  Определить требования по обязательному подключению;
 -  Реализовать процесс подключения источников, с инвентаризацией и контролем неподключенных источников;
 - Установить SLA по подключению.</v>
      </c>
      <c r="AA88" s="280"/>
      <c r="AB88" s="284"/>
    </row>
    <row r="89" spans="2:28" s="271" customFormat="1" ht="55.2" hidden="1" outlineLevel="1">
      <c r="B89" s="272" t="str">
        <f>Мониторинг!B66</f>
        <v>Процесс контроля источников информации</v>
      </c>
      <c r="C89" s="273" t="str">
        <f>Мониторинг!C66</f>
        <v>МНТ.ПР.5</v>
      </c>
      <c r="D89" s="273">
        <f>Мониторинг!D66</f>
        <v>4</v>
      </c>
      <c r="E89" s="273">
        <f>Мониторинг!E66</f>
        <v>3</v>
      </c>
      <c r="F89" s="273">
        <f>Мониторинг!F66</f>
        <v>0</v>
      </c>
      <c r="G89" s="273">
        <f>Мониторинг!G66</f>
        <v>0</v>
      </c>
      <c r="H89" s="273">
        <f>Мониторинг!H66</f>
        <v>0</v>
      </c>
      <c r="I89" s="273">
        <f>Мониторинг!I66</f>
        <v>0</v>
      </c>
      <c r="J89" s="273">
        <f>Мониторинг!J66</f>
        <v>0</v>
      </c>
      <c r="K89" s="273">
        <f>Мониторинг!K66</f>
        <v>4</v>
      </c>
      <c r="L89" s="273">
        <f>Мониторинг!L66</f>
        <v>0</v>
      </c>
      <c r="M89" s="273"/>
      <c r="N89" s="279"/>
      <c r="O89" s="232"/>
      <c r="P89" s="280"/>
      <c r="Q89" s="280"/>
      <c r="R89" s="280"/>
      <c r="S89" s="263">
        <f t="shared" si="17"/>
        <v>28.120000000000019</v>
      </c>
      <c r="T89" s="646" t="str">
        <f>Мониторинг!T66</f>
        <v/>
      </c>
      <c r="U89" s="646"/>
      <c r="V89" s="263">
        <f t="shared" si="18"/>
        <v>228.11999999999989</v>
      </c>
      <c r="W89" s="280" t="str">
        <f>Мониторинг!W66</f>
        <v xml:space="preserve"> - Регламентировать процесс контроля источников
</v>
      </c>
      <c r="X89" s="280"/>
      <c r="Y89" s="263">
        <f t="shared" si="19"/>
        <v>328.11999999999989</v>
      </c>
      <c r="Z89" s="280" t="str">
        <f>Мониторинг!Z66</f>
        <v>- Проводить аудит ИС для выявления неподключенных к SIEM источников;
 - Проверять, что источники подключены и успешно передают события.</v>
      </c>
      <c r="AA89" s="280"/>
    </row>
    <row r="90" spans="2:28" s="271" customFormat="1" ht="93.6" hidden="1" outlineLevel="1">
      <c r="B90" s="272" t="str">
        <f>Мониторинг!B57</f>
        <v>Внедрен процесс управления сбоями и мониторинга работоспособности SIEM</v>
      </c>
      <c r="C90" s="273" t="str">
        <f>Мониторинг!C57</f>
        <v>МНТ.SIEM.12</v>
      </c>
      <c r="D90" s="273">
        <f>Мониторинг!D57</f>
        <v>4</v>
      </c>
      <c r="E90" s="273">
        <f>Мониторинг!E57</f>
        <v>3</v>
      </c>
      <c r="F90" s="273">
        <f>Мониторинг!F57</f>
        <v>0</v>
      </c>
      <c r="G90" s="273">
        <f>Мониторинг!G57</f>
        <v>0</v>
      </c>
      <c r="H90" s="273">
        <f>Мониторинг!H57</f>
        <v>0</v>
      </c>
      <c r="I90" s="273">
        <f>Мониторинг!I57</f>
        <v>0</v>
      </c>
      <c r="J90" s="273">
        <f>Мониторинг!J57</f>
        <v>0</v>
      </c>
      <c r="K90" s="273">
        <f>Мониторинг!K57</f>
        <v>4</v>
      </c>
      <c r="L90" s="273">
        <f>Мониторинг!L57</f>
        <v>0</v>
      </c>
      <c r="M90" s="273"/>
      <c r="N90" s="279"/>
      <c r="O90" s="232"/>
      <c r="P90" s="280"/>
      <c r="Q90" s="280"/>
      <c r="R90" s="280"/>
      <c r="S90" s="263">
        <f t="shared" si="17"/>
        <v>28.13000000000002</v>
      </c>
      <c r="T90" s="645" t="str">
        <f>Мониторинг!T57</f>
        <v/>
      </c>
      <c r="U90" s="654"/>
      <c r="V90" s="263">
        <f t="shared" si="18"/>
        <v>228.12999999999988</v>
      </c>
      <c r="W90" s="277" t="str">
        <f>Мониторинг!W57</f>
        <v xml:space="preserve"> - Организовать контроль непрерывности мониторинга;
  -  Обеспечить восстановление мониторинга при сбоях в срок не более чем 6 часов;
  -  Обеспечить сохранность данных об инцидентах в случае сбоев;
</v>
      </c>
      <c r="X90" s="276"/>
      <c r="Y90" s="263">
        <f t="shared" si="19"/>
        <v>328.12999999999988</v>
      </c>
      <c r="Z90" s="277" t="str">
        <f>Мониторинг!Z57</f>
        <v xml:space="preserve">  -  Обеспечить переключение источников событий на резервный SIEM в случае сбоев.
- Обеспечить визуализация мониторинга работоспособности SIEM</v>
      </c>
      <c r="AA90" s="276"/>
    </row>
    <row r="91" spans="2:28" s="271" customFormat="1" ht="46.8" hidden="1" outlineLevel="1">
      <c r="B91" s="272" t="s">
        <v>363</v>
      </c>
      <c r="C91" s="273" t="str">
        <f>Реагирование!C46</f>
        <v>РЕАГ.КМНК.3</v>
      </c>
      <c r="D91" s="273">
        <f>Реагирование!D46</f>
        <v>5</v>
      </c>
      <c r="E91" s="273">
        <f>Реагирование!E46</f>
        <v>3.2</v>
      </c>
      <c r="F91" s="273">
        <f>Реагирование!F46</f>
        <v>0</v>
      </c>
      <c r="G91" s="273">
        <f>Реагирование!G46</f>
        <v>0</v>
      </c>
      <c r="H91" s="273">
        <f>Реагирование!H46</f>
        <v>0</v>
      </c>
      <c r="I91" s="273">
        <f>Реагирование!I46</f>
        <v>0</v>
      </c>
      <c r="J91" s="273">
        <f>Реагирование!J46</f>
        <v>0</v>
      </c>
      <c r="K91" s="273">
        <f>Реагирование!K46</f>
        <v>5</v>
      </c>
      <c r="L91" s="273">
        <f>Реагирование!L46</f>
        <v>0</v>
      </c>
      <c r="M91" s="273"/>
      <c r="N91" s="279"/>
      <c r="O91" s="232"/>
      <c r="P91" s="280"/>
      <c r="Q91" s="280"/>
      <c r="R91" s="280"/>
      <c r="S91" s="263">
        <f t="shared" si="17"/>
        <v>28.140000000000022</v>
      </c>
      <c r="T91" s="645" t="str">
        <f>Реагирование!T46</f>
        <v/>
      </c>
      <c r="U91" s="654"/>
      <c r="V91" s="263">
        <f t="shared" si="18"/>
        <v>228.13999999999987</v>
      </c>
      <c r="W91" s="277" t="str">
        <f>Реагирование!W46</f>
        <v xml:space="preserve"> - Определить критерии и порядок эскалации инцидентов;
  -  Определить маршруты эскалации;
  - Регламентировать процесс эскалации.</v>
      </c>
      <c r="X91" s="276"/>
      <c r="Y91" s="263">
        <f t="shared" si="19"/>
        <v>328.13999999999987</v>
      </c>
      <c r="Z91" s="277" t="str">
        <f>Реагирование!Z46</f>
        <v xml:space="preserve"> - Контролировать и оценивать эффективность процесса  реагирования на инциденты при эскалациях.</v>
      </c>
      <c r="AA91" s="276"/>
    </row>
    <row r="92" spans="2:28" s="271" customFormat="1" ht="124.8" hidden="1" outlineLevel="1">
      <c r="B92" s="272" t="s">
        <v>364</v>
      </c>
      <c r="C92" s="273" t="str">
        <f>'Управление ИБ'!C75</f>
        <v>УИБ.УР.4</v>
      </c>
      <c r="D92" s="273">
        <f>'Управление ИБ'!D75</f>
        <v>4</v>
      </c>
      <c r="E92" s="273">
        <f>'Управление ИБ'!E75</f>
        <v>0</v>
      </c>
      <c r="F92" s="273">
        <f>'Управление ИБ'!F75</f>
        <v>0</v>
      </c>
      <c r="G92" s="273">
        <f>'Управление ИБ'!G75</f>
        <v>0</v>
      </c>
      <c r="H92" s="273">
        <f>'Управление ИБ'!H75</f>
        <v>0</v>
      </c>
      <c r="I92" s="273">
        <f>'Управление ИБ'!I75</f>
        <v>0</v>
      </c>
      <c r="J92" s="273">
        <f>'Управление ИБ'!J75</f>
        <v>0</v>
      </c>
      <c r="K92" s="273">
        <f>'Управление ИБ'!K75</f>
        <v>4</v>
      </c>
      <c r="L92" s="273">
        <f>'Управление ИБ'!L75</f>
        <v>0</v>
      </c>
      <c r="M92" s="273"/>
      <c r="N92" s="279"/>
      <c r="O92" s="279"/>
      <c r="P92" s="273"/>
      <c r="Q92" s="273"/>
      <c r="R92" s="273"/>
      <c r="S92" s="263">
        <f t="shared" si="17"/>
        <v>28.150000000000023</v>
      </c>
      <c r="T92" s="645" t="str">
        <f>T75</f>
        <v/>
      </c>
      <c r="U92" s="654"/>
      <c r="V92" s="263">
        <f t="shared" si="18"/>
        <v>228.14999999999986</v>
      </c>
      <c r="W92" s="277" t="str">
        <f>W75</f>
        <v/>
      </c>
      <c r="X92" s="276"/>
      <c r="Y92" s="263">
        <f t="shared" si="19"/>
        <v>328.14999999999986</v>
      </c>
      <c r="Z92" s="277" t="str">
        <f>Z75</f>
        <v>- Разработать и утвердить методику количественной оценки рисков ИБ;
- Реализовать процесс количественной оценки рисков ИБ на основе методологии ПАО Ростелеком
- Автоматизировать систему оценки рисков ИБ
- разработаны и внедрены ключевые индикаторы риска (КИР), 
- организован мониторинг значений КИР, определены процедуры при выходе КИР в красную зону</v>
      </c>
      <c r="AA92" s="276"/>
    </row>
    <row r="93" spans="2:28" s="271" customFormat="1" ht="62.4" hidden="1" outlineLevel="1">
      <c r="B93" s="272" t="str">
        <f>'Управление ИБ'!B104</f>
        <v>Осуществляется контроль изменений конфигураций оборудования (АРМ, Серверы, Активное сетевое оборудование)</v>
      </c>
      <c r="C93" s="273" t="str">
        <f>'Управление ИБ'!C104</f>
        <v>УИБ.УА.5</v>
      </c>
      <c r="D93" s="273">
        <f>'Управление ИБ'!D104</f>
        <v>5</v>
      </c>
      <c r="E93" s="273">
        <f>'Управление ИБ'!E104</f>
        <v>3.2</v>
      </c>
      <c r="F93" s="273">
        <f>'Управление ИБ'!F104</f>
        <v>0</v>
      </c>
      <c r="G93" s="273">
        <f>'Управление ИБ'!G104</f>
        <v>0</v>
      </c>
      <c r="H93" s="273">
        <f>'Управление ИБ'!H104</f>
        <v>0</v>
      </c>
      <c r="I93" s="273">
        <f>'Управление ИБ'!I104</f>
        <v>0</v>
      </c>
      <c r="J93" s="273">
        <f>'Управление ИБ'!J104</f>
        <v>0</v>
      </c>
      <c r="K93" s="273">
        <f>'Управление ИБ'!K104</f>
        <v>5</v>
      </c>
      <c r="L93" s="273">
        <f>'Управление ИБ'!L104</f>
        <v>0</v>
      </c>
      <c r="M93" s="273"/>
      <c r="N93" s="279"/>
      <c r="O93" s="279"/>
      <c r="P93" s="273"/>
      <c r="Q93" s="273"/>
      <c r="R93" s="273"/>
      <c r="S93" s="263">
        <f t="shared" si="17"/>
        <v>28.160000000000025</v>
      </c>
      <c r="T93" s="645" t="str">
        <f>T104</f>
        <v/>
      </c>
      <c r="U93" s="654"/>
      <c r="V93" s="263">
        <f t="shared" si="18"/>
        <v>228.15999999999985</v>
      </c>
      <c r="W93" s="277" t="str">
        <f>W104</f>
        <v>Определить порядок управления конфигурациями оборудования;
Осуществлять автоматизированный контроль конфигураций активного сетевого оборудования и серверов</v>
      </c>
      <c r="X93" s="276"/>
      <c r="Y93" s="263">
        <f t="shared" si="19"/>
        <v>328.15999999999985</v>
      </c>
      <c r="Z93" s="277" t="str">
        <f>Z104</f>
        <v xml:space="preserve"> Осуществлять автоматизированный контроль конфигураций активного сетевого оборудования, серверов и конечных устройств;
 -  Отслеживать события изменения конфигурации.</v>
      </c>
      <c r="AA93" s="276"/>
    </row>
    <row r="94" spans="2:28" s="271" customFormat="1" ht="124.8" hidden="1" outlineLevel="1">
      <c r="B94" s="272" t="str">
        <f>B101</f>
        <v>Внедрен процесс инвентаризации и категорирования информационных активов</v>
      </c>
      <c r="C94" s="273" t="str">
        <f>C101</f>
        <v>УИБ.УА.2</v>
      </c>
      <c r="D94" s="273">
        <f t="shared" ref="D94:L94" si="20">D101</f>
        <v>4</v>
      </c>
      <c r="E94" s="273">
        <f t="shared" si="20"/>
        <v>3</v>
      </c>
      <c r="F94" s="273">
        <f t="shared" si="20"/>
        <v>1</v>
      </c>
      <c r="G94" s="273">
        <f t="shared" si="20"/>
        <v>0</v>
      </c>
      <c r="H94" s="273">
        <f t="shared" si="20"/>
        <v>0</v>
      </c>
      <c r="I94" s="273">
        <f t="shared" si="20"/>
        <v>0</v>
      </c>
      <c r="J94" s="273">
        <f t="shared" si="20"/>
        <v>0</v>
      </c>
      <c r="K94" s="273">
        <f>K101</f>
        <v>4</v>
      </c>
      <c r="L94" s="273">
        <f t="shared" si="20"/>
        <v>0</v>
      </c>
      <c r="M94" s="273"/>
      <c r="N94" s="279"/>
      <c r="O94" s="279"/>
      <c r="P94" s="273"/>
      <c r="Q94" s="273"/>
      <c r="R94" s="273"/>
      <c r="S94" s="263">
        <f t="shared" si="17"/>
        <v>28.170000000000027</v>
      </c>
      <c r="T94" s="645" t="str">
        <f>T101</f>
        <v xml:space="preserve">- Ведется реестр информационных активов с определением уровней критичности 
</v>
      </c>
      <c r="U94" s="654"/>
      <c r="V94" s="263">
        <f t="shared" si="18"/>
        <v>228.16999999999985</v>
      </c>
      <c r="W94" s="277" t="str">
        <f>W101</f>
        <v xml:space="preserve"> - Разработать формализованный докумет, устанавливающий критерии  категорирования ИА на основании законодательства и внутренних требований;
- Сформировать требования к обеспечению ИБ на основе категорий ИА
- Провести категорирование всех ИА;
- учет и инвентаризацию ИА проводить с использованием средств автоматизации</v>
      </c>
      <c r="X94" s="276"/>
      <c r="Y94" s="263">
        <f t="shared" si="19"/>
        <v>328.16999999999985</v>
      </c>
      <c r="Z94" s="277" t="str">
        <f>Z101</f>
        <v xml:space="preserve"> Разработаны и внедрены метрики процесса инвентаризации и категорирования ИА.</v>
      </c>
      <c r="AA94" s="276"/>
    </row>
    <row r="95" spans="2:28" s="271" customFormat="1" ht="140.4" hidden="1" outlineLevel="1">
      <c r="B95" s="272" t="str">
        <f>СЗИ!B51</f>
        <v>Процесс контроля работоспособности САВЗ</v>
      </c>
      <c r="C95" s="273" t="str">
        <f>СЗИ!C51</f>
        <v>СЗИ.ВПО.6</v>
      </c>
      <c r="D95" s="273">
        <f>СЗИ!D51</f>
        <v>4</v>
      </c>
      <c r="E95" s="273">
        <f>СЗИ!E51</f>
        <v>3</v>
      </c>
      <c r="F95" s="273">
        <f>СЗИ!F51</f>
        <v>2</v>
      </c>
      <c r="G95" s="273">
        <f>СЗИ!G51</f>
        <v>0</v>
      </c>
      <c r="H95" s="273">
        <f>СЗИ!H51</f>
        <v>0</v>
      </c>
      <c r="I95" s="273">
        <f>СЗИ!I51</f>
        <v>0</v>
      </c>
      <c r="J95" s="273">
        <f>СЗИ!J51</f>
        <v>0</v>
      </c>
      <c r="K95" s="273">
        <f>СЗИ!K51</f>
        <v>4</v>
      </c>
      <c r="L95" s="273">
        <f>СЗИ!L51</f>
        <v>0</v>
      </c>
      <c r="M95" s="273"/>
      <c r="N95" s="279"/>
      <c r="O95" s="232"/>
      <c r="P95" s="280"/>
      <c r="Q95" s="280"/>
      <c r="R95" s="280"/>
      <c r="S95" s="263">
        <f t="shared" si="17"/>
        <v>28.180000000000028</v>
      </c>
      <c r="T95" s="645" t="str">
        <f>СЗИ!T51</f>
        <v>- Разработать или Получить в Блоке ИБ ПАО Ростелеком типовое описание процесса контроля рабоспособности средств АВЗ
_x000D_- Утвердить в Обществе ВНД, описывающий процесс контроля рабоспособности средств АВЗ</v>
      </c>
      <c r="U95" s="654"/>
      <c r="V95" s="263">
        <f t="shared" si="18"/>
        <v>228.17999999999984</v>
      </c>
      <c r="W95" s="277" t="str">
        <f>СЗИ!W51</f>
        <v>- Реализовать в Обществе процесс контроля рабоспособности средств АВЗ</v>
      </c>
      <c r="X95" s="276"/>
      <c r="Y95" s="263">
        <f t="shared" si="19"/>
        <v>328.17999999999984</v>
      </c>
      <c r="Z95" s="277" t="str">
        <f>СЗИ!Z51</f>
        <v>- Разработать систему метрик для процесса контроля рабоспособности средств АВЗ
_x000D_- Создать средство визуального мониторинга параметров процесса контроля работоспособности средств АВЗ 
_x000D_- Реализовать мониторинг параметров процесса контроля работоспособности средств АВЗ
_x000D_- Реализовать реагирование на факты отклонения параметров процесса контроля работоспособности средств АВЗ от определенных показателей</v>
      </c>
      <c r="AA95" s="276"/>
    </row>
    <row r="96" spans="2:28" s="271" customFormat="1" ht="109.2" hidden="1" outlineLevel="1">
      <c r="B96" s="272" t="str">
        <f>СЗИ!B52</f>
        <v>Процесс обновления антивирусных средств</v>
      </c>
      <c r="C96" s="273" t="str">
        <f>СЗИ!C52</f>
        <v>СЗИ.ВПО.7</v>
      </c>
      <c r="D96" s="273">
        <f>СЗИ!D52</f>
        <v>4</v>
      </c>
      <c r="E96" s="273">
        <f>СЗИ!E52</f>
        <v>3</v>
      </c>
      <c r="F96" s="273">
        <f>СЗИ!F52</f>
        <v>2</v>
      </c>
      <c r="G96" s="273">
        <f>СЗИ!G52</f>
        <v>0</v>
      </c>
      <c r="H96" s="273">
        <f>СЗИ!H52</f>
        <v>0</v>
      </c>
      <c r="I96" s="273">
        <f>СЗИ!I52</f>
        <v>0</v>
      </c>
      <c r="J96" s="273">
        <f>СЗИ!J52</f>
        <v>0</v>
      </c>
      <c r="K96" s="273">
        <f>СЗИ!K52</f>
        <v>4</v>
      </c>
      <c r="L96" s="273">
        <f>СЗИ!L52</f>
        <v>0</v>
      </c>
      <c r="M96" s="273"/>
      <c r="N96" s="279"/>
      <c r="O96" s="232"/>
      <c r="P96" s="280"/>
      <c r="Q96" s="280"/>
      <c r="R96" s="280"/>
      <c r="S96" s="263">
        <f t="shared" si="17"/>
        <v>28.19000000000003</v>
      </c>
      <c r="T96" s="645" t="str">
        <f>СЗИ!T52</f>
        <v>- Разработать или Получить в Блоке ИБ ПАО Ростелеком типовое описание процесса обновления средств АВЗ
_x000D_- Утвердить в Обществе ВНД, описывающий процесс обновления средств АВЗ</v>
      </c>
      <c r="U96" s="654"/>
      <c r="V96" s="263">
        <f t="shared" si="18"/>
        <v>228.18999999999983</v>
      </c>
      <c r="W96" s="277" t="str">
        <f>СЗИ!W52</f>
        <v>- Реализовать в Обществе процесс обновления средств АВЗ</v>
      </c>
      <c r="X96" s="276"/>
      <c r="Y96" s="263">
        <f t="shared" si="19"/>
        <v>328.18999999999983</v>
      </c>
      <c r="Z96" s="277" t="str">
        <f>СЗИ!Z52</f>
        <v>- Разработать систему метрик для процесса обновления средств АВЗ
_x000D_- Создать средство визуального мониторинга параметров процесса обновления средств АВЗ 
_x000D_- Реализовать мониторинг параметров процесса обновления средств АВЗ
_x000D_- Реализовать реагирование на факты отклонения параметров процесса обновления средств АВЗ от определенных показателей</v>
      </c>
      <c r="AA96" s="276"/>
    </row>
    <row r="97" spans="2:27" s="271" customFormat="1" ht="140.4" hidden="1" outlineLevel="1">
      <c r="B97" s="272" t="str">
        <f>СЗИ!B53</f>
        <v>Процесс реагирования на события САВЗ</v>
      </c>
      <c r="C97" s="273" t="str">
        <f>СЗИ!C53</f>
        <v>СЗИ.ВПО.8</v>
      </c>
      <c r="D97" s="273">
        <f>СЗИ!D53</f>
        <v>4</v>
      </c>
      <c r="E97" s="273">
        <f>СЗИ!E53</f>
        <v>3</v>
      </c>
      <c r="F97" s="273">
        <f>СЗИ!F53</f>
        <v>2</v>
      </c>
      <c r="G97" s="273">
        <f>СЗИ!G53</f>
        <v>0</v>
      </c>
      <c r="H97" s="273">
        <f>СЗИ!H53</f>
        <v>0</v>
      </c>
      <c r="I97" s="273">
        <f>СЗИ!I53</f>
        <v>0</v>
      </c>
      <c r="J97" s="273">
        <f>СЗИ!J53</f>
        <v>0</v>
      </c>
      <c r="K97" s="273">
        <f>СЗИ!K53</f>
        <v>4</v>
      </c>
      <c r="L97" s="273">
        <f>СЗИ!L53</f>
        <v>0</v>
      </c>
      <c r="M97" s="273"/>
      <c r="N97" s="279"/>
      <c r="O97" s="232"/>
      <c r="P97" s="280"/>
      <c r="Q97" s="280"/>
      <c r="R97" s="280"/>
      <c r="S97" s="267">
        <f t="shared" si="17"/>
        <v>28.200000000000031</v>
      </c>
      <c r="T97" s="648" t="str">
        <f>СЗИ!T53</f>
        <v>- Разработать или Получить в Блоке ИБ ПАО Ростелеком типовое описание процесса реагирования на события средств АВЗ
_x000D_- Утвердить в Обществе ВНД, описывающий процесс реагирования на события средств АВЗ</v>
      </c>
      <c r="U97" s="654"/>
      <c r="V97" s="267">
        <f t="shared" si="18"/>
        <v>228.19999999999982</v>
      </c>
      <c r="W97" s="285" t="str">
        <f>СЗИ!W53</f>
        <v>- Реализовать в Обществе процесс реагирования на события  средств АВЗ</v>
      </c>
      <c r="X97" s="276"/>
      <c r="Y97" s="267">
        <f t="shared" si="19"/>
        <v>328.19999999999982</v>
      </c>
      <c r="Z97" s="285" t="str">
        <f>СЗИ!Z53</f>
        <v>- Разработать систему метрик для процесса реагирования на события  средств АВЗ
_x000D_- Создать средство визуального мониторинга параметров процесса реагирования на события  средств АВЗ 
_x000D_- Реализовать мониторинг параметров процесса реагирования на события  средств АВЗ
_x000D_- Реализовать реагирование на факты отклонения параметров процесса реагирования на события средств АВЗ от определенных показателей</v>
      </c>
      <c r="AA97" s="276"/>
    </row>
    <row r="98" spans="2:27" s="271" customFormat="1" ht="17.399999999999999" hidden="1" outlineLevel="1">
      <c r="B98" s="272" t="s">
        <v>365</v>
      </c>
      <c r="C98" s="273" t="str">
        <f>СЗИ!C102</f>
        <v>СЗИ.WAF.2</v>
      </c>
      <c r="D98" s="273">
        <f>СЗИ!D102</f>
        <v>4</v>
      </c>
      <c r="E98" s="273">
        <f>СЗИ!E102</f>
        <v>3</v>
      </c>
      <c r="F98" s="273">
        <f>СЗИ!F102</f>
        <v>1</v>
      </c>
      <c r="G98" s="273">
        <f>СЗИ!G102</f>
        <v>0</v>
      </c>
      <c r="H98" s="273">
        <f>СЗИ!H102</f>
        <v>0</v>
      </c>
      <c r="I98" s="273">
        <f>СЗИ!I102</f>
        <v>0</v>
      </c>
      <c r="J98" s="273">
        <f>СЗИ!J102</f>
        <v>0</v>
      </c>
      <c r="K98" s="273">
        <f>СЗИ!K102</f>
        <v>4</v>
      </c>
      <c r="L98" s="273">
        <f>СЗИ!L102</f>
        <v>0</v>
      </c>
      <c r="M98" s="273"/>
      <c r="N98" s="279"/>
      <c r="O98" s="279"/>
      <c r="P98" s="273"/>
      <c r="Q98" s="273"/>
      <c r="R98" s="273"/>
      <c r="S98" s="263">
        <f t="shared" si="17"/>
        <v>28.210000000000033</v>
      </c>
      <c r="T98" s="645" t="str">
        <f>СЗИ!T102</f>
        <v/>
      </c>
      <c r="U98" s="654"/>
      <c r="V98" s="263">
        <f t="shared" si="18"/>
        <v>228.20999999999981</v>
      </c>
      <c r="W98" s="277" t="str">
        <f>СЗИ!W102</f>
        <v/>
      </c>
      <c r="X98" s="276"/>
      <c r="Y98" s="263">
        <f t="shared" si="19"/>
        <v>328.20999999999981</v>
      </c>
      <c r="Z98" s="277" t="str">
        <f>СЗИ!Z102</f>
        <v/>
      </c>
      <c r="AA98" s="276"/>
    </row>
    <row r="99" spans="2:27" ht="17.399999999999999">
      <c r="B99" s="249" t="s">
        <v>201</v>
      </c>
      <c r="C99" s="21" t="s">
        <v>322</v>
      </c>
      <c r="D99" s="21"/>
      <c r="E99" s="21"/>
      <c r="F99" s="21"/>
      <c r="G99" s="270"/>
      <c r="H99" s="21"/>
      <c r="I99" s="21"/>
      <c r="J99" s="21"/>
      <c r="K99" s="21"/>
      <c r="L99" s="21"/>
      <c r="M99" s="21"/>
      <c r="N99" s="251"/>
      <c r="O99" s="251"/>
      <c r="P99" s="21"/>
      <c r="Q99" s="21"/>
      <c r="R99" s="21"/>
      <c r="S99" s="252">
        <f>VLOOKUP(B99,Приоритет!$G$9:$K$48,5,0)</f>
        <v>29</v>
      </c>
      <c r="T99" s="248" t="s">
        <v>322</v>
      </c>
      <c r="U99" s="248"/>
      <c r="V99" s="252">
        <f>S99+200</f>
        <v>229</v>
      </c>
      <c r="W99" s="21" t="s">
        <v>322</v>
      </c>
      <c r="X99" s="21"/>
      <c r="Y99" s="252">
        <f>S99+300</f>
        <v>329</v>
      </c>
      <c r="Z99" s="21" t="s">
        <v>322</v>
      </c>
      <c r="AA99" s="21"/>
    </row>
    <row r="100" spans="2:27" ht="62.4" outlineLevel="1">
      <c r="B100" s="254" t="s">
        <v>1253</v>
      </c>
      <c r="C100" s="255" t="s">
        <v>366</v>
      </c>
      <c r="D100" s="256">
        <v>5</v>
      </c>
      <c r="E100" s="257">
        <v>3.2</v>
      </c>
      <c r="F100" s="258">
        <v>1.6</v>
      </c>
      <c r="G100" s="128"/>
      <c r="H100" s="128"/>
      <c r="I100" s="128"/>
      <c r="J100" s="259"/>
      <c r="K100" s="260">
        <f t="shared" ref="K100:K160" si="21">IF(ЦУКБ="КБ 1",F100, IF(ЦУКБ="КБ 2",E100,D100))</f>
        <v>5</v>
      </c>
      <c r="L100" s="128">
        <f>IF((СК="Да"), D100, VALUE(LEFT(N100,3)))</f>
        <v>0</v>
      </c>
      <c r="M100">
        <f t="shared" ref="M100:M160" si="22">L100-K100</f>
        <v>-5</v>
      </c>
      <c r="N100" s="261" t="s">
        <v>349</v>
      </c>
      <c r="O100" s="216" t="str">
        <f>IF((СК="Да"),"Зона ответственности Сервисной компании", "")</f>
        <v/>
      </c>
      <c r="P100" s="262">
        <f t="shared" ref="P100:Q104" si="23">IFERROR(IF($L100&gt;D100,1,$L100/D100),0)</f>
        <v>0</v>
      </c>
      <c r="Q100" s="262">
        <f t="shared" si="23"/>
        <v>0</v>
      </c>
      <c r="R100" s="262">
        <f t="shared" ref="R100:R145" si="24">IFERROR(IF($L100&gt;=F100,1,$L100/F100),0)</f>
        <v>0</v>
      </c>
      <c r="S100" s="263">
        <f>S99+0.01</f>
        <v>29.01</v>
      </c>
      <c r="T100" s="640" t="str">
        <f>IF(($L100-$F100)&gt;=0,"",
" - Выполнить инвентаризацию ИС и информационных ресурсов. 
- Установить принадлежность ресурсов к ИС
- Установить принадлежность ИС к инфраструктуре")</f>
        <v xml:space="preserve"> - Выполнить инвентаризацию ИС и информационных ресурсов. 
- Установить принадлежность ресурсов к ИС
- Установить принадлежность ИС к инфраструктуре</v>
      </c>
      <c r="U100" s="644" t="s">
        <v>1318</v>
      </c>
      <c r="V100" s="263">
        <f>V99+0.01</f>
        <v>229.01</v>
      </c>
      <c r="W100" s="122" t="str">
        <f>IF(($L100-$E100)&gt;=0,""," - Автоматизировать учет ИС и информационных ресурсов и сформировать единую базу данных.")</f>
        <v xml:space="preserve"> - Автоматизировать учет ИС и информационных ресурсов и сформировать единую базу данных.</v>
      </c>
      <c r="X100" s="128" t="s">
        <v>1222</v>
      </c>
      <c r="Y100" s="263">
        <f>Y99+0.01</f>
        <v>329.01</v>
      </c>
      <c r="Z100" s="122" t="str">
        <f>IF(($L100-$D100)&gt;=0,"",
" - Обеспечить непрерывный учет и актуальность данных об ИС и их ресурсах.")</f>
        <v xml:space="preserve"> - Обеспечить непрерывный учет и актуальность данных об ИС и их ресурсах.</v>
      </c>
      <c r="AA100" s="644" t="s">
        <v>1222</v>
      </c>
    </row>
    <row r="101" spans="2:27" ht="124.8" outlineLevel="1">
      <c r="B101" s="254" t="s">
        <v>367</v>
      </c>
      <c r="C101" s="255" t="s">
        <v>368</v>
      </c>
      <c r="D101" s="256">
        <v>4</v>
      </c>
      <c r="E101" s="257">
        <v>3</v>
      </c>
      <c r="F101" s="258">
        <v>1</v>
      </c>
      <c r="G101" s="128"/>
      <c r="H101" s="128"/>
      <c r="I101" s="128"/>
      <c r="J101" s="259"/>
      <c r="K101" s="260">
        <f t="shared" si="21"/>
        <v>4</v>
      </c>
      <c r="L101" s="128">
        <f>IF((СК="Да"), F101, VALUE(LEFT(N101,3)))</f>
        <v>0</v>
      </c>
      <c r="M101">
        <f t="shared" si="22"/>
        <v>-4</v>
      </c>
      <c r="N101" s="269" t="s">
        <v>359</v>
      </c>
      <c r="O101" s="216"/>
      <c r="P101" s="262">
        <f t="shared" si="23"/>
        <v>0</v>
      </c>
      <c r="Q101" s="262">
        <f t="shared" si="23"/>
        <v>0</v>
      </c>
      <c r="R101" s="262">
        <f t="shared" si="24"/>
        <v>0</v>
      </c>
      <c r="S101" s="263">
        <f>S100+0.01</f>
        <v>29.020000000000003</v>
      </c>
      <c r="T101" s="640" t="str">
        <f>IF(($L101-$F101)&gt;=0,"",
"- Ведется реестр информационных активов с определением уровней критичности 
")</f>
        <v xml:space="preserve">- Ведется реестр информационных активов с определением уровней критичности 
</v>
      </c>
      <c r="U101" s="644" t="s">
        <v>1167</v>
      </c>
      <c r="V101" s="263">
        <f>V100+0.01</f>
        <v>229.01999999999998</v>
      </c>
      <c r="W101" s="122" t="str">
        <f>IF(($L101-$E101)&gt;=0,"",
" - Разработать формализованный докумет, устанавливающий критерии  категорирования ИА на основании законодательства и внутренних требований;
- Сформировать требования к обеспечению ИБ на основе категорий ИА"&amp;"
- Провести категорирование всех ИА;
- учет и инвентаризацию ИА проводить с использованием средств автоматизации")</f>
        <v xml:space="preserve"> - Разработать формализованный докумет, устанавливающий критерии  категорирования ИА на основании законодательства и внутренних требований;
- Сформировать требования к обеспечению ИБ на основе категорий ИА
- Провести категорирование всех ИА;
- учет и инвентаризацию ИА проводить с использованием средств автоматизации</v>
      </c>
      <c r="X101" s="644" t="s">
        <v>1168</v>
      </c>
      <c r="Y101" s="263">
        <f>Y100+0.01</f>
        <v>329.02</v>
      </c>
      <c r="Z101" s="122" t="str">
        <f>IF(($L101-$D101)&gt;=0,"",
" Разработаны и внедрены метрики процесса инвентаризации и категорирования ИА.")</f>
        <v xml:space="preserve"> Разработаны и внедрены метрики процесса инвентаризации и категорирования ИА.</v>
      </c>
      <c r="AA101" s="128" t="s">
        <v>1169</v>
      </c>
    </row>
    <row r="102" spans="2:27" ht="124.8" outlineLevel="1">
      <c r="B102" s="254" t="s">
        <v>369</v>
      </c>
      <c r="C102" s="255" t="s">
        <v>370</v>
      </c>
      <c r="D102" s="256">
        <v>5</v>
      </c>
      <c r="E102" s="257">
        <v>3.2</v>
      </c>
      <c r="F102" s="258">
        <v>0</v>
      </c>
      <c r="G102" s="128"/>
      <c r="H102" s="128"/>
      <c r="I102" s="128"/>
      <c r="J102" s="259"/>
      <c r="K102" s="260">
        <f t="shared" si="21"/>
        <v>5</v>
      </c>
      <c r="L102" s="128">
        <f>IF((СК="Да"), D102, VALUE(LEFT(N102,3)))</f>
        <v>0</v>
      </c>
      <c r="M102">
        <f t="shared" si="22"/>
        <v>-5</v>
      </c>
      <c r="N102" s="261" t="s">
        <v>349</v>
      </c>
      <c r="O102" s="216" t="str">
        <f>IF((СК="Да"),"Зона ответственности Сервисной компании", "")</f>
        <v/>
      </c>
      <c r="P102" s="262">
        <f t="shared" si="23"/>
        <v>0</v>
      </c>
      <c r="Q102" s="262">
        <f t="shared" si="23"/>
        <v>0</v>
      </c>
      <c r="R102" s="262"/>
      <c r="S102" s="263">
        <f>S101+0.01</f>
        <v>29.030000000000005</v>
      </c>
      <c r="T102" s="640" t="str">
        <f>IF(($L102-$F102)&gt;=0,"",)</f>
        <v/>
      </c>
      <c r="V102" s="263">
        <f>V101+0.01</f>
        <v>229.02999999999997</v>
      </c>
      <c r="W102" s="122" t="str">
        <f>IF(($L102-$E102)&gt;=0,"",
" - Регламентировать порядок описания сетевых взаимодействий;"&amp;"
  - Документировать перечень разрешенных сетевых взаимодействий для компонентов инфраструктуры и не менее чем для 30% ИС;"&amp;"
   - По результатам документирования привести в соответствие правила межсетевых экранов.")</f>
        <v xml:space="preserve"> - Регламентировать порядок описания сетевых взаимодействий;
  - Документировать перечень разрешенных сетевых взаимодействий для компонентов инфраструктуры и не менее чем для 30% ИС;
   - По результатам документирования привести в соответствие правила межсетевых экранов.</v>
      </c>
      <c r="X102" s="644" t="s">
        <v>1255</v>
      </c>
      <c r="Y102" s="263">
        <f>Y101+0.01</f>
        <v>329.03</v>
      </c>
      <c r="Z102" s="122" t="str">
        <f>IF(($L102-$D102)&gt;=0,"",
" - Документировать перечень разрешенных сетевых взаимодействий для всех ИС;"&amp;"
  - Документировать конфигурацию сети (состав сетевых сегментов, сетевые маршруты, правила межсетевых экранов);"&amp;"
- Для каждого сетевого правила определить владельца и врям жизни
  - Регламентировать и реализовать процесс  согласования и изменения конфигурации сети.")</f>
        <v xml:space="preserve"> - Документировать перечень разрешенных сетевых взаимодействий для всех ИС;
  - Документировать конфигурацию сети (состав сетевых сегментов, сетевые маршруты, правила межсетевых экранов);
- Для каждого сетевого правила определить владельца и врям жизни
  - Регламентировать и реализовать процесс  согласования и изменения конфигурации сети.</v>
      </c>
      <c r="AA102" s="644" t="s">
        <v>1297</v>
      </c>
    </row>
    <row r="103" spans="2:27" ht="62.4" outlineLevel="1">
      <c r="B103" s="254" t="s">
        <v>371</v>
      </c>
      <c r="C103" s="255" t="s">
        <v>372</v>
      </c>
      <c r="D103" s="256">
        <v>5</v>
      </c>
      <c r="E103" s="257">
        <v>3.2</v>
      </c>
      <c r="F103" s="258">
        <v>0</v>
      </c>
      <c r="G103" s="128"/>
      <c r="H103" s="128"/>
      <c r="I103" s="128"/>
      <c r="J103" s="259"/>
      <c r="K103" s="260">
        <f t="shared" si="21"/>
        <v>5</v>
      </c>
      <c r="L103" s="128">
        <f>IF((СК="Да"), D103, VALUE(LEFT(N103,3)))</f>
        <v>0</v>
      </c>
      <c r="M103">
        <f t="shared" si="22"/>
        <v>-5</v>
      </c>
      <c r="N103" s="261" t="s">
        <v>349</v>
      </c>
      <c r="O103" s="216" t="str">
        <f>IF((СК="Да"),"Зона ответственности Сервисной компании", "")</f>
        <v/>
      </c>
      <c r="P103" s="262">
        <f t="shared" si="23"/>
        <v>0</v>
      </c>
      <c r="Q103" s="262">
        <f t="shared" si="23"/>
        <v>0</v>
      </c>
      <c r="R103" s="262"/>
      <c r="S103" s="263">
        <f>S102+0.01</f>
        <v>29.040000000000006</v>
      </c>
      <c r="T103" s="640" t="str">
        <f>IF(($L103-$F103)&gt;=0,"",)</f>
        <v/>
      </c>
      <c r="V103" s="263">
        <f>V102+0.01</f>
        <v>229.03999999999996</v>
      </c>
      <c r="W103" s="122" t="str">
        <f>IF(($L103-$E103)&gt;=0,"",
" - Разработать или Получить в Блоке ИБ ПАО Ростелеком типовые защищенные конфигурации;"&amp;"
   - Обеспечить применение безопасных конфигураций на не менее чем 50% хостов.")</f>
        <v xml:space="preserve"> - Разработать или Получить в Блоке ИБ ПАО Ростелеком типовые защищенные конфигурации;
   - Обеспечить применение безопасных конфигураций на не менее чем 50% хостов.</v>
      </c>
      <c r="X103" s="644" t="s">
        <v>1256</v>
      </c>
      <c r="Y103" s="263">
        <f>Y102+0.01</f>
        <v>329.03999999999996</v>
      </c>
      <c r="Z103" s="122" t="str">
        <f>IF(($L103-$D103)&gt;=0,"",
" - Обеспечить применение безопасных конфигураций на 100% хостов;
  - Разработать безопасные конфигурации для видов ПО, применяемых в Обществе.")</f>
        <v xml:space="preserve"> - Обеспечить применение безопасных конфигураций на 100% хостов;
  - Разработать безопасные конфигурации для видов ПО, применяемых в Обществе.</v>
      </c>
      <c r="AA103" s="128" t="s">
        <v>1256</v>
      </c>
    </row>
    <row r="104" spans="2:27" ht="78" outlineLevel="1">
      <c r="B104" s="632" t="s">
        <v>1298</v>
      </c>
      <c r="C104" s="255" t="s">
        <v>373</v>
      </c>
      <c r="D104" s="256">
        <v>5</v>
      </c>
      <c r="E104" s="257">
        <v>3.2</v>
      </c>
      <c r="F104" s="258">
        <v>0</v>
      </c>
      <c r="G104" s="128"/>
      <c r="H104" s="128"/>
      <c r="I104" s="128"/>
      <c r="J104" s="259"/>
      <c r="K104" s="260">
        <f t="shared" si="21"/>
        <v>5</v>
      </c>
      <c r="L104" s="128">
        <f>IF((СК="Да"), D104, VALUE(LEFT(N104,3)))</f>
        <v>0</v>
      </c>
      <c r="M104">
        <f t="shared" si="22"/>
        <v>-5</v>
      </c>
      <c r="N104" s="261" t="s">
        <v>349</v>
      </c>
      <c r="O104" s="216" t="str">
        <f>IF((СК="Да"),"Зона ответственности Сервисной компании", "")</f>
        <v/>
      </c>
      <c r="P104" s="262">
        <f t="shared" si="23"/>
        <v>0</v>
      </c>
      <c r="Q104" s="262">
        <f t="shared" si="23"/>
        <v>0</v>
      </c>
      <c r="R104" s="262"/>
      <c r="S104" s="263">
        <f>S103+0.01</f>
        <v>29.050000000000008</v>
      </c>
      <c r="T104" s="644" t="str">
        <f>IF(($L104-$F104)&gt;=0,"",)</f>
        <v/>
      </c>
      <c r="V104" s="263">
        <f>V103+0.01</f>
        <v>229.04999999999995</v>
      </c>
      <c r="W104" s="122" t="str">
        <f>IF(($L104-$E104)&gt;=0,"",
"Определить порядок управления конфигурациями оборудования;
Осуществлять автоматизированный контроль конфигураций активного сетевого оборудования и серверов")</f>
        <v>Определить порядок управления конфигурациями оборудования;
Осуществлять автоматизированный контроль конфигураций активного сетевого оборудования и серверов</v>
      </c>
      <c r="X104" s="644" t="s">
        <v>1299</v>
      </c>
      <c r="Y104" s="263">
        <f>Y103+0.01</f>
        <v>329.04999999999995</v>
      </c>
      <c r="Z104" s="122" t="str">
        <f>IF(($L104-$D104)&gt;=0,"",
" Осуществлять автоматизированный контроль конфигураций активного сетевого оборудования, серверов и конечных устройств;
 -  Отслеживать события изменения конфигурации.")</f>
        <v xml:space="preserve"> Осуществлять автоматизированный контроль конфигураций активного сетевого оборудования, серверов и конечных устройств;
 -  Отслеживать события изменения конфигурации.</v>
      </c>
      <c r="AA104" s="644" t="s">
        <v>1299</v>
      </c>
    </row>
    <row r="105" spans="2:27" ht="17.399999999999999">
      <c r="B105" s="249" t="s">
        <v>207</v>
      </c>
      <c r="C105" s="21" t="s">
        <v>320</v>
      </c>
      <c r="D105" s="21"/>
      <c r="E105" s="21"/>
      <c r="F105" s="21"/>
      <c r="G105" s="270"/>
      <c r="H105" s="21"/>
      <c r="I105" s="21"/>
      <c r="J105" s="21"/>
      <c r="K105" s="21"/>
      <c r="L105" s="21"/>
      <c r="M105" s="21"/>
      <c r="N105" s="251"/>
      <c r="O105" s="251"/>
      <c r="P105" s="21"/>
      <c r="Q105" s="21"/>
      <c r="R105" s="21"/>
      <c r="S105" s="252">
        <f>VLOOKUP(B105,Приоритет!$G$9:$K$48,5,0)</f>
        <v>35</v>
      </c>
      <c r="T105" s="248" t="s">
        <v>320</v>
      </c>
      <c r="U105" s="248"/>
      <c r="V105" s="252">
        <f>S105+200</f>
        <v>235</v>
      </c>
      <c r="W105" s="21" t="s">
        <v>320</v>
      </c>
      <c r="X105" s="21"/>
      <c r="Y105" s="252">
        <f>S105+300</f>
        <v>335</v>
      </c>
      <c r="Z105" s="21" t="s">
        <v>320</v>
      </c>
      <c r="AA105" s="21"/>
    </row>
    <row r="106" spans="2:27" ht="41.4" outlineLevel="1">
      <c r="B106" s="254" t="s">
        <v>374</v>
      </c>
      <c r="C106" s="255" t="s">
        <v>375</v>
      </c>
      <c r="D106" s="256">
        <v>5</v>
      </c>
      <c r="E106" s="257">
        <v>3.2</v>
      </c>
      <c r="F106" s="258">
        <v>1.6</v>
      </c>
      <c r="G106" s="128"/>
      <c r="H106" s="128"/>
      <c r="I106" s="128"/>
      <c r="J106" s="286"/>
      <c r="K106" s="260">
        <f t="shared" si="21"/>
        <v>5</v>
      </c>
      <c r="L106" s="128">
        <f>VALUE(LEFT(N106,3))</f>
        <v>0</v>
      </c>
      <c r="M106">
        <f t="shared" si="22"/>
        <v>-5</v>
      </c>
      <c r="N106" s="261" t="s">
        <v>349</v>
      </c>
      <c r="O106" s="216"/>
      <c r="P106" s="262">
        <f t="shared" ref="P106:Q108" si="25">IFERROR(IF($L106&gt;D106,1,$L106/D106),0)</f>
        <v>0</v>
      </c>
      <c r="Q106" s="262">
        <f t="shared" si="25"/>
        <v>0</v>
      </c>
      <c r="R106" s="262">
        <f t="shared" si="24"/>
        <v>0</v>
      </c>
      <c r="S106" s="263">
        <f>S105+0.01</f>
        <v>35.01</v>
      </c>
      <c r="T106" s="640" t="str">
        <f>IF(($L106-$F106)&gt;=0,"",
" -  Включить подразделение ИБ в согласование договоров с ИТ/ИБ составляющей.")</f>
        <v xml:space="preserve"> -  Включить подразделение ИБ в согласование договоров с ИТ/ИБ составляющей.</v>
      </c>
      <c r="U106" s="644" t="s">
        <v>1306</v>
      </c>
      <c r="V106" s="263">
        <f>V105+0.01</f>
        <v>235.01</v>
      </c>
      <c r="W106" s="122" t="str">
        <f>IF(($L106-$E106)&gt;=0,"","Роль ИБ в согласовании договоров с ИТ/ИБ составляющей закреплена в ВНД")</f>
        <v>Роль ИБ в согласовании договоров с ИТ/ИБ составляющей закреплена в ВНД</v>
      </c>
      <c r="X106" s="644" t="s">
        <v>1307</v>
      </c>
      <c r="Y106" s="263">
        <f>Y105+0.01</f>
        <v>335.01</v>
      </c>
      <c r="Z106" s="122" t="str">
        <f>IF(($L106-$D106)&gt;=0,"",
"Для договоров, подразумевающих интеграцию\сетевые взаимодействие, обязательно наличие утвержденных схем")</f>
        <v>Для договоров, подразумевающих интеграцию\сетевые взаимодействие, обязательно наличие утвержденных схем</v>
      </c>
      <c r="AA106" s="644" t="s">
        <v>1308</v>
      </c>
    </row>
    <row r="107" spans="2:27" ht="109.2" outlineLevel="1">
      <c r="B107" s="254" t="s">
        <v>1152</v>
      </c>
      <c r="C107" s="255" t="s">
        <v>376</v>
      </c>
      <c r="D107" s="256">
        <v>5</v>
      </c>
      <c r="E107" s="257">
        <v>5</v>
      </c>
      <c r="F107" s="258">
        <v>5</v>
      </c>
      <c r="G107" s="128"/>
      <c r="H107" s="128"/>
      <c r="I107" s="128"/>
      <c r="J107" s="286"/>
      <c r="K107" s="260">
        <f t="shared" si="21"/>
        <v>5</v>
      </c>
      <c r="L107" s="128">
        <f>VALUE(LEFT(N107,3))</f>
        <v>0</v>
      </c>
      <c r="M107">
        <f t="shared" si="22"/>
        <v>-5</v>
      </c>
      <c r="N107" s="261" t="s">
        <v>349</v>
      </c>
      <c r="O107" s="216"/>
      <c r="P107" s="262">
        <f t="shared" si="25"/>
        <v>0</v>
      </c>
      <c r="Q107" s="262">
        <f t="shared" si="25"/>
        <v>0</v>
      </c>
      <c r="R107" s="262">
        <f t="shared" si="24"/>
        <v>0</v>
      </c>
      <c r="S107" s="263">
        <f>S106+0.01</f>
        <v>35.019999999999996</v>
      </c>
      <c r="T107" s="649" t="str">
        <f>IF(($L107-$F107)&gt;=0,"",
" - Сформировать или получить в ПАО Ростелеком типовые требования к контрагентам по принятию мер информационной безопасности;"&amp;"
  - Обеспечить включение в договоры требований и ответственности контрагента за их неисполнение
- соглашения о ИБ актуализируются не реже 1-го раза в год ")</f>
        <v xml:space="preserve"> - Сформировать или получить в ПАО Ростелеком типовые требования к контрагентам по принятию мер информационной безопасности;
  - Обеспечить включение в договоры требований и ответственности контрагента за их неисполнение
- соглашения о ИБ актуализируются не реже 1-го раза в год </v>
      </c>
      <c r="U107" s="644" t="s">
        <v>1153</v>
      </c>
      <c r="V107" s="263">
        <f>V106+0.01</f>
        <v>235.01999999999998</v>
      </c>
      <c r="W107" s="122" t="str">
        <f>IF(($L107-$E107)&gt;=0,"","")</f>
        <v/>
      </c>
      <c r="Y107" s="263">
        <f>Y106+0.01</f>
        <v>335.02</v>
      </c>
      <c r="Z107" s="122" t="str">
        <f>IF(($L107-$D107)&gt;=0,"",
"")</f>
        <v/>
      </c>
    </row>
    <row r="108" spans="2:27" ht="55.2" outlineLevel="1">
      <c r="B108" s="254" t="s">
        <v>377</v>
      </c>
      <c r="C108" s="255" t="s">
        <v>378</v>
      </c>
      <c r="D108" s="256">
        <v>5</v>
      </c>
      <c r="E108" s="257">
        <v>3.2</v>
      </c>
      <c r="F108" s="258">
        <v>1.6</v>
      </c>
      <c r="G108" s="128"/>
      <c r="H108" s="128"/>
      <c r="I108" s="128"/>
      <c r="J108" s="286"/>
      <c r="K108" s="260">
        <f t="shared" si="21"/>
        <v>5</v>
      </c>
      <c r="L108" s="128">
        <f>VALUE(LEFT(N108,3))</f>
        <v>0</v>
      </c>
      <c r="M108">
        <f t="shared" si="22"/>
        <v>-5</v>
      </c>
      <c r="N108" s="261" t="s">
        <v>349</v>
      </c>
      <c r="O108" s="216"/>
      <c r="P108" s="262">
        <f t="shared" si="25"/>
        <v>0</v>
      </c>
      <c r="Q108" s="262">
        <f t="shared" si="25"/>
        <v>0</v>
      </c>
      <c r="R108" s="262">
        <f t="shared" si="24"/>
        <v>0</v>
      </c>
      <c r="S108" s="263">
        <f>S107+0.01</f>
        <v>35.029999999999994</v>
      </c>
      <c r="T108" s="649" t="str">
        <f>IF(($L108-$F108)&gt;=0,"","Проводить контроль договорных обязательств подрядчиков")</f>
        <v>Проводить контроль договорных обязательств подрядчиков</v>
      </c>
      <c r="U108" s="644" t="s">
        <v>1173</v>
      </c>
      <c r="V108" s="263">
        <f>V107+0.01</f>
        <v>235.02999999999997</v>
      </c>
      <c r="W108" s="122" t="str">
        <f>IF(($L108-$E108)&gt;=0,"",
" - Получить от подрядчиков подтверждение соблюдения мер ИБ (отчеты о внутреннем и внешнем аудите)")</f>
        <v xml:space="preserve"> - Получить от подрядчиков подтверждение соблюдения мер ИБ (отчеты о внутреннем и внешнем аудите)</v>
      </c>
      <c r="X108" s="128" t="s">
        <v>315</v>
      </c>
      <c r="Y108" s="263">
        <f>Y107+0.01</f>
        <v>335.03</v>
      </c>
      <c r="Z108" s="122" t="str">
        <f>IF(($L108-$D108)&gt;=0,"",
" - Регулярно запрашивать у подрядчиков отчеты о пройденных аудитах.")</f>
        <v xml:space="preserve"> - Регулярно запрашивать у подрядчиков отчеты о пройденных аудитах.</v>
      </c>
      <c r="AA108" s="128" t="s">
        <v>315</v>
      </c>
    </row>
    <row r="109" spans="2:27" ht="17.399999999999999">
      <c r="B109" s="249" t="s">
        <v>163</v>
      </c>
      <c r="C109" s="21" t="s">
        <v>321</v>
      </c>
      <c r="D109" s="21"/>
      <c r="E109" s="21"/>
      <c r="F109" s="21"/>
      <c r="G109" s="270"/>
      <c r="H109" s="21"/>
      <c r="I109" s="21"/>
      <c r="J109" s="21"/>
      <c r="K109" s="21"/>
      <c r="L109" s="21"/>
      <c r="M109" s="21"/>
      <c r="N109" s="251"/>
      <c r="O109" s="251"/>
      <c r="P109" s="21"/>
      <c r="Q109" s="21"/>
      <c r="R109" s="21"/>
      <c r="S109" s="252">
        <f>VLOOKUP(B109,Приоритет!$G$9:$K$48,5,0)</f>
        <v>15</v>
      </c>
      <c r="T109" s="248" t="s">
        <v>321</v>
      </c>
      <c r="U109" s="248"/>
      <c r="V109" s="252">
        <f>S109+200</f>
        <v>215</v>
      </c>
      <c r="W109" s="21" t="s">
        <v>321</v>
      </c>
      <c r="X109" s="21"/>
      <c r="Y109" s="252">
        <f>S109+300</f>
        <v>315</v>
      </c>
      <c r="Z109" s="21" t="s">
        <v>321</v>
      </c>
      <c r="AA109" s="21"/>
    </row>
    <row r="110" spans="2:27" ht="140.4" outlineLevel="1">
      <c r="B110" s="287" t="s">
        <v>379</v>
      </c>
      <c r="C110" s="255" t="s">
        <v>380</v>
      </c>
      <c r="D110" s="256">
        <v>5</v>
      </c>
      <c r="E110" s="257">
        <v>3.2</v>
      </c>
      <c r="F110" s="258">
        <v>1.6</v>
      </c>
      <c r="G110" s="128"/>
      <c r="H110" s="128"/>
      <c r="I110" s="128"/>
      <c r="J110" s="259"/>
      <c r="K110" s="260">
        <f t="shared" si="21"/>
        <v>5</v>
      </c>
      <c r="L110" s="128">
        <f t="shared" ref="L110:L115" si="26">IF((СК="Да"), D110, VALUE(LEFT(N110,3)))</f>
        <v>0</v>
      </c>
      <c r="M110">
        <f t="shared" si="22"/>
        <v>-5</v>
      </c>
      <c r="N110" s="261" t="s">
        <v>349</v>
      </c>
      <c r="O110" s="216" t="str">
        <f>IF((СК="Да"),"Совместная зона ответственности ДЗО и Сервисной компании", "")</f>
        <v/>
      </c>
      <c r="P110" s="262">
        <f t="shared" ref="P110:P123" si="27">IFERROR(IF($L110&gt;D110,1,$L110/D110),0)</f>
        <v>0</v>
      </c>
      <c r="Q110" s="262">
        <f t="shared" ref="Q110:Q123" si="28">IFERROR(IF($L110&gt;E110,1,$L110/E110),0)</f>
        <v>0</v>
      </c>
      <c r="R110" s="262">
        <f t="shared" si="24"/>
        <v>0</v>
      </c>
      <c r="S110" s="263">
        <f t="shared" ref="S110:S123" si="29">S109+0.01</f>
        <v>15.01</v>
      </c>
      <c r="T110" s="288" t="str">
        <f>IF(($L110-$F110)&gt;=0,"",
" - Разработать и поддерживать детальный реестр эксплуатируемых АРМ и серверов;"&amp;"
  - Записи реестра должны содержать сетевой адрес (если он статический), аппаратный адрес, имя машины, ее владельца, подразделение и разрешение на подключение к сети;"&amp;"
 - Реестр должен пересматриваться и обновляться не реже одного раза в полугодие.")</f>
        <v xml:space="preserve"> - Разработать и поддерживать детальный реестр эксплуатируемых АРМ и серверов;
  - Записи реестра должны содержать сетевой адрес (если он статический), аппаратный адрес, имя машины, ее владельца, подразделение и разрешение на подключение к сети;
 - Реестр должен пересматриваться и обновляться не реже одного раза в полугодие.</v>
      </c>
      <c r="U110" s="644" t="s">
        <v>1147</v>
      </c>
      <c r="V110" s="263">
        <f t="shared" ref="V110:V123" si="30">V109+0.01</f>
        <v>215.01</v>
      </c>
      <c r="W110" s="122" t="str">
        <f>IF(($L110-$E110)&gt;=0,"",
" - Реестр должен формироваться на основании результатов автоматизированной инвентаризации не реже одного раза в месяц;"&amp;"
   - Должна проводиться проверка актуальности данных реестра и полноты учета;
   - Количество не учтенных в реестре устройств не должно превышать 5%.")</f>
        <v xml:space="preserve"> - Реестр должен формироваться на основании результатов автоматизированной инвентаризации не реже одного раза в месяц;
   - Должна проводиться проверка актуальности данных реестра и полноты учета;
   - Количество не учтенных в реестре устройств не должно превышать 5%.</v>
      </c>
      <c r="X110" s="128" t="s">
        <v>1148</v>
      </c>
      <c r="Y110" s="263">
        <f t="shared" ref="Y110:Y123" si="31">Y109+0.01</f>
        <v>315.01</v>
      </c>
      <c r="Z110" s="122" t="str">
        <f>IF(($L110-$D110)&gt;=0,"",
" - Разработать и поддерживать реестр эксплуатируемых АРМ,  серверов, коммутационного оборудования, перефирийных устройств, машинных носителей информации;"&amp;"
  - В реестр должны быть внесены все устройства, которые регулярно подключаются к корпоративной сетевой инфраструктуре;"&amp;"
  - На всех DHCP-серверах вести журналы для обновления реестра/ Данные в реестре обновлять раз в неделю или чаще;"&amp;"
  - При выявлении неучтенных устройств, обеспечить их вывод из эксплуатации.")</f>
        <v xml:space="preserve"> - Разработать и поддерживать реестр эксплуатируемых АРМ,  серверов, коммутационного оборудования, перефирийных устройств, машинных носителей информации;
  - В реестр должны быть внесены все устройства, которые регулярно подключаются к корпоративной сетевой инфраструктуре;
  - На всех DHCP-серверах вести журналы для обновления реестра/ Данные в реестре обновлять раз в неделю или чаще;
  - При выявлении неучтенных устройств, обеспечить их вывод из эксплуатации.</v>
      </c>
      <c r="AA110" s="128" t="s">
        <v>1149</v>
      </c>
    </row>
    <row r="111" spans="2:27" ht="202.8" outlineLevel="1">
      <c r="B111" s="254" t="s">
        <v>381</v>
      </c>
      <c r="C111" s="255" t="s">
        <v>382</v>
      </c>
      <c r="D111" s="256">
        <v>5</v>
      </c>
      <c r="E111" s="257">
        <v>3.2</v>
      </c>
      <c r="F111" s="258">
        <v>1.6</v>
      </c>
      <c r="G111" s="128"/>
      <c r="H111" s="128"/>
      <c r="I111" s="128"/>
      <c r="J111" s="259"/>
      <c r="K111" s="260">
        <f t="shared" si="21"/>
        <v>5</v>
      </c>
      <c r="L111" s="128">
        <f t="shared" si="26"/>
        <v>0</v>
      </c>
      <c r="M111">
        <f t="shared" si="22"/>
        <v>-5</v>
      </c>
      <c r="N111" s="261" t="s">
        <v>349</v>
      </c>
      <c r="O111" s="216" t="str">
        <f>IF((СК="Да"),"Зона ответственности Сервисной компании", "")</f>
        <v/>
      </c>
      <c r="P111" s="262">
        <f t="shared" si="27"/>
        <v>0</v>
      </c>
      <c r="Q111" s="262">
        <f t="shared" si="28"/>
        <v>0</v>
      </c>
      <c r="R111" s="262">
        <f t="shared" si="24"/>
        <v>0</v>
      </c>
      <c r="S111" s="263">
        <f t="shared" si="29"/>
        <v>15.02</v>
      </c>
      <c r="T111" s="288" t="str">
        <f>IF(($L111-$F111)&gt;=0,"",
" - Разработать и поддерживать реестр используемого ПО:
 - Реестр должен содержать название ПО, разработчика, дату установки/начала использования и бизнес-задачу ПО;
 - При необходимости указаны версия, механизм развертывания и дата вывода из эксплуатации;"&amp;"  
  - Для программ с веб- и мобильным доступом должны быть указаны их URL, магазин приложений;"&amp;"
 - Реестр должен пересматриваться и обновляться не реже одного раза в полугодие;
 - Для ведения учета имеющегося и используемого ПО применять средства автоматизации. ")</f>
        <v xml:space="preserve"> - Разработать и поддерживать реестр используемого ПО:
 - Реестр должен содержать название ПО, разработчика, дату установки/начала использования и бизнес-задачу ПО;
 - При необходимости указаны версия, механизм развертывания и дата вывода из эксплуатации;  
  - Для программ с веб- и мобильным доступом должны быть указаны их URL, магазин приложений;
 - Реестр должен пересматриваться и обновляться не реже одного раза в полугодие;
 - Для ведения учета имеющегося и используемого ПО применять средства автоматизации. </v>
      </c>
      <c r="U111" s="656" t="s">
        <v>1157</v>
      </c>
      <c r="V111" s="263">
        <f t="shared" si="30"/>
        <v>215.01999999999998</v>
      </c>
      <c r="W111" s="122" t="str">
        <f>IF(($L111-$E111)&gt;=0,"",
"- Проверять, что авторизованное программное обеспечение из реестра поддерживается вендором:
 - В реестре авторизованного ПО должны содержаться только программы, которые поддерживаются производителем;"&amp;" 
 - Если ПО не поддерживается, но все еще используется, для него необходимо предусмотреть компенсирующие меры при выявлении уязвимостей;"&amp;"
 - Наличие поддержки от вендора должно проверяться для всего ПО не реже одного раза в год. ")</f>
        <v xml:space="preserve">- Проверять, что авторизованное программное обеспечение из реестра поддерживается вендором:
 - В реестре авторизованного ПО должны содержаться только программы, которые поддерживаются производителем; 
 - Если ПО не поддерживается, но все еще используется, для него необходимо предусмотреть компенсирующие меры при выявлении уязвимостей;
 - Наличие поддержки от вендора должно проверяться для всего ПО не реже одного раза в год. </v>
      </c>
      <c r="X111" s="128" t="s">
        <v>1157</v>
      </c>
      <c r="Y111" s="263">
        <f t="shared" si="31"/>
        <v>315.02</v>
      </c>
      <c r="Z111" s="122" t="str">
        <f>IF(($L111-$D111)&gt;=0,"",
" - Проверять, что всё используемое ПО включено в реестр, при выявлении неучтенного ПО обеспечивать его удаление;
  - Автоматизировать процесс проверки использования неучтенного ПО.")</f>
        <v xml:space="preserve"> - Проверять, что всё используемое ПО включено в реестр, при выявлении неучтенного ПО обеспечивать его удаление;
  - Автоматизировать процесс проверки использования неучтенного ПО.</v>
      </c>
      <c r="AA111" s="128" t="s">
        <v>1158</v>
      </c>
    </row>
    <row r="112" spans="2:27" ht="265.2" outlineLevel="1">
      <c r="B112" s="254" t="s">
        <v>383</v>
      </c>
      <c r="C112" s="255" t="s">
        <v>384</v>
      </c>
      <c r="D112" s="256">
        <v>5</v>
      </c>
      <c r="E112" s="257">
        <v>3.2</v>
      </c>
      <c r="F112" s="258">
        <v>1.6</v>
      </c>
      <c r="G112" s="128"/>
      <c r="H112" s="128"/>
      <c r="I112" s="128"/>
      <c r="J112" s="259"/>
      <c r="K112" s="260">
        <f t="shared" si="21"/>
        <v>5</v>
      </c>
      <c r="L112" s="128">
        <f t="shared" si="26"/>
        <v>0</v>
      </c>
      <c r="M112">
        <f t="shared" si="22"/>
        <v>-5</v>
      </c>
      <c r="N112" s="261" t="s">
        <v>349</v>
      </c>
      <c r="O112" s="216" t="str">
        <f>IF((СК="Да"),"Зона ответственности Сервисной компании", "")</f>
        <v/>
      </c>
      <c r="P112" s="262">
        <f t="shared" si="27"/>
        <v>0</v>
      </c>
      <c r="Q112" s="262">
        <f t="shared" si="28"/>
        <v>0</v>
      </c>
      <c r="R112" s="262">
        <f t="shared" si="24"/>
        <v>0</v>
      </c>
      <c r="S112" s="263">
        <f t="shared" si="29"/>
        <v>15.03</v>
      </c>
      <c r="T112" s="288" t="str">
        <f>IF(($L112-$F112)&gt;=0,"",
" - Разработать или Получить в Блоке ИБ ПАО Ростелеком типовое описание процесса управления учетными записями.
 - Внедрить централизованное управление учетными записями: для централизации должна использоваться служба каталогов или служба идентификации;"&amp;"
Создать и поддерживать реестр учетных записей:
 - Реестр должен включать учетные данные рядовых пользователей и администраторов;"&amp;" 
 - Реестр должен содержать имя, фамилию, подразделение, дату создания/закрытия учетной записи;"&amp;"
 - Проверка учетных записей должна осуществляться  не реже одного раза в квартал. Учетные записи уволенных работников должны быть заблокированы.")</f>
        <v xml:space="preserve"> - Разработать или Получить в Блоке ИБ ПАО Ростелеком типовое описание процесса управления учетными записями.
 - Внедрить централизованное управление учетными записями: для централизации должна использоваться служба каталогов или служба идентификации;
Создать и поддерживать реестр учетных записей:
 - Реестр должен включать учетные данные рядовых пользователей и администраторов; 
 - Реестр должен содержать имя, фамилию, подразделение, дату создания/закрытия учетной записи;
 - Проверка учетных записей должна осуществляться  не реже одного раза в квартал. Учетные записи уволенных работников должны быть заблокированы.</v>
      </c>
      <c r="U112" s="656" t="s">
        <v>1154</v>
      </c>
      <c r="V112" s="263">
        <f t="shared" si="30"/>
        <v>215.02999999999997</v>
      </c>
      <c r="W112" s="122" t="str">
        <f>IF(($L112-$E112)&gt;=0,"",
" - Реализовать автоматическую блокировку доменных учетных запией уволенных работников/ Интегрировать доменную службу каталогов с кадровой системой;"&amp;"
 - Создать и поддерживать реестр служебных учетных записей:
Для каждой служебной записи должно быть указано подразделение-владелец, цели учетной записи и дата пересмотра;"&amp;"
Создать и поддерживать реестр локальных учетных записей;
Внедрить централизованное управление учетными записями для сетевого оборудования.")</f>
        <v xml:space="preserve"> - Реализовать автоматическую блокировку доменных учетных запией уволенных работников/ Интегрировать доменную службу каталогов с кадровой системой;
 - Создать и поддерживать реестр служебных учетных записей:
Для каждой служебной записи должно быть указано подразделение-владелец, цели учетной записи и дата пересмотра;
Создать и поддерживать реестр локальных учетных записей;
Внедрить централизованное управление учетными записями для сетевого оборудования.</v>
      </c>
      <c r="X112" s="128" t="s">
        <v>1155</v>
      </c>
      <c r="Y112" s="263">
        <f t="shared" si="31"/>
        <v>315.02999999999997</v>
      </c>
      <c r="Z112" s="122" t="str">
        <f>IF(($L112-$D112)&gt;=0,"",
" - Регламентировать процесс аудита учетных записей;
 - Контролировать выполнение аудита учетных записей;
 - Определить метрики процесса аудита, отслеживать результаты;"&amp;"
 - Обеспечить аудит 100% учетных записей во всех системах, включая локальные. ")</f>
        <v xml:space="preserve"> - Регламентировать процесс аудита учетных записей;
 - Контролировать выполнение аудита учетных записей;
 - Определить метрики процесса аудита, отслеживать результаты;
 - Обеспечить аудит 100% учетных записей во всех системах, включая локальные. </v>
      </c>
      <c r="AA112" s="128" t="s">
        <v>1156</v>
      </c>
    </row>
    <row r="113" spans="2:27" ht="249.6" outlineLevel="1">
      <c r="B113" s="287" t="s">
        <v>385</v>
      </c>
      <c r="C113" s="255" t="s">
        <v>386</v>
      </c>
      <c r="D113" s="256">
        <v>5</v>
      </c>
      <c r="E113" s="257">
        <v>3.2</v>
      </c>
      <c r="F113" s="258">
        <v>1.6</v>
      </c>
      <c r="G113" s="128"/>
      <c r="H113" s="128"/>
      <c r="I113" s="128"/>
      <c r="J113" s="259"/>
      <c r="K113" s="260">
        <f t="shared" si="21"/>
        <v>5</v>
      </c>
      <c r="L113" s="128">
        <f t="shared" si="26"/>
        <v>0</v>
      </c>
      <c r="M113">
        <f t="shared" si="22"/>
        <v>-5</v>
      </c>
      <c r="N113" s="261" t="s">
        <v>349</v>
      </c>
      <c r="O113" s="216" t="str">
        <f>IF((СК="Да"),"Зона ответственности Сервисной компании", "")</f>
        <v/>
      </c>
      <c r="P113" s="262">
        <f t="shared" si="27"/>
        <v>0</v>
      </c>
      <c r="Q113" s="262">
        <f t="shared" si="28"/>
        <v>0</v>
      </c>
      <c r="R113" s="262">
        <f t="shared" si="24"/>
        <v>0</v>
      </c>
      <c r="S113" s="263">
        <f t="shared" si="29"/>
        <v>15.04</v>
      </c>
      <c r="T113" s="288" t="str">
        <f>IF(($L113-$F113)&gt;=0,"",
"    - Разработать и поддерживать реестр разрешенного и запрещенного ПО:"&amp;"
   - Реестр должен содержать название ПО, разработчика, дату установки/начала использования и бизнес-задачу ПО. При необходимости должны быть указаны версия, механизм развертывания и дата вывода из эксплуатации;"&amp;"
 - Для программ с веб- и мобильным доступом должны быть указаны их URL, магазин приложений;"&amp;"
 - Реестр должен пересматриваться и обновляться не реже одного раза в полугодие;
- Ограничить возможность установки ПО пользователям
- Администраторам при установке ПО руководствоваться реестром")</f>
        <v xml:space="preserve">    - Разработать и поддерживать реестр разрешенного и запрещенного ПО:
   - Реестр должен содержать название ПО, разработчика, дату установки/начала использования и бизнес-задачу ПО. При необходимости должны быть указаны версия, механизм развертывания и дата вывода из эксплуатации;
 - Для программ с веб- и мобильным доступом должны быть указаны их URL, магазин приложений;
 - Реестр должен пересматриваться и обновляться не реже одного раза в полугодие;
- Ограничить возможность установки ПО пользователям
- Администраторам при установке ПО руководствоваться реестром</v>
      </c>
      <c r="U113" s="638" t="s">
        <v>1248</v>
      </c>
      <c r="V113" s="263">
        <f t="shared" si="30"/>
        <v>215.03999999999996</v>
      </c>
      <c r="W113" s="122" t="str">
        <f>IF(($L113-$E113)&gt;=0,"",
" - Использовать белые списки авторизованного ПО для АРМ пользователей. Проводить проверку ПО, установленного на АРМ;"&amp;"
   - Проверять, что всё используемое ПО включено в реестр, при выявлении неучтенного ПО обеспечивать его удаление/Автоматизировать процесс проверки. ")</f>
        <v xml:space="preserve"> - Использовать белые списки авторизованного ПО для АРМ пользователей. Проводить проверку ПО, установленного на АРМ;
   - Проверять, что всё используемое ПО включено в реестр, при выявлении неучтенного ПО обеспечивать его удаление/Автоматизировать процесс проверки. </v>
      </c>
      <c r="X113" s="128" t="s">
        <v>1249</v>
      </c>
      <c r="Y113" s="263">
        <f t="shared" si="31"/>
        <v>315.03999999999996</v>
      </c>
      <c r="Z113" s="122" t="str">
        <f>IF(($L113-$D113)&gt;=0,"",
" - Использовать белые списки авторизованного ПО для АРМ и серверов;
 -  на этапе проектирования ИС руководствоваться 'белым' и 'черным' списками ПО ;"&amp;"
  - Реализовать процесс контроля состава ПО АРМ и серверов.")</f>
        <v xml:space="preserve"> - Использовать белые списки авторизованного ПО для АРМ и серверов;
 -  на этапе проектирования ИС руководствоваться 'белым' и 'черным' списками ПО ;
  - Реализовать процесс контроля состава ПО АРМ и серверов.</v>
      </c>
      <c r="AA113" s="128" t="s">
        <v>1250</v>
      </c>
    </row>
    <row r="114" spans="2:27" ht="62.4" outlineLevel="1">
      <c r="B114" s="287" t="s">
        <v>387</v>
      </c>
      <c r="C114" s="255" t="s">
        <v>388</v>
      </c>
      <c r="D114" s="256">
        <v>5</v>
      </c>
      <c r="E114" s="257">
        <v>3.2</v>
      </c>
      <c r="F114" s="258">
        <v>1.6</v>
      </c>
      <c r="G114" s="128"/>
      <c r="H114" s="128"/>
      <c r="I114" s="128"/>
      <c r="J114" s="259"/>
      <c r="K114" s="260">
        <f t="shared" si="21"/>
        <v>5</v>
      </c>
      <c r="L114" s="128">
        <f t="shared" si="26"/>
        <v>0</v>
      </c>
      <c r="M114">
        <f t="shared" si="22"/>
        <v>-5</v>
      </c>
      <c r="N114" s="261" t="s">
        <v>349</v>
      </c>
      <c r="O114" s="216" t="str">
        <f>IF((СК="Да"),"Зона ответственности Сервисной компании", "")</f>
        <v/>
      </c>
      <c r="P114" s="262">
        <f t="shared" si="27"/>
        <v>0</v>
      </c>
      <c r="Q114" s="262">
        <f t="shared" si="28"/>
        <v>0</v>
      </c>
      <c r="R114" s="262">
        <f t="shared" si="24"/>
        <v>0</v>
      </c>
      <c r="S114" s="263">
        <f t="shared" si="29"/>
        <v>15.049999999999999</v>
      </c>
      <c r="T114" s="288" t="str">
        <f>IF(($L114-$F114)&gt;=0,"",
" - Разработать и поддерживать  реестр адресных пространств (IP);
   - Реестр должен пересматриваться и обновляться не реже одного раза в полугодие")</f>
        <v xml:space="preserve"> - Разработать и поддерживать  реестр адресных пространств (IP);
   - Реестр должен пересматриваться и обновляться не реже одного раза в полугодие</v>
      </c>
      <c r="U114" s="638" t="s">
        <v>1159</v>
      </c>
      <c r="V114" s="263">
        <f t="shared" si="30"/>
        <v>215.04999999999995</v>
      </c>
      <c r="W114" s="122" t="str">
        <f>IF(($L114-$E114)&gt;=0,"",
" - Регламентировать порядок учета управления IP-адресным пространством.")</f>
        <v xml:space="preserve"> - Регламентировать порядок учета управления IP-адресным пространством.</v>
      </c>
      <c r="X114" s="128" t="s">
        <v>1160</v>
      </c>
      <c r="Y114" s="263">
        <f t="shared" si="31"/>
        <v>315.04999999999995</v>
      </c>
      <c r="Z114" s="122" t="str">
        <f>IF(($L114-$D114)&gt;=0,"",
"- Применять средства автоматизации для централизованного учета и управления IP-адресным пространством.")</f>
        <v>- Применять средства автоматизации для централизованного учета и управления IP-адресным пространством.</v>
      </c>
      <c r="AA114" s="128" t="s">
        <v>1161</v>
      </c>
    </row>
    <row r="115" spans="2:27" ht="62.4" outlineLevel="1">
      <c r="B115" s="287" t="s">
        <v>389</v>
      </c>
      <c r="C115" s="255" t="s">
        <v>390</v>
      </c>
      <c r="D115" s="256">
        <v>5</v>
      </c>
      <c r="E115" s="257">
        <v>3.2</v>
      </c>
      <c r="F115" s="258">
        <v>1.6</v>
      </c>
      <c r="G115" s="128"/>
      <c r="H115" s="128"/>
      <c r="I115" s="128"/>
      <c r="J115" s="259"/>
      <c r="K115" s="260">
        <f t="shared" si="21"/>
        <v>5</v>
      </c>
      <c r="L115" s="128">
        <f t="shared" si="26"/>
        <v>0</v>
      </c>
      <c r="M115">
        <f t="shared" si="22"/>
        <v>-5</v>
      </c>
      <c r="N115" s="261" t="s">
        <v>349</v>
      </c>
      <c r="O115" s="216" t="str">
        <f>IF((СК="Да"),"Зона ответственности Сервисной компании", "")</f>
        <v/>
      </c>
      <c r="P115" s="262">
        <f t="shared" si="27"/>
        <v>0</v>
      </c>
      <c r="Q115" s="262">
        <f t="shared" si="28"/>
        <v>0</v>
      </c>
      <c r="R115" s="262">
        <f t="shared" si="24"/>
        <v>0</v>
      </c>
      <c r="S115" s="263">
        <f t="shared" si="29"/>
        <v>15.059999999999999</v>
      </c>
      <c r="T115" s="288" t="str">
        <f>IF(($L115-$F115)&gt;=0,"",
" - Разработать и поддерживать  реестр информационных систем;
   - Реестр должен пересматриваться и обновляться не реже одного раза в полугодие")</f>
        <v xml:space="preserve"> - Разработать и поддерживать  реестр информационных систем;
   - Реестр должен пересматриваться и обновляться не реже одного раза в полугодие</v>
      </c>
      <c r="U115" s="638" t="s">
        <v>1164</v>
      </c>
      <c r="V115" s="263">
        <f t="shared" si="30"/>
        <v>215.05999999999995</v>
      </c>
      <c r="W115" s="122" t="str">
        <f>IF(($L115-$E115)&gt;=0,"",
" - Порядок ввода в экплуатацию, учета и вывода из эксплуатации информационных систем определить внутренними нормативными документами.")</f>
        <v xml:space="preserve"> - Порядок ввода в экплуатацию, учета и вывода из эксплуатации информационных систем определить внутренними нормативными документами.</v>
      </c>
      <c r="X115" s="128" t="s">
        <v>1165</v>
      </c>
      <c r="Y115" s="263">
        <f t="shared" si="31"/>
        <v>315.05999999999995</v>
      </c>
      <c r="Z115" s="122" t="str">
        <f>IF(($L115-$D115)&gt;=0,"",
" - Применять средства автоматизации для учета созданных, используемых, эксплуатируемых и выведенных из эксплуатации информационных систем, Вести учет состава и компонентов ИС.")</f>
        <v xml:space="preserve"> - Применять средства автоматизации для учета созданных, используемых, эксплуатируемых и выведенных из эксплуатации информационных систем, Вести учет состава и компонентов ИС.</v>
      </c>
      <c r="AA115" s="128" t="s">
        <v>1166</v>
      </c>
    </row>
    <row r="116" spans="2:27" ht="124.8" outlineLevel="1">
      <c r="B116" s="254" t="s">
        <v>391</v>
      </c>
      <c r="C116" s="255" t="s">
        <v>392</v>
      </c>
      <c r="D116" s="256">
        <v>4</v>
      </c>
      <c r="E116" s="257">
        <v>3</v>
      </c>
      <c r="F116" s="258">
        <v>1</v>
      </c>
      <c r="G116" s="289"/>
      <c r="H116" s="290"/>
      <c r="I116" s="290"/>
      <c r="J116" s="286"/>
      <c r="K116" s="260">
        <f t="shared" si="21"/>
        <v>4</v>
      </c>
      <c r="L116" s="128">
        <f>IF((СК="Да"), F116, VALUE(LEFT(N116,3)))</f>
        <v>0</v>
      </c>
      <c r="M116">
        <f t="shared" si="22"/>
        <v>-4</v>
      </c>
      <c r="N116" s="291" t="s">
        <v>359</v>
      </c>
      <c r="O116" s="216" t="str">
        <f>IF((СК="Да"),"Совместная зона ответственности ДЗО и Сервисной компании
(1 - при подключении к СК;
3 - после утверждения регламента взаимодействия СК - ДЗО в ДЗО;
4 - нет нарушений метрики ДЗО за оцениваемый период)", "")</f>
        <v/>
      </c>
      <c r="P116" s="262">
        <f t="shared" si="27"/>
        <v>0</v>
      </c>
      <c r="Q116" s="262">
        <f>IFERROR(IF($L116&gt;=E116,1,$L116/E116),0)</f>
        <v>0</v>
      </c>
      <c r="R116" s="262">
        <f t="shared" si="24"/>
        <v>0</v>
      </c>
      <c r="S116" s="263">
        <f t="shared" si="29"/>
        <v>15.069999999999999</v>
      </c>
      <c r="T116" s="288" t="str">
        <f>IF(($L116-$F116)&gt;=0,"","- Разработать или Получить в Блоке ИБ ПАО Ростелеком типовое описание процесса публикации сервиса в интернете")</f>
        <v>- Разработать или Получить в Блоке ИБ ПАО Ростелеком типовое описание процесса публикации сервиса в интернете</v>
      </c>
      <c r="U116" s="638" t="s">
        <v>122</v>
      </c>
      <c r="V116" s="263">
        <f t="shared" si="30"/>
        <v>215.06999999999994</v>
      </c>
      <c r="W116" s="122" t="str">
        <f>IF(($L116-$E116)&gt;=0,""," - Разработать или Получить в Блоке ИБ ПАО Ростелеком типовое описание процесса публикации сервиса в интернете;
 - Утвердить в Обществе ВНД, описывающий процесс публикации сервиса в интернете;"&amp;"
 - Реализовать процесс проверки и согласования до публикации сервиса в интернете;
 -  Обеспечить контроль защищенности и отсутствия уязвимостей до публикации.")</f>
        <v xml:space="preserve"> - Разработать или Получить в Блоке ИБ ПАО Ростелеком типовое описание процесса публикации сервиса в интернете;
 - Утвердить в Обществе ВНД, описывающий процесс публикации сервиса в интернете;
 - Реализовать процесс проверки и согласования до публикации сервиса в интернете;
 -  Обеспечить контроль защищенности и отсутствия уязвимостей до публикации.</v>
      </c>
      <c r="X116" s="128" t="s">
        <v>235</v>
      </c>
      <c r="Y116" s="263">
        <f t="shared" si="31"/>
        <v>315.06999999999994</v>
      </c>
      <c r="Z116" s="122" t="str">
        <f>IF(($L116-$D116)&gt;=0,""," - Разработать систему метрик для процесса публикации сервиса в сети интернет;
 - Создать средство визуального мониторинга параметров процесса "&amp;"
 - Реализовать мониторинг параметров процесса;")</f>
        <v xml:space="preserve"> - Разработать систему метрик для процесса публикации сервиса в сети интернет;
 - Создать средство визуального мониторинга параметров процесса 
 - Реализовать мониторинг параметров процесса;</v>
      </c>
      <c r="AA116" s="128" t="s">
        <v>286</v>
      </c>
    </row>
    <row r="117" spans="2:27" ht="78" outlineLevel="1">
      <c r="B117" s="287" t="s">
        <v>393</v>
      </c>
      <c r="C117" s="255" t="s">
        <v>394</v>
      </c>
      <c r="D117" s="256">
        <v>5</v>
      </c>
      <c r="E117" s="257">
        <v>3.2</v>
      </c>
      <c r="F117" s="258">
        <v>3.2</v>
      </c>
      <c r="G117" s="128"/>
      <c r="H117" s="128"/>
      <c r="I117" s="128"/>
      <c r="J117" s="259"/>
      <c r="K117" s="260">
        <f t="shared" si="21"/>
        <v>5</v>
      </c>
      <c r="L117" s="128">
        <f>IF((СК="Да"), D117, VALUE(LEFT(N117,3)))</f>
        <v>0</v>
      </c>
      <c r="M117">
        <f t="shared" si="22"/>
        <v>-5</v>
      </c>
      <c r="N117" s="261" t="s">
        <v>349</v>
      </c>
      <c r="O117" s="216" t="str">
        <f>IF((СК="Да"),"Зона ответственности Сервисной компании", "")</f>
        <v/>
      </c>
      <c r="P117" s="262">
        <f t="shared" si="27"/>
        <v>0</v>
      </c>
      <c r="Q117" s="262">
        <f t="shared" si="28"/>
        <v>0</v>
      </c>
      <c r="R117" s="262">
        <f t="shared" si="24"/>
        <v>0</v>
      </c>
      <c r="S117" s="263">
        <f t="shared" si="29"/>
        <v>15.079999999999998</v>
      </c>
      <c r="T117" s="288" t="str">
        <f>IF(($L117-$F117)&gt;=0,"",
" - Разработать и поддерживать  реестр информационных систем и доменов, опубликованных на внешнем периметре;"&amp;"
  - Реестр должен пересматриваться и обновляться не реже одного раза в полугодие")</f>
        <v xml:space="preserve"> - Разработать и поддерживать  реестр информационных систем и доменов, опубликованных на внешнем периметре;
  - Реестр должен пересматриваться и обновляться не реже одного раза в полугодие</v>
      </c>
      <c r="U117" s="638" t="s">
        <v>1162</v>
      </c>
      <c r="V117" s="263">
        <f t="shared" si="30"/>
        <v>215.07999999999993</v>
      </c>
      <c r="W117" s="122" t="str">
        <f>IF(($L117-$E117)&gt;=0,"","")</f>
        <v/>
      </c>
      <c r="Y117" s="263">
        <f t="shared" si="31"/>
        <v>315.07999999999993</v>
      </c>
      <c r="Z117" s="122" t="str">
        <f>IF(($L117-$D117)&gt;=0,"",
" - Для учета применять средства автоматизации;
  - Для актуализации реестра использовать инструменты активного/пассивного обнаружения активов.")</f>
        <v xml:space="preserve"> - Для учета применять средства автоматизации;
  - Для актуализации реестра использовать инструменты активного/пассивного обнаружения активов.</v>
      </c>
      <c r="AA117" s="128" t="s">
        <v>1163</v>
      </c>
    </row>
    <row r="118" spans="2:27" ht="62.4" outlineLevel="1">
      <c r="B118" s="254" t="s">
        <v>395</v>
      </c>
      <c r="C118" s="255" t="s">
        <v>396</v>
      </c>
      <c r="D118" s="256">
        <v>5</v>
      </c>
      <c r="E118" s="257">
        <v>3.2</v>
      </c>
      <c r="F118" s="258">
        <v>3.2</v>
      </c>
      <c r="G118" s="128"/>
      <c r="H118" s="128"/>
      <c r="I118" s="128"/>
      <c r="J118" s="259"/>
      <c r="K118" s="260">
        <f t="shared" si="21"/>
        <v>5</v>
      </c>
      <c r="L118" s="128">
        <f>VALUE(LEFT(N118,3))</f>
        <v>0</v>
      </c>
      <c r="M118">
        <f t="shared" si="22"/>
        <v>-5</v>
      </c>
      <c r="N118" s="261" t="s">
        <v>349</v>
      </c>
      <c r="O118" s="216"/>
      <c r="P118" s="262">
        <f t="shared" si="27"/>
        <v>0</v>
      </c>
      <c r="Q118" s="262">
        <f t="shared" si="28"/>
        <v>0</v>
      </c>
      <c r="R118" s="262">
        <f t="shared" si="24"/>
        <v>0</v>
      </c>
      <c r="S118" s="263">
        <f t="shared" si="29"/>
        <v>15.089999999999998</v>
      </c>
      <c r="T118" s="288" t="str">
        <f>IF(($L118-$F118)&gt;=0,"","Формально закрепить ответственных за информационными системами МС и ВС")</f>
        <v>Формально закрепить ответственных за информационными системами МС и ВС</v>
      </c>
      <c r="U118" s="638" t="s">
        <v>1237</v>
      </c>
      <c r="V118" s="263">
        <f t="shared" si="30"/>
        <v>215.08999999999992</v>
      </c>
      <c r="W118" s="122" t="str">
        <f>IF(($L118-$E118)&gt;=0,"","")</f>
        <v/>
      </c>
      <c r="Y118" s="263">
        <f t="shared" si="31"/>
        <v>315.08999999999992</v>
      </c>
      <c r="Z118" s="122" t="str">
        <f>IF(($L118-$D118)&gt;=0,"",
" - Издать внутренние приказы по закреплению ответственных за каждым информационным активом;"&amp;"
   - Проводить периодическую сверку. Определить функции и обязанности ответственных.")</f>
        <v xml:space="preserve"> - Издать внутренние приказы по закреплению ответственных за каждым информационным активом;
   - Проводить периодическую сверку. Определить функции и обязанности ответственных.</v>
      </c>
      <c r="AA118" s="128" t="s">
        <v>1238</v>
      </c>
    </row>
    <row r="119" spans="2:27" ht="46.8" outlineLevel="1">
      <c r="B119" s="254" t="s">
        <v>397</v>
      </c>
      <c r="C119" s="255" t="s">
        <v>398</v>
      </c>
      <c r="D119" s="256">
        <v>5</v>
      </c>
      <c r="E119" s="257">
        <v>3.2</v>
      </c>
      <c r="F119" s="258">
        <v>0</v>
      </c>
      <c r="G119" s="128"/>
      <c r="H119" s="128"/>
      <c r="I119" s="128"/>
      <c r="J119" s="259"/>
      <c r="K119" s="260">
        <f t="shared" si="21"/>
        <v>5</v>
      </c>
      <c r="L119" s="128">
        <f>IF((СК="Да"), D119, VALUE(LEFT(N119,3)))</f>
        <v>0</v>
      </c>
      <c r="M119">
        <f t="shared" si="22"/>
        <v>-5</v>
      </c>
      <c r="N119" s="261" t="s">
        <v>349</v>
      </c>
      <c r="O119" s="216" t="str">
        <f>IF((СК="Да"),"Зона ответственности Сервисной компании", "")</f>
        <v/>
      </c>
      <c r="P119" s="262">
        <f t="shared" si="27"/>
        <v>0</v>
      </c>
      <c r="Q119" s="262">
        <f t="shared" si="28"/>
        <v>0</v>
      </c>
      <c r="R119" s="262"/>
      <c r="S119" s="267">
        <f t="shared" si="29"/>
        <v>15.099999999999998</v>
      </c>
      <c r="T119" s="288" t="str">
        <f>IF(($L119-$F119)&gt;=0,"",)</f>
        <v/>
      </c>
      <c r="U119" s="638"/>
      <c r="V119" s="267">
        <f t="shared" si="30"/>
        <v>215.09999999999991</v>
      </c>
      <c r="W119" s="122" t="str">
        <f>IF(($L119-$E119)&gt;=0,"",
" - Применять для каждого вида активов  локальные базы данных, информационные ресурсы  для хранения инвентаризационных данных")</f>
        <v xml:space="preserve"> - Применять для каждого вида активов  локальные базы данных, информационные ресурсы  для хранения инвентаризационных данных</v>
      </c>
      <c r="X119" s="128" t="s">
        <v>1239</v>
      </c>
      <c r="Y119" s="267">
        <f t="shared" si="31"/>
        <v>315.09999999999991</v>
      </c>
      <c r="Z119" s="122" t="str">
        <f>IF(($L119-$D119)&gt;=0,"",
"Применять для хранения и управления инвентаризационными данными автоматизированную систему учета активов класса CMDB (Configuration Management Database)")</f>
        <v>Применять для хранения и управления инвентаризационными данными автоматизированную систему учета активов класса CMDB (Configuration Management Database)</v>
      </c>
      <c r="AA119" s="128" t="s">
        <v>1240</v>
      </c>
    </row>
    <row r="120" spans="2:27" ht="78" outlineLevel="1">
      <c r="B120" s="254" t="s">
        <v>399</v>
      </c>
      <c r="C120" s="255" t="s">
        <v>400</v>
      </c>
      <c r="D120" s="256">
        <v>5</v>
      </c>
      <c r="E120" s="257">
        <v>3.2</v>
      </c>
      <c r="F120" s="258">
        <v>0</v>
      </c>
      <c r="G120" s="128"/>
      <c r="H120" s="128"/>
      <c r="I120" s="128"/>
      <c r="J120" s="259"/>
      <c r="K120" s="260">
        <f t="shared" si="21"/>
        <v>5</v>
      </c>
      <c r="L120" s="128">
        <f>IF((СК="Да"), D120, VALUE(LEFT(N120,3)))</f>
        <v>0</v>
      </c>
      <c r="M120">
        <f t="shared" si="22"/>
        <v>-5</v>
      </c>
      <c r="N120" s="261" t="s">
        <v>331</v>
      </c>
      <c r="O120" s="216" t="str">
        <f>IF((СК="Да"),"Зона ответственности Сервисной компании", "")</f>
        <v/>
      </c>
      <c r="P120" s="262">
        <f t="shared" si="27"/>
        <v>0</v>
      </c>
      <c r="Q120" s="262">
        <f t="shared" si="28"/>
        <v>0</v>
      </c>
      <c r="R120" s="262"/>
      <c r="S120" s="263">
        <f t="shared" si="29"/>
        <v>15.109999999999998</v>
      </c>
      <c r="T120" s="288" t="str">
        <f>IF(($L120-$F120)&gt;=0,"",)</f>
        <v/>
      </c>
      <c r="U120" s="638"/>
      <c r="V120" s="263">
        <f t="shared" si="30"/>
        <v>215.1099999999999</v>
      </c>
      <c r="W120" s="122" t="str">
        <f>IF(($L120-$E120)&gt;=0,"",
" -  Для обнаружения новых активов применять инструменты для активного обнаружения;"&amp;"
   - Обнаружение подключенных к сети устройств запускается по расписанию не реже одного раза в день.")</f>
        <v xml:space="preserve"> -  Для обнаружения новых активов применять инструменты для активного обнаружения;
   - Обнаружение подключенных к сети устройств запускается по расписанию не реже одного раза в день.</v>
      </c>
      <c r="X120" s="128" t="s">
        <v>1217</v>
      </c>
      <c r="Y120" s="263">
        <f t="shared" si="31"/>
        <v>315.1099999999999</v>
      </c>
      <c r="Z120" s="122" t="str">
        <f>IF(($L120-$D120)&gt;=0,"",
" - Для обнаружения новых активов применять инструменты для пассивного обнаружения устройств;"&amp;"
  - Результаты сканирования используются для обновления реестра устройств не реже одного раза в неделю;
  - Выполнять авторизацию каждого выявленного актива. ")</f>
        <v xml:space="preserve"> - Для обнаружения новых активов применять инструменты для пассивного обнаружения устройств;
  - Результаты сканирования используются для обновления реестра устройств не реже одного раза в неделю;
  - Выполнять авторизацию каждого выявленного актива. </v>
      </c>
      <c r="AA120" s="128" t="s">
        <v>1218</v>
      </c>
    </row>
    <row r="121" spans="2:27" ht="46.8" outlineLevel="1">
      <c r="B121" s="254" t="s">
        <v>401</v>
      </c>
      <c r="C121" s="255" t="s">
        <v>402</v>
      </c>
      <c r="D121" s="256">
        <v>5</v>
      </c>
      <c r="E121" s="257">
        <v>3.2</v>
      </c>
      <c r="F121" s="258">
        <v>0</v>
      </c>
      <c r="G121" s="128"/>
      <c r="H121" s="128"/>
      <c r="I121" s="128"/>
      <c r="J121" s="259"/>
      <c r="K121" s="260">
        <f t="shared" si="21"/>
        <v>5</v>
      </c>
      <c r="L121" s="128">
        <f>IF((СК="Да"), D121, VALUE(LEFT(N121,3)))</f>
        <v>0</v>
      </c>
      <c r="M121">
        <f t="shared" si="22"/>
        <v>-5</v>
      </c>
      <c r="N121" s="261" t="s">
        <v>349</v>
      </c>
      <c r="O121" s="216" t="str">
        <f>IF((СК="Да"),"Зона ответственности Сервисной компании", "")</f>
        <v/>
      </c>
      <c r="P121" s="262">
        <f t="shared" si="27"/>
        <v>0</v>
      </c>
      <c r="Q121" s="262">
        <f t="shared" si="28"/>
        <v>0</v>
      </c>
      <c r="R121" s="262"/>
      <c r="S121" s="263">
        <f t="shared" si="29"/>
        <v>15.119999999999997</v>
      </c>
      <c r="T121" s="288" t="str">
        <f>IF(($L121-$F121)&gt;=0,"","")</f>
        <v/>
      </c>
      <c r="U121" s="638"/>
      <c r="V121" s="263">
        <f t="shared" si="30"/>
        <v>215.11999999999989</v>
      </c>
      <c r="W121" s="122" t="str">
        <f>IF(($L121-$E121)&gt;=0,"",
" - Обеспечить актуализацию инвентаризационных реестров по результатам сканирования в автоматизированном режиме (возможно в ручном режиме)")</f>
        <v xml:space="preserve"> - Обеспечить актуализацию инвентаризационных реестров по результатам сканирования в автоматизированном режиме (возможно в ручном режиме)</v>
      </c>
      <c r="X121" s="128" t="s">
        <v>1219</v>
      </c>
      <c r="Y121" s="263">
        <f t="shared" si="31"/>
        <v>315.11999999999989</v>
      </c>
      <c r="Z121" s="122" t="str">
        <f>IF(($L121-$D121)&gt;=0,"",
" - Интегрировать инструменты анализа защищенности и СРТ  с автоматизированной системой учета активов.")</f>
        <v xml:space="preserve"> - Интегрировать инструменты анализа защищенности и СРТ  с автоматизированной системой учета активов.</v>
      </c>
      <c r="AA121" s="128" t="s">
        <v>1220</v>
      </c>
    </row>
    <row r="122" spans="2:27" ht="62.4" outlineLevel="1">
      <c r="B122" s="287" t="s">
        <v>403</v>
      </c>
      <c r="C122" s="255" t="s">
        <v>404</v>
      </c>
      <c r="D122" s="256">
        <v>5</v>
      </c>
      <c r="E122" s="257">
        <v>3.2</v>
      </c>
      <c r="F122" s="258">
        <v>0</v>
      </c>
      <c r="G122" s="128"/>
      <c r="H122" s="128"/>
      <c r="I122" s="128"/>
      <c r="J122" s="259"/>
      <c r="K122" s="260">
        <f t="shared" si="21"/>
        <v>5</v>
      </c>
      <c r="L122" s="128">
        <f>IF((СК="Да"), D122, VALUE(LEFT(N122,3)))</f>
        <v>0</v>
      </c>
      <c r="M122">
        <f t="shared" si="22"/>
        <v>-5</v>
      </c>
      <c r="N122" s="261" t="s">
        <v>349</v>
      </c>
      <c r="O122" s="216" t="str">
        <f>IF((СК="Да"),"Зона ответственности Сервисной компании", "")</f>
        <v/>
      </c>
      <c r="P122" s="262">
        <f t="shared" si="27"/>
        <v>0</v>
      </c>
      <c r="Q122" s="262">
        <f t="shared" si="28"/>
        <v>0</v>
      </c>
      <c r="R122" s="262"/>
      <c r="S122" s="263">
        <f t="shared" si="29"/>
        <v>15.129999999999997</v>
      </c>
      <c r="T122" s="288" t="str">
        <f>IF(($L122-$F122)&gt;=0,"","")</f>
        <v/>
      </c>
      <c r="U122" s="638"/>
      <c r="V122" s="263">
        <f t="shared" si="30"/>
        <v>215.12999999999988</v>
      </c>
      <c r="W122" s="122" t="str">
        <f>IF(($L122-$E122)&gt;=0,"",
" - Разработать и внедрить процесс контроля фактического состава созданных, используемых и (или) эксплуатируемых информационных активов и их корректного размещения в сегментах вычислительных сетей")</f>
        <v xml:space="preserve"> - Разработать и внедрить процесс контроля фактического состава созданных, используемых и (или) эксплуатируемых информационных активов и их корректного размещения в сегментах вычислительных сетей</v>
      </c>
      <c r="X122" s="128" t="s">
        <v>1221</v>
      </c>
      <c r="Y122" s="263">
        <f t="shared" si="31"/>
        <v>315.12999999999988</v>
      </c>
      <c r="Z122" s="122" t="str">
        <f>IF(($L122-$D122)&gt;=0,"",
" - Процесс контроля осуществляется с применением средств автоматизации")</f>
        <v xml:space="preserve"> - Процесс контроля осуществляется с применением средств автоматизации</v>
      </c>
      <c r="AA122" s="128" t="s">
        <v>1222</v>
      </c>
    </row>
    <row r="123" spans="2:27" ht="156" outlineLevel="1">
      <c r="B123" s="287" t="s">
        <v>405</v>
      </c>
      <c r="C123" s="255" t="s">
        <v>406</v>
      </c>
      <c r="D123" s="256">
        <v>5</v>
      </c>
      <c r="E123" s="257">
        <v>3.2</v>
      </c>
      <c r="F123" s="258">
        <v>0</v>
      </c>
      <c r="G123" s="128"/>
      <c r="H123" s="128"/>
      <c r="I123" s="128"/>
      <c r="J123" s="259"/>
      <c r="K123" s="260">
        <f t="shared" si="21"/>
        <v>5</v>
      </c>
      <c r="L123" s="128">
        <f>IF((СК="Да"), E123, VALUE(LEFT(N123,3)))</f>
        <v>0</v>
      </c>
      <c r="M123">
        <f t="shared" si="22"/>
        <v>-5</v>
      </c>
      <c r="N123" s="261" t="s">
        <v>349</v>
      </c>
      <c r="O123" s="216" t="str">
        <f>IF((СК="Да"),"Совместная зона ответственности ДЗО и Сервисной компании
(3,2 - при подключении к СК;
5 - после разработки документации ДЗО)", "")</f>
        <v/>
      </c>
      <c r="P123" s="262">
        <f t="shared" si="27"/>
        <v>0</v>
      </c>
      <c r="Q123" s="262">
        <f t="shared" si="28"/>
        <v>0</v>
      </c>
      <c r="R123" s="262"/>
      <c r="S123" s="263">
        <f t="shared" si="29"/>
        <v>15.139999999999997</v>
      </c>
      <c r="T123" s="288" t="str">
        <f>IF(($L123-$F123)&gt;=0,"","")</f>
        <v/>
      </c>
      <c r="U123" s="638"/>
      <c r="V123" s="263">
        <f t="shared" si="30"/>
        <v>215.13999999999987</v>
      </c>
      <c r="W123" s="122" t="str">
        <f>IF(($L123-$E123)&gt;=0,"",
" - Определить порядок ввода в экплуатацию, учета и вывода из эксплуатации информационных систем  внутренними нормативными документами;"&amp;"
  - В указанных документах должны быть описаны процедуры разработки, ведения, актуализации, хранения проектной, рабочей, эксплуатационной документации на информационные системы;"&amp;"
  - Проектную, рабочую, эксплуатационную и иную документацию на информационные системы необходимо хранить в локальных базах данных")</f>
        <v xml:space="preserve"> - Определить порядок ввода в экплуатацию, учета и вывода из эксплуатации информационных систем  внутренними нормативными документами;
  - В указанных документах должны быть описаны процедуры разработки, ведения, актуализации, хранения проектной, рабочей, эксплуатационной документации на информационные системы;
  - Проектную, рабочую, эксплуатационную и иную документацию на информационные системы необходимо хранить в локальных базах данных</v>
      </c>
      <c r="X123" s="128" t="s">
        <v>1224</v>
      </c>
      <c r="Y123" s="263">
        <f t="shared" si="31"/>
        <v>315.13999999999987</v>
      </c>
      <c r="Z123" s="122" t="str">
        <f>IF(($L123-$D123)&gt;=0,"",
" - Сведения и артефакты о проектной, рабочей, эксплуатационной документации на информационные системы необходимо хранить и актуализировать в единой автоматизированной системе учета")</f>
        <v xml:space="preserve"> - Сведения и артефакты о проектной, рабочей, эксплуатационной документации на информационные системы необходимо хранить и актуализировать в единой автоматизированной системе учета</v>
      </c>
      <c r="AA123" s="128" t="s">
        <v>1223</v>
      </c>
    </row>
    <row r="124" spans="2:27" ht="17.399999999999999">
      <c r="B124" s="249" t="s">
        <v>284</v>
      </c>
      <c r="C124" s="21" t="s">
        <v>407</v>
      </c>
      <c r="D124" s="21"/>
      <c r="E124" s="21"/>
      <c r="F124" s="21"/>
      <c r="G124" s="270"/>
      <c r="H124" s="21"/>
      <c r="I124" s="21"/>
      <c r="J124" s="21"/>
      <c r="K124" s="21"/>
      <c r="L124" s="21"/>
      <c r="M124" s="294">
        <f t="shared" si="22"/>
        <v>0</v>
      </c>
      <c r="N124" s="295"/>
      <c r="O124" s="295"/>
      <c r="P124" s="294"/>
      <c r="Q124" s="294"/>
      <c r="R124" s="294"/>
      <c r="S124" s="252">
        <f>VLOOKUP(B124,Приоритет!$G$9:$K$48,5,0)</f>
        <v>39</v>
      </c>
      <c r="T124" s="248" t="s">
        <v>407</v>
      </c>
      <c r="U124" s="248"/>
      <c r="V124" s="252">
        <f>S124+200</f>
        <v>239</v>
      </c>
      <c r="W124" s="21" t="s">
        <v>407</v>
      </c>
      <c r="X124" s="21"/>
      <c r="Y124" s="252">
        <f>S124+300</f>
        <v>339</v>
      </c>
      <c r="Z124" s="21" t="s">
        <v>407</v>
      </c>
      <c r="AA124" s="21"/>
    </row>
    <row r="125" spans="2:27" ht="171.6" outlineLevel="1">
      <c r="B125" s="254" t="s">
        <v>408</v>
      </c>
      <c r="C125" s="255" t="s">
        <v>409</v>
      </c>
      <c r="D125" s="256">
        <v>5</v>
      </c>
      <c r="E125" s="257">
        <v>5</v>
      </c>
      <c r="F125" s="258">
        <v>0</v>
      </c>
      <c r="G125" s="128"/>
      <c r="H125" s="128"/>
      <c r="I125" s="128"/>
      <c r="J125" s="259"/>
      <c r="K125" s="260">
        <f t="shared" si="21"/>
        <v>5</v>
      </c>
      <c r="L125" s="128">
        <f>IF((СК="Да"), D125, VALUE(LEFT(N125,3)))</f>
        <v>0</v>
      </c>
      <c r="M125">
        <f t="shared" si="22"/>
        <v>-5</v>
      </c>
      <c r="N125" s="261" t="s">
        <v>331</v>
      </c>
      <c r="O125" s="216" t="str">
        <f>IF((СК="Да"),"Зона ответственности Сервисной компании", "")</f>
        <v/>
      </c>
      <c r="P125" s="262">
        <f>IFERROR(IF($L125&gt;D125,1,$L125/D125),0)</f>
        <v>0</v>
      </c>
      <c r="Q125" s="262">
        <f>IFERROR(IF($L125&gt;E125,1,$L125/E125),0)</f>
        <v>0</v>
      </c>
      <c r="R125" s="262"/>
      <c r="S125" s="263">
        <f>S124+0.01</f>
        <v>39.01</v>
      </c>
      <c r="T125" s="296" t="str">
        <f>IF(($L125-$F125)&gt;=0,"",
" - Определить критерии для определения критичности ИС;"&amp;"
   - Определить требования к обеспечению отказоустойчивости в соответствии с критичностью ИС;
   - Провести анализ ИС, выделить наиболее критичные с точки зрения непрерывности, определить требования по отказоустойчивости для данных ИС;"&amp;"
   - Выполнить требования к отказоустойчивости.")</f>
        <v/>
      </c>
      <c r="U125" s="638"/>
      <c r="V125" s="263">
        <f>V124+0.01</f>
        <v>239.01</v>
      </c>
      <c r="W125" s="265" t="str">
        <f>IF(($L125-$E125)&gt;=0,"",
" - Провести анализ всех ИС и определить требования к отказоустойчивости для каждой;"&amp;"
   - Определить требования к характеристикам отказоустойчивости, дублированию, резервированию всех программных и "&amp;" аппаратных компонентов ИС, обеспечивающих систем, внешних сервисов, облачных провайдеров, каналов связи, ЦОД;
   - Обеспечить реализацию требований."&amp;" 
 - Регламентировать процесс обеспечения отказоустойчивости;
    - Контролировать выполнение требований к отказоустойчивости.")</f>
        <v xml:space="preserve"> - Провести анализ всех ИС и определить требования к отказоустойчивости для каждой;
   - Определить требования к характеристикам отказоустойчивости, дублированию, резервированию всех программных и  аппаратных компонентов ИС, обеспечивающих систем, внешних сервисов, облачных провайдеров, каналов связи, ЦОД;
   - Обеспечить реализацию требований. 
 - Регламентировать процесс обеспечения отказоустойчивости;
    - Контролировать выполнение требований к отказоустойчивости.</v>
      </c>
      <c r="X125" s="128" t="s">
        <v>1228</v>
      </c>
      <c r="Y125" s="263">
        <f>Y124+0.01</f>
        <v>339.01</v>
      </c>
      <c r="Z125" s="265" t="str">
        <f>IF(($L125-$D125)&gt;=0,"",
" ")</f>
        <v xml:space="preserve"> </v>
      </c>
    </row>
    <row r="126" spans="2:27" ht="62.4" outlineLevel="1">
      <c r="B126" s="254" t="s">
        <v>410</v>
      </c>
      <c r="C126" s="255" t="s">
        <v>411</v>
      </c>
      <c r="D126" s="256">
        <v>5</v>
      </c>
      <c r="E126" s="257">
        <v>3.2</v>
      </c>
      <c r="F126" s="258">
        <v>0</v>
      </c>
      <c r="G126" s="128"/>
      <c r="H126" s="242"/>
      <c r="I126" s="128"/>
      <c r="J126" s="259"/>
      <c r="K126" s="260">
        <f t="shared" si="21"/>
        <v>5</v>
      </c>
      <c r="L126" s="128">
        <f>VALUE(LEFT(N126,3))</f>
        <v>0</v>
      </c>
      <c r="M126">
        <f t="shared" si="22"/>
        <v>-5</v>
      </c>
      <c r="N126" s="261" t="s">
        <v>331</v>
      </c>
      <c r="O126" s="216" t="str">
        <f>IF((СК="Да"),"Зона ответственности Сервисной компании", "")</f>
        <v/>
      </c>
      <c r="P126" s="262">
        <f>IFERROR(IF($L126&gt;D126,1,$L126/D126),0)</f>
        <v>0</v>
      </c>
      <c r="Q126" s="262">
        <f>IFERROR(IF($L126&gt;E126,1,$L126/E126),0)</f>
        <v>0</v>
      </c>
      <c r="R126" s="262"/>
      <c r="S126" s="263">
        <f>S125+0.01</f>
        <v>39.019999999999996</v>
      </c>
      <c r="T126" s="296" t="str">
        <f>IF(($L126-$F126)&gt;=0,"","")</f>
        <v/>
      </c>
      <c r="U126" s="638"/>
      <c r="V126" s="263">
        <f>V125+0.01</f>
        <v>239.01999999999998</v>
      </c>
      <c r="W126" s="265" t="str">
        <f>IF(($L126-$E126)&gt;=0,"",
" - Обеспечить дублирование инфраструктуры в разных ЦОД для критичных ИС.")</f>
        <v xml:space="preserve"> - Обеспечить дублирование инфраструктуры в разных ЦОД для критичных ИС.</v>
      </c>
      <c r="X126" s="128" t="s">
        <v>1319</v>
      </c>
      <c r="Y126" s="263">
        <f>Y125+0.01</f>
        <v>339.02</v>
      </c>
      <c r="Z126" s="265" t="str">
        <f>IF(($L126-$D126)&gt;=0,"",
" - Обеспечить дублирование инфраструктуры в разных ЦОД для всех ИС и хранилищ резервных копий;"&amp;"
   - Регламентировать порядок дублирования инфраструктуры в территориально разделенных ЦОД.")</f>
        <v xml:space="preserve"> - Обеспечить дублирование инфраструктуры в разных ЦОД для всех ИС и хранилищ резервных копий;
   - Регламентировать порядок дублирования инфраструктуры в территориально разделенных ЦОД.</v>
      </c>
      <c r="AA126" s="128" t="s">
        <v>1229</v>
      </c>
    </row>
    <row r="127" spans="2:27" ht="93.6" outlineLevel="1">
      <c r="B127" s="254" t="s">
        <v>412</v>
      </c>
      <c r="C127" s="255" t="s">
        <v>413</v>
      </c>
      <c r="D127" s="256">
        <v>5</v>
      </c>
      <c r="E127" s="257">
        <v>0</v>
      </c>
      <c r="F127" s="258">
        <v>0</v>
      </c>
      <c r="G127" s="128"/>
      <c r="H127" s="242"/>
      <c r="I127" s="128"/>
      <c r="J127" s="259"/>
      <c r="K127" s="260">
        <f t="shared" si="21"/>
        <v>5</v>
      </c>
      <c r="L127" s="128">
        <f>IF((СК="Да"), D127, VALUE(LEFT(N127,3)))</f>
        <v>0</v>
      </c>
      <c r="M127">
        <f t="shared" si="22"/>
        <v>-5</v>
      </c>
      <c r="N127" s="261" t="s">
        <v>331</v>
      </c>
      <c r="O127" s="216" t="str">
        <f>IF((СК="Да"),"Зона ответственности Сервисной компании", "")</f>
        <v/>
      </c>
      <c r="P127" s="262">
        <f>IFERROR(IF($L127&gt;D127,1,$L127/D127),0)</f>
        <v>0</v>
      </c>
      <c r="Q127" s="631"/>
      <c r="R127" s="262"/>
      <c r="S127" s="263">
        <f>S126+0.01</f>
        <v>39.029999999999994</v>
      </c>
      <c r="T127" s="288" t="str">
        <f>IF(($L127-$F127)&gt;=0,"",
" - Обеспечить кластеризацию критичных компонентов ИС и инфрастурктуры")</f>
        <v/>
      </c>
      <c r="U127" s="638"/>
      <c r="V127" s="263">
        <f>V126+0.01</f>
        <v>239.02999999999997</v>
      </c>
      <c r="W127" s="265" t="str">
        <f>IF(($L127-$E127)&gt;=0,"",
" ")</f>
        <v/>
      </c>
      <c r="Y127" s="263">
        <f>Y126+0.01</f>
        <v>339.03</v>
      </c>
      <c r="Z127" s="265" t="str">
        <f>IF(($L127-$D127)&gt;=0,"",
" - Определить требования к кластеризации компонентов ИС;
  - Обеспечить кластеризацию критичных ИС;"&amp;"
  - Реализовать мониторинг состояния кластеров;
  - Обеспечить отказоустойчивость кластеров при сбоях
- Реализовать процесс периодического тестирования кластеризованных компонентов на отказоустойчивость.")</f>
        <v xml:space="preserve"> - Определить требования к кластеризации компонентов ИС;
  - Обеспечить кластеризацию критичных ИС;
  - Реализовать мониторинг состояния кластеров;
  - Обеспечить отказоустойчивость кластеров при сбоях
- Реализовать процесс периодического тестирования кластеризованных компонентов на отказоустойчивость.</v>
      </c>
      <c r="AA127" s="128" t="s">
        <v>1231</v>
      </c>
    </row>
    <row r="128" spans="2:27" ht="156" outlineLevel="1">
      <c r="B128" s="254" t="s">
        <v>414</v>
      </c>
      <c r="C128" s="255" t="s">
        <v>1232</v>
      </c>
      <c r="D128" s="256">
        <v>5</v>
      </c>
      <c r="E128" s="257">
        <v>3.2</v>
      </c>
      <c r="F128" s="258">
        <v>0</v>
      </c>
      <c r="G128" s="128"/>
      <c r="H128" s="242"/>
      <c r="I128" s="128"/>
      <c r="J128" s="259"/>
      <c r="K128" s="260">
        <f t="shared" si="21"/>
        <v>5</v>
      </c>
      <c r="L128" s="128">
        <f>IF((СК="Да"), D128, VALUE(LEFT(N128,3)))</f>
        <v>0</v>
      </c>
      <c r="M128">
        <f t="shared" si="22"/>
        <v>-5</v>
      </c>
      <c r="N128" s="261" t="s">
        <v>331</v>
      </c>
      <c r="O128" s="216" t="str">
        <f>IF((СК="Да"),"Зона ответственности Сервисной компании", "")</f>
        <v/>
      </c>
      <c r="P128" s="262">
        <f>IFERROR(IF($L128&gt;D128,1,$L128/D128),0)</f>
        <v>0</v>
      </c>
      <c r="Q128" s="262">
        <f>IFERROR(IF($L128&gt;E128,1,$L128/E128),0)</f>
        <v>0</v>
      </c>
      <c r="R128" s="262"/>
      <c r="S128" s="263">
        <f>S127+0.01</f>
        <v>39.039999999999992</v>
      </c>
      <c r="T128" s="288" t="str">
        <f>IF(($L128-$F128)&gt;=0,"",)</f>
        <v/>
      </c>
      <c r="U128" s="638"/>
      <c r="V128" s="263">
        <f>V127+0.01</f>
        <v>239.03999999999996</v>
      </c>
      <c r="W128" s="265" t="str">
        <f>IF(($L128-$E128)&gt;=0,"",
" - Определить перечень запасных частей и материалов, необходимых для обеспечения непрерывной работы информационных систем и проведения аварийно-восстановительных работ;"&amp;"
   - Закупить в требуемом объеме запасные части и материалы. ")</f>
        <v xml:space="preserve"> - Определить перечень запасных частей и материалов, необходимых для обеспечения непрерывной работы информационных систем и проведения аварийно-восстановительных работ;
   - Закупить в требуемом объеме запасные части и материалы. </v>
      </c>
      <c r="X128" s="128" t="s">
        <v>1234</v>
      </c>
      <c r="Y128" s="263">
        <f>Y127+0.01</f>
        <v>339.03999999999996</v>
      </c>
      <c r="Z128" s="265" t="str">
        <f>IF(($L128-$D128)&gt;=0,"",
" - Определить перечень запасных частей и материалов, необходимых для обеспечения непрерывной работы информационных систем, плановой замены, развития, восстановления при авариях;"&amp;"
  - Закупить в требуемом объеме запасные части и материалы;
  - Заключить договоры на техническую поддержку оборудования и ПО;"&amp;"
  - Регламентировать процессы обеспечения запасными частями и материалами, требуемые объемы и уровни запасов с учетом критичности информационных систем.")</f>
        <v xml:space="preserve"> - Определить перечень запасных частей и материалов, необходимых для обеспечения непрерывной работы информационных систем, плановой замены, развития, восстановления при авариях;
  - Закупить в требуемом объеме запасные части и материалы;
  - Заключить договоры на техническую поддержку оборудования и ПО;
  - Регламентировать процессы обеспечения запасными частями и материалами, требуемые объемы и уровни запасов с учетом критичности информационных систем.</v>
      </c>
      <c r="AA128" s="128" t="s">
        <v>1235</v>
      </c>
    </row>
    <row r="129" spans="2:27" ht="124.8" outlineLevel="1">
      <c r="B129" s="254" t="s">
        <v>415</v>
      </c>
      <c r="C129" s="255" t="s">
        <v>1233</v>
      </c>
      <c r="D129" s="256">
        <v>5</v>
      </c>
      <c r="E129" s="257">
        <v>3.2</v>
      </c>
      <c r="F129" s="258">
        <v>0</v>
      </c>
      <c r="G129" s="128"/>
      <c r="H129" s="242"/>
      <c r="I129" s="128"/>
      <c r="J129" s="259"/>
      <c r="K129" s="260">
        <f t="shared" si="21"/>
        <v>5</v>
      </c>
      <c r="L129" s="128">
        <f>IF((СК="Да"), D129, VALUE(LEFT(N129,3)))</f>
        <v>0</v>
      </c>
      <c r="M129">
        <f t="shared" si="22"/>
        <v>-5</v>
      </c>
      <c r="N129" s="261" t="s">
        <v>349</v>
      </c>
      <c r="O129" s="216" t="str">
        <f>IF((СК="Да"),"Зона ответственности Сервисной компании", "")</f>
        <v/>
      </c>
      <c r="P129" s="262">
        <f>IFERROR(IF($L129&gt;D129,1,$L129/D129),0)</f>
        <v>0</v>
      </c>
      <c r="Q129" s="262">
        <f>IFERROR(IF($L129&gt;E129,1,$L129/E129),0)</f>
        <v>0</v>
      </c>
      <c r="R129" s="262"/>
      <c r="S129" s="263">
        <f>S128+0.01</f>
        <v>39.04999999999999</v>
      </c>
      <c r="T129" s="288" t="str">
        <f>IF(($L129-$F129)&gt;=0,"",
" ")</f>
        <v/>
      </c>
      <c r="U129" s="638"/>
      <c r="V129" s="263">
        <f>V128+0.01</f>
        <v>239.04999999999995</v>
      </c>
      <c r="W129" s="265" t="str">
        <f>IF(($L129-$E129)&gt;=0,"",
" - Определить требования к уровню доступности средств защиты и обеспечить его выполнение;"&amp;"
   - Обеспечить уровень доступности средств защиты не ниже чем уровень доступности защищаемых ИС;"&amp;" 
- Обеспечить доступность средств защиты при авариях и сбоях ИС;
  - Обеспечить  применение компенсирующих мер защиты при сбоях и авариях средств защиты.")</f>
        <v xml:space="preserve"> - Определить требования к уровню доступности средств защиты и обеспечить его выполнение;
   - Обеспечить уровень доступности средств защиты не ниже чем уровень доступности защищаемых ИС; 
- Обеспечить доступность средств защиты при авариях и сбоях ИС;
  - Обеспечить  применение компенсирующих мер защиты при сбоях и авариях средств защиты.</v>
      </c>
      <c r="X129" s="128" t="s">
        <v>1251</v>
      </c>
      <c r="Y129" s="263">
        <f>Y128+0.01</f>
        <v>339.04999999999995</v>
      </c>
      <c r="Z129" s="265" t="str">
        <f>IF(($L129-$D129)&gt;=0,"",
" - Реализовать процесс периодического тестирования средств защиты в рамках общего процесса тестирования ИС на отказоустойчивость.")</f>
        <v xml:space="preserve"> - Реализовать процесс периодического тестирования средств защиты в рамках общего процесса тестирования ИС на отказоустойчивость.</v>
      </c>
      <c r="AA129" s="128" t="s">
        <v>1320</v>
      </c>
    </row>
    <row r="130" spans="2:27" ht="17.399999999999999">
      <c r="B130" s="249" t="s">
        <v>1236</v>
      </c>
      <c r="C130" s="21" t="s">
        <v>1176</v>
      </c>
      <c r="D130" s="21"/>
      <c r="E130" s="21"/>
      <c r="F130" s="21"/>
      <c r="G130" s="270"/>
      <c r="H130" s="21"/>
      <c r="I130" s="21"/>
      <c r="J130" s="21"/>
      <c r="K130" s="21"/>
      <c r="L130" s="21"/>
      <c r="M130" s="294">
        <f t="shared" si="22"/>
        <v>0</v>
      </c>
      <c r="N130" s="295"/>
      <c r="O130" s="295"/>
      <c r="P130" s="294"/>
      <c r="Q130" s="294"/>
      <c r="R130" s="294"/>
      <c r="S130" s="252">
        <f>VLOOKUP(B130,Приоритет!$G$9:$K$48,5,0)</f>
        <v>33</v>
      </c>
      <c r="T130" s="248" t="s">
        <v>1176</v>
      </c>
      <c r="U130" s="248"/>
      <c r="V130" s="252">
        <f>S130+200</f>
        <v>233</v>
      </c>
      <c r="W130" s="21" t="s">
        <v>1176</v>
      </c>
      <c r="X130" s="21"/>
      <c r="Y130" s="252">
        <f>S130+300</f>
        <v>333</v>
      </c>
      <c r="Z130" s="21" t="s">
        <v>1176</v>
      </c>
      <c r="AA130" s="21" t="s">
        <v>1321</v>
      </c>
    </row>
    <row r="131" spans="2:27" s="300" customFormat="1" ht="409.6" outlineLevel="1">
      <c r="B131" s="254" t="s">
        <v>416</v>
      </c>
      <c r="C131" s="255" t="s">
        <v>1177</v>
      </c>
      <c r="D131" s="256">
        <f>5*IF(БР="да",1,0)</f>
        <v>5</v>
      </c>
      <c r="E131" s="257">
        <f>3.2*IF(БР="да",1,0)</f>
        <v>3.2</v>
      </c>
      <c r="F131" s="258">
        <f>1.6*IF(БР="да",1,0)</f>
        <v>1.6</v>
      </c>
      <c r="G131" s="242"/>
      <c r="H131" s="128"/>
      <c r="I131" s="128"/>
      <c r="J131" s="259"/>
      <c r="K131" s="260">
        <f t="shared" si="21"/>
        <v>5</v>
      </c>
      <c r="L131" s="297">
        <f t="shared" ref="L131:L138" si="32">VALUE(LEFT(N131,3))</f>
        <v>0</v>
      </c>
      <c r="M131">
        <f t="shared" si="22"/>
        <v>-5</v>
      </c>
      <c r="N131" s="269" t="s">
        <v>417</v>
      </c>
      <c r="O131" s="298"/>
      <c r="P131" s="262">
        <f t="shared" ref="P131:P141" si="33">IFERROR(IF($L131&gt;D131,1,$L131/D131),0)</f>
        <v>0</v>
      </c>
      <c r="Q131" s="262">
        <f t="shared" ref="Q131:Q143" si="34">IFERROR(IF($L131&gt;E131,1,$L131/E131),0)</f>
        <v>0</v>
      </c>
      <c r="R131" s="262">
        <f t="shared" si="24"/>
        <v>0</v>
      </c>
      <c r="S131" s="263">
        <f>S130+0.01</f>
        <v>33.01</v>
      </c>
      <c r="T131" s="299" t="str">
        <f>IF(($L131-$F131)&gt;=0,"",
" Для систем Mission Critical определить:
-требования безопасности ПО; 
-типовой набор требований безопасности ПО.")</f>
        <v xml:space="preserve"> Для систем Mission Critical определить:
-требования безопасности ПО; 
-типовой набор требований безопасности ПО.</v>
      </c>
      <c r="U131" s="639" t="s">
        <v>1272</v>
      </c>
      <c r="V131" s="263">
        <f>V130+0.01</f>
        <v>233.01</v>
      </c>
      <c r="W131" s="265" t="str">
        <f>IF(($L131-$E131)&gt;=0,"",
" 1. Для систем Business Critical формализовать:
-требования безопасности ПО; 
-типовой набор требований безопасности ПО.
2.Автоматизировать процесс предоставления, получения и выполнения требований безопасности ПО;")</f>
        <v xml:space="preserve"> 1. Для систем Business Critical формализовать:
-требования безопасности ПО; 
-типовой набор требований безопасности ПО.
2.Автоматизировать процесс предоставления, получения и выполнения требований безопасности ПО;</v>
      </c>
      <c r="X131" s="128" t="s">
        <v>1274</v>
      </c>
      <c r="Y131" s="263">
        <f>Y130+0.01</f>
        <v>333.01</v>
      </c>
      <c r="Z131" s="265" t="str">
        <f>IF(($L131-$D131)&gt;=0,"",
" Для всех систем формализовать:
-требования безопасности ПО; 
-типовой набор требований безопасности ПО.")</f>
        <v xml:space="preserve"> Для всех систем формализовать:
-требования безопасности ПО; 
-типовой набор требований безопасности ПО.</v>
      </c>
      <c r="AA131" s="128" t="s">
        <v>1273</v>
      </c>
    </row>
    <row r="132" spans="2:27" ht="187.2" outlineLevel="1">
      <c r="B132" s="254" t="s">
        <v>418</v>
      </c>
      <c r="C132" s="255" t="s">
        <v>1178</v>
      </c>
      <c r="D132" s="256">
        <f>5*IF(БР="да",1,0)</f>
        <v>5</v>
      </c>
      <c r="E132" s="257">
        <f>5*IF(БР="да",1,0)</f>
        <v>5</v>
      </c>
      <c r="F132" s="258">
        <v>0</v>
      </c>
      <c r="G132" s="128"/>
      <c r="H132" s="128"/>
      <c r="I132" s="128"/>
      <c r="J132" s="259"/>
      <c r="K132" s="260">
        <f t="shared" si="21"/>
        <v>5</v>
      </c>
      <c r="L132" s="128">
        <f t="shared" si="32"/>
        <v>0</v>
      </c>
      <c r="M132">
        <f t="shared" si="22"/>
        <v>-5</v>
      </c>
      <c r="N132" s="261" t="s">
        <v>331</v>
      </c>
      <c r="O132" s="298"/>
      <c r="P132" s="262">
        <f t="shared" si="33"/>
        <v>0</v>
      </c>
      <c r="Q132" s="262">
        <f t="shared" si="34"/>
        <v>0</v>
      </c>
      <c r="R132" s="262"/>
      <c r="S132" s="263">
        <f t="shared" ref="S132:S141" si="35">S131+0.01</f>
        <v>33.019999999999996</v>
      </c>
      <c r="T132" s="299" t="str">
        <f>IF(($L132-$F132)&gt;=0,"","")</f>
        <v/>
      </c>
      <c r="U132" s="639"/>
      <c r="V132" s="263">
        <f t="shared" ref="V132:V141" si="36">V131+0.01</f>
        <v>233.01999999999998</v>
      </c>
      <c r="W132" s="265" t="str">
        <f>IF(($L132-$E132)&gt;=0,""," Разработать и утвердить Порядок фиксации замечаний по безопасности и последующего исправления багов")</f>
        <v xml:space="preserve"> Разработать и утвердить Порядок фиксации замечаний по безопасности и последующего исправления багов</v>
      </c>
      <c r="X132" s="128" t="s">
        <v>1322</v>
      </c>
      <c r="Y132" s="263">
        <f t="shared" ref="Y132:Y141" si="37">Y131+0.01</f>
        <v>333.02</v>
      </c>
      <c r="Z132" s="265" t="str">
        <f>IF(($L132-$D132)&gt;=0,"","")</f>
        <v/>
      </c>
    </row>
    <row r="133" spans="2:27" ht="390" outlineLevel="1">
      <c r="B133" s="254" t="s">
        <v>419</v>
      </c>
      <c r="C133" s="255" t="s">
        <v>1179</v>
      </c>
      <c r="D133" s="256">
        <f t="shared" ref="D133:D141" si="38">5*IF(БР="да",1,0)</f>
        <v>5</v>
      </c>
      <c r="E133" s="257">
        <f>3.2*IF(БР="да",1,0)</f>
        <v>3.2</v>
      </c>
      <c r="F133" s="258">
        <f t="shared" ref="F133:F139" si="39">1.6*IF(БР="да",1,0)</f>
        <v>1.6</v>
      </c>
      <c r="G133" s="128"/>
      <c r="H133" s="128"/>
      <c r="I133" s="128"/>
      <c r="J133" s="259"/>
      <c r="K133" s="260">
        <f t="shared" si="21"/>
        <v>5</v>
      </c>
      <c r="L133" s="128">
        <f t="shared" si="32"/>
        <v>0</v>
      </c>
      <c r="M133">
        <f t="shared" si="22"/>
        <v>-5</v>
      </c>
      <c r="N133" s="269" t="s">
        <v>417</v>
      </c>
      <c r="O133" s="298"/>
      <c r="P133" s="262">
        <f t="shared" si="33"/>
        <v>0</v>
      </c>
      <c r="Q133" s="262">
        <f t="shared" si="34"/>
        <v>0</v>
      </c>
      <c r="R133" s="262">
        <f t="shared" si="24"/>
        <v>0</v>
      </c>
      <c r="S133" s="263">
        <f t="shared" si="35"/>
        <v>33.029999999999994</v>
      </c>
      <c r="T133" s="288" t="str">
        <f>IF(($L133-$F133)&gt;=0,"",
" Для систем Mission Critical определить:
-порядок приемки ПО перед его запуском в продуктивной среде;
- порядок передачи ПО в продуктивную среду;
-состав и содержание эксплуатационных документов на ПО.")</f>
        <v xml:space="preserve"> Для систем Mission Critical определить:
-порядок приемки ПО перед его запуском в продуктивной среде;
- порядок передачи ПО в продуктивную среду;
-состав и содержание эксплуатационных документов на ПО.</v>
      </c>
      <c r="U133" s="128" t="s">
        <v>1280</v>
      </c>
      <c r="V133" s="263">
        <f t="shared" si="36"/>
        <v>233.02999999999997</v>
      </c>
      <c r="W133" s="265" t="str">
        <f>IF(($L133-$E133)&gt;=0,"",
"Для систем Mission и Business Critical формализовать: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 ")</f>
        <v xml:space="preserve">Для систем Mission и Business Critical формализовать: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 </v>
      </c>
      <c r="X133" s="128" t="s">
        <v>1280</v>
      </c>
      <c r="Y133" s="263">
        <f t="shared" si="37"/>
        <v>333.03</v>
      </c>
      <c r="Z133" s="265" t="str">
        <f>IF(($L133-$D133)&gt;=0,"",
"Для всех систем формализовать: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f>
        <v>Для всех систем формализовать:
- порядок приемки ПО перед его запуском в продуктивной среде;
- порядок передачи ПО в продуктивную среду;
- состав и содержание эксплуатационных документов на ПО.</v>
      </c>
      <c r="AA133" s="128" t="s">
        <v>1280</v>
      </c>
    </row>
    <row r="134" spans="2:27" ht="405.6" outlineLevel="1">
      <c r="B134" s="254" t="s">
        <v>420</v>
      </c>
      <c r="C134" s="255" t="s">
        <v>1180</v>
      </c>
      <c r="D134" s="256">
        <f t="shared" si="38"/>
        <v>5</v>
      </c>
      <c r="E134" s="257">
        <f>3.2*IF(БР="да",1,0)</f>
        <v>3.2</v>
      </c>
      <c r="F134" s="258">
        <f t="shared" si="39"/>
        <v>1.6</v>
      </c>
      <c r="G134" s="128"/>
      <c r="H134" s="128"/>
      <c r="I134" s="128"/>
      <c r="J134" s="259"/>
      <c r="K134" s="260">
        <f t="shared" si="21"/>
        <v>5</v>
      </c>
      <c r="L134" s="128">
        <f t="shared" si="32"/>
        <v>0</v>
      </c>
      <c r="M134">
        <f t="shared" si="22"/>
        <v>-5</v>
      </c>
      <c r="N134" s="269" t="s">
        <v>417</v>
      </c>
      <c r="O134" s="298"/>
      <c r="P134" s="262">
        <f t="shared" si="33"/>
        <v>0</v>
      </c>
      <c r="Q134" s="262">
        <f t="shared" si="34"/>
        <v>0</v>
      </c>
      <c r="R134" s="262">
        <f t="shared" si="24"/>
        <v>0</v>
      </c>
      <c r="S134" s="263">
        <f t="shared" si="35"/>
        <v>33.039999999999992</v>
      </c>
      <c r="T134" s="288" t="str">
        <f>IF(($L134-$F134)&gt;=0,"", "Для систем Mission Critical определить:
- ответственных за техническую поддержку пользователей ПО;"&amp;"
- порядок информирования пользователей об обновлениях ПО,обнаруженных уязвимостях и окончании технической поддержки
- ответственных за поиск уязвимостей ПО и их устранение.")</f>
        <v>Для систем Mission Critical определить:
- ответственных за техническую поддержку пользователей ПО;
- порядок информирования пользователей об обновлениях ПО,обнаруженных уязвимостях и окончании технической поддержки
- ответственных за поиск уязвимостей ПО и их устранение.</v>
      </c>
      <c r="U134" s="638" t="s">
        <v>1281</v>
      </c>
      <c r="V134" s="263">
        <f t="shared" si="36"/>
        <v>233.03999999999996</v>
      </c>
      <c r="W134" s="265" t="str">
        <f>IF(($L134-$E134)&gt;=0,"",
"Для систем Business Critical. :
- назначить ответственных за техническую поддержку пользователей ПО;"&amp;"
- формализовать порядок информирования пользователей об обновлениях ПО, обнаруженных уязвимостях и окончании технической поддержки;
- назначить о ответственных за поиск уязвимостей ПО и их устранение. ")</f>
        <v xml:space="preserve">Для систем Business Critical. :
- назначить ответственных за техническую поддержку пользователей ПО;
- формализовать порядок информирования пользователей об обновлениях ПО, обнаруженных уязвимостях и окончании технической поддержки;
- назначить о ответственных за поиск уязвимостей ПО и их устранение. </v>
      </c>
      <c r="X134" s="128" t="s">
        <v>1281</v>
      </c>
      <c r="Y134" s="263">
        <f t="shared" si="37"/>
        <v>333.03999999999996</v>
      </c>
      <c r="Z134" s="265" t="str">
        <f>IF(($L134-$D134)&gt;=0,"","Для всех систем:
- назначить ответственных за техническую поддержку пользователей ПО;"&amp;"
- формализовать порядок информирования пользователей об обновлениях ПО,обнаруженных уязвимостях и окончании технической поддержки
- назначить о ответственных за поиск уязвимостей ПО и их устранение. ")</f>
        <v xml:space="preserve">Для всех систем:
- назначить ответственных за техническую поддержку пользователей ПО;
- формализовать порядок информирования пользователей об обновлениях ПО,обнаруженных уязвимостях и окончании технической поддержки
- назначить о ответственных за поиск уязвимостей ПО и их устранение. </v>
      </c>
      <c r="AA134" s="128" t="s">
        <v>1281</v>
      </c>
    </row>
    <row r="135" spans="2:27" ht="296.39999999999998" outlineLevel="1">
      <c r="B135" s="254" t="s">
        <v>421</v>
      </c>
      <c r="C135" s="255" t="s">
        <v>1181</v>
      </c>
      <c r="D135" s="256">
        <f t="shared" si="38"/>
        <v>5</v>
      </c>
      <c r="E135" s="257">
        <f>5*IF(БР="да",1,0)</f>
        <v>5</v>
      </c>
      <c r="F135" s="258">
        <v>0</v>
      </c>
      <c r="G135" s="128"/>
      <c r="H135" s="128"/>
      <c r="I135" s="128"/>
      <c r="J135" s="259"/>
      <c r="K135" s="260">
        <f t="shared" si="21"/>
        <v>5</v>
      </c>
      <c r="L135" s="128">
        <f t="shared" si="32"/>
        <v>0</v>
      </c>
      <c r="M135">
        <f t="shared" si="22"/>
        <v>-5</v>
      </c>
      <c r="N135" s="261" t="s">
        <v>331</v>
      </c>
      <c r="O135" s="298"/>
      <c r="P135" s="262">
        <f t="shared" si="33"/>
        <v>0</v>
      </c>
      <c r="Q135" s="262">
        <f t="shared" si="34"/>
        <v>0</v>
      </c>
      <c r="R135" s="262"/>
      <c r="S135" s="263">
        <f t="shared" si="35"/>
        <v>33.04999999999999</v>
      </c>
      <c r="T135" s="288" t="str">
        <f>IF(($L135-$F135)&gt;=0,"", "" )</f>
        <v/>
      </c>
      <c r="U135" s="638"/>
      <c r="V135" s="263">
        <f t="shared" si="36"/>
        <v>233.04999999999995</v>
      </c>
      <c r="W135" s="265" t="str">
        <f>IF(($L135-$E135)&gt;=0,"","- Провести инвентаризацию всех используемых модулей и служб в текущей инфраструктуре;
- Определить критерии оценки модулей и служб (наличие сертификаций, регулярные обновления, отзывы сообщества); "&amp;"
- Разработать реестр проверенных модулей и служб, с указанием источника и даты проверки;"&amp;
" - Обеспечить использование модулей и служб, внесенных в реестр;
- Настроить автоматические обновления для всех используемых модулей и служб")</f>
        <v>- Провести инвентаризацию всех используемых модулей и служб в текущей инфраструктуре;
- Определить критерии оценки модулей и служб (наличие сертификаций, регулярные обновления, отзывы сообщества); 
- Разработать реестр проверенных модулей и служб, с указанием источника и даты проверки; - Обеспечить использование модулей и служб, внесенных в реестр;
- Настроить автоматические обновления для всех используемых модулей и служб</v>
      </c>
      <c r="X135" s="128" t="s">
        <v>1282</v>
      </c>
      <c r="Y135" s="263">
        <f t="shared" si="37"/>
        <v>333.04999999999995</v>
      </c>
      <c r="Z135" s="265" t="str">
        <f>IF(($L135-$D135)&gt;=0,"","")</f>
        <v/>
      </c>
    </row>
    <row r="136" spans="2:27" ht="265.2" outlineLevel="1">
      <c r="B136" s="632" t="s">
        <v>422</v>
      </c>
      <c r="C136" s="255" t="s">
        <v>1182</v>
      </c>
      <c r="D136" s="256">
        <f t="shared" si="38"/>
        <v>5</v>
      </c>
      <c r="E136" s="257">
        <f>3.2*IF(БР="да",1,0)</f>
        <v>3.2</v>
      </c>
      <c r="F136" s="258">
        <f t="shared" si="39"/>
        <v>1.6</v>
      </c>
      <c r="G136" s="128"/>
      <c r="H136" s="128"/>
      <c r="I136" s="128"/>
      <c r="J136" s="259"/>
      <c r="K136" s="260">
        <f t="shared" si="21"/>
        <v>5</v>
      </c>
      <c r="L136" s="128">
        <f t="shared" si="32"/>
        <v>0</v>
      </c>
      <c r="M136">
        <f t="shared" si="22"/>
        <v>-5</v>
      </c>
      <c r="N136" s="269" t="s">
        <v>417</v>
      </c>
      <c r="O136" s="298"/>
      <c r="P136" s="262">
        <f t="shared" si="33"/>
        <v>0</v>
      </c>
      <c r="Q136" s="262">
        <f t="shared" si="34"/>
        <v>0</v>
      </c>
      <c r="R136" s="262">
        <f t="shared" si="24"/>
        <v>0</v>
      </c>
      <c r="S136" s="263">
        <f t="shared" si="35"/>
        <v>33.059999999999988</v>
      </c>
      <c r="T136" s="288" t="str">
        <f>IF(($L136-$F136)&gt;=0,"","1.Разработать и утвердить документы:
лицензионный договор;
акт приема-передачи.
2.Вести отчетность по анализу кода ПО, полученного через цепочки поставок, на предмет внедрения вредоносного программного обеспечения для систем Mission Critical.")</f>
        <v>1.Разработать и утвердить документы:
лицензионный договор;
акт приема-передачи.
2.Вести отчетность по анализу кода ПО, полученного через цепочки поставок, на предмет внедрения вредоносного программного обеспечения для систем Mission Critical.</v>
      </c>
      <c r="U136" s="638" t="s">
        <v>1283</v>
      </c>
      <c r="V136" s="263">
        <f t="shared" si="36"/>
        <v>233.05999999999995</v>
      </c>
      <c r="W136" s="265" t="str">
        <f>IF(($L136-$E136)&gt;=0,"",
" Мероприятия на КБ1 + 
1.Вести отчетность по анализу кода ПО, полученного через цепочки поставок, на предмет внедрения вредоносного программного обеспечения для систем Business  Critical."&amp;"
2. Автоматизировать контроль безопасности ПО для систем Business  Critical.")</f>
        <v xml:space="preserve"> Мероприятия на КБ1 + 
1.Вести отчетность по анализу кода ПО, полученного через цепочки поставок, на предмет внедрения вредоносного программного обеспечения для систем Business  Critical.
2. Автоматизировать контроль безопасности ПО для систем Business  Critical.</v>
      </c>
      <c r="X136" s="128" t="s">
        <v>1284</v>
      </c>
      <c r="Y136" s="263">
        <f t="shared" si="37"/>
        <v>333.05999999999995</v>
      </c>
      <c r="Z136" s="265" t="str">
        <f>IF(($L136-$D136)&gt;=0,"","1. Вести отчетность по анализу кода ПО, полученного через цепочки поставок, на предмет внедрения вредоносного программного обеспечения для всех систем ;
2. Автоматизировать контроль безопасности ПО для всех систем;")</f>
        <v>1. Вести отчетность по анализу кода ПО, полученного через цепочки поставок, на предмет внедрения вредоносного программного обеспечения для всех систем ;
2. Автоматизировать контроль безопасности ПО для всех систем;</v>
      </c>
      <c r="AA136" s="128" t="s">
        <v>1284</v>
      </c>
    </row>
    <row r="137" spans="2:27" ht="296.39999999999998" outlineLevel="1">
      <c r="B137" s="254" t="s">
        <v>423</v>
      </c>
      <c r="C137" s="255" t="s">
        <v>1183</v>
      </c>
      <c r="D137" s="256">
        <f t="shared" si="38"/>
        <v>5</v>
      </c>
      <c r="E137" s="257">
        <f>3.2*IF(БР="да",1,0)</f>
        <v>3.2</v>
      </c>
      <c r="F137" s="258">
        <f t="shared" si="39"/>
        <v>1.6</v>
      </c>
      <c r="G137" s="128"/>
      <c r="H137" s="128"/>
      <c r="I137" s="128"/>
      <c r="J137" s="259"/>
      <c r="K137" s="260">
        <f t="shared" si="21"/>
        <v>5</v>
      </c>
      <c r="L137" s="128">
        <f t="shared" si="32"/>
        <v>0</v>
      </c>
      <c r="M137">
        <f t="shared" si="22"/>
        <v>-5</v>
      </c>
      <c r="N137" s="261" t="s">
        <v>331</v>
      </c>
      <c r="O137" s="298"/>
      <c r="P137" s="262">
        <f t="shared" si="33"/>
        <v>0</v>
      </c>
      <c r="Q137" s="262">
        <f t="shared" si="34"/>
        <v>0</v>
      </c>
      <c r="R137" s="262">
        <f t="shared" si="24"/>
        <v>0</v>
      </c>
      <c r="S137" s="263">
        <f t="shared" si="35"/>
        <v>33.069999999999986</v>
      </c>
      <c r="T137" s="288" t="str">
        <f>IF(($L137-$F137)&gt;=0,"", "1.Задокументировать порядок формирования списка доверенных компонентов, критерии доверия и правила использования. 
2.Создать реестр одобренных компонентов ПО;")</f>
        <v>1.Задокументировать порядок формирования списка доверенных компонентов, критерии доверия и правила использования. 
2.Создать реестр одобренных компонентов ПО;</v>
      </c>
      <c r="U137" s="638" t="s">
        <v>1285</v>
      </c>
      <c r="V137" s="263">
        <f t="shared" si="36"/>
        <v>233.06999999999994</v>
      </c>
      <c r="W137" s="265" t="str">
        <f>IF(($L137-$E137)&gt;=0,"",
" -Мероприятия для КБ1 +
1. Автоматизировать поиск узявимостей в реестре одобренных компонентов ПО;
2. Автоматизировать процесс отслеживания обновления ПО и информации об уязвимостях.")</f>
        <v xml:space="preserve"> -Мероприятия для КБ1 +
1. Автоматизировать поиск узявимостей в реестре одобренных компонентов ПО;
2. Автоматизировать процесс отслеживания обновления ПО и информации об уязвимостях.</v>
      </c>
      <c r="X137" s="128" t="s">
        <v>1286</v>
      </c>
      <c r="Y137" s="263">
        <f t="shared" si="37"/>
        <v>333.06999999999994</v>
      </c>
      <c r="Z137" s="265" t="str">
        <f>IF(($L137-$D137)&gt;=0,"","1.Мониторить процесс  поиска узявимостей в реестре одобренных компонентов ПО;
2.Отслеживать с помощью метрик процесс обновления ПО и информации об уязвимостях не реже одного раза в месяц.")</f>
        <v>1.Мониторить процесс  поиска узявимостей в реестре одобренных компонентов ПО;
2.Отслеживать с помощью метрик процесс обновления ПО и информации об уязвимостях не реже одного раза в месяц.</v>
      </c>
      <c r="AA137" s="128" t="s">
        <v>1323</v>
      </c>
    </row>
    <row r="138" spans="2:27" ht="312" outlineLevel="1">
      <c r="B138" s="254" t="s">
        <v>424</v>
      </c>
      <c r="C138" s="255" t="s">
        <v>1184</v>
      </c>
      <c r="D138" s="256">
        <f t="shared" si="38"/>
        <v>5</v>
      </c>
      <c r="E138" s="257">
        <f>3.2*IF(БР="да",1,0)</f>
        <v>3.2</v>
      </c>
      <c r="F138" s="258">
        <f t="shared" si="39"/>
        <v>1.6</v>
      </c>
      <c r="G138" s="128"/>
      <c r="H138" s="128"/>
      <c r="I138" s="128"/>
      <c r="J138" s="259"/>
      <c r="K138" s="260">
        <f t="shared" si="21"/>
        <v>5</v>
      </c>
      <c r="L138" s="128">
        <f t="shared" si="32"/>
        <v>0</v>
      </c>
      <c r="M138">
        <f t="shared" si="22"/>
        <v>-5</v>
      </c>
      <c r="N138" s="261" t="s">
        <v>331</v>
      </c>
      <c r="O138" s="298"/>
      <c r="P138" s="262">
        <f t="shared" si="33"/>
        <v>0</v>
      </c>
      <c r="Q138" s="262">
        <f t="shared" si="34"/>
        <v>0</v>
      </c>
      <c r="R138" s="262">
        <f t="shared" si="24"/>
        <v>0</v>
      </c>
      <c r="S138" s="263">
        <f t="shared" si="35"/>
        <v>33.079999999999984</v>
      </c>
      <c r="T138" s="288" t="str">
        <f>IF(($L138-$F138)&gt;=0,"", "1.Определить порядок скачивания компонентов ПО из проверенных источников;
2.Определить критериии доверия к компонентам ПО.")</f>
        <v>1.Определить порядок скачивания компонентов ПО из проверенных источников;
2.Определить критериии доверия к компонентам ПО.</v>
      </c>
      <c r="U138" s="638" t="s">
        <v>1288</v>
      </c>
      <c r="V138" s="263">
        <f t="shared" si="36"/>
        <v>233.07999999999993</v>
      </c>
      <c r="W138" s="265" t="str">
        <f>IF(($L138-$E138)&gt;=0,"",
" -Автоматизировать в Реестре проверку компонентов на уязвимости и угрозы безопасности. 
- Получать  компоненты ПО только из доверенных источников.")</f>
        <v xml:space="preserve"> -Автоматизировать в Реестре проверку компонентов на уязвимости и угрозы безопасности. 
- Получать  компоненты ПО только из доверенных источников.</v>
      </c>
      <c r="X138" s="128" t="s">
        <v>1289</v>
      </c>
      <c r="Y138" s="263">
        <f t="shared" si="37"/>
        <v>333.07999999999993</v>
      </c>
      <c r="Z138" s="265" t="str">
        <f>IF(($L138-$D138)&gt;=0,"","
Отслеживать с помощью метрик процесс проверки компонентов на уязвимости и угрозы безопасности.")</f>
        <v xml:space="preserve">
Отслеживать с помощью метрик процесс проверки компонентов на уязвимости и угрозы безопасности.</v>
      </c>
      <c r="AA138" s="128" t="s">
        <v>1324</v>
      </c>
    </row>
    <row r="139" spans="2:27" ht="62.4" outlineLevel="1">
      <c r="B139" s="254" t="s">
        <v>1172</v>
      </c>
      <c r="C139" s="255" t="s">
        <v>1185</v>
      </c>
      <c r="D139" s="256">
        <f t="shared" si="38"/>
        <v>5</v>
      </c>
      <c r="E139" s="257">
        <f>3.2*IF(БР="да",1,0)</f>
        <v>3.2</v>
      </c>
      <c r="F139" s="258">
        <f t="shared" si="39"/>
        <v>1.6</v>
      </c>
      <c r="G139" s="128"/>
      <c r="H139" s="128"/>
      <c r="I139" s="128"/>
      <c r="J139" s="259"/>
      <c r="K139" s="260">
        <f t="shared" si="21"/>
        <v>5</v>
      </c>
      <c r="L139" s="128">
        <f>VALUE(LEFT(N139,3))</f>
        <v>0</v>
      </c>
      <c r="M139">
        <f t="shared" si="22"/>
        <v>-5</v>
      </c>
      <c r="N139" s="261" t="s">
        <v>331</v>
      </c>
      <c r="O139" s="298"/>
      <c r="P139" s="262">
        <f t="shared" si="33"/>
        <v>0</v>
      </c>
      <c r="Q139" s="262">
        <f t="shared" si="34"/>
        <v>0</v>
      </c>
      <c r="R139" s="262">
        <f t="shared" si="24"/>
        <v>0</v>
      </c>
      <c r="S139" s="263">
        <f t="shared" si="35"/>
        <v>33.089999999999982</v>
      </c>
      <c r="T139" s="288" t="str">
        <f>IF(($L139-$F139)&gt;=0,"",
"Для систем Mission Critical  определить механизмы безопасности системного уровня для обеспечения безопасности критичных компонентов ПО")</f>
        <v>Для систем Mission Critical  определить механизмы безопасности системного уровня для обеспечения безопасности критичных компонентов ПО</v>
      </c>
      <c r="U139" s="638" t="s">
        <v>1275</v>
      </c>
      <c r="V139" s="263">
        <f t="shared" si="36"/>
        <v>233.08999999999992</v>
      </c>
      <c r="W139" s="265" t="str">
        <f>IF(($L139-$E139)&gt;=0,"",
" 1. Для систем Business Critical формализовать механизмы безопасности системного уровня для обеспечения безопасности критичных компонентов ПО.
")</f>
        <v xml:space="preserve"> 1. Для систем Business Critical формализовать механизмы безопасности системного уровня для обеспечения безопасности критичных компонентов ПО.
</v>
      </c>
      <c r="X139" s="128" t="s">
        <v>1276</v>
      </c>
      <c r="Y139" s="263">
        <f t="shared" si="37"/>
        <v>333.08999999999992</v>
      </c>
      <c r="Z139" s="265" t="str">
        <f>IF(($L139-$D139)&gt;=0,"",
" Для всех систем формализовать механизмы безопасности системного уровня для обеспечения безопасности критичных компонентов ПО.")</f>
        <v xml:space="preserve"> Для всех систем формализовать механизмы безопасности системного уровня для обеспечения безопасности критичных компонентов ПО.</v>
      </c>
      <c r="AA139" s="128" t="s">
        <v>1278</v>
      </c>
    </row>
    <row r="140" spans="2:27" ht="358.8" outlineLevel="1">
      <c r="B140" s="254" t="s">
        <v>425</v>
      </c>
      <c r="C140" s="255" t="s">
        <v>1186</v>
      </c>
      <c r="D140" s="256">
        <f t="shared" si="38"/>
        <v>5</v>
      </c>
      <c r="E140" s="257">
        <f>5*IF(БР="да",1,0)</f>
        <v>5</v>
      </c>
      <c r="F140" s="258">
        <v>0</v>
      </c>
      <c r="G140" s="128"/>
      <c r="H140" s="128"/>
      <c r="I140" s="128"/>
      <c r="J140" s="259"/>
      <c r="K140" s="260">
        <f t="shared" si="21"/>
        <v>5</v>
      </c>
      <c r="L140" s="128">
        <f>VALUE(LEFT(N140,3))</f>
        <v>0</v>
      </c>
      <c r="M140">
        <f t="shared" si="22"/>
        <v>-5</v>
      </c>
      <c r="N140" s="261" t="s">
        <v>331</v>
      </c>
      <c r="O140" s="298"/>
      <c r="P140" s="262">
        <f t="shared" si="33"/>
        <v>0</v>
      </c>
      <c r="Q140" s="262">
        <f t="shared" si="34"/>
        <v>0</v>
      </c>
      <c r="R140" s="262"/>
      <c r="S140" s="267">
        <f t="shared" si="35"/>
        <v>33.09999999999998</v>
      </c>
      <c r="T140" s="288" t="str">
        <f>IF(($L140-$F140)&gt;=0,"",)</f>
        <v/>
      </c>
      <c r="U140" s="638"/>
      <c r="V140" s="267">
        <f t="shared" si="36"/>
        <v>233.09999999999991</v>
      </c>
      <c r="W140" s="265" t="str">
        <f>IF(($L140-$E140)&gt;=0,"","1.Внедрить систему обнаружения уязвимостей:
2.Формализовать SLA ;
3.Формализовать уровни критичности используемых библиотек для всех систем ;
4.Формализовать метрики отслеживаемости для всех систем.")</f>
        <v>1.Внедрить систему обнаружения уязвимостей:
2.Формализовать SLA ;
3.Формализовать уровни критичности используемых библиотек для всех систем ;
4.Формализовать метрики отслеживаемости для всех систем.</v>
      </c>
      <c r="X140" s="128" t="s">
        <v>1277</v>
      </c>
      <c r="Y140" s="267">
        <f t="shared" si="37"/>
        <v>333.09999999999991</v>
      </c>
      <c r="Z140" s="265" t="str">
        <f>IF(($L140-$D140)&gt;=0,"",
" ")</f>
        <v xml:space="preserve"> </v>
      </c>
    </row>
    <row r="141" spans="2:27" ht="234" outlineLevel="1">
      <c r="B141" s="254" t="s">
        <v>426</v>
      </c>
      <c r="C141" s="255" t="s">
        <v>1187</v>
      </c>
      <c r="D141" s="256">
        <f t="shared" si="38"/>
        <v>5</v>
      </c>
      <c r="E141" s="257">
        <f>5*IF(БР="да",1,0)</f>
        <v>5</v>
      </c>
      <c r="F141" s="258">
        <v>0</v>
      </c>
      <c r="G141" s="128"/>
      <c r="H141" s="128"/>
      <c r="I141" s="128"/>
      <c r="J141" s="259"/>
      <c r="K141" s="260">
        <f t="shared" si="21"/>
        <v>5</v>
      </c>
      <c r="L141" s="128">
        <f>VALUE(LEFT(N141,3))</f>
        <v>0</v>
      </c>
      <c r="M141">
        <f t="shared" si="22"/>
        <v>-5</v>
      </c>
      <c r="N141" s="261" t="s">
        <v>331</v>
      </c>
      <c r="O141" s="298"/>
      <c r="P141" s="262">
        <f t="shared" si="33"/>
        <v>0</v>
      </c>
      <c r="Q141" s="262">
        <f t="shared" si="34"/>
        <v>0</v>
      </c>
      <c r="R141" s="262"/>
      <c r="S141" s="263">
        <f t="shared" si="35"/>
        <v>33.109999999999978</v>
      </c>
      <c r="T141" s="288" t="str">
        <f>IF(($L141-$F141)&gt;=0,"",)</f>
        <v/>
      </c>
      <c r="U141" s="638"/>
      <c r="V141" s="263">
        <f t="shared" si="36"/>
        <v>233.1099999999999</v>
      </c>
      <c r="W141" s="265" t="str">
        <f>IF(($L141-$E141)&gt;=0,"","1.Формализовать критерии оценки замечаний; 
2.Формализовать порядок приоритезации замечаний в зависимости от уровня критичности.")</f>
        <v>1.Формализовать критерии оценки замечаний; 
2.Формализовать порядок приоритезации замечаний в зависимости от уровня критичности.</v>
      </c>
      <c r="X141" s="128" t="s">
        <v>1325</v>
      </c>
      <c r="Y141" s="263">
        <f t="shared" si="37"/>
        <v>333.1099999999999</v>
      </c>
      <c r="Z141" s="265" t="str">
        <f>IF(($L141-$D141)&gt;=0,"",
"")</f>
        <v/>
      </c>
    </row>
    <row r="142" spans="2:27" ht="17.399999999999999">
      <c r="B142" s="249" t="s">
        <v>221</v>
      </c>
      <c r="C142" s="21" t="s">
        <v>427</v>
      </c>
      <c r="D142" s="21"/>
      <c r="E142" s="21"/>
      <c r="F142" s="21"/>
      <c r="G142" s="270"/>
      <c r="H142" s="21"/>
      <c r="I142" s="21"/>
      <c r="J142" s="21"/>
      <c r="K142" s="21"/>
      <c r="L142" s="21"/>
      <c r="M142" s="294"/>
      <c r="N142" s="295"/>
      <c r="O142" s="295"/>
      <c r="P142" s="294"/>
      <c r="Q142" s="294"/>
      <c r="R142" s="294"/>
      <c r="S142" s="252">
        <f>VLOOKUP(B142,Приоритет!$G$9:$K$48,5,0)</f>
        <v>38</v>
      </c>
      <c r="T142" s="248" t="s">
        <v>221</v>
      </c>
      <c r="U142" s="248"/>
      <c r="V142" s="252">
        <f>S142+200</f>
        <v>238</v>
      </c>
      <c r="W142" s="21" t="s">
        <v>221</v>
      </c>
      <c r="X142" s="21"/>
      <c r="Y142" s="252">
        <f>S142+300</f>
        <v>338</v>
      </c>
      <c r="Z142" s="21" t="s">
        <v>221</v>
      </c>
      <c r="AA142" s="21"/>
    </row>
    <row r="143" spans="2:27" ht="218.4" outlineLevel="1">
      <c r="B143" s="254" t="s">
        <v>428</v>
      </c>
      <c r="C143" s="255" t="s">
        <v>429</v>
      </c>
      <c r="D143" s="256">
        <v>5</v>
      </c>
      <c r="E143" s="257">
        <v>5</v>
      </c>
      <c r="F143" s="258">
        <v>5</v>
      </c>
      <c r="G143" s="128"/>
      <c r="H143" s="242"/>
      <c r="I143" s="128"/>
      <c r="J143" s="259"/>
      <c r="K143" s="260">
        <f t="shared" si="21"/>
        <v>5</v>
      </c>
      <c r="L143" s="128">
        <f>VALUE(LEFT(N143,3))</f>
        <v>0</v>
      </c>
      <c r="M143">
        <f t="shared" si="22"/>
        <v>-5</v>
      </c>
      <c r="N143" s="261" t="s">
        <v>331</v>
      </c>
      <c r="P143" s="262">
        <f>IFERROR(IF($L143&gt;D143,1,$L143/D143),0)</f>
        <v>0</v>
      </c>
      <c r="Q143" s="262">
        <f t="shared" si="34"/>
        <v>0</v>
      </c>
      <c r="R143" s="262">
        <f t="shared" si="24"/>
        <v>0</v>
      </c>
      <c r="S143" s="263">
        <f>S142+0.01</f>
        <v>38.01</v>
      </c>
      <c r="T143" s="651" t="str">
        <f>IF(($L143-$F143)&gt;=0,"",
" - Проанализировать анкеты, собираемые от кандидатов со стороны HR и/или службы безопасности, на предмет законности и неизбыточности собираемых данных и проводимых дополнительных проверок;"&amp;"
В случае выявления их избыточности провести работу по корректировке и/или сбору дополнительных согласий на обработку данных сведений от кандидата;"&amp;"
- Закрепить в ВНД процедуры проверки кандидатов, с отсылками на законные основания для их проведения;
- Проводить регулярную актуализацию ВНД с отслеживанием изменений правовых норм")</f>
        <v xml:space="preserve"> - Проанализировать анкеты, собираемые от кандидатов со стороны HR и/или службы безопасности, на предмет законности и неизбыточности собираемых данных и проводимых дополнительных проверок;
В случае выявления их избыточности провести работу по корректировке и/или сбору дополнительных согласий на обработку данных сведений от кандидата;
- Закрепить в ВНД процедуры проверки кандидатов, с отсылками на законные основания для их проведения;
- Проводить регулярную актуализацию ВНД с отслеживанием изменений правовых норм</v>
      </c>
      <c r="U143" s="644" t="s">
        <v>1225</v>
      </c>
      <c r="V143" s="263">
        <f>V142+0.01</f>
        <v>238.01</v>
      </c>
      <c r="W143" s="265" t="str">
        <f t="shared" ref="W143:W149" si="40">IF(($L143-$E143)&gt;=0,"","")</f>
        <v/>
      </c>
      <c r="Y143" s="263">
        <f>Y142+0.01</f>
        <v>338.01</v>
      </c>
      <c r="Z143" s="265" t="str">
        <f t="shared" ref="Z143:Z149" si="41">IF(($L143-$D143)&gt;=0,"","")</f>
        <v/>
      </c>
    </row>
    <row r="144" spans="2:27" ht="280.8" outlineLevel="1">
      <c r="B144" s="254" t="s">
        <v>430</v>
      </c>
      <c r="C144" s="255" t="s">
        <v>431</v>
      </c>
      <c r="D144" s="256">
        <v>5</v>
      </c>
      <c r="E144" s="257">
        <v>5</v>
      </c>
      <c r="F144" s="258">
        <v>5</v>
      </c>
      <c r="G144" s="128"/>
      <c r="H144" s="242"/>
      <c r="I144" s="128"/>
      <c r="J144" s="259"/>
      <c r="K144" s="260">
        <f t="shared" si="21"/>
        <v>5</v>
      </c>
      <c r="L144" s="128">
        <f>VALUE(LEFT(N144,3))</f>
        <v>0</v>
      </c>
      <c r="M144">
        <f t="shared" si="22"/>
        <v>-5</v>
      </c>
      <c r="N144" s="261" t="s">
        <v>331</v>
      </c>
      <c r="P144" s="262">
        <f>IFERROR(IF($L144&gt;D144,1,$L144/D144),0)</f>
        <v>0</v>
      </c>
      <c r="Q144" s="262">
        <f>IFERROR(IF($L144&gt;E144,1,$L144/E144),0)</f>
        <v>0</v>
      </c>
      <c r="R144" s="262">
        <f t="shared" si="24"/>
        <v>0</v>
      </c>
      <c r="S144" s="263">
        <f>S143+0.01</f>
        <v>38.019999999999996</v>
      </c>
      <c r="T144" s="651" t="str">
        <f>IF(($L144-$F144)&gt;=0,"",
" - Разработать или актуализировать форму соглашения о конфиденциальности работников;"&amp;"
  - Разработать или актуализировать форму соглашения о конфиденциальности для договоров с третьими лицами;"&amp;"
  - Сверить с существующим перечнем конфиденциальной информации организации, убедиться, что все виды информации учтены;"&amp;"
   - Закрепить в ВНД формы соглашений о конфиденциальности и процедуры их сбора и хранения;"&amp;"
   - Проводить регулярную актуализацию ВНД с отслеживанием изменений правовых норм;"&amp;"
   - Разработать и довести до сведения персонала процесс для принятия мер к тем сотрудникам и иным заинтересованным сторонам, которые допустили нарушение требований информационной безопасности.")</f>
        <v xml:space="preserve"> - Разработать или актуализировать форму соглашения о конфиденциальности работников;
  - Разработать или актуализировать форму соглашения о конфиденциальности для договоров с третьими лицами;
  - Сверить с существующим перечнем конфиденциальной информации организации, убедиться, что все виды информации учтены;
   - Закрепить в ВНД формы соглашений о конфиденциальности и процедуры их сбора и хранения;
   - Проводить регулярную актуализацию ВНД с отслеживанием изменений правовых норм;
   - Разработать и довести до сведения персонала процесс для принятия мер к тем сотрудникам и иным заинтересованным сторонам, которые допустили нарушение требований информационной безопасности.</v>
      </c>
      <c r="U144" s="644" t="s">
        <v>1226</v>
      </c>
      <c r="V144" s="263">
        <f>V143+0.01</f>
        <v>238.01999999999998</v>
      </c>
      <c r="W144" s="265" t="str">
        <f t="shared" si="40"/>
        <v/>
      </c>
      <c r="Y144" s="263">
        <f>Y143+0.01</f>
        <v>338.02</v>
      </c>
      <c r="Z144" s="265" t="str">
        <f t="shared" si="41"/>
        <v/>
      </c>
    </row>
    <row r="145" spans="2:27" ht="187.2" outlineLevel="1">
      <c r="B145" s="254" t="s">
        <v>432</v>
      </c>
      <c r="C145" s="255" t="s">
        <v>433</v>
      </c>
      <c r="D145" s="256">
        <v>5</v>
      </c>
      <c r="E145" s="257">
        <v>5</v>
      </c>
      <c r="F145" s="258">
        <v>5</v>
      </c>
      <c r="G145" s="128"/>
      <c r="H145" s="242"/>
      <c r="I145" s="128"/>
      <c r="J145" s="259"/>
      <c r="K145" s="260">
        <f t="shared" si="21"/>
        <v>5</v>
      </c>
      <c r="L145" s="128">
        <f>VALUE(LEFT(N145,3))</f>
        <v>0</v>
      </c>
      <c r="M145">
        <f t="shared" si="22"/>
        <v>-5</v>
      </c>
      <c r="N145" s="261" t="s">
        <v>331</v>
      </c>
      <c r="P145" s="262">
        <f>IFERROR(IF($L145&gt;D145,1,$L145/D145),0)</f>
        <v>0</v>
      </c>
      <c r="Q145" s="262">
        <f>IFERROR(IF($L145&gt;E145,1,$L145/E145),0)</f>
        <v>0</v>
      </c>
      <c r="R145" s="262">
        <f t="shared" si="24"/>
        <v>0</v>
      </c>
      <c r="S145" s="263">
        <f>S144+0.01</f>
        <v>38.029999999999994</v>
      </c>
      <c r="T145" s="651" t="str">
        <f>IF(($L145-$F145)&gt;=0,"",
" - Разработать или актуализировать форму соглашения о конфиденциальности, включив требование о неразглашении в течение зафиксированного"&amp;" срока после прекращения отношений (трудовых или договорных), сдаче всех имеющихся на руках носителей конфиденциальной информации;"&amp;"
 - Закрепить в ВНД формы соглашений о конфиденциальности и процедуры их сбора и хранения;"&amp;"
 - Проводить регулярную актуализацию ВНД с отслеживанием изменений правовых норм")</f>
        <v xml:space="preserve"> - Разработать или актуализировать форму соглашения о конфиденциальности, включив требование о неразглашении в течение зафиксированного срока после прекращения отношений (трудовых или договорных), сдаче всех имеющихся на руках носителей конфиденциальной информации;
 - Закрепить в ВНД формы соглашений о конфиденциальности и процедуры их сбора и хранения;
 - Проводить регулярную актуализацию ВНД с отслеживанием изменений правовых норм</v>
      </c>
      <c r="U145" s="644" t="s">
        <v>1227</v>
      </c>
      <c r="V145" s="263">
        <f>V144+0.01</f>
        <v>238.02999999999997</v>
      </c>
      <c r="W145" s="265" t="str">
        <f t="shared" si="40"/>
        <v/>
      </c>
      <c r="Y145" s="263">
        <f>Y144+0.01</f>
        <v>338.03</v>
      </c>
      <c r="Z145" s="265" t="str">
        <f t="shared" si="41"/>
        <v/>
      </c>
    </row>
    <row r="146" spans="2:27" ht="17.399999999999999">
      <c r="B146" s="249" t="s">
        <v>206</v>
      </c>
      <c r="C146" s="21" t="s">
        <v>434</v>
      </c>
      <c r="D146" s="21"/>
      <c r="E146" s="21"/>
      <c r="F146" s="21"/>
      <c r="G146" s="21"/>
      <c r="H146" s="270"/>
      <c r="I146" s="21"/>
      <c r="J146" s="21"/>
      <c r="K146" s="21"/>
      <c r="L146" s="21"/>
      <c r="M146" s="294"/>
      <c r="N146" s="295"/>
      <c r="O146" s="295"/>
      <c r="P146" s="294"/>
      <c r="Q146" s="294"/>
      <c r="R146" s="294"/>
      <c r="S146" s="252">
        <f>VLOOKUP(B146,Приоритет!$G$9:$K$48,5,0)</f>
        <v>34</v>
      </c>
      <c r="T146" s="248" t="s">
        <v>434</v>
      </c>
      <c r="U146" s="248"/>
      <c r="V146" s="252">
        <f>S146+200</f>
        <v>234</v>
      </c>
      <c r="W146" s="21" t="s">
        <v>434</v>
      </c>
      <c r="X146" s="21"/>
      <c r="Y146" s="252">
        <f>S146+300</f>
        <v>334</v>
      </c>
      <c r="Z146" s="21" t="s">
        <v>434</v>
      </c>
      <c r="AA146" s="21"/>
    </row>
    <row r="147" spans="2:27" ht="78" outlineLevel="1">
      <c r="B147" s="254" t="s">
        <v>435</v>
      </c>
      <c r="C147" s="255" t="s">
        <v>436</v>
      </c>
      <c r="D147" s="256">
        <v>5</v>
      </c>
      <c r="E147" s="257">
        <v>5</v>
      </c>
      <c r="F147" s="258">
        <v>5</v>
      </c>
      <c r="G147" s="128"/>
      <c r="H147" s="242"/>
      <c r="I147" s="128"/>
      <c r="J147" s="259"/>
      <c r="K147" s="260">
        <f t="shared" si="21"/>
        <v>5</v>
      </c>
      <c r="L147" s="128">
        <f>IF((СК="Да"), 3.2, VALUE(LEFT(N147,3)))</f>
        <v>0</v>
      </c>
      <c r="M147">
        <f t="shared" si="22"/>
        <v>-5</v>
      </c>
      <c r="N147" s="261" t="s">
        <v>331</v>
      </c>
      <c r="O147" s="216" t="str">
        <f>IF((СК="Да"),"Зона ответственности Сервисной компании - ЦОД
Зона ответственности ДЗО - офис", "")</f>
        <v/>
      </c>
      <c r="P147" s="262">
        <f t="shared" ref="P147:R151" si="42">IFERROR(IF($L147&gt;D147,1,$L147/D147),0)</f>
        <v>0</v>
      </c>
      <c r="Q147" s="262">
        <f t="shared" si="42"/>
        <v>0</v>
      </c>
      <c r="R147" s="262">
        <f t="shared" si="42"/>
        <v>0</v>
      </c>
      <c r="S147" s="263">
        <f>S146+0.01</f>
        <v>34.01</v>
      </c>
      <c r="T147" s="651" t="str">
        <f>IF(($L147-$F147)&gt;=0,"",
" Определить порядок доступа в зоны безопасности и требования к их защите ")</f>
        <v xml:space="preserve"> Определить порядок доступа в зоны безопасности и требования к их защите </v>
      </c>
      <c r="U147" s="644" t="s">
        <v>1246</v>
      </c>
      <c r="V147" s="263">
        <f>V146+0.01</f>
        <v>234.01</v>
      </c>
      <c r="W147" s="265" t="str">
        <f t="shared" si="40"/>
        <v/>
      </c>
      <c r="Y147" s="263">
        <f>Y146+0.01</f>
        <v>334.01</v>
      </c>
      <c r="Z147" s="265" t="str">
        <f t="shared" si="41"/>
        <v/>
      </c>
    </row>
    <row r="148" spans="2:27" ht="171.6" outlineLevel="1">
      <c r="B148" s="254" t="s">
        <v>437</v>
      </c>
      <c r="C148" s="255" t="s">
        <v>438</v>
      </c>
      <c r="D148" s="256">
        <v>5</v>
      </c>
      <c r="E148" s="257">
        <v>5</v>
      </c>
      <c r="F148" s="258">
        <v>5</v>
      </c>
      <c r="G148" s="128"/>
      <c r="H148" s="242"/>
      <c r="I148" s="128"/>
      <c r="J148" s="259"/>
      <c r="K148" s="260">
        <f t="shared" si="21"/>
        <v>5</v>
      </c>
      <c r="L148" s="128">
        <f>IF((СК="Да"), 3.2, VALUE(LEFT(N148,3)))</f>
        <v>0</v>
      </c>
      <c r="M148">
        <f t="shared" si="22"/>
        <v>-5</v>
      </c>
      <c r="N148" s="261" t="s">
        <v>331</v>
      </c>
      <c r="O148" s="216" t="str">
        <f>IF((СК="Да"),"Зона ответственности Сервисной компании - ЦОД
Зона ответственности ДЗО - офис", "")</f>
        <v/>
      </c>
      <c r="P148" s="262">
        <f t="shared" si="42"/>
        <v>0</v>
      </c>
      <c r="Q148" s="262">
        <f t="shared" si="42"/>
        <v>0</v>
      </c>
      <c r="R148" s="262">
        <f t="shared" si="42"/>
        <v>0</v>
      </c>
      <c r="S148" s="263">
        <f>S147+0.01</f>
        <v>34.019999999999996</v>
      </c>
      <c r="T148" s="651" t="str">
        <f>IF(($L148-$F148)&gt;=0,"",
" - Оборудовать СКУД серверные помещения и другие помещения, не предназначенные для свободного доступа посетителей;"&amp;" 
   - Определить порядок доступа к серверному и сетевому оборудованию;"&amp;"
   - Регламентировать использование СКУД в Обществе;
   - Легитимизировать применение СКУД (биометрия, персональные данные);"&amp;"
   - Проводить проверки с целью исключения некорректной работы СКУД.")</f>
        <v xml:space="preserve"> - Оборудовать СКУД серверные помещения и другие помещения, не предназначенные для свободного доступа посетителей; 
   - Определить порядок доступа к серверному и сетевому оборудованию;
   - Регламентировать использование СКУД в Обществе;
   - Легитимизировать применение СКУД (биометрия, персональные данные);
   - Проводить проверки с целью исключения некорректной работы СКУД.</v>
      </c>
      <c r="U148" s="644" t="s">
        <v>1245</v>
      </c>
      <c r="V148" s="263">
        <f>V147+0.01</f>
        <v>234.01999999999998</v>
      </c>
      <c r="W148" s="265" t="str">
        <f t="shared" si="40"/>
        <v/>
      </c>
      <c r="Y148" s="263">
        <f>Y147+0.01</f>
        <v>334.02</v>
      </c>
      <c r="Z148" s="265" t="str">
        <f t="shared" si="41"/>
        <v/>
      </c>
    </row>
    <row r="149" spans="2:27" ht="156" outlineLevel="1">
      <c r="B149" s="254" t="s">
        <v>439</v>
      </c>
      <c r="C149" s="255" t="s">
        <v>440</v>
      </c>
      <c r="D149" s="256">
        <v>5</v>
      </c>
      <c r="E149" s="257">
        <v>5</v>
      </c>
      <c r="F149" s="258">
        <v>5</v>
      </c>
      <c r="G149" s="128"/>
      <c r="H149" s="242"/>
      <c r="I149" s="128"/>
      <c r="J149" s="259"/>
      <c r="K149" s="260">
        <f t="shared" si="21"/>
        <v>5</v>
      </c>
      <c r="L149" s="128">
        <f>IF((СК="Да"), 3.2, VALUE(LEFT(N149,3)))</f>
        <v>0</v>
      </c>
      <c r="M149" s="6">
        <f t="shared" si="22"/>
        <v>-5</v>
      </c>
      <c r="N149" s="261" t="s">
        <v>331</v>
      </c>
      <c r="O149" s="216" t="str">
        <f>IF((СК="Да"),"Зона ответственности Сервисной компании - ЦОД
Зона ответственности ДЗО - офис", "")</f>
        <v/>
      </c>
      <c r="P149" s="262">
        <f t="shared" si="42"/>
        <v>0</v>
      </c>
      <c r="Q149" s="262">
        <f t="shared" si="42"/>
        <v>0</v>
      </c>
      <c r="R149" s="262">
        <f t="shared" si="42"/>
        <v>0</v>
      </c>
      <c r="S149" s="263">
        <f>S148+0.01</f>
        <v>34.029999999999994</v>
      </c>
      <c r="T149" s="651" t="str">
        <f>IF(($L149-$F149)&gt;=0,"",
" - Разработать и утвердить процедуру размещения активов, находящихся вне террритории Общества, зафиксировав требование обязательной защиты таких активов;"&amp;" 
  - Контроль заключаемых договоров по продаже/модернизации, сдачи в аренду/субаренду объектов недвижимости на соблюдение требований ИБ;
  - Проведение выборочных проверок по факту обеспечения активов.")</f>
        <v xml:space="preserve"> - Разработать и утвердить процедуру размещения активов, находящихся вне террритории Общества, зафиксировав требование обязательной защиты таких активов; 
  - Контроль заключаемых договоров по продаже/модернизации, сдачи в аренду/субаренду объектов недвижимости на соблюдение требований ИБ;
  - Проведение выборочных проверок по факту обеспечения активов.</v>
      </c>
      <c r="U149" s="644" t="s">
        <v>1247</v>
      </c>
      <c r="V149" s="263">
        <f>V148+0.01</f>
        <v>234.02999999999997</v>
      </c>
      <c r="W149" s="265" t="str">
        <f t="shared" si="40"/>
        <v/>
      </c>
      <c r="Y149" s="263">
        <f>Y148+0.01</f>
        <v>334.03</v>
      </c>
      <c r="Z149" s="265" t="str">
        <f t="shared" si="41"/>
        <v/>
      </c>
    </row>
    <row r="150" spans="2:27" ht="109.2" outlineLevel="1">
      <c r="B150" s="632" t="s">
        <v>441</v>
      </c>
      <c r="C150" s="255" t="s">
        <v>442</v>
      </c>
      <c r="D150" s="256">
        <v>5</v>
      </c>
      <c r="E150" s="257">
        <v>3.2</v>
      </c>
      <c r="F150" s="258">
        <v>1.6</v>
      </c>
      <c r="G150" s="128"/>
      <c r="H150" s="242"/>
      <c r="I150" s="128"/>
      <c r="J150" s="259"/>
      <c r="K150" s="260">
        <f t="shared" si="21"/>
        <v>5</v>
      </c>
      <c r="L150" s="128">
        <f>IF((СК="Да"), E150, VALUE(LEFT(N150,3)))</f>
        <v>0</v>
      </c>
      <c r="M150">
        <f t="shared" si="22"/>
        <v>-5</v>
      </c>
      <c r="N150" s="261" t="s">
        <v>331</v>
      </c>
      <c r="O150" s="216" t="str">
        <f>IF((СК="Да"),"Совместная зона ответственности ДЗО и Сервисной компании
(3,2 - при подключении к СК;
5 - при выполнении в ДЗО)", "")</f>
        <v/>
      </c>
      <c r="P150" s="262">
        <f t="shared" si="42"/>
        <v>0</v>
      </c>
      <c r="Q150" s="262">
        <f t="shared" si="42"/>
        <v>0</v>
      </c>
      <c r="R150" s="262">
        <f t="shared" si="42"/>
        <v>0</v>
      </c>
      <c r="S150" s="263">
        <f>S149+0.01</f>
        <v>34.039999999999992</v>
      </c>
      <c r="T150" s="651" t="str">
        <f>IF(($L150-$F150)&gt;=0,"",
" - Определить требования к процессу управления устройствами хранения информации;"&amp;"
   - Регламентировать процесс защиты машинных носителей информации на всем протяжении их жизненного цикла;"&amp;"
   - Ознакомить работников с установленными правилами и процедурами")</f>
        <v xml:space="preserve"> - Определить требования к процессу управления устройствами хранения информации;
   - Регламентировать процесс защиты машинных носителей информации на всем протяжении их жизненного цикла;
   - Ознакомить работников с установленными правилами и процедурами</v>
      </c>
      <c r="U150" s="644" t="s">
        <v>1304</v>
      </c>
      <c r="V150" s="263">
        <f>V149+0.01</f>
        <v>234.03999999999996</v>
      </c>
      <c r="W150" s="265" t="str">
        <f>IF(($L150-$E150)&gt;=0,"",
" - Реализовать в Обществе процесс управления устройствами хранения информации;"&amp;"
   - Проводить регулярные проверки реального соблюдения регламента обращения с машинными носителями;"&amp;"
   ")</f>
        <v xml:space="preserve"> - Реализовать в Обществе процесс управления устройствами хранения информации;
   - Проводить регулярные проверки реального соблюдения регламента обращения с машинными носителями;
   </v>
      </c>
      <c r="X150" s="128" t="s">
        <v>1305</v>
      </c>
      <c r="Y150" s="263">
        <f>Y149+0.01</f>
        <v>334.03999999999996</v>
      </c>
      <c r="Z150" s="265" t="str">
        <f>IF(($L150-$D150)&gt;=0,"",
" - Управление устройствами хранения информации и их учет осуществлять в автоматизированном режиме;")</f>
        <v xml:space="preserve"> - Управление устройствами хранения информации и их учет осуществлять в автоматизированном режиме;</v>
      </c>
      <c r="AA150" s="128" t="s">
        <v>1303</v>
      </c>
    </row>
    <row r="151" spans="2:27" ht="156" outlineLevel="1">
      <c r="B151" s="254" t="s">
        <v>443</v>
      </c>
      <c r="C151" s="255" t="s">
        <v>444</v>
      </c>
      <c r="D151" s="256">
        <v>5</v>
      </c>
      <c r="E151" s="257">
        <v>5</v>
      </c>
      <c r="F151" s="258">
        <v>5</v>
      </c>
      <c r="G151" s="128"/>
      <c r="H151" s="242"/>
      <c r="I151" s="128"/>
      <c r="J151" s="259"/>
      <c r="K151" s="260">
        <f t="shared" si="21"/>
        <v>5</v>
      </c>
      <c r="L151" s="128">
        <f>IF((СК="Да"), 3.2, VALUE(LEFT(N151,3)))</f>
        <v>0</v>
      </c>
      <c r="M151" s="301">
        <f t="shared" si="22"/>
        <v>-5</v>
      </c>
      <c r="N151" s="261" t="s">
        <v>331</v>
      </c>
      <c r="O151" s="216" t="str">
        <f>IF((СК="Да"),"Совместная зона ответственности ДЗО и Сервисной компании
(3,2 - при подключении к СК;
5 - при выполнении в ДЗО)", "")</f>
        <v/>
      </c>
      <c r="P151" s="262">
        <f t="shared" si="42"/>
        <v>0</v>
      </c>
      <c r="Q151" s="262">
        <f t="shared" si="42"/>
        <v>0</v>
      </c>
      <c r="R151" s="262">
        <f t="shared" si="42"/>
        <v>0</v>
      </c>
      <c r="S151" s="263">
        <f>S150+0.01</f>
        <v>34.04999999999999</v>
      </c>
      <c r="T151" s="651" t="str">
        <f>IF(($L151-$F151)&gt;=0,"",
" - Реализовать в Обществе процесс удаления данных при утилизации накопителей информации;"&amp;"
   - Регламентировать процедуры уничтожения/стирания информации на машинных носителях, а также контроля уничтожения /стирания информации;"&amp;"
   - Проводить регулярные проверки реального соблюдения регламента, фактов уничтожения информации с носителей при их передаче третьим лицам (на ремонт, утилизацию и т.д.).")</f>
        <v xml:space="preserve"> - Реализовать в Обществе процесс удаления данных при утилизации накопителей информации;
   - Регламентировать процедуры уничтожения/стирания информации на машинных носителях, а также контроля уничтожения /стирания информации;
   - Проводить регулярные проверки реального соблюдения регламента, фактов уничтожения информации с носителей при их передаче третьим лицам (на ремонт, утилизацию и т.д.).</v>
      </c>
      <c r="U151" s="644" t="s">
        <v>1271</v>
      </c>
      <c r="V151" s="263">
        <f>V150+0.01</f>
        <v>234.04999999999995</v>
      </c>
      <c r="W151" s="265" t="str">
        <f>IF(($L151-$E151)&gt;=0,"","")</f>
        <v/>
      </c>
      <c r="Y151" s="263">
        <f>Y150+0.01</f>
        <v>334.04999999999995</v>
      </c>
      <c r="Z151" s="265" t="str">
        <f>IF(($L151-$D151)&gt;=0,"","")</f>
        <v/>
      </c>
    </row>
    <row r="152" spans="2:27" ht="31.2">
      <c r="B152" s="249" t="s">
        <v>205</v>
      </c>
      <c r="C152" s="21" t="s">
        <v>445</v>
      </c>
      <c r="D152" s="21"/>
      <c r="E152" s="21"/>
      <c r="F152" s="21"/>
      <c r="G152" s="21"/>
      <c r="H152" s="270"/>
      <c r="I152" s="21"/>
      <c r="J152" s="21"/>
      <c r="K152" s="21"/>
      <c r="L152" s="21"/>
      <c r="M152" s="294">
        <f t="shared" si="22"/>
        <v>0</v>
      </c>
      <c r="N152" s="295"/>
      <c r="O152" s="295"/>
      <c r="P152" s="294"/>
      <c r="Q152" s="294"/>
      <c r="R152" s="294"/>
      <c r="S152" s="252">
        <f>VLOOKUP(B152,Приоритет!$G$9:$K$48,5,0)</f>
        <v>31</v>
      </c>
      <c r="T152" s="652" t="s">
        <v>205</v>
      </c>
      <c r="U152" s="248"/>
      <c r="V152" s="252">
        <f>S152+200</f>
        <v>231</v>
      </c>
      <c r="W152" s="249" t="s">
        <v>205</v>
      </c>
      <c r="X152" s="21"/>
      <c r="Y152" s="252">
        <f>S152+300</f>
        <v>331</v>
      </c>
      <c r="Z152" s="249" t="s">
        <v>205</v>
      </c>
      <c r="AA152" s="21"/>
    </row>
    <row r="153" spans="2:27" ht="78" outlineLevel="1">
      <c r="B153" s="254" t="s">
        <v>446</v>
      </c>
      <c r="C153" s="255" t="s">
        <v>447</v>
      </c>
      <c r="D153" s="256">
        <v>5</v>
      </c>
      <c r="E153" s="257">
        <v>3.2</v>
      </c>
      <c r="F153" s="258">
        <v>1.6</v>
      </c>
      <c r="G153" s="128"/>
      <c r="H153" s="242"/>
      <c r="I153" s="128"/>
      <c r="J153" s="259"/>
      <c r="K153" s="260">
        <f t="shared" si="21"/>
        <v>5</v>
      </c>
      <c r="L153" s="128">
        <f t="shared" ref="L153:L162" si="43">VALUE(LEFT(N153,3))</f>
        <v>0</v>
      </c>
      <c r="M153">
        <f t="shared" si="22"/>
        <v>-5</v>
      </c>
      <c r="N153" s="261" t="s">
        <v>349</v>
      </c>
      <c r="P153" s="262">
        <f t="shared" ref="P153:P160" si="44">IFERROR(IF($L153&gt;D153,1,$L153/D153),0)</f>
        <v>0</v>
      </c>
      <c r="Q153" s="262">
        <f t="shared" ref="Q153:Q162" si="45">IFERROR(IF($L153&gt;E153,1,$L153/E153),0)</f>
        <v>0</v>
      </c>
      <c r="R153" s="262">
        <f t="shared" ref="R153:R187" si="46">IFERROR(IF($L153&gt;=F153,1,$L153/F153),0)</f>
        <v>0</v>
      </c>
      <c r="S153" s="263">
        <f t="shared" ref="S153:S162" si="47">S152+0.01</f>
        <v>31.01</v>
      </c>
      <c r="T153" s="651" t="str">
        <f>IF(($L153-$F153)&gt;=0,"",
" - Проводить профессиональное обучение и повышение квалификации работников ИБ по запросу")</f>
        <v xml:space="preserve"> - Проводить профессиональное обучение и повышение квалификации работников ИБ по запросу</v>
      </c>
      <c r="U153" s="644" t="s">
        <v>1192</v>
      </c>
      <c r="V153" s="263">
        <f t="shared" ref="V153:V162" si="48">V152+0.01</f>
        <v>231.01</v>
      </c>
      <c r="W153" s="265" t="str">
        <f>IF(($L153-$E153)&gt;=0,"",
" - Проводить профессиональное обучение и повышение квалификации работников ИБ на основе плана, сформированного в предыдущем году по заявкам от работников")</f>
        <v xml:space="preserve"> - Проводить профессиональное обучение и повышение квалификации работников ИБ на основе плана, сформированного в предыдущем году по заявкам от работников</v>
      </c>
      <c r="X153" s="128" t="s">
        <v>1193</v>
      </c>
      <c r="Y153" s="263">
        <f t="shared" ref="Y153:Y162" si="49">Y152+0.01</f>
        <v>331.01</v>
      </c>
      <c r="Z153" s="265" t="str">
        <f>IF(($L153-$D153)&gt;=0,"",
" - Проводить плановое профессиональное обучение и повышение квалификации работников ИБ на основе плана, сформированного в предыдущем году по заявкам от работников с учетом потребностей подразделений в зависимости от выполняемых подразделением задач")</f>
        <v xml:space="preserve"> - Проводить плановое профессиональное обучение и повышение квалификации работников ИБ на основе плана, сформированного в предыдущем году по заявкам от работников с учетом потребностей подразделений в зависимости от выполняемых подразделением задач</v>
      </c>
      <c r="AA153" s="128" t="s">
        <v>1193</v>
      </c>
    </row>
    <row r="154" spans="2:27" ht="93.6" outlineLevel="1">
      <c r="B154" s="254" t="s">
        <v>448</v>
      </c>
      <c r="C154" s="255" t="s">
        <v>449</v>
      </c>
      <c r="D154" s="256">
        <v>5</v>
      </c>
      <c r="E154" s="257">
        <v>3.2</v>
      </c>
      <c r="F154" s="258">
        <v>1.6</v>
      </c>
      <c r="G154" s="128"/>
      <c r="H154" s="242"/>
      <c r="I154" s="128"/>
      <c r="J154" s="259"/>
      <c r="K154" s="260">
        <f t="shared" si="21"/>
        <v>5</v>
      </c>
      <c r="L154" s="128">
        <f t="shared" si="43"/>
        <v>0</v>
      </c>
      <c r="M154">
        <f t="shared" si="22"/>
        <v>-5</v>
      </c>
      <c r="N154" s="261" t="s">
        <v>331</v>
      </c>
      <c r="P154" s="262">
        <f t="shared" si="44"/>
        <v>0</v>
      </c>
      <c r="Q154" s="262">
        <f t="shared" si="45"/>
        <v>0</v>
      </c>
      <c r="R154" s="262">
        <f t="shared" si="46"/>
        <v>0</v>
      </c>
      <c r="S154" s="263">
        <f t="shared" si="47"/>
        <v>31.020000000000003</v>
      </c>
      <c r="T154" s="651" t="str">
        <f>IF(($L154-$F154)&gt;=0,"",
" - Проводить регулярное повышение осведемленности по вопросам ИБ (рассылки в почте, тг, внутренние порталы и т.д)")</f>
        <v xml:space="preserve"> - Проводить регулярное повышение осведемленности по вопросам ИБ (рассылки в почте, тг, внутренние порталы и т.д)</v>
      </c>
      <c r="U154" s="644" t="s">
        <v>1196</v>
      </c>
      <c r="V154" s="263">
        <f t="shared" si="48"/>
        <v>231.01999999999998</v>
      </c>
      <c r="W154" s="265" t="str">
        <f>IF(($L154-$E154)&gt;=0,"",
" - Проводить регулярное повышение осведемленности по вопросам ИБ (рассылки в почте, тг, внутренние порталы и т.д);
- Проводить на регулярной основе провокационные фишинговые рассылки для всех сотрудников Общества с дальнейшим обучением и отработкой ошибок")</f>
        <v xml:space="preserve"> - Проводить регулярное повышение осведемленности по вопросам ИБ (рассылки в почте, тг, внутренние порталы и т.д);
- Проводить на регулярной основе провокационные фишинговые рассылки для всех сотрудников Общества с дальнейшим обучением и отработкой ошибок</v>
      </c>
      <c r="X154" s="128" t="s">
        <v>1197</v>
      </c>
      <c r="Y154" s="263">
        <f t="shared" si="49"/>
        <v>331.02</v>
      </c>
      <c r="Z154" s="265" t="str">
        <f>IF(($L154-$D154)&gt;=0,"",
"-- Проводить регулярное повышение осведемленности по вопросам ИБ (рассылки в почте, тг, внутренние порталы и т.д); 
Проводить на регулярной основе провокационные фишинговые рассылки для всех сотрудников Общества; "&amp;"
- Отрабатывать  ошибки,  корректировать сценарии рассылок в зависимости от полученных резульатов, отслежвать динамику")</f>
        <v>-- Проводить регулярное повышение осведемленности по вопросам ИБ (рассылки в почте, тг, внутренние порталы и т.д); 
Проводить на регулярной основе провокационные фишинговые рассылки для всех сотрудников Общества; 
- Отрабатывать  ошибки,  корректировать сценарии рассылок в зависимости от полученных резульатов, отслежвать динамику</v>
      </c>
      <c r="AA154" s="128" t="s">
        <v>1197</v>
      </c>
    </row>
    <row r="155" spans="2:27" ht="46.8" outlineLevel="1">
      <c r="B155" s="254" t="s">
        <v>450</v>
      </c>
      <c r="C155" s="255" t="s">
        <v>451</v>
      </c>
      <c r="D155" s="256">
        <v>5</v>
      </c>
      <c r="E155" s="257">
        <v>3.2</v>
      </c>
      <c r="F155" s="258">
        <v>1.6</v>
      </c>
      <c r="G155" s="128"/>
      <c r="H155" s="242"/>
      <c r="I155" s="128"/>
      <c r="J155" s="259"/>
      <c r="K155" s="260">
        <f t="shared" si="21"/>
        <v>5</v>
      </c>
      <c r="L155" s="128">
        <f t="shared" si="43"/>
        <v>0</v>
      </c>
      <c r="M155">
        <f t="shared" si="22"/>
        <v>-5</v>
      </c>
      <c r="N155" s="261" t="s">
        <v>331</v>
      </c>
      <c r="P155" s="262">
        <f t="shared" si="44"/>
        <v>0</v>
      </c>
      <c r="Q155" s="262">
        <f t="shared" si="45"/>
        <v>0</v>
      </c>
      <c r="R155" s="262">
        <f t="shared" si="46"/>
        <v>0</v>
      </c>
      <c r="S155" s="263">
        <f t="shared" si="47"/>
        <v>31.030000000000005</v>
      </c>
      <c r="T155" s="651" t="str">
        <f>IF(($L155-$F155)&gt;=0,"",
" - Проводить инструктаж по ИБ при приеме на работу и повторять раз в год или в случае обновления/актуализации учебных материалов")</f>
        <v xml:space="preserve"> - Проводить инструктаж по ИБ при приеме на работу и повторять раз в год или в случае обновления/актуализации учебных материалов</v>
      </c>
      <c r="U155" s="644" t="s">
        <v>1198</v>
      </c>
      <c r="V155" s="263">
        <f t="shared" si="48"/>
        <v>231.02999999999997</v>
      </c>
      <c r="W155" s="265" t="str">
        <f>IF(($L155-$E155)&gt;=0,"",
" - Максимально автоматизировать процесс назначения и отслеживания обучения при помощи образовательной платформы")</f>
        <v xml:space="preserve"> - Максимально автоматизировать процесс назначения и отслеживания обучения при помощи образовательной платформы</v>
      </c>
      <c r="X155" s="128" t="s">
        <v>204</v>
      </c>
      <c r="Y155" s="263">
        <f t="shared" si="49"/>
        <v>331.03</v>
      </c>
      <c r="Z155" s="265" t="str">
        <f>IF(($L155-$D155)&gt;=0,"",
" - Отслеживать динамику и качество обучения")</f>
        <v xml:space="preserve"> - Отслеживать динамику и качество обучения</v>
      </c>
      <c r="AA155" s="128" t="s">
        <v>1199</v>
      </c>
    </row>
    <row r="156" spans="2:27" ht="46.8" outlineLevel="1">
      <c r="B156" s="254" t="s">
        <v>452</v>
      </c>
      <c r="C156" s="255" t="s">
        <v>453</v>
      </c>
      <c r="D156" s="256">
        <v>5</v>
      </c>
      <c r="E156" s="257">
        <v>3.2</v>
      </c>
      <c r="F156" s="258">
        <v>1.6</v>
      </c>
      <c r="G156" s="128"/>
      <c r="H156" s="242"/>
      <c r="I156" s="128"/>
      <c r="J156" s="259"/>
      <c r="K156" s="260">
        <f t="shared" si="21"/>
        <v>5</v>
      </c>
      <c r="L156" s="128">
        <f t="shared" si="43"/>
        <v>0</v>
      </c>
      <c r="M156">
        <f t="shared" si="22"/>
        <v>-5</v>
      </c>
      <c r="N156" s="261" t="s">
        <v>331</v>
      </c>
      <c r="P156" s="262">
        <f t="shared" si="44"/>
        <v>0</v>
      </c>
      <c r="Q156" s="262">
        <f t="shared" si="45"/>
        <v>0</v>
      </c>
      <c r="R156" s="262">
        <f t="shared" si="46"/>
        <v>0</v>
      </c>
      <c r="S156" s="263">
        <f t="shared" si="47"/>
        <v>31.040000000000006</v>
      </c>
      <c r="T156" s="651" t="str">
        <f>IF(($L156-$F156)&gt;=0,"",
" - Раз в год пересматривать учебные материалы и при необходимости актуализировать")</f>
        <v xml:space="preserve"> - Раз в год пересматривать учебные материалы и при необходимости актуализировать</v>
      </c>
      <c r="U156" s="644" t="s">
        <v>204</v>
      </c>
      <c r="V156" s="263">
        <f t="shared" si="48"/>
        <v>231.03999999999996</v>
      </c>
      <c r="W156" s="265" t="str">
        <f>IF(($L156-$E156)&gt;=0,"",
" - Раз в год пересматривать учебные материалы и при необходимости актуализировать")</f>
        <v xml:space="preserve"> - Раз в год пересматривать учебные материалы и при необходимости актуализировать</v>
      </c>
      <c r="X156" s="128" t="s">
        <v>204</v>
      </c>
      <c r="Y156" s="263">
        <f t="shared" si="49"/>
        <v>331.03999999999996</v>
      </c>
      <c r="Z156" s="265" t="str">
        <f>IF(($L156-$D156)&gt;=0,"",
" - Раз в год пересматривать учебные материалы и при необходимости актуализировать")</f>
        <v xml:space="preserve"> - Раз в год пересматривать учебные материалы и при необходимости актуализировать</v>
      </c>
      <c r="AA156" s="128" t="s">
        <v>204</v>
      </c>
    </row>
    <row r="157" spans="2:27" ht="78" outlineLevel="1">
      <c r="B157" s="254" t="s">
        <v>454</v>
      </c>
      <c r="C157" s="255" t="s">
        <v>455</v>
      </c>
      <c r="D157" s="256">
        <v>5</v>
      </c>
      <c r="E157" s="257">
        <v>3.2</v>
      </c>
      <c r="F157" s="258">
        <v>1.6</v>
      </c>
      <c r="G157" s="128"/>
      <c r="H157" s="242"/>
      <c r="I157" s="128"/>
      <c r="J157" s="259"/>
      <c r="K157" s="260">
        <f t="shared" si="21"/>
        <v>5</v>
      </c>
      <c r="L157" s="128">
        <f t="shared" si="43"/>
        <v>0</v>
      </c>
      <c r="M157">
        <f t="shared" si="22"/>
        <v>-5</v>
      </c>
      <c r="N157" s="261" t="s">
        <v>331</v>
      </c>
      <c r="P157" s="262">
        <f t="shared" si="44"/>
        <v>0</v>
      </c>
      <c r="Q157" s="262">
        <f t="shared" si="45"/>
        <v>0</v>
      </c>
      <c r="R157" s="262">
        <f t="shared" si="46"/>
        <v>0</v>
      </c>
      <c r="S157" s="263">
        <f t="shared" si="47"/>
        <v>31.050000000000008</v>
      </c>
      <c r="T157" s="651" t="str">
        <f>IF(($L157-$F157)&gt;=0,"",
" - Разработать образовательный курс о распознавании атаки с использованием социальной инженерии. Разместить его в общем доступе для самостоятельного изучения сотрудниками без возможности отслеживания прогресса обучения")</f>
        <v xml:space="preserve"> - Разработать образовательный курс о распознавании атаки с использованием социальной инженерии. Разместить его в общем доступе для самостоятельного изучения сотрудниками без возможности отслеживания прогресса обучения</v>
      </c>
      <c r="U157" s="644" t="s">
        <v>1194</v>
      </c>
      <c r="V157" s="263">
        <f t="shared" si="48"/>
        <v>231.04999999999995</v>
      </c>
      <c r="W157" s="265" t="str">
        <f t="shared" ref="W157:W162" si="50">IF(($L157-$E157)&gt;=0,"",
" - Разместить образовательный курс на образовательной платформе с возможностью отслеживания прогесса обучения.")</f>
        <v xml:space="preserve"> - Разместить образовательный курс на образовательной платформе с возможностью отслеживания прогесса обучения.</v>
      </c>
      <c r="X157" s="128" t="s">
        <v>1195</v>
      </c>
      <c r="Y157" s="263">
        <f t="shared" si="49"/>
        <v>331.04999999999995</v>
      </c>
      <c r="Z157" s="265" t="str">
        <f t="shared" ref="Z157:Z162" si="51">IF(($L157-$D157)&gt;=0,"",
" - Осуществлять регулярный мониторинг и отслеживание динамики обучения. Выработать показатели эффективности обучения")</f>
        <v xml:space="preserve"> - Осуществлять регулярный мониторинг и отслеживание динамики обучения. Выработать показатели эффективности обучения</v>
      </c>
      <c r="AA157" s="128" t="s">
        <v>204</v>
      </c>
    </row>
    <row r="158" spans="2:27" ht="93.6" outlineLevel="1">
      <c r="B158" s="254" t="s">
        <v>456</v>
      </c>
      <c r="C158" s="255" t="s">
        <v>457</v>
      </c>
      <c r="D158" s="256">
        <v>5</v>
      </c>
      <c r="E158" s="257">
        <v>3.2</v>
      </c>
      <c r="F158" s="258">
        <v>1.6</v>
      </c>
      <c r="G158" s="128"/>
      <c r="H158" s="242"/>
      <c r="I158" s="128"/>
      <c r="J158" s="259"/>
      <c r="K158" s="260">
        <f t="shared" si="21"/>
        <v>5</v>
      </c>
      <c r="L158" s="128">
        <f t="shared" si="43"/>
        <v>0</v>
      </c>
      <c r="M158">
        <f t="shared" si="22"/>
        <v>-5</v>
      </c>
      <c r="N158" s="261" t="s">
        <v>331</v>
      </c>
      <c r="P158" s="262">
        <f t="shared" si="44"/>
        <v>0</v>
      </c>
      <c r="Q158" s="262">
        <f t="shared" si="45"/>
        <v>0</v>
      </c>
      <c r="R158" s="262">
        <f t="shared" si="46"/>
        <v>0</v>
      </c>
      <c r="S158" s="263">
        <f t="shared" si="47"/>
        <v>31.060000000000009</v>
      </c>
      <c r="T158" s="651" t="str">
        <f>IF(($L158-$F158)&gt;=0,"",
" - Разработать образовательный курс по теме многофакторной аутентификации, создании сильных паролей и управлении учетными записями. Разместить его в общем доступе для самостоятельного изучения сотрудниками без возможности отслеживания прогресса обучения")</f>
        <v xml:space="preserve"> - Разработать образовательный курс по теме многофакторной аутентификации, создании сильных паролей и управлении учетными записями. Разместить его в общем доступе для самостоятельного изучения сотрудниками без возможности отслеживания прогресса обучения</v>
      </c>
      <c r="U158" s="644" t="s">
        <v>1194</v>
      </c>
      <c r="V158" s="263">
        <f t="shared" si="48"/>
        <v>231.05999999999995</v>
      </c>
      <c r="W158" s="265" t="str">
        <f t="shared" si="50"/>
        <v xml:space="preserve"> - Разместить образовательный курс на образовательной платформе с возможностью отслеживания прогесса обучения.</v>
      </c>
      <c r="X158" s="128" t="s">
        <v>1195</v>
      </c>
      <c r="Y158" s="263">
        <f t="shared" si="49"/>
        <v>331.05999999999995</v>
      </c>
      <c r="Z158" s="265" t="str">
        <f t="shared" si="51"/>
        <v xml:space="preserve"> - Осуществлять регулярный мониторинг и отслеживание динамики обучения. Выработать показатели эффективности обучения</v>
      </c>
      <c r="AA158" s="128" t="s">
        <v>204</v>
      </c>
    </row>
    <row r="159" spans="2:27" ht="124.8" outlineLevel="1">
      <c r="B159" s="254" t="s">
        <v>458</v>
      </c>
      <c r="C159" s="255" t="s">
        <v>459</v>
      </c>
      <c r="D159" s="256">
        <v>5</v>
      </c>
      <c r="E159" s="257">
        <v>3.2</v>
      </c>
      <c r="F159" s="258">
        <v>1.6</v>
      </c>
      <c r="G159" s="128"/>
      <c r="H159" s="242"/>
      <c r="I159" s="128"/>
      <c r="J159" s="259"/>
      <c r="K159" s="260">
        <f t="shared" si="21"/>
        <v>5</v>
      </c>
      <c r="L159" s="128">
        <f t="shared" si="43"/>
        <v>0</v>
      </c>
      <c r="M159">
        <f t="shared" si="22"/>
        <v>-5</v>
      </c>
      <c r="N159" s="261" t="s">
        <v>331</v>
      </c>
      <c r="P159" s="262">
        <f t="shared" si="44"/>
        <v>0</v>
      </c>
      <c r="Q159" s="262">
        <f t="shared" si="45"/>
        <v>0</v>
      </c>
      <c r="R159" s="262">
        <f t="shared" si="46"/>
        <v>0</v>
      </c>
      <c r="S159" s="263">
        <f t="shared" si="47"/>
        <v>31.070000000000011</v>
      </c>
      <c r="T159" s="651" t="str">
        <f>IF(($L159-$F159)&gt;=0,"",
" - Разработать образовательный курс о необходимости блокировать рабочие станции, стирать информацию с флипчартов и виртуальных досок после совещаний"&amp;" и хранить данные в защищенном месте. Разместить его в общем доступе для самостоятельного изучения сотрудниками без возможности отслеживания прогресса обучения")</f>
        <v xml:space="preserve"> - Разработать образовательный курс о необходимости блокировать рабочие станции, стирать информацию с флипчартов и виртуальных досок после совещаний и хранить данные в защищенном месте. Разместить его в общем доступе для самостоятельного изучения сотрудниками без возможности отслеживания прогресса обучения</v>
      </c>
      <c r="U159" s="644" t="s">
        <v>1194</v>
      </c>
      <c r="V159" s="263">
        <f t="shared" si="48"/>
        <v>231.06999999999994</v>
      </c>
      <c r="W159" s="265" t="str">
        <f t="shared" si="50"/>
        <v xml:space="preserve"> - Разместить образовательный курс на образовательной платформе с возможностью отслеживания прогесса обучения.</v>
      </c>
      <c r="X159" s="128" t="s">
        <v>1195</v>
      </c>
      <c r="Y159" s="263">
        <f t="shared" si="49"/>
        <v>331.06999999999994</v>
      </c>
      <c r="Z159" s="265" t="str">
        <f t="shared" si="51"/>
        <v xml:space="preserve"> - Осуществлять регулярный мониторинг и отслеживание динамики обучения. Выработать показатели эффективности обучения</v>
      </c>
      <c r="AA159" s="128" t="s">
        <v>204</v>
      </c>
    </row>
    <row r="160" spans="2:27" ht="109.2" outlineLevel="1">
      <c r="B160" s="254" t="s">
        <v>460</v>
      </c>
      <c r="C160" s="255" t="s">
        <v>461</v>
      </c>
      <c r="D160" s="256">
        <v>5</v>
      </c>
      <c r="E160" s="257">
        <v>3.2</v>
      </c>
      <c r="F160" s="258">
        <v>1.6</v>
      </c>
      <c r="G160" s="128"/>
      <c r="H160" s="242"/>
      <c r="I160" s="128"/>
      <c r="J160" s="259"/>
      <c r="K160" s="260">
        <f t="shared" si="21"/>
        <v>5</v>
      </c>
      <c r="L160" s="128">
        <f t="shared" si="43"/>
        <v>0</v>
      </c>
      <c r="M160">
        <f t="shared" si="22"/>
        <v>-5</v>
      </c>
      <c r="N160" s="261" t="s">
        <v>331</v>
      </c>
      <c r="P160" s="262">
        <f t="shared" si="44"/>
        <v>0</v>
      </c>
      <c r="Q160" s="262">
        <f t="shared" si="45"/>
        <v>0</v>
      </c>
      <c r="R160" s="262">
        <f t="shared" si="46"/>
        <v>0</v>
      </c>
      <c r="S160" s="263">
        <f t="shared" si="47"/>
        <v>31.080000000000013</v>
      </c>
      <c r="T160" s="651" t="str">
        <f>IF(($L160-$F160)&gt;=0,"",
" - Разработать образовательный курс по теме ошибочной отправки и публикации конфиденциальных данных, потери рабочих устройств и съемных носителей."&amp;"Разместить его в общем доступе для самостоятельного изучения сотрудниками без возможности отслеживания прогресса обучения")</f>
        <v xml:space="preserve"> - Разработать образовательный курс по теме ошибочной отправки и публикации конфиденциальных данных, потери рабочих устройств и съемных носителей.Разместить его в общем доступе для самостоятельного изучения сотрудниками без возможности отслеживания прогресса обучения</v>
      </c>
      <c r="U160" s="644" t="s">
        <v>1194</v>
      </c>
      <c r="V160" s="263">
        <f t="shared" si="48"/>
        <v>231.07999999999993</v>
      </c>
      <c r="W160" s="265" t="str">
        <f t="shared" si="50"/>
        <v xml:space="preserve"> - Разместить образовательный курс на образовательной платформе с возможностью отслеживания прогесса обучения.</v>
      </c>
      <c r="X160" s="128" t="s">
        <v>1195</v>
      </c>
      <c r="Y160" s="263">
        <f t="shared" si="49"/>
        <v>331.07999999999993</v>
      </c>
      <c r="Z160" s="265" t="str">
        <f t="shared" si="51"/>
        <v xml:space="preserve"> - Осуществлять регулярный мониторинг и отслеживание динамики обучения. Выработать показатели эффективности обучения</v>
      </c>
      <c r="AA160" s="128" t="s">
        <v>204</v>
      </c>
    </row>
    <row r="161" spans="2:27" ht="78" outlineLevel="1">
      <c r="B161" s="254" t="s">
        <v>462</v>
      </c>
      <c r="C161" s="255" t="s">
        <v>463</v>
      </c>
      <c r="D161" s="256">
        <v>5</v>
      </c>
      <c r="E161" s="257">
        <v>3.2</v>
      </c>
      <c r="F161" s="258">
        <v>1.6</v>
      </c>
      <c r="G161" s="128"/>
      <c r="H161" s="242"/>
      <c r="I161" s="128"/>
      <c r="J161" s="259"/>
      <c r="K161" s="260">
        <f t="shared" ref="K161:K188" si="52">IF(ЦУКБ="КБ 1",F161,IF(ЦУКБ="КБ 2",E161,D161))</f>
        <v>5</v>
      </c>
      <c r="L161" s="128">
        <f t="shared" si="43"/>
        <v>0</v>
      </c>
      <c r="M161">
        <f t="shared" ref="M161:M188" si="53">L161-K161</f>
        <v>-5</v>
      </c>
      <c r="N161" s="261" t="s">
        <v>331</v>
      </c>
      <c r="P161" s="262">
        <f t="shared" ref="P161:Q188" si="54">IFERROR(IF($L161&gt;D161,1,$L161/D161),0)</f>
        <v>0</v>
      </c>
      <c r="Q161" s="262">
        <f t="shared" si="45"/>
        <v>0</v>
      </c>
      <c r="R161" s="262">
        <f t="shared" si="46"/>
        <v>0</v>
      </c>
      <c r="S161" s="263">
        <f t="shared" si="47"/>
        <v>31.090000000000014</v>
      </c>
      <c r="T161" s="651" t="str">
        <f>IF(($L161-$F161)&gt;=0,"",
" - Разработать образовательный курс о том, как распознавать инциденты безопасности и сообщать о них. Разместить его в общем доступе для самостоятельного изучения сотрудниками без возможности отслеживания прогресса обучения")</f>
        <v xml:space="preserve"> - Разработать образовательный курс о том, как распознавать инциденты безопасности и сообщать о них. Разместить его в общем доступе для самостоятельного изучения сотрудниками без возможности отслеживания прогресса обучения</v>
      </c>
      <c r="U161" s="644" t="s">
        <v>1194</v>
      </c>
      <c r="V161" s="263">
        <f t="shared" si="48"/>
        <v>231.08999999999992</v>
      </c>
      <c r="W161" s="265" t="str">
        <f t="shared" si="50"/>
        <v xml:space="preserve"> - Разместить образовательный курс на образовательной платформе с возможностью отслеживания прогесса обучения.</v>
      </c>
      <c r="X161" s="128" t="s">
        <v>1195</v>
      </c>
      <c r="Y161" s="263">
        <f t="shared" si="49"/>
        <v>331.08999999999992</v>
      </c>
      <c r="Z161" s="265" t="str">
        <f t="shared" si="51"/>
        <v xml:space="preserve"> - Осуществлять регулярный мониторинг и отслеживание динамики обучения. Выработать показатели эффективности обучения</v>
      </c>
      <c r="AA161" s="128" t="s">
        <v>204</v>
      </c>
    </row>
    <row r="162" spans="2:27" ht="93.6" outlineLevel="1">
      <c r="B162" s="254" t="s">
        <v>464</v>
      </c>
      <c r="C162" s="255" t="s">
        <v>465</v>
      </c>
      <c r="D162" s="256">
        <v>5</v>
      </c>
      <c r="E162" s="257">
        <v>3.2</v>
      </c>
      <c r="F162" s="258">
        <v>1.6</v>
      </c>
      <c r="G162" s="128"/>
      <c r="H162" s="242"/>
      <c r="I162" s="128"/>
      <c r="J162" s="259"/>
      <c r="K162" s="260">
        <f t="shared" si="52"/>
        <v>5</v>
      </c>
      <c r="L162" s="297">
        <f t="shared" si="43"/>
        <v>0</v>
      </c>
      <c r="M162" s="301">
        <f t="shared" si="53"/>
        <v>-5</v>
      </c>
      <c r="N162" s="261" t="s">
        <v>331</v>
      </c>
      <c r="O162" s="298"/>
      <c r="P162" s="262">
        <f t="shared" si="54"/>
        <v>0</v>
      </c>
      <c r="Q162" s="262">
        <f t="shared" si="45"/>
        <v>0</v>
      </c>
      <c r="R162" s="262">
        <f t="shared" si="46"/>
        <v>0</v>
      </c>
      <c r="S162" s="267">
        <f t="shared" si="47"/>
        <v>31.100000000000016</v>
      </c>
      <c r="T162" s="651" t="str">
        <f>IF(($L162-$F162)&gt;=0,"",
" - Разработать образовательный курс для привелигированных пользователей о приемах безопасной работы. Разместить его в общем доступе для самостоятельного изучения сотрудниками без возможности отслеживания прогресса обучения")</f>
        <v xml:space="preserve"> - Разработать образовательный курс для привелигированных пользователей о приемах безопасной работы. Разместить его в общем доступе для самостоятельного изучения сотрудниками без возможности отслеживания прогресса обучения</v>
      </c>
      <c r="U162" s="644" t="s">
        <v>1194</v>
      </c>
      <c r="V162" s="267">
        <f t="shared" si="48"/>
        <v>231.09999999999991</v>
      </c>
      <c r="W162" s="265" t="str">
        <f t="shared" si="50"/>
        <v xml:space="preserve"> - Разместить образовательный курс на образовательной платформе с возможностью отслеживания прогесса обучения.</v>
      </c>
      <c r="X162" s="128" t="s">
        <v>1195</v>
      </c>
      <c r="Y162" s="267">
        <f t="shared" si="49"/>
        <v>331.09999999999991</v>
      </c>
      <c r="Z162" s="265" t="str">
        <f t="shared" si="51"/>
        <v xml:space="preserve"> - Осуществлять регулярный мониторинг и отслеживание динамики обучения. Выработать показатели эффективности обучения</v>
      </c>
      <c r="AA162" s="128" t="s">
        <v>204</v>
      </c>
    </row>
    <row r="163" spans="2:27" s="300" customFormat="1" ht="17.399999999999999">
      <c r="B163" s="249" t="s">
        <v>165</v>
      </c>
      <c r="C163" s="21" t="s">
        <v>466</v>
      </c>
      <c r="D163" s="294"/>
      <c r="E163" s="294"/>
      <c r="F163" s="294"/>
      <c r="G163" s="302"/>
      <c r="H163" s="294"/>
      <c r="I163" s="294"/>
      <c r="J163" s="294"/>
      <c r="K163" s="21"/>
      <c r="L163" s="294"/>
      <c r="M163" s="294"/>
      <c r="N163" s="295"/>
      <c r="O163" s="295"/>
      <c r="P163" s="294"/>
      <c r="Q163" s="294"/>
      <c r="R163" s="294"/>
      <c r="S163" s="252">
        <f>VLOOKUP(B163,Приоритет!$G$9:$K$48,5,0)</f>
        <v>16</v>
      </c>
      <c r="T163" s="248" t="s">
        <v>466</v>
      </c>
      <c r="U163" s="248"/>
      <c r="V163" s="252">
        <f>S163+200</f>
        <v>216</v>
      </c>
      <c r="W163" s="21" t="s">
        <v>466</v>
      </c>
      <c r="X163" s="21"/>
      <c r="Y163" s="252">
        <f>S163+300</f>
        <v>316</v>
      </c>
      <c r="Z163" s="21" t="s">
        <v>466</v>
      </c>
      <c r="AA163" s="21"/>
    </row>
    <row r="164" spans="2:27" s="300" customFormat="1" ht="78" outlineLevel="1">
      <c r="B164" s="254" t="s">
        <v>467</v>
      </c>
      <c r="C164" s="303" t="s">
        <v>468</v>
      </c>
      <c r="D164" s="256">
        <v>3.2</v>
      </c>
      <c r="E164" s="257">
        <v>1.6</v>
      </c>
      <c r="F164" s="258">
        <v>0</v>
      </c>
      <c r="G164" s="242"/>
      <c r="H164" s="242"/>
      <c r="I164" s="128"/>
      <c r="J164" s="286"/>
      <c r="K164" s="260">
        <f t="shared" si="52"/>
        <v>3.2</v>
      </c>
      <c r="L164" s="128">
        <f>IF((СК="Да"), E164, VALUE(LEFT(N164,3)))</f>
        <v>0</v>
      </c>
      <c r="M164">
        <f t="shared" si="53"/>
        <v>-3.2</v>
      </c>
      <c r="N164" s="269" t="s">
        <v>469</v>
      </c>
      <c r="O164" s="216" t="str">
        <f>IF((СК="Да"),"Совместная зона ответственности ДЗО и Сервисной компании
(1,6 - при подключении к СК;
3,2 - при выполнении в ДЗО)", "")</f>
        <v/>
      </c>
      <c r="P164" s="262">
        <f t="shared" si="54"/>
        <v>0</v>
      </c>
      <c r="Q164" s="262">
        <f>IFERROR(IF($L164&gt;=E164,1,$L164/E164),0)</f>
        <v>0</v>
      </c>
      <c r="R164" s="262"/>
      <c r="S164" s="263">
        <f t="shared" ref="S164:S173" si="55">S163+0.01</f>
        <v>16.010000000000002</v>
      </c>
      <c r="T164" s="651" t="str">
        <f>IF(($L164-$F164)&gt;=0,"",)</f>
        <v/>
      </c>
      <c r="U164" s="644"/>
      <c r="V164" s="263">
        <f t="shared" ref="V164:V173" si="56">V163+0.01</f>
        <v>216.01</v>
      </c>
      <c r="W164" s="265" t="str">
        <f>IF(($L164-$E164)&gt;=0,"",
" - Разработать или Получить в Блоке ИБ ПАО Ростелеком типовое описание процесса управления доступом;
  - Утвердить в Обществе ВНД, описывающий процесс управления доступом.")</f>
        <v xml:space="preserve"> - Разработать или Получить в Блоке ИБ ПАО Ростелеком типовое описание процесса управления доступом;
  - Утвердить в Обществе ВНД, описывающий процесс управления доступом.</v>
      </c>
      <c r="X164" s="128" t="s">
        <v>1242</v>
      </c>
      <c r="Y164" s="263">
        <f t="shared" ref="Y164:Y173" si="57">Y163+0.01</f>
        <v>316.01</v>
      </c>
      <c r="Z164" s="265" t="str">
        <f>IF(($L164-$D164)&gt;=0,"",
" - Разработать регламенты, описывающие процессы отзыва прав доступа, аудита прав доступа, порядок формирования и изменения ролевых моделей;
- Утвердить в Обществе ВНД, описывающий процесс защиты привилегированного доступа")</f>
        <v xml:space="preserve"> - Разработать регламенты, описывающие процессы отзыва прав доступа, аудита прав доступа, порядок формирования и изменения ролевых моделей;
- Утвердить в Обществе ВНД, описывающий процесс защиты привилегированного доступа</v>
      </c>
      <c r="AA164" s="128" t="s">
        <v>1243</v>
      </c>
    </row>
    <row r="165" spans="2:27" s="300" customFormat="1" ht="93.6" outlineLevel="1">
      <c r="B165" s="254" t="s">
        <v>470</v>
      </c>
      <c r="C165" s="303" t="s">
        <v>471</v>
      </c>
      <c r="D165" s="256">
        <v>5</v>
      </c>
      <c r="E165" s="257">
        <v>3.2</v>
      </c>
      <c r="F165" s="258">
        <v>1.6</v>
      </c>
      <c r="G165" s="242"/>
      <c r="H165" s="242"/>
      <c r="I165" s="128"/>
      <c r="J165" s="286"/>
      <c r="K165" s="260">
        <f t="shared" si="52"/>
        <v>5</v>
      </c>
      <c r="L165" s="297">
        <f t="shared" ref="L165:L171" si="58">VALUE(LEFT(N165,3))</f>
        <v>0</v>
      </c>
      <c r="M165" s="301">
        <f t="shared" si="53"/>
        <v>-5</v>
      </c>
      <c r="N165" s="269" t="s">
        <v>349</v>
      </c>
      <c r="O165" s="304"/>
      <c r="P165" s="262">
        <f t="shared" si="54"/>
        <v>0</v>
      </c>
      <c r="Q165" s="262">
        <f t="shared" ref="Q165:Q183" si="59">IFERROR(IF($L165&gt;E165,1,$L165/E165),0)</f>
        <v>0</v>
      </c>
      <c r="R165" s="262">
        <f t="shared" si="46"/>
        <v>0</v>
      </c>
      <c r="S165" s="263">
        <f t="shared" si="55"/>
        <v>16.020000000000003</v>
      </c>
      <c r="T165" s="651" t="str">
        <f>IF(($L165-$F165)&gt;=0,"",
" - Определить порядок формирования ролевых моделей;
  - Разработать ролевые модели для информационных систем и согласовать с подразделением ИБ. ")</f>
        <v xml:space="preserve"> - Определить порядок формирования ролевых моделей;
  - Разработать ролевые модели для информационных систем и согласовать с подразделением ИБ. </v>
      </c>
      <c r="U165" s="644" t="s">
        <v>1260</v>
      </c>
      <c r="V165" s="263">
        <f t="shared" si="56"/>
        <v>216.01999999999998</v>
      </c>
      <c r="W165" s="265" t="str">
        <f>IF(($L165-$E165)&gt;=0,"",
" - Для наиболее важных ИС провести аудит прав доступа в ИС и назначить всем пользователям роли в соответствии с ролевой моделью.")</f>
        <v xml:space="preserve"> - Для наиболее важных ИС провести аудит прав доступа в ИС и назначить всем пользователям роли в соответствии с ролевой моделью.</v>
      </c>
      <c r="X165" s="128" t="s">
        <v>1261</v>
      </c>
      <c r="Y165" s="263">
        <f t="shared" si="57"/>
        <v>316.02</v>
      </c>
      <c r="Z165" s="265" t="str">
        <f>IF(($L165-$D165)&gt;=0,"",
" - Для всех ИС провести аудит прав доступа в ИС и назначить всем пользователям роли в соответствии с ролевой моделью;"&amp;"
  - Реализовать процесс определения ролей, совмещение явялется конфликтом разделения полномочий/Вести учет таких ролей;
  - Реализовать процесс назначения ролей с учетом исключения SoD-конфликтов")</f>
        <v xml:space="preserve"> - Для всех ИС провести аудит прав доступа в ИС и назначить всем пользователям роли в соответствии с ролевой моделью;
  - Реализовать процесс определения ролей, совмещение явялется конфликтом разделения полномочий/Вести учет таких ролей;
  - Реализовать процесс назначения ролей с учетом исключения SoD-конфликтов</v>
      </c>
      <c r="AA165" s="128" t="s">
        <v>1262</v>
      </c>
    </row>
    <row r="166" spans="2:27" s="300" customFormat="1" ht="78" outlineLevel="1">
      <c r="B166" s="254" t="s">
        <v>472</v>
      </c>
      <c r="C166" s="303" t="s">
        <v>473</v>
      </c>
      <c r="D166" s="256">
        <v>5</v>
      </c>
      <c r="E166" s="257">
        <v>3.2</v>
      </c>
      <c r="F166" s="258">
        <v>1.6</v>
      </c>
      <c r="G166" s="242"/>
      <c r="H166" s="242"/>
      <c r="I166" s="128"/>
      <c r="J166" s="286"/>
      <c r="K166" s="260">
        <f t="shared" si="52"/>
        <v>5</v>
      </c>
      <c r="L166" s="128">
        <f t="shared" si="58"/>
        <v>0</v>
      </c>
      <c r="M166">
        <f t="shared" si="53"/>
        <v>-5</v>
      </c>
      <c r="N166" s="261" t="s">
        <v>349</v>
      </c>
      <c r="O166" s="304"/>
      <c r="P166" s="262">
        <f t="shared" si="54"/>
        <v>0</v>
      </c>
      <c r="Q166" s="262">
        <f t="shared" si="59"/>
        <v>0</v>
      </c>
      <c r="R166" s="262">
        <f t="shared" si="46"/>
        <v>0</v>
      </c>
      <c r="S166" s="263">
        <f t="shared" si="55"/>
        <v>16.030000000000005</v>
      </c>
      <c r="T166" s="651" t="str">
        <f>IF(($L166-$F166)&gt;=0,"",
" - Регламентировать процесс согласования прав доступа для ИС, находящихся в промышленной эксплуатации;
   - Включить подразделение ИБ в цепочку согласования. ")</f>
        <v xml:space="preserve"> - Регламентировать процесс согласования прав доступа для ИС, находящихся в промышленной эксплуатации;
   - Включить подразделение ИБ в цепочку согласования. </v>
      </c>
      <c r="U166" s="644" t="s">
        <v>1263</v>
      </c>
      <c r="V166" s="263">
        <f t="shared" si="56"/>
        <v>216.02999999999997</v>
      </c>
      <c r="W166" s="265" t="str">
        <f>IF(($L166-$E166)&gt;=0,"",
" - Реализовать автоматизированное согласование заявок на доступ;
  - Обеспечить обязательное участие подразделения ИБ в процессе согласования")</f>
        <v xml:space="preserve"> - Реализовать автоматизированное согласование заявок на доступ;
  - Обеспечить обязательное участие подразделения ИБ в процессе согласования</v>
      </c>
      <c r="X166" s="128" t="s">
        <v>1264</v>
      </c>
      <c r="Y166" s="263">
        <f t="shared" si="57"/>
        <v>316.02999999999997</v>
      </c>
      <c r="Z166" s="265" t="str">
        <f>IF(($L166-$D166)&gt;=0,"",
" - Реализовать процесс согласование доступа для административных учетных записей, создаваемых владельцем ИС.")</f>
        <v xml:space="preserve"> - Реализовать процесс согласование доступа для административных учетных записей, создаваемых владельцем ИС.</v>
      </c>
      <c r="AA166" s="128" t="s">
        <v>1264</v>
      </c>
    </row>
    <row r="167" spans="2:27" s="300" customFormat="1" ht="62.4" outlineLevel="1">
      <c r="B167" s="254" t="s">
        <v>474</v>
      </c>
      <c r="C167" s="303" t="s">
        <v>475</v>
      </c>
      <c r="D167" s="256">
        <v>3.2</v>
      </c>
      <c r="E167" s="257">
        <v>1.6</v>
      </c>
      <c r="F167" s="258">
        <v>0</v>
      </c>
      <c r="G167" s="242"/>
      <c r="H167" s="242"/>
      <c r="I167" s="128"/>
      <c r="J167" s="286"/>
      <c r="K167" s="260">
        <f t="shared" si="52"/>
        <v>3.2</v>
      </c>
      <c r="L167" s="128">
        <f t="shared" si="58"/>
        <v>0</v>
      </c>
      <c r="M167">
        <f t="shared" si="53"/>
        <v>-3.2</v>
      </c>
      <c r="N167" s="269" t="s">
        <v>349</v>
      </c>
      <c r="O167" s="304"/>
      <c r="P167" s="262">
        <f t="shared" si="54"/>
        <v>0</v>
      </c>
      <c r="Q167" s="262">
        <f t="shared" si="59"/>
        <v>0</v>
      </c>
      <c r="R167" s="262"/>
      <c r="S167" s="263">
        <f t="shared" si="55"/>
        <v>16.040000000000006</v>
      </c>
      <c r="T167" s="651" t="str">
        <f>IF(($L167-$F167)&gt;=0,"",)</f>
        <v/>
      </c>
      <c r="U167" s="644"/>
      <c r="V167" s="263">
        <f t="shared" si="56"/>
        <v>216.03999999999996</v>
      </c>
      <c r="W167" s="265" t="str">
        <f>IF(($L167-$E167)&gt;=0,"",
" - Реализовать автоматическое создание учетной записи для нового работника и назначение базовых прав на основе данных из систем кадрового учета")</f>
        <v xml:space="preserve"> - Реализовать автоматическое создание учетной записи для нового работника и назначение базовых прав на основе данных из систем кадрового учета</v>
      </c>
      <c r="X167" s="128" t="s">
        <v>1268</v>
      </c>
      <c r="Y167" s="263">
        <f t="shared" si="57"/>
        <v>316.03999999999996</v>
      </c>
      <c r="Z167" s="265" t="str">
        <f>IF(($L167-$D167)&gt;=0,"",
" - Реализовать автоматическое назначение прав в соответствии с должностью при приеме на работу или смене должности.")</f>
        <v xml:space="preserve"> - Реализовать автоматическое назначение прав в соответствии с должностью при приеме на работу или смене должности.</v>
      </c>
      <c r="AA167" s="128" t="s">
        <v>1265</v>
      </c>
    </row>
    <row r="168" spans="2:27" s="300" customFormat="1" ht="93.6" outlineLevel="1">
      <c r="B168" s="254" t="s">
        <v>476</v>
      </c>
      <c r="C168" s="303" t="s">
        <v>477</v>
      </c>
      <c r="D168" s="256">
        <v>3.2</v>
      </c>
      <c r="E168" s="257">
        <v>1.6</v>
      </c>
      <c r="F168" s="258">
        <v>0</v>
      </c>
      <c r="G168" s="242"/>
      <c r="H168" s="242"/>
      <c r="I168" s="128"/>
      <c r="J168" s="286"/>
      <c r="K168" s="260">
        <f t="shared" si="52"/>
        <v>3.2</v>
      </c>
      <c r="L168" s="128">
        <f>IF((СК="Да"), E168, VALUE(LEFT(N168,3)))</f>
        <v>0</v>
      </c>
      <c r="M168">
        <f t="shared" si="53"/>
        <v>-3.2</v>
      </c>
      <c r="N168" s="269" t="s">
        <v>349</v>
      </c>
      <c r="O168" s="216" t="str">
        <f>IF((СК="Да"),"Совместная зона ответственности ДЗО и Сервисной компании
(1,6 - при подключении к СК;
3,2 - при выполнении в ДЗО)", "")</f>
        <v/>
      </c>
      <c r="P168" s="262">
        <f t="shared" si="54"/>
        <v>0</v>
      </c>
      <c r="Q168" s="262">
        <f t="shared" si="59"/>
        <v>0</v>
      </c>
      <c r="R168" s="262"/>
      <c r="S168" s="263">
        <f t="shared" si="55"/>
        <v>16.050000000000008</v>
      </c>
      <c r="T168" s="651" t="str">
        <f>IF(($L168-$F168)&gt;=0,"",)</f>
        <v/>
      </c>
      <c r="U168" s="644"/>
      <c r="V168" s="263">
        <f t="shared" si="56"/>
        <v>216.04999999999995</v>
      </c>
      <c r="W168" s="265" t="str">
        <f>IF(($L168-$E168)&gt;=0,"",
" - Реализовать автоматическую блокировку всех учетных записей работника при увольнении работника на основе данных из систем кадрового учета;"&amp;"
   - Реализовать автоматическую блокировку всех учетных записей контрагентов при истечении срока действия или прекращении договора.")</f>
        <v xml:space="preserve"> - Реализовать автоматическую блокировку всех учетных записей работника при увольнении работника на основе данных из систем кадрового учета;
   - Реализовать автоматическую блокировку всех учетных записей контрагентов при истечении срока действия или прекращении договора.</v>
      </c>
      <c r="X168" s="128" t="s">
        <v>1266</v>
      </c>
      <c r="Y168" s="263">
        <f t="shared" si="57"/>
        <v>316.04999999999995</v>
      </c>
      <c r="Z168" s="265" t="str">
        <f>IF(($L168-$D168)&gt;=0,"",
" - Реализовать автоматический отзыв прав доступа при увольнении работника на основе данных из систем кадрового учета.")</f>
        <v xml:space="preserve"> - Реализовать автоматический отзыв прав доступа при увольнении работника на основе данных из систем кадрового учета.</v>
      </c>
      <c r="AA168" s="128" t="s">
        <v>1267</v>
      </c>
    </row>
    <row r="169" spans="2:27" s="300" customFormat="1" ht="78" outlineLevel="1">
      <c r="B169" s="254" t="s">
        <v>478</v>
      </c>
      <c r="C169" s="303" t="s">
        <v>479</v>
      </c>
      <c r="D169" s="256">
        <v>5</v>
      </c>
      <c r="E169" s="257">
        <v>3.2</v>
      </c>
      <c r="F169" s="258">
        <v>1.6</v>
      </c>
      <c r="G169" s="242"/>
      <c r="H169" s="242"/>
      <c r="I169" s="128"/>
      <c r="J169" s="286"/>
      <c r="K169" s="260">
        <f t="shared" si="52"/>
        <v>5</v>
      </c>
      <c r="L169" s="297">
        <f t="shared" si="58"/>
        <v>0</v>
      </c>
      <c r="M169">
        <f t="shared" si="53"/>
        <v>-5</v>
      </c>
      <c r="N169" s="269" t="s">
        <v>349</v>
      </c>
      <c r="O169" s="304"/>
      <c r="P169" s="262">
        <f t="shared" si="54"/>
        <v>0</v>
      </c>
      <c r="Q169" s="262">
        <f t="shared" si="59"/>
        <v>0</v>
      </c>
      <c r="R169" s="262">
        <f t="shared" si="46"/>
        <v>0</v>
      </c>
      <c r="S169" s="263">
        <f t="shared" si="55"/>
        <v>16.060000000000009</v>
      </c>
      <c r="T169" s="651" t="str">
        <f>IF(($L169-$F169)&gt;=0,"",
" - Реализовать процесс регулярного аудита административных учетных записей и других привилегированных учетных записей;
  - Обеспечить проведение аудита не реже чем раз в 1 год.")</f>
        <v xml:space="preserve"> - Реализовать процесс регулярного аудита административных учетных записей и других привилегированных учетных записей;
  - Обеспечить проведение аудита не реже чем раз в 1 год.</v>
      </c>
      <c r="U169" s="644" t="s">
        <v>1156</v>
      </c>
      <c r="V169" s="263">
        <f t="shared" si="56"/>
        <v>216.05999999999995</v>
      </c>
      <c r="W169" s="265" t="str">
        <f>IF(($L169-$E169)&gt;=0,"",
" - Реализовать процесс регулярного аудита всех учетных записей для критичных ИС;
  - Обеспечить проведение аудита не реже чем раз в 6 месяцев")</f>
        <v xml:space="preserve"> - Реализовать процесс регулярного аудита всех учетных записей для критичных ИС;
  - Обеспечить проведение аудита не реже чем раз в 6 месяцев</v>
      </c>
      <c r="X169" s="128" t="s">
        <v>1269</v>
      </c>
      <c r="Y169" s="263">
        <f t="shared" si="57"/>
        <v>316.05999999999995</v>
      </c>
      <c r="Z169" s="265" t="str">
        <f>IF(($L169-$D169)&gt;=0,"",
" - Реализовать процесс регулярного аудита всех учетных записей для всех ИС. Обеспечить проведение аудита не реже чем раз в 6 месяцев.")</f>
        <v xml:space="preserve"> - Реализовать процесс регулярного аудита всех учетных записей для всех ИС. Обеспечить проведение аудита не реже чем раз в 6 месяцев.</v>
      </c>
      <c r="AA169" s="128" t="s">
        <v>1269</v>
      </c>
    </row>
    <row r="170" spans="2:27" s="300" customFormat="1" ht="109.2" outlineLevel="1">
      <c r="B170" s="254" t="s">
        <v>480</v>
      </c>
      <c r="C170" s="303" t="s">
        <v>481</v>
      </c>
      <c r="D170" s="256">
        <v>5</v>
      </c>
      <c r="E170" s="257">
        <v>5</v>
      </c>
      <c r="F170" s="258">
        <v>5</v>
      </c>
      <c r="G170" s="242"/>
      <c r="H170" s="242"/>
      <c r="I170" s="128"/>
      <c r="J170" s="286"/>
      <c r="K170" s="260">
        <f t="shared" si="52"/>
        <v>5</v>
      </c>
      <c r="L170" s="128">
        <f>IF((СК="Да"), D170, VALUE(LEFT(N170,3)))</f>
        <v>0</v>
      </c>
      <c r="M170">
        <f t="shared" si="53"/>
        <v>-5</v>
      </c>
      <c r="N170" s="269" t="s">
        <v>349</v>
      </c>
      <c r="O170" s="216" t="str">
        <f>IF((СК="Да"),"Зона ответственности Сервисной компании", "")</f>
        <v/>
      </c>
      <c r="P170" s="262">
        <f t="shared" si="54"/>
        <v>0</v>
      </c>
      <c r="Q170" s="262">
        <f t="shared" si="59"/>
        <v>0</v>
      </c>
      <c r="R170" s="262">
        <f t="shared" si="46"/>
        <v>0</v>
      </c>
      <c r="S170" s="263">
        <f t="shared" si="55"/>
        <v>16.070000000000011</v>
      </c>
      <c r="T170" s="651" t="str">
        <f>IF(($L170-$F170)&gt;=0,"",
" - Создать для администраторов ИС раздельные учетные записи - привилегированная УЗ для задач администрирования и непривилегированная УЗ для других задач;"&amp;"
   - Запретить использовать административную учетную запись не по назначению.")</f>
        <v xml:space="preserve"> - Создать для администраторов ИС раздельные учетные записи - привилегированная УЗ для задач администрирования и непривилегированная УЗ для других задач;
   - Запретить использовать административную учетную запись не по назначению.</v>
      </c>
      <c r="U170" s="644" t="s">
        <v>166</v>
      </c>
      <c r="V170" s="263">
        <f t="shared" si="56"/>
        <v>216.06999999999994</v>
      </c>
      <c r="W170" s="265" t="str">
        <f>IF(($L170-$E170)&gt;=0,"","")</f>
        <v/>
      </c>
      <c r="X170" s="128"/>
      <c r="Y170" s="263">
        <f t="shared" si="57"/>
        <v>316.06999999999994</v>
      </c>
      <c r="Z170" s="265" t="str">
        <f>IF(($L170-$D170)&gt;=0,"","")</f>
        <v/>
      </c>
      <c r="AA170" s="128"/>
    </row>
    <row r="171" spans="2:27" s="300" customFormat="1" ht="78" outlineLevel="1">
      <c r="B171" s="254" t="s">
        <v>482</v>
      </c>
      <c r="C171" s="303" t="s">
        <v>1327</v>
      </c>
      <c r="D171" s="256">
        <v>5</v>
      </c>
      <c r="E171" s="257">
        <v>5</v>
      </c>
      <c r="F171" s="258">
        <v>5</v>
      </c>
      <c r="G171" s="242"/>
      <c r="H171" s="242"/>
      <c r="I171" s="128"/>
      <c r="J171" s="286"/>
      <c r="K171" s="260">
        <f t="shared" si="52"/>
        <v>5</v>
      </c>
      <c r="L171" s="297">
        <f t="shared" si="58"/>
        <v>0</v>
      </c>
      <c r="M171" s="301">
        <f t="shared" si="53"/>
        <v>-5</v>
      </c>
      <c r="N171" s="269" t="s">
        <v>349</v>
      </c>
      <c r="O171" s="304"/>
      <c r="P171" s="262">
        <f t="shared" si="54"/>
        <v>0</v>
      </c>
      <c r="Q171" s="262">
        <f t="shared" si="59"/>
        <v>0</v>
      </c>
      <c r="R171" s="262">
        <f t="shared" si="46"/>
        <v>0</v>
      </c>
      <c r="S171" s="263">
        <f t="shared" si="55"/>
        <v>16.080000000000013</v>
      </c>
      <c r="T171" s="651" t="str">
        <f>IF(($L171-$F171)&gt;=0,"",
" - Разработать процедуру быстрой блокировки учетной записи и отзыва прав при инцидентах информационной безопасности;
  - Довести до исполнителей порядок выполнения процедуры/Протестировать выполнение.")</f>
        <v xml:space="preserve"> - Разработать процедуру быстрой блокировки учетной записи и отзыва прав при инцидентах информационной безопасности;
  - Довести до исполнителей порядок выполнения процедуры/Протестировать выполнение.</v>
      </c>
      <c r="U171" s="644" t="s">
        <v>1270</v>
      </c>
      <c r="V171" s="263">
        <f t="shared" si="56"/>
        <v>216.07999999999993</v>
      </c>
      <c r="W171" s="265" t="str">
        <f>IF(($L171-$E171)&gt;=0,"","")</f>
        <v/>
      </c>
      <c r="X171" s="128"/>
      <c r="Y171" s="263">
        <f t="shared" si="57"/>
        <v>316.07999999999993</v>
      </c>
      <c r="Z171" s="265" t="str">
        <f>IF(($L171-$D171)&gt;=0,"","")</f>
        <v/>
      </c>
      <c r="AA171" s="128"/>
    </row>
    <row r="172" spans="2:27" s="300" customFormat="1" ht="187.2" outlineLevel="1">
      <c r="B172" s="254" t="s">
        <v>484</v>
      </c>
      <c r="C172" s="303" t="s">
        <v>483</v>
      </c>
      <c r="D172" s="256">
        <v>5</v>
      </c>
      <c r="E172" s="257">
        <v>5</v>
      </c>
      <c r="F172" s="258">
        <v>5</v>
      </c>
      <c r="G172" s="242"/>
      <c r="H172" s="242"/>
      <c r="I172" s="128"/>
      <c r="J172" s="286"/>
      <c r="K172" s="260">
        <f t="shared" si="52"/>
        <v>5</v>
      </c>
      <c r="L172" s="128">
        <f t="shared" ref="L172:L181" si="60">IF((СК="Да"), D172, VALUE(LEFT(N172,3)))</f>
        <v>0</v>
      </c>
      <c r="M172">
        <f t="shared" si="53"/>
        <v>-5</v>
      </c>
      <c r="N172" s="269" t="s">
        <v>349</v>
      </c>
      <c r="O172" s="216" t="str">
        <f t="shared" ref="O172:O181" si="61">IF((СК="Да"),"Зона ответственности Сервисной компании", "")</f>
        <v/>
      </c>
      <c r="P172" s="262">
        <f t="shared" si="54"/>
        <v>0</v>
      </c>
      <c r="Q172" s="262">
        <f t="shared" si="59"/>
        <v>0</v>
      </c>
      <c r="R172" s="262">
        <f t="shared" si="46"/>
        <v>0</v>
      </c>
      <c r="S172" s="263">
        <f t="shared" si="55"/>
        <v>16.090000000000014</v>
      </c>
      <c r="T172" s="651" t="str">
        <f>IF(($L172-$F172)&gt;=0,"","-Обеспечить автоматическое прерывание сессии логического доступа  по истечении установленного времени бездействия (неактивности) субъекта доступа"&amp;"
-Обеспечить возможность принудительного прерывания сессии и (или) приостановки осуществления логического доступа (с прекращением отображения информации, доступ к которой получен в рамках сессии) пользователем"&amp;"
- После прерывания логического доступа обеспечить автоматический принудительный возврат к функции аутентификации")</f>
        <v>-Обеспечить автоматическое прерывание сессии логического доступа  по истечении установленного времени бездействия (неактивности) субъекта доступа
-Обеспечить возможность принудительного прерывания сессии и (или) приостановки осуществления логического доступа (с прекращением отображения информации, доступ к которой получен в рамках сессии) пользователем
- После прерывания логического доступа обеспечить автоматический принудительный возврат к функции аутентификации</v>
      </c>
      <c r="U172" s="644" t="s">
        <v>1254</v>
      </c>
      <c r="V172" s="263">
        <f t="shared" si="56"/>
        <v>216.08999999999992</v>
      </c>
      <c r="W172" s="265" t="str">
        <f>IF(($L172-$E172)&gt;=0,"","")</f>
        <v/>
      </c>
      <c r="X172" s="128"/>
      <c r="Y172" s="263">
        <f t="shared" si="57"/>
        <v>316.08999999999992</v>
      </c>
      <c r="Z172" s="265" t="str">
        <f>IF(($L172-$D172)&gt;=0,"","")</f>
        <v/>
      </c>
      <c r="AA172" s="128"/>
    </row>
    <row r="173" spans="2:27" s="300" customFormat="1" ht="187.2" outlineLevel="1">
      <c r="B173" s="254" t="s">
        <v>486</v>
      </c>
      <c r="C173" s="303" t="s">
        <v>485</v>
      </c>
      <c r="D173" s="256">
        <v>5</v>
      </c>
      <c r="E173" s="257">
        <v>3.2</v>
      </c>
      <c r="F173" s="258">
        <v>1.6</v>
      </c>
      <c r="G173" s="242"/>
      <c r="H173" s="242"/>
      <c r="I173" s="128"/>
      <c r="J173" s="286"/>
      <c r="K173" s="260">
        <f t="shared" si="52"/>
        <v>5</v>
      </c>
      <c r="L173" s="128">
        <f t="shared" si="60"/>
        <v>0</v>
      </c>
      <c r="M173">
        <f t="shared" si="53"/>
        <v>-5</v>
      </c>
      <c r="N173" s="269" t="s">
        <v>349</v>
      </c>
      <c r="O173" s="216" t="str">
        <f t="shared" si="61"/>
        <v/>
      </c>
      <c r="P173" s="262">
        <f t="shared" si="54"/>
        <v>0</v>
      </c>
      <c r="Q173" s="262">
        <f t="shared" si="59"/>
        <v>0</v>
      </c>
      <c r="R173" s="262">
        <f t="shared" si="46"/>
        <v>0</v>
      </c>
      <c r="S173" s="267">
        <f t="shared" si="55"/>
        <v>16.100000000000016</v>
      </c>
      <c r="T173" s="651" t="str">
        <f>IF(($L173-$F173)&gt;=0,"",
" - Разработать или Получить в Блоке ИБ ПАО Ростелеком перечень сетевых протоколов и портов, используемых при взаимодействии с сетью интернет;"&amp;"
  - Ограничить использование небезопасных протоколов;
  - Реализовать процесс согласования при организации взаимодействия ИС с сетью интернет;"&amp;"
  - Обеспечить учет всех ИС, взаимодействующих с интернетом;"&amp;"
  - Обеспечить блокировку доступа в интернет всех неучтенных ИС.")</f>
        <v xml:space="preserve"> - Разработать или Получить в Блоке ИБ ПАО Ростелеком перечень сетевых протоколов и портов, используемых при взаимодействии с сетью интернет;
  - Ограничить использование небезопасных протоколов;
  - Реализовать процесс согласования при организации взаимодействия ИС с сетью интернет;
  - Обеспечить учет всех ИС, взаимодействующих с интернетом;
  - Обеспечить блокировку доступа в интернет всех неучтенных ИС.</v>
      </c>
      <c r="U173" s="644" t="s">
        <v>1257</v>
      </c>
      <c r="V173" s="267">
        <f t="shared" si="56"/>
        <v>216.09999999999991</v>
      </c>
      <c r="W173" s="265" t="str">
        <f>IF(($L173-$E173)&gt;=0,"",
" - Обеспечить выполнение требований к сетевым протоколам при проектировании и  создании ИС;
  - Обеспечить сетевое взаимодействие только по безопасным протоколам для всех новых ИС;"&amp;"
  - Для существующих ИС, не соответствующих требованиям, реализовать дополнительные меры защиты или ограничить взаимодействие с интернетом.")</f>
        <v xml:space="preserve"> - Обеспечить выполнение требований к сетевым протоколам при проектировании и  создании ИС;
  - Обеспечить сетевое взаимодействие только по безопасным протоколам для всех новых ИС;
  - Для существующих ИС, не соответствующих требованиям, реализовать дополнительные меры защиты или ограничить взаимодействие с интернетом.</v>
      </c>
      <c r="X173" s="128" t="s">
        <v>1258</v>
      </c>
      <c r="Y173" s="267">
        <f t="shared" si="57"/>
        <v>316.09999999999991</v>
      </c>
      <c r="Z173" s="265" t="str">
        <f>IF(($L173-$D173)&gt;=0,"",
" - Обеспечить взаимодействие с интернетом только по безопасным протоколам для всех существующих ИС.")</f>
        <v xml:space="preserve"> - Обеспечить взаимодействие с интернетом только по безопасным протоколам для всех существующих ИС.</v>
      </c>
      <c r="AA173" s="128" t="s">
        <v>1259</v>
      </c>
    </row>
    <row r="174" spans="2:27" s="300" customFormat="1" ht="17.399999999999999">
      <c r="B174" s="305" t="s">
        <v>167</v>
      </c>
      <c r="C174" s="306" t="s">
        <v>487</v>
      </c>
      <c r="D174" s="294"/>
      <c r="E174" s="294"/>
      <c r="F174" s="294"/>
      <c r="G174" s="302"/>
      <c r="H174" s="294"/>
      <c r="I174" s="294"/>
      <c r="J174" s="294"/>
      <c r="K174" s="294"/>
      <c r="L174" s="294"/>
      <c r="M174" s="294">
        <f t="shared" si="53"/>
        <v>0</v>
      </c>
      <c r="N174" s="295"/>
      <c r="O174" s="295"/>
      <c r="P174" s="294"/>
      <c r="Q174" s="294"/>
      <c r="R174" s="294"/>
      <c r="S174" s="252">
        <f>VLOOKUP(B174,Приоритет!$G$9:$K$48,5,0)</f>
        <v>17</v>
      </c>
      <c r="T174" s="247" t="s">
        <v>487</v>
      </c>
      <c r="U174" s="306"/>
      <c r="V174" s="252">
        <f>S174+200</f>
        <v>217</v>
      </c>
      <c r="W174" s="306" t="s">
        <v>487</v>
      </c>
      <c r="X174" s="306"/>
      <c r="Y174" s="252">
        <f>S174+300</f>
        <v>317</v>
      </c>
      <c r="Z174" s="306" t="s">
        <v>487</v>
      </c>
      <c r="AA174" s="306"/>
    </row>
    <row r="175" spans="2:27" s="300" customFormat="1" ht="60" outlineLevel="1">
      <c r="B175" s="254" t="s">
        <v>488</v>
      </c>
      <c r="C175" s="303" t="s">
        <v>489</v>
      </c>
      <c r="D175" s="256">
        <v>5</v>
      </c>
      <c r="E175" s="257">
        <v>5</v>
      </c>
      <c r="F175" s="258">
        <v>5</v>
      </c>
      <c r="G175" s="171"/>
      <c r="H175" s="171"/>
      <c r="I175" s="128"/>
      <c r="J175" s="286"/>
      <c r="K175" s="260">
        <f t="shared" si="52"/>
        <v>5</v>
      </c>
      <c r="L175" s="128">
        <f t="shared" si="60"/>
        <v>0</v>
      </c>
      <c r="M175">
        <f t="shared" si="53"/>
        <v>-5</v>
      </c>
      <c r="N175" s="269" t="s">
        <v>331</v>
      </c>
      <c r="O175" s="216" t="str">
        <f t="shared" si="61"/>
        <v/>
      </c>
      <c r="P175" s="262">
        <f t="shared" si="54"/>
        <v>0</v>
      </c>
      <c r="Q175" s="262">
        <f t="shared" si="59"/>
        <v>0</v>
      </c>
      <c r="R175" s="262">
        <f t="shared" si="46"/>
        <v>0</v>
      </c>
      <c r="S175" s="263">
        <f t="shared" ref="S175:S183" si="62">S174+0.01</f>
        <v>17.010000000000002</v>
      </c>
      <c r="T175" s="653" t="str">
        <f>IF(($L175-$F175)&gt;=0,"",
" - Получить в Блоке ИБ ПАО Ростелеком требования парольной политики и применить во всех ИС парольные политики, соответствуюещие требованиям.")</f>
        <v xml:space="preserve"> - Получить в Блоке ИБ ПАО Ростелеком требования парольной политики и применить во всех ИС парольные политики, соответствуюещие требованиям.</v>
      </c>
      <c r="U175" s="644" t="s">
        <v>1208</v>
      </c>
      <c r="V175" s="263">
        <f t="shared" ref="V175:V183" si="63">V174+0.01</f>
        <v>217.01</v>
      </c>
      <c r="W175" s="265" t="str">
        <f>IF(($L175-$E175)&gt;=0,"","")</f>
        <v/>
      </c>
      <c r="X175" s="128"/>
      <c r="Y175" s="263">
        <f t="shared" ref="Y175:Y183" si="64">Y174+0.01</f>
        <v>317.01</v>
      </c>
      <c r="Z175" s="265" t="str">
        <f>IF(($L175-$D175)&gt;=0,"","")</f>
        <v/>
      </c>
      <c r="AA175" s="128"/>
    </row>
    <row r="176" spans="2:27" s="300" customFormat="1" ht="135" outlineLevel="1">
      <c r="B176" s="254" t="s">
        <v>490</v>
      </c>
      <c r="C176" s="303" t="s">
        <v>491</v>
      </c>
      <c r="D176" s="256">
        <v>5</v>
      </c>
      <c r="E176" s="257">
        <v>5</v>
      </c>
      <c r="F176" s="258">
        <v>3.2</v>
      </c>
      <c r="G176" s="171"/>
      <c r="H176" s="171"/>
      <c r="I176" s="128"/>
      <c r="J176" s="286"/>
      <c r="K176" s="260">
        <f t="shared" si="52"/>
        <v>5</v>
      </c>
      <c r="L176" s="128">
        <f t="shared" si="60"/>
        <v>0</v>
      </c>
      <c r="M176">
        <f t="shared" si="53"/>
        <v>-5</v>
      </c>
      <c r="N176" s="269" t="s">
        <v>349</v>
      </c>
      <c r="O176" s="216" t="str">
        <f t="shared" si="61"/>
        <v/>
      </c>
      <c r="P176" s="262">
        <f t="shared" si="54"/>
        <v>0</v>
      </c>
      <c r="Q176" s="262">
        <f t="shared" si="59"/>
        <v>0</v>
      </c>
      <c r="R176" s="262">
        <f t="shared" si="46"/>
        <v>0</v>
      </c>
      <c r="S176" s="263">
        <f t="shared" si="62"/>
        <v>17.020000000000003</v>
      </c>
      <c r="T176" s="653" t="str">
        <f>IF(($L176-$F176)&gt;=0,"",
" - Реализовать процесс создания уникальных персонифицированных учетных записей для пользователей;"&amp;"
  - Определить требования к наименованию учетных записей;
  - Определить требования к назначению и использованию учетных записей (пользовательские, привилегированные, технологические)")</f>
        <v xml:space="preserve"> - Реализовать процесс создания уникальных персонифицированных учетных записей для пользователей;
  - Определить требования к наименованию учетных записей;
  - Определить требования к назначению и использованию учетных записей (пользовательские, привилегированные, технологические)</v>
      </c>
      <c r="U176" s="644" t="s">
        <v>168</v>
      </c>
      <c r="V176" s="263">
        <f t="shared" si="63"/>
        <v>217.01999999999998</v>
      </c>
      <c r="W176" s="265" t="str">
        <f>IF(($L176-$E176)&gt;=0,"",
" - Реализовать запрет на использование общих учетных записей и встроенных ('по умолчанию') учетных записей.")</f>
        <v xml:space="preserve"> - Реализовать запрет на использование общих учетных записей и встроенных ('по умолчанию') учетных записей.</v>
      </c>
      <c r="X176" s="128" t="s">
        <v>168</v>
      </c>
      <c r="Y176" s="263">
        <f t="shared" si="64"/>
        <v>317.02</v>
      </c>
      <c r="Z176" s="265" t="str">
        <f>IF(($L176-$D176)&gt;=0,"","")</f>
        <v/>
      </c>
      <c r="AA176" s="128"/>
    </row>
    <row r="177" spans="2:27" s="300" customFormat="1" ht="78" outlineLevel="1">
      <c r="B177" s="254" t="s">
        <v>492</v>
      </c>
      <c r="C177" s="303" t="s">
        <v>493</v>
      </c>
      <c r="D177" s="256">
        <v>5</v>
      </c>
      <c r="E177" s="257">
        <v>5</v>
      </c>
      <c r="F177" s="258">
        <v>5</v>
      </c>
      <c r="G177" s="171"/>
      <c r="H177" s="171"/>
      <c r="I177" s="128"/>
      <c r="J177" s="286"/>
      <c r="K177" s="260">
        <f t="shared" si="52"/>
        <v>5</v>
      </c>
      <c r="L177" s="128">
        <f t="shared" si="60"/>
        <v>0</v>
      </c>
      <c r="M177">
        <f t="shared" si="53"/>
        <v>-5</v>
      </c>
      <c r="N177" s="269" t="s">
        <v>331</v>
      </c>
      <c r="O177" s="216" t="str">
        <f t="shared" si="61"/>
        <v/>
      </c>
      <c r="P177" s="262">
        <f t="shared" si="54"/>
        <v>0</v>
      </c>
      <c r="Q177" s="262">
        <f t="shared" si="59"/>
        <v>0</v>
      </c>
      <c r="R177" s="262">
        <f t="shared" si="46"/>
        <v>0</v>
      </c>
      <c r="S177" s="263">
        <f t="shared" si="62"/>
        <v>17.030000000000005</v>
      </c>
      <c r="T177" s="653" t="str">
        <f>IF(($L177-$F177)&gt;=0,"",
" - Обеспечить применение технологических учетных записей для всех программных сервисов;
  - Установить запрет на запуск сервисов с использованием учетных записей пользователей.")</f>
        <v xml:space="preserve"> - Обеспечить применение технологических учетных записей для всех программных сервисов;
  - Установить запрет на запуск сервисов с использованием учетных записей пользователей.</v>
      </c>
      <c r="U177" s="644" t="s">
        <v>1151</v>
      </c>
      <c r="V177" s="263">
        <f t="shared" si="63"/>
        <v>217.02999999999997</v>
      </c>
      <c r="W177" s="265" t="str">
        <f>IF(($L177-$E177)&gt;=0,"","")</f>
        <v/>
      </c>
      <c r="X177" s="128"/>
      <c r="Y177" s="263">
        <f t="shared" si="64"/>
        <v>317.02999999999997</v>
      </c>
      <c r="Z177" s="265" t="str">
        <f>IF(($L177-$D177)&gt;=0,"","")</f>
        <v/>
      </c>
      <c r="AA177" s="128"/>
    </row>
    <row r="178" spans="2:27" s="300" customFormat="1" ht="120" outlineLevel="1">
      <c r="B178" s="254" t="s">
        <v>494</v>
      </c>
      <c r="C178" s="303" t="s">
        <v>495</v>
      </c>
      <c r="D178" s="256">
        <v>5</v>
      </c>
      <c r="E178" s="257">
        <v>5</v>
      </c>
      <c r="F178" s="258">
        <v>5</v>
      </c>
      <c r="G178" s="171"/>
      <c r="H178" s="171"/>
      <c r="I178" s="128"/>
      <c r="J178" s="286"/>
      <c r="K178" s="260">
        <f t="shared" si="52"/>
        <v>5</v>
      </c>
      <c r="L178" s="128">
        <f t="shared" si="60"/>
        <v>0</v>
      </c>
      <c r="M178">
        <f t="shared" si="53"/>
        <v>-5</v>
      </c>
      <c r="N178" s="269" t="s">
        <v>349</v>
      </c>
      <c r="O178" s="216" t="str">
        <f t="shared" si="61"/>
        <v/>
      </c>
      <c r="P178" s="262">
        <f t="shared" si="54"/>
        <v>0</v>
      </c>
      <c r="Q178" s="262">
        <f t="shared" si="59"/>
        <v>0</v>
      </c>
      <c r="R178" s="262">
        <f t="shared" si="46"/>
        <v>0</v>
      </c>
      <c r="S178" s="263">
        <f t="shared" si="62"/>
        <v>17.040000000000006</v>
      </c>
      <c r="T178" s="653" t="str">
        <f>IF(($L178-$F178)&gt;=0,"",
" - Выполнить блокировку или смену пароля для всех встроенных учетных записей во всех ИС и устройствах, учетных записей без паролей;"&amp;" 
  - Обеспечить выполнение аутентификации при доступе во всех ИС;
  - Вывести из эксплуатации все ИС, не требующие аутентификации (кроме общедоступных веб-сайтов)")</f>
        <v xml:space="preserve"> - Выполнить блокировку или смену пароля для всех встроенных учетных записей во всех ИС и устройствах, учетных записей без паролей; 
  - Обеспечить выполнение аутентификации при доступе во всех ИС;
  - Вывести из эксплуатации все ИС, не требующие аутентификации (кроме общедоступных веб-сайтов)</v>
      </c>
      <c r="U178" s="644" t="s">
        <v>1209</v>
      </c>
      <c r="V178" s="263">
        <f t="shared" si="63"/>
        <v>217.03999999999996</v>
      </c>
      <c r="W178" s="265" t="str">
        <f>IF(($L178-$E178)&gt;=0,"","")</f>
        <v/>
      </c>
      <c r="X178" s="128"/>
      <c r="Y178" s="263">
        <f t="shared" si="64"/>
        <v>317.03999999999996</v>
      </c>
      <c r="Z178" s="265" t="str">
        <f>IF(($L178-$D178)&gt;=0,"","")</f>
        <v/>
      </c>
      <c r="AA178" s="128"/>
    </row>
    <row r="179" spans="2:27" s="300" customFormat="1" ht="31.2" outlineLevel="1">
      <c r="B179" s="254" t="s">
        <v>496</v>
      </c>
      <c r="C179" s="303" t="s">
        <v>497</v>
      </c>
      <c r="D179" s="256">
        <v>5</v>
      </c>
      <c r="E179" s="257">
        <v>3.2</v>
      </c>
      <c r="F179" s="258">
        <v>0</v>
      </c>
      <c r="G179" s="171"/>
      <c r="H179" s="171"/>
      <c r="I179" s="128"/>
      <c r="J179" s="286"/>
      <c r="K179" s="260">
        <f t="shared" si="52"/>
        <v>5</v>
      </c>
      <c r="L179" s="128">
        <f t="shared" si="60"/>
        <v>0</v>
      </c>
      <c r="M179">
        <f t="shared" si="53"/>
        <v>-5</v>
      </c>
      <c r="N179" s="269" t="s">
        <v>349</v>
      </c>
      <c r="O179" s="216" t="str">
        <f t="shared" si="61"/>
        <v/>
      </c>
      <c r="P179" s="262">
        <f t="shared" si="54"/>
        <v>0</v>
      </c>
      <c r="Q179" s="262">
        <f t="shared" si="59"/>
        <v>0</v>
      </c>
      <c r="R179" s="262"/>
      <c r="S179" s="263">
        <f t="shared" si="62"/>
        <v>17.050000000000008</v>
      </c>
      <c r="T179" s="653" t="str">
        <f>IF(($L179-$F179)&gt;=0,"",)</f>
        <v/>
      </c>
      <c r="U179" s="644"/>
      <c r="V179" s="263">
        <f t="shared" si="63"/>
        <v>217.04999999999995</v>
      </c>
      <c r="W179" s="265" t="str">
        <f>IF(($L179-$E179)&gt;=0,"",
" - Рализовать применение технологии LAPS не менее чем на 80% АРМ.")</f>
        <v xml:space="preserve"> - Рализовать применение технологии LAPS не менее чем на 80% АРМ.</v>
      </c>
      <c r="X179" s="128" t="s">
        <v>1210</v>
      </c>
      <c r="Y179" s="263">
        <f t="shared" si="64"/>
        <v>317.04999999999995</v>
      </c>
      <c r="Z179" s="265" t="str">
        <f>IF(($L179-$D179)&gt;=0,"",
" - Рализовать применение технологии LAPS на 100% АРМ.")</f>
        <v xml:space="preserve"> - Рализовать применение технологии LAPS на 100% АРМ.</v>
      </c>
      <c r="AA179" s="128" t="s">
        <v>1210</v>
      </c>
    </row>
    <row r="180" spans="2:27" s="300" customFormat="1" ht="31.2" outlineLevel="1">
      <c r="B180" s="254" t="s">
        <v>498</v>
      </c>
      <c r="C180" s="303" t="s">
        <v>499</v>
      </c>
      <c r="D180" s="256">
        <v>5</v>
      </c>
      <c r="E180" s="257">
        <v>5</v>
      </c>
      <c r="F180" s="258">
        <v>5</v>
      </c>
      <c r="G180" s="171"/>
      <c r="H180" s="171"/>
      <c r="I180" s="128"/>
      <c r="J180" s="286"/>
      <c r="K180" s="260">
        <f t="shared" si="52"/>
        <v>5</v>
      </c>
      <c r="L180" s="128">
        <f t="shared" si="60"/>
        <v>0</v>
      </c>
      <c r="M180">
        <f t="shared" si="53"/>
        <v>-5</v>
      </c>
      <c r="N180" s="269" t="s">
        <v>331</v>
      </c>
      <c r="O180" s="216" t="str">
        <f t="shared" si="61"/>
        <v/>
      </c>
      <c r="P180" s="262">
        <f t="shared" si="54"/>
        <v>0</v>
      </c>
      <c r="Q180" s="262">
        <f t="shared" si="59"/>
        <v>0</v>
      </c>
      <c r="R180" s="262">
        <f t="shared" si="46"/>
        <v>0</v>
      </c>
      <c r="S180" s="263">
        <f t="shared" si="62"/>
        <v>17.060000000000009</v>
      </c>
      <c r="T180" s="653" t="str">
        <f>IF(($L180-$F180)&gt;=0,"",
" - Во всех ИС применить политики пароля для противодействия атакам подбора")</f>
        <v xml:space="preserve"> - Во всех ИС применить политики пароля для противодействия атакам подбора</v>
      </c>
      <c r="U180" s="644" t="s">
        <v>1171</v>
      </c>
      <c r="V180" s="263">
        <f t="shared" si="63"/>
        <v>217.05999999999995</v>
      </c>
      <c r="W180" s="265" t="str">
        <f>IF(($L180-$E180)&gt;=0,"","")</f>
        <v/>
      </c>
      <c r="X180" s="128"/>
      <c r="Y180" s="263">
        <f t="shared" si="64"/>
        <v>317.05999999999995</v>
      </c>
      <c r="Z180" s="265" t="str">
        <f>IF(($L180-$D180)&gt;=0,"","")</f>
        <v/>
      </c>
      <c r="AA180" s="128"/>
    </row>
    <row r="181" spans="2:27" s="300" customFormat="1" ht="45" outlineLevel="1">
      <c r="B181" s="254" t="s">
        <v>500</v>
      </c>
      <c r="C181" s="303" t="s">
        <v>501</v>
      </c>
      <c r="D181" s="256">
        <v>5</v>
      </c>
      <c r="E181" s="257">
        <v>5</v>
      </c>
      <c r="F181" s="258">
        <v>5</v>
      </c>
      <c r="G181" s="171"/>
      <c r="H181" s="171"/>
      <c r="I181" s="128"/>
      <c r="J181" s="286"/>
      <c r="K181" s="260">
        <f t="shared" si="52"/>
        <v>5</v>
      </c>
      <c r="L181" s="128">
        <f t="shared" si="60"/>
        <v>0</v>
      </c>
      <c r="M181">
        <f t="shared" si="53"/>
        <v>-5</v>
      </c>
      <c r="N181" s="269" t="s">
        <v>331</v>
      </c>
      <c r="O181" s="216" t="str">
        <f t="shared" si="61"/>
        <v/>
      </c>
      <c r="P181" s="262">
        <f t="shared" si="54"/>
        <v>0</v>
      </c>
      <c r="Q181" s="262">
        <f t="shared" si="59"/>
        <v>0</v>
      </c>
      <c r="R181" s="262">
        <f t="shared" si="46"/>
        <v>0</v>
      </c>
      <c r="S181" s="263">
        <f t="shared" si="62"/>
        <v>17.070000000000011</v>
      </c>
      <c r="T181" s="653" t="str">
        <f>IF(($L181-$F181)&gt;=0,"","Обеспечить применение политики по ограничению параллельных сессий, при удаленном подключении")</f>
        <v>Обеспечить применение политики по ограничению параллельных сессий, при удаленном подключении</v>
      </c>
      <c r="U181" s="644" t="s">
        <v>1216</v>
      </c>
      <c r="V181" s="263">
        <f t="shared" si="63"/>
        <v>217.06999999999994</v>
      </c>
      <c r="W181" s="265" t="str">
        <f>IF(($L181-$E181)&gt;=0,"","")</f>
        <v/>
      </c>
      <c r="X181" s="128"/>
      <c r="Y181" s="263">
        <f t="shared" si="64"/>
        <v>317.06999999999994</v>
      </c>
      <c r="Z181" s="265" t="str">
        <f>IF(($L181-$D181)&gt;=0,"","")</f>
        <v/>
      </c>
      <c r="AA181" s="128"/>
    </row>
    <row r="182" spans="2:27" s="300" customFormat="1" ht="78" outlineLevel="1">
      <c r="B182" s="254" t="s">
        <v>502</v>
      </c>
      <c r="C182" s="303" t="s">
        <v>503</v>
      </c>
      <c r="D182" s="256">
        <v>5</v>
      </c>
      <c r="E182" s="257">
        <v>5</v>
      </c>
      <c r="F182" s="258">
        <v>1.6</v>
      </c>
      <c r="G182" s="171"/>
      <c r="H182" s="171"/>
      <c r="I182" s="128"/>
      <c r="J182" s="286"/>
      <c r="K182" s="260">
        <f t="shared" si="52"/>
        <v>5</v>
      </c>
      <c r="L182" s="128">
        <f>IF((СК="Да"), 3.2, VALUE(LEFT(N182,3)))</f>
        <v>0</v>
      </c>
      <c r="M182" s="301">
        <f t="shared" si="53"/>
        <v>-5</v>
      </c>
      <c r="N182" s="269" t="s">
        <v>349</v>
      </c>
      <c r="O182" s="216" t="str">
        <f>IF((СК="Да"),"Совместная зона ответственности ДЗО и Сервисной компании
(3,2 - при подключении к СК;
5 - при выполнении в ДЗО)", "")</f>
        <v/>
      </c>
      <c r="P182" s="262">
        <f t="shared" si="54"/>
        <v>0</v>
      </c>
      <c r="Q182" s="262">
        <f t="shared" si="59"/>
        <v>0</v>
      </c>
      <c r="R182" s="262">
        <f t="shared" si="46"/>
        <v>0</v>
      </c>
      <c r="S182" s="263">
        <f t="shared" si="62"/>
        <v>17.080000000000013</v>
      </c>
      <c r="T182" s="653" t="str">
        <f>IF(($L182-$F182)&gt;=0,"",
" - Внести в ВНД Общества  запрет на пересылку паролей пользователями в открытом виде;"&amp;"
  - Определить порядок защищенной передачи паролей пользователями.")</f>
        <v xml:space="preserve"> - Внести в ВНД Общества  запрет на пересылку паролей пользователями в открытом виде;
  - Определить порядок защищенной передачи паролей пользователями.</v>
      </c>
      <c r="U182" s="644" t="s">
        <v>1213</v>
      </c>
      <c r="V182" s="263">
        <f t="shared" si="63"/>
        <v>217.07999999999993</v>
      </c>
      <c r="W182" s="265" t="str">
        <f>IF(($L182-$E182)&gt;=0,"",
" - Во всех ИС реализовать механизмы аутентификации обеспечивающие передачу паролей только в защищенном виде.")</f>
        <v xml:space="preserve"> - Во всех ИС реализовать механизмы аутентификации обеспечивающие передачу паролей только в защищенном виде.</v>
      </c>
      <c r="X182" s="128" t="s">
        <v>1214</v>
      </c>
      <c r="Y182" s="263">
        <f t="shared" si="64"/>
        <v>317.07999999999993</v>
      </c>
      <c r="Z182" s="265" t="str">
        <f>IF(($L182-$D182)&gt;=0,"","")</f>
        <v/>
      </c>
      <c r="AA182" s="128"/>
    </row>
    <row r="183" spans="2:27" s="300" customFormat="1" ht="46.8" outlineLevel="1">
      <c r="B183" s="287" t="s">
        <v>504</v>
      </c>
      <c r="C183" s="303" t="s">
        <v>505</v>
      </c>
      <c r="D183" s="256">
        <v>5</v>
      </c>
      <c r="E183" s="257">
        <v>3.2</v>
      </c>
      <c r="F183" s="258">
        <v>0</v>
      </c>
      <c r="G183" s="128"/>
      <c r="H183" s="128"/>
      <c r="I183" s="128"/>
      <c r="J183" s="286"/>
      <c r="K183" s="260">
        <f t="shared" si="52"/>
        <v>5</v>
      </c>
      <c r="L183" s="128">
        <f>IF((СК="Да"), D183, VALUE(LEFT(N183,3)))</f>
        <v>0</v>
      </c>
      <c r="M183">
        <f t="shared" si="53"/>
        <v>-5</v>
      </c>
      <c r="N183" s="261" t="s">
        <v>349</v>
      </c>
      <c r="O183" s="216" t="str">
        <f>IF((СК="Да"),"Зона ответственности Сервисной компании", "")</f>
        <v/>
      </c>
      <c r="P183" s="262">
        <f t="shared" si="54"/>
        <v>0</v>
      </c>
      <c r="Q183" s="262">
        <f t="shared" si="59"/>
        <v>0</v>
      </c>
      <c r="R183" s="262"/>
      <c r="S183" s="263">
        <f t="shared" si="62"/>
        <v>17.090000000000014</v>
      </c>
      <c r="T183" s="653" t="str">
        <f>IF(($L183-$F183)&gt;=0,"",)</f>
        <v/>
      </c>
      <c r="U183" s="644"/>
      <c r="V183" s="263">
        <f t="shared" si="63"/>
        <v>217.08999999999992</v>
      </c>
      <c r="W183" s="265" t="str">
        <f>IF(($L183-$E183)&gt;=0,"",
" - Приобрести и внедрить средства защищенного хранения паролей. Обеспечить применение администраторами: 100%, пользователями не менее 50%.")</f>
        <v xml:space="preserve"> - Приобрести и внедрить средства защищенного хранения паролей. Обеспечить применение администраторами: 100%, пользователями не менее 50%.</v>
      </c>
      <c r="X183" s="128" t="s">
        <v>1215</v>
      </c>
      <c r="Y183" s="263">
        <f t="shared" si="64"/>
        <v>317.08999999999992</v>
      </c>
      <c r="Z183" s="265" t="str">
        <f>IF(($L183-$D183)&gt;=0,"",
" - Обеспечить применение средства хранения аутентификационных данных всеми пользователями.")</f>
        <v xml:space="preserve"> - Обеспечить применение средства хранения аутентификационных данных всеми пользователями.</v>
      </c>
      <c r="AA183" s="128" t="s">
        <v>1215</v>
      </c>
    </row>
    <row r="184" spans="2:27" s="300" customFormat="1" ht="17.399999999999999">
      <c r="B184" s="305" t="s">
        <v>232</v>
      </c>
      <c r="C184" s="307" t="s">
        <v>506</v>
      </c>
      <c r="D184" s="294"/>
      <c r="E184" s="294"/>
      <c r="F184" s="294"/>
      <c r="G184" s="302"/>
      <c r="H184" s="294"/>
      <c r="I184" s="294"/>
      <c r="J184" s="294"/>
      <c r="K184" s="294"/>
      <c r="L184" s="294"/>
      <c r="M184" s="294">
        <f t="shared" si="53"/>
        <v>0</v>
      </c>
      <c r="N184" s="295"/>
      <c r="O184" s="295"/>
      <c r="P184" s="294"/>
      <c r="Q184" s="294"/>
      <c r="R184" s="294"/>
      <c r="S184" s="252">
        <f>VLOOKUP(B184,Приоритет!$G$9:$K$52,5,0)</f>
        <v>42</v>
      </c>
      <c r="T184" s="248" t="s">
        <v>232</v>
      </c>
      <c r="U184" s="21"/>
      <c r="V184" s="252">
        <f>S184+200</f>
        <v>242</v>
      </c>
      <c r="W184" s="21" t="s">
        <v>232</v>
      </c>
      <c r="X184" s="21"/>
      <c r="Y184" s="252">
        <f>S184+300</f>
        <v>342</v>
      </c>
      <c r="Z184" s="21" t="s">
        <v>232</v>
      </c>
      <c r="AA184" s="21"/>
    </row>
    <row r="185" spans="2:27" s="300" customFormat="1" ht="78" outlineLevel="1">
      <c r="B185" s="254" t="s">
        <v>507</v>
      </c>
      <c r="C185" s="303" t="s">
        <v>508</v>
      </c>
      <c r="D185" s="308">
        <v>5</v>
      </c>
      <c r="E185" s="257">
        <v>5</v>
      </c>
      <c r="F185" s="258">
        <v>0</v>
      </c>
      <c r="G185" s="171"/>
      <c r="H185" s="171"/>
      <c r="I185" s="128"/>
      <c r="J185" s="286"/>
      <c r="K185" s="260">
        <f t="shared" si="52"/>
        <v>5</v>
      </c>
      <c r="L185" s="297">
        <f>VALUE(LEFT(N185,3))</f>
        <v>0</v>
      </c>
      <c r="M185">
        <f t="shared" si="53"/>
        <v>-5</v>
      </c>
      <c r="N185" s="269" t="s">
        <v>331</v>
      </c>
      <c r="O185" s="304"/>
      <c r="P185" s="262">
        <f t="shared" si="54"/>
        <v>0</v>
      </c>
      <c r="Q185" s="262">
        <f t="shared" si="54"/>
        <v>0</v>
      </c>
      <c r="R185" s="262"/>
      <c r="S185" s="263">
        <f>S184+0.01</f>
        <v>42.01</v>
      </c>
      <c r="T185" s="653" t="str">
        <f>IF(($L185-$F185)&gt;=0,"",)</f>
        <v/>
      </c>
      <c r="U185" s="644"/>
      <c r="V185" s="263">
        <f>V184+0.01</f>
        <v>242.01</v>
      </c>
      <c r="W185" s="265" t="str">
        <f>IF(($L185-$E185)&gt;=0,"",
" - Разработать или Получить в Блоке ИБ ПАО Ростелеком типовой ВНД, регламентирующий категории конфиденциальности и порядок их присвоения;"&amp;" 
  - Утвердить в Обществе ВНД, регламентирующий категории конфиденциальности и порядок их присвоения.")</f>
        <v xml:space="preserve"> - Разработать или Получить в Блоке ИБ ПАО Ростелеком типовой ВНД, регламентирующий категории конфиденциальности и порядок их присвоения; 
  - Утвердить в Обществе ВНД, регламентирующий категории конфиденциальности и порядок их присвоения.</v>
      </c>
      <c r="X185" s="128" t="s">
        <v>1201</v>
      </c>
      <c r="Y185" s="263">
        <f>Y184+0.01</f>
        <v>342.01</v>
      </c>
      <c r="Z185" s="265" t="str">
        <f>IF(($L185-$D185)&gt;=0,"","")</f>
        <v/>
      </c>
      <c r="AA185" s="128"/>
    </row>
    <row r="186" spans="2:27" s="300" customFormat="1" ht="60" outlineLevel="1">
      <c r="B186" s="254" t="s">
        <v>509</v>
      </c>
      <c r="C186" s="303" t="s">
        <v>510</v>
      </c>
      <c r="D186" s="308">
        <v>5</v>
      </c>
      <c r="E186" s="257">
        <v>3.2</v>
      </c>
      <c r="F186" s="258">
        <v>1.6</v>
      </c>
      <c r="G186" s="171"/>
      <c r="H186" s="171"/>
      <c r="I186" s="128"/>
      <c r="J186" s="286"/>
      <c r="K186" s="260">
        <f t="shared" si="52"/>
        <v>5</v>
      </c>
      <c r="L186" s="128">
        <f>IF((СК="Да"), D186, VALUE(LEFT(N186,3)))</f>
        <v>0</v>
      </c>
      <c r="M186">
        <f t="shared" si="53"/>
        <v>-5</v>
      </c>
      <c r="N186" s="269" t="s">
        <v>349</v>
      </c>
      <c r="O186" s="216" t="str">
        <f>IF((СК="Да"),"Зона ответственности Сервисной компании", "")</f>
        <v/>
      </c>
      <c r="P186" s="262">
        <f t="shared" si="54"/>
        <v>0</v>
      </c>
      <c r="Q186" s="262">
        <f t="shared" si="54"/>
        <v>0</v>
      </c>
      <c r="R186" s="262">
        <f t="shared" si="46"/>
        <v>0</v>
      </c>
      <c r="S186" s="263">
        <f>S185+0.01</f>
        <v>42.019999999999996</v>
      </c>
      <c r="T186" s="653" t="str">
        <f>IF(($L186-$F186)&gt;=0,"",
" - Приобрести и установить средства шифрования данных на носимых устройствах (ноутбуки, планшеты, телефоны): не менее чем на 25% устройств")</f>
        <v xml:space="preserve"> - Приобрести и установить средства шифрования данных на носимых устройствах (ноутбуки, планшеты, телефоны): не менее чем на 25% устройств</v>
      </c>
      <c r="U186" s="644" t="s">
        <v>1202</v>
      </c>
      <c r="V186" s="263">
        <f>V185+0.01</f>
        <v>242.01999999999998</v>
      </c>
      <c r="W186" s="265" t="str">
        <f>IF(($L186-$E186)&gt;=0,"",
" - Приобрести и установить средства шифрования данных на носимых устройствах (ноутбуки, планшеты, телефоны): не менее чем на 60% устройств.")</f>
        <v xml:space="preserve"> - Приобрести и установить средства шифрования данных на носимых устройствах (ноутбуки, планшеты, телефоны): не менее чем на 60% устройств.</v>
      </c>
      <c r="X186" s="128" t="s">
        <v>1202</v>
      </c>
      <c r="Y186" s="263">
        <f>Y185+0.01</f>
        <v>342.02</v>
      </c>
      <c r="Z186" s="265" t="str">
        <f>IF(($L186-$D186)&gt;=0,"",
" - Приобрести и установить средства шифрования данных на носимых устройствах (ноутбуки, планшеты, телефоны): 100% устройств")</f>
        <v xml:space="preserve"> - Приобрести и установить средства шифрования данных на носимых устройствах (ноутбуки, планшеты, телефоны): 100% устройств</v>
      </c>
      <c r="AA186" s="128" t="s">
        <v>1202</v>
      </c>
    </row>
    <row r="187" spans="2:27" s="300" customFormat="1" ht="46.8" outlineLevel="1">
      <c r="B187" s="254" t="s">
        <v>1203</v>
      </c>
      <c r="C187" s="303" t="s">
        <v>511</v>
      </c>
      <c r="D187" s="308">
        <v>5</v>
      </c>
      <c r="E187" s="257">
        <v>5</v>
      </c>
      <c r="F187" s="258">
        <v>3.2</v>
      </c>
      <c r="G187" s="171"/>
      <c r="H187" s="171"/>
      <c r="I187" s="128"/>
      <c r="J187" s="286"/>
      <c r="K187" s="260">
        <f t="shared" si="52"/>
        <v>5</v>
      </c>
      <c r="L187" s="128">
        <f>IF((СК="Да"), D187, VALUE(LEFT(N187,3)))</f>
        <v>0</v>
      </c>
      <c r="M187">
        <f t="shared" si="53"/>
        <v>-5</v>
      </c>
      <c r="N187" s="269" t="s">
        <v>349</v>
      </c>
      <c r="O187" s="216" t="str">
        <f>IF((СК="Да"),"Зона ответственности Сервисной компании", "")</f>
        <v/>
      </c>
      <c r="P187" s="262">
        <f t="shared" si="54"/>
        <v>0</v>
      </c>
      <c r="Q187" s="262">
        <f t="shared" si="54"/>
        <v>0</v>
      </c>
      <c r="R187" s="262">
        <f t="shared" si="46"/>
        <v>0</v>
      </c>
      <c r="S187" s="263">
        <f>S186+0.01</f>
        <v>42.029999999999994</v>
      </c>
      <c r="T187" s="653" t="str">
        <f>IF(($L187-$F187)&gt;=0,"",
"Разработать правила защищенного информационного взаимодействия между сегментами сети и внешними сетями")</f>
        <v>Разработать правила защищенного информационного взаимодействия между сегментами сети и внешними сетями</v>
      </c>
      <c r="U187" s="644" t="s">
        <v>1204</v>
      </c>
      <c r="V187" s="263">
        <f>V186+0.01</f>
        <v>242.02999999999997</v>
      </c>
      <c r="W187" s="265" t="str">
        <f>IF(($L187-$E187)&gt;=0,"",
"Разработать ВНД, определяющий правила защищенного информационного взаимодействия между сегментами сети и внешними сетями")</f>
        <v>Разработать ВНД, определяющий правила защищенного информационного взаимодействия между сегментами сети и внешними сетями</v>
      </c>
      <c r="X187" s="128" t="s">
        <v>1205</v>
      </c>
      <c r="Y187" s="263">
        <f>Y186+0.01</f>
        <v>342.03</v>
      </c>
      <c r="Z187" s="265" t="str">
        <f>IF(($L187-$D187)&gt;=0,"","")</f>
        <v/>
      </c>
      <c r="AA187" s="128"/>
    </row>
    <row r="188" spans="2:27" s="300" customFormat="1" ht="46.8" outlineLevel="1">
      <c r="B188" s="254" t="s">
        <v>512</v>
      </c>
      <c r="C188" s="303" t="s">
        <v>513</v>
      </c>
      <c r="D188" s="308">
        <v>3.2</v>
      </c>
      <c r="E188" s="257">
        <v>1.6</v>
      </c>
      <c r="F188" s="258">
        <v>0</v>
      </c>
      <c r="G188" s="171"/>
      <c r="H188" s="171"/>
      <c r="I188" s="128"/>
      <c r="J188" s="286"/>
      <c r="K188" s="260">
        <f t="shared" si="52"/>
        <v>3.2</v>
      </c>
      <c r="L188" s="128">
        <f>IF((СК="Да"), E188, VALUE(LEFT(N188,3)))</f>
        <v>0</v>
      </c>
      <c r="M188">
        <f t="shared" si="53"/>
        <v>-3.2</v>
      </c>
      <c r="N188" s="269" t="s">
        <v>349</v>
      </c>
      <c r="O188" s="216" t="str">
        <f>IF((СК="Да"),"Зона ответственности Сервисной компании", "")</f>
        <v/>
      </c>
      <c r="P188" s="262">
        <f t="shared" si="54"/>
        <v>0</v>
      </c>
      <c r="Q188" s="262">
        <f t="shared" si="54"/>
        <v>0</v>
      </c>
      <c r="R188" s="262"/>
      <c r="S188" s="263">
        <f>S187+0.01</f>
        <v>42.039999999999992</v>
      </c>
      <c r="T188" s="650" t="str">
        <f>IF(($L188-$F188)&gt;=0,"",)</f>
        <v/>
      </c>
      <c r="U188" s="644"/>
      <c r="V188" s="263">
        <f>V187+0.01</f>
        <v>242.03999999999996</v>
      </c>
      <c r="W188" s="265" t="str">
        <f>IF(($L188-$E188)&gt;=0,"",
" - Определить порядок использования личных устройств, разрешения их использования, меры безопасности и ограничения.")</f>
        <v xml:space="preserve"> - Определить порядок использования личных устройств, разрешения их использования, меры безопасности и ограничения.</v>
      </c>
      <c r="X188" s="128" t="s">
        <v>1206</v>
      </c>
      <c r="Y188" s="263">
        <f>Y187+0.01</f>
        <v>342.03999999999996</v>
      </c>
      <c r="Z188" s="265" t="str">
        <f>IF(($L188-$D188)&gt;=0,"",
" - Контролировать использование личных устройств при работе с критичными ИС и данными. Реализовать ограничения на доступ к критичным ИС с личных устройств.")</f>
        <v xml:space="preserve"> - Контролировать использование личных устройств при работе с критичными ИС и данными. Реализовать ограничения на доступ к критичным ИС с личных устройств.</v>
      </c>
      <c r="AA188" s="128" t="s">
        <v>1207</v>
      </c>
    </row>
    <row r="189" spans="2:27">
      <c r="N189" s="190"/>
    </row>
    <row r="190" spans="2:27">
      <c r="N190" s="190"/>
    </row>
    <row r="191" spans="2:27">
      <c r="N191" s="190"/>
    </row>
    <row r="192" spans="2:27">
      <c r="N192" s="190"/>
    </row>
    <row r="193" spans="14:14">
      <c r="N193" s="190"/>
    </row>
    <row r="194" spans="14:14">
      <c r="N194" s="190"/>
    </row>
    <row r="195" spans="14:14">
      <c r="N195" s="190"/>
    </row>
    <row r="196" spans="14:14">
      <c r="N196" s="190"/>
    </row>
    <row r="197" spans="14:14">
      <c r="N197" s="190"/>
    </row>
    <row r="198" spans="14:14">
      <c r="N198" s="190"/>
    </row>
    <row r="199" spans="14:14">
      <c r="N199" s="190"/>
    </row>
    <row r="200" spans="14:14">
      <c r="N200" s="190"/>
    </row>
    <row r="201" spans="14:14">
      <c r="N201" s="190"/>
    </row>
    <row r="202" spans="14:14">
      <c r="N202" s="190"/>
    </row>
    <row r="203" spans="14:14">
      <c r="N203" s="190"/>
    </row>
    <row r="204" spans="14:14">
      <c r="N204" s="190"/>
    </row>
    <row r="205" spans="14:14">
      <c r="N205" s="190"/>
    </row>
    <row r="206" spans="14:14">
      <c r="N206" s="190"/>
    </row>
    <row r="207" spans="14:14">
      <c r="N207" s="190"/>
    </row>
    <row r="208" spans="14:14">
      <c r="N208" s="190"/>
    </row>
    <row r="209" spans="14:14">
      <c r="N209" s="190"/>
    </row>
    <row r="210" spans="14:14">
      <c r="N210" s="190"/>
    </row>
    <row r="211" spans="14:14">
      <c r="N211" s="190"/>
    </row>
    <row r="212" spans="14:14">
      <c r="N212" s="190"/>
    </row>
    <row r="213" spans="14:14">
      <c r="N213" s="190"/>
    </row>
    <row r="214" spans="14:14">
      <c r="N214" s="190"/>
    </row>
    <row r="215" spans="14:14">
      <c r="N215" s="190"/>
    </row>
    <row r="216" spans="14:14">
      <c r="N216" s="190"/>
    </row>
    <row r="217" spans="14:14">
      <c r="N217" s="190"/>
    </row>
    <row r="218" spans="14:14">
      <c r="N218" s="190"/>
    </row>
    <row r="219" spans="14:14">
      <c r="N219" s="190"/>
    </row>
    <row r="220" spans="14:14">
      <c r="N220" s="190"/>
    </row>
    <row r="221" spans="14:14">
      <c r="N221" s="190"/>
    </row>
    <row r="222" spans="14:14">
      <c r="N222" s="190"/>
    </row>
    <row r="223" spans="14:14">
      <c r="N223" s="190"/>
    </row>
    <row r="224" spans="14:14">
      <c r="N224" s="190"/>
    </row>
    <row r="225" spans="14:14">
      <c r="N225" s="190"/>
    </row>
    <row r="226" spans="14:14">
      <c r="N226" s="190"/>
    </row>
    <row r="227" spans="14:14">
      <c r="N227" s="190"/>
    </row>
    <row r="228" spans="14:14">
      <c r="N228" s="190"/>
    </row>
    <row r="229" spans="14:14">
      <c r="N229" s="190"/>
    </row>
    <row r="230" spans="14:14">
      <c r="N230" s="190"/>
    </row>
    <row r="231" spans="14:14">
      <c r="N231" s="190"/>
    </row>
    <row r="232" spans="14:14">
      <c r="N232" s="190"/>
    </row>
    <row r="233" spans="14:14">
      <c r="N233" s="190"/>
    </row>
    <row r="234" spans="14:14">
      <c r="N234" s="190"/>
    </row>
    <row r="235" spans="14:14">
      <c r="N235" s="190"/>
    </row>
    <row r="236" spans="14:14">
      <c r="N236" s="190"/>
    </row>
    <row r="237" spans="14:14">
      <c r="N237" s="190"/>
    </row>
    <row r="238" spans="14:14">
      <c r="N238" s="190"/>
    </row>
    <row r="239" spans="14:14">
      <c r="N239" s="190"/>
    </row>
  </sheetData>
  <sheetProtection algorithmName="SHA-512" hashValue="jQUhf1D1evZKivEYuWWGwsFZzSX6zk+jHrGFXO33Jrq5rh3mhIMRJDn28YC6q4YX6F1YY6xwnHVHxySh/8Wqyw==" saltValue="z3URQhvK+YpbBPehaRteJQ==" spinCount="100000" sheet="1" sort="0"/>
  <autoFilter ref="A59:S188" xr:uid="{00000000-0009-0000-0000-000004000000}"/>
  <mergeCells count="3">
    <mergeCell ref="P40:P41"/>
    <mergeCell ref="Q40:Q41"/>
    <mergeCell ref="R40:R41"/>
  </mergeCells>
  <conditionalFormatting sqref="M1:M59 M78 M100:M104 M131:M141 M143:M145 M147:M151 M153:M162 M164:M173 M175:M183 M185:M1048576">
    <cfRule type="cellIs" dxfId="67" priority="160" operator="lessThan">
      <formula>0</formula>
    </cfRule>
    <cfRule type="cellIs" dxfId="66" priority="158" operator="equal">
      <formula>0</formula>
    </cfRule>
    <cfRule type="cellIs" dxfId="65" priority="157" operator="greaterThan">
      <formula>0</formula>
    </cfRule>
  </conditionalFormatting>
  <conditionalFormatting sqref="M61:M70">
    <cfRule type="cellIs" dxfId="64" priority="136" operator="greaterThan">
      <formula>0</formula>
    </cfRule>
    <cfRule type="cellIs" dxfId="63" priority="138" operator="lessThan">
      <formula>0</formula>
    </cfRule>
    <cfRule type="cellIs" dxfId="62" priority="137" operator="equal">
      <formula>0</formula>
    </cfRule>
  </conditionalFormatting>
  <conditionalFormatting sqref="M72:M76">
    <cfRule type="cellIs" dxfId="61" priority="120" operator="lessThan">
      <formula>0</formula>
    </cfRule>
    <cfRule type="cellIs" dxfId="60" priority="119" operator="equal">
      <formula>0</formula>
    </cfRule>
    <cfRule type="cellIs" dxfId="59" priority="118" operator="greaterThan">
      <formula>0</formula>
    </cfRule>
  </conditionalFormatting>
  <conditionalFormatting sqref="M106:M108">
    <cfRule type="cellIs" dxfId="58" priority="116" operator="equal">
      <formula>0</formula>
    </cfRule>
    <cfRule type="cellIs" dxfId="57" priority="117" operator="lessThan">
      <formula>0</formula>
    </cfRule>
    <cfRule type="cellIs" dxfId="56" priority="115" operator="greaterThan">
      <formula>0</formula>
    </cfRule>
  </conditionalFormatting>
  <conditionalFormatting sqref="M110:M123">
    <cfRule type="cellIs" dxfId="55" priority="2" operator="equal">
      <formula>0</formula>
    </cfRule>
    <cfRule type="cellIs" dxfId="54" priority="3" operator="lessThan">
      <formula>0</formula>
    </cfRule>
    <cfRule type="cellIs" dxfId="53" priority="1" operator="greaterThan">
      <formula>0</formula>
    </cfRule>
  </conditionalFormatting>
  <conditionalFormatting sqref="M125:M129">
    <cfRule type="cellIs" dxfId="52" priority="108" operator="lessThan">
      <formula>0</formula>
    </cfRule>
    <cfRule type="cellIs" dxfId="51" priority="107" operator="equal">
      <formula>0</formula>
    </cfRule>
    <cfRule type="cellIs" dxfId="50" priority="106" operator="greaterThan">
      <formula>0</formula>
    </cfRule>
  </conditionalFormatting>
  <conditionalFormatting sqref="O59:R59">
    <cfRule type="cellIs" dxfId="49" priority="159" operator="lessThan">
      <formula>0</formula>
    </cfRule>
  </conditionalFormatting>
  <conditionalFormatting sqref="P42:P43 P45:P55">
    <cfRule type="dataBar" priority="13">
      <dataBar>
        <cfvo type="num" val="0"/>
        <cfvo type="max"/>
        <color rgb="FFAADB1E"/>
      </dataBar>
      <extLst>
        <ext xmlns:x14="http://schemas.microsoft.com/office/spreadsheetml/2009/9/main" uri="{B025F937-C7B1-47D3-B67F-A62EFF666E3E}">
          <x14:id>{00890017-0096-45EA-9C9D-000500E70099}</x14:id>
        </ext>
      </extLst>
    </cfRule>
  </conditionalFormatting>
  <conditionalFormatting sqref="P44">
    <cfRule type="dataBar" priority="10">
      <dataBar>
        <cfvo type="num" val="0"/>
        <cfvo type="max"/>
        <color rgb="FFE87722"/>
      </dataBar>
      <extLst>
        <ext xmlns:x14="http://schemas.microsoft.com/office/spreadsheetml/2009/9/main" uri="{B025F937-C7B1-47D3-B67F-A62EFF666E3E}">
          <x14:id>{00DF00C2-0064-4C46-B714-006400DA003F}</x14:id>
        </ext>
      </extLst>
    </cfRule>
  </conditionalFormatting>
  <conditionalFormatting sqref="P61:P70">
    <cfRule type="dataBar" priority="89">
      <dataBar>
        <cfvo type="num" val="0"/>
        <cfvo type="max"/>
        <color rgb="FFAADB1E"/>
      </dataBar>
      <extLst>
        <ext xmlns:x14="http://schemas.microsoft.com/office/spreadsheetml/2009/9/main" uri="{B025F937-C7B1-47D3-B67F-A62EFF666E3E}">
          <x14:id>{00DF00B9-00C9-4CBF-B211-009200C300E7}</x14:id>
        </ext>
      </extLst>
    </cfRule>
  </conditionalFormatting>
  <conditionalFormatting sqref="P72:P76">
    <cfRule type="dataBar" priority="78">
      <dataBar>
        <cfvo type="num" val="0"/>
        <cfvo type="max"/>
        <color rgb="FFAADB1E"/>
      </dataBar>
      <extLst>
        <ext xmlns:x14="http://schemas.microsoft.com/office/spreadsheetml/2009/9/main" uri="{B025F937-C7B1-47D3-B67F-A62EFF666E3E}">
          <x14:id>{00340084-008C-4720-A886-001D00B90004}</x14:id>
        </ext>
      </extLst>
    </cfRule>
  </conditionalFormatting>
  <conditionalFormatting sqref="P100:P104">
    <cfRule type="dataBar" priority="70">
      <dataBar>
        <cfvo type="num" val="0"/>
        <cfvo type="max"/>
        <color rgb="FFAADB1E"/>
      </dataBar>
      <extLst>
        <ext xmlns:x14="http://schemas.microsoft.com/office/spreadsheetml/2009/9/main" uri="{B025F937-C7B1-47D3-B67F-A62EFF666E3E}">
          <x14:id>{00F00006-003F-4AEC-A137-0033002400B0}</x14:id>
        </ext>
      </extLst>
    </cfRule>
  </conditionalFormatting>
  <conditionalFormatting sqref="P106:P108">
    <cfRule type="dataBar" priority="67">
      <dataBar>
        <cfvo type="num" val="0"/>
        <cfvo type="max"/>
        <color rgb="FFAADB1E"/>
      </dataBar>
      <extLst>
        <ext xmlns:x14="http://schemas.microsoft.com/office/spreadsheetml/2009/9/main" uri="{B025F937-C7B1-47D3-B67F-A62EFF666E3E}">
          <x14:id>{00A200E0-00A4-4042-9E98-00ED00A60054}</x14:id>
        </ext>
      </extLst>
    </cfRule>
  </conditionalFormatting>
  <conditionalFormatting sqref="P110:P115 P117:P123">
    <cfRule type="dataBar" priority="64">
      <dataBar>
        <cfvo type="num" val="0"/>
        <cfvo type="max"/>
        <color rgb="FFAADB1E"/>
      </dataBar>
      <extLst>
        <ext xmlns:x14="http://schemas.microsoft.com/office/spreadsheetml/2009/9/main" uri="{B025F937-C7B1-47D3-B67F-A62EFF666E3E}">
          <x14:id>{00C600C0-00CE-43CD-8C40-00C7008D00E3}</x14:id>
        </ext>
      </extLst>
    </cfRule>
  </conditionalFormatting>
  <conditionalFormatting sqref="P116">
    <cfRule type="dataBar" priority="9">
      <dataBar>
        <cfvo type="num" val="0"/>
        <cfvo type="max"/>
        <color rgb="FFAADB1E"/>
      </dataBar>
      <extLst>
        <ext xmlns:x14="http://schemas.microsoft.com/office/spreadsheetml/2009/9/main" uri="{B025F937-C7B1-47D3-B67F-A62EFF666E3E}">
          <x14:id>{00BA00BF-0054-405D-A6E9-003C00C7004C}</x14:id>
        </ext>
      </extLst>
    </cfRule>
  </conditionalFormatting>
  <conditionalFormatting sqref="P125:P129">
    <cfRule type="dataBar" priority="61">
      <dataBar>
        <cfvo type="num" val="0"/>
        <cfvo type="max"/>
        <color rgb="FFAADB1E"/>
      </dataBar>
      <extLst>
        <ext xmlns:x14="http://schemas.microsoft.com/office/spreadsheetml/2009/9/main" uri="{B025F937-C7B1-47D3-B67F-A62EFF666E3E}">
          <x14:id>{001A0064-0019-4D37-A1F5-00BF00780031}</x14:id>
        </ext>
      </extLst>
    </cfRule>
  </conditionalFormatting>
  <conditionalFormatting sqref="P131:P141">
    <cfRule type="dataBar" priority="337">
      <dataBar>
        <cfvo type="num" val="0"/>
        <cfvo type="max"/>
        <color rgb="FFAADB1E"/>
      </dataBar>
      <extLst>
        <ext xmlns:x14="http://schemas.microsoft.com/office/spreadsheetml/2009/9/main" uri="{B025F937-C7B1-47D3-B67F-A62EFF666E3E}">
          <x14:id>{001800AF-00CF-4145-82D9-008D00190018}</x14:id>
        </ext>
      </extLst>
    </cfRule>
  </conditionalFormatting>
  <conditionalFormatting sqref="P143:P145">
    <cfRule type="dataBar" priority="55">
      <dataBar>
        <cfvo type="num" val="0"/>
        <cfvo type="max"/>
        <color rgb="FFAADB1E"/>
      </dataBar>
      <extLst>
        <ext xmlns:x14="http://schemas.microsoft.com/office/spreadsheetml/2009/9/main" uri="{B025F937-C7B1-47D3-B67F-A62EFF666E3E}">
          <x14:id>{001100AD-00CF-4F6A-8555-006B0050005C}</x14:id>
        </ext>
      </extLst>
    </cfRule>
  </conditionalFormatting>
  <conditionalFormatting sqref="P147:P151">
    <cfRule type="dataBar" priority="52">
      <dataBar>
        <cfvo type="num" val="0"/>
        <cfvo type="max"/>
        <color rgb="FFAADB1E"/>
      </dataBar>
      <extLst>
        <ext xmlns:x14="http://schemas.microsoft.com/office/spreadsheetml/2009/9/main" uri="{B025F937-C7B1-47D3-B67F-A62EFF666E3E}">
          <x14:id>{00A200D0-009E-4C46-94C7-000D0062000F}</x14:id>
        </ext>
      </extLst>
    </cfRule>
  </conditionalFormatting>
  <conditionalFormatting sqref="P153:P162">
    <cfRule type="dataBar" priority="303">
      <dataBar>
        <cfvo type="num" val="0"/>
        <cfvo type="max"/>
        <color rgb="FFAADB1E"/>
      </dataBar>
      <extLst>
        <ext xmlns:x14="http://schemas.microsoft.com/office/spreadsheetml/2009/9/main" uri="{B025F937-C7B1-47D3-B67F-A62EFF666E3E}">
          <x14:id>{00860016-00DA-48AE-8662-00FA00EF007A}</x14:id>
        </ext>
      </extLst>
    </cfRule>
  </conditionalFormatting>
  <conditionalFormatting sqref="P164:P173">
    <cfRule type="dataBar" priority="46">
      <dataBar>
        <cfvo type="num" val="0"/>
        <cfvo type="max"/>
        <color rgb="FFAADB1E"/>
      </dataBar>
      <extLst>
        <ext xmlns:x14="http://schemas.microsoft.com/office/spreadsheetml/2009/9/main" uri="{B025F937-C7B1-47D3-B67F-A62EFF666E3E}">
          <x14:id>{005B0024-00A3-426C-8431-00D300CD003B}</x14:id>
        </ext>
      </extLst>
    </cfRule>
  </conditionalFormatting>
  <conditionalFormatting sqref="P175:P183">
    <cfRule type="dataBar" priority="43">
      <dataBar>
        <cfvo type="num" val="0"/>
        <cfvo type="max"/>
        <color rgb="FFAADB1E"/>
      </dataBar>
      <extLst>
        <ext xmlns:x14="http://schemas.microsoft.com/office/spreadsheetml/2009/9/main" uri="{B025F937-C7B1-47D3-B67F-A62EFF666E3E}">
          <x14:id>{000D0041-0089-44C5-954F-007300EA000D}</x14:id>
        </ext>
      </extLst>
    </cfRule>
  </conditionalFormatting>
  <conditionalFormatting sqref="P185:P188">
    <cfRule type="dataBar" priority="40">
      <dataBar>
        <cfvo type="num" val="0"/>
        <cfvo type="max"/>
        <color rgb="FFAADB1E"/>
      </dataBar>
      <extLst>
        <ext xmlns:x14="http://schemas.microsoft.com/office/spreadsheetml/2009/9/main" uri="{B025F937-C7B1-47D3-B67F-A62EFF666E3E}">
          <x14:id>{00F300E7-009F-4F14-B3C2-007B00710020}</x14:id>
        </ext>
      </extLst>
    </cfRule>
  </conditionalFormatting>
  <conditionalFormatting sqref="Q42:Q55">
    <cfRule type="dataBar" priority="12">
      <dataBar>
        <cfvo type="num" val="0"/>
        <cfvo type="max"/>
        <color rgb="FFE87722"/>
      </dataBar>
      <extLst>
        <ext xmlns:x14="http://schemas.microsoft.com/office/spreadsheetml/2009/9/main" uri="{B025F937-C7B1-47D3-B67F-A62EFF666E3E}">
          <x14:id>{00AE0047-0089-42D1-A240-008600B4005D}</x14:id>
        </ext>
      </extLst>
    </cfRule>
  </conditionalFormatting>
  <conditionalFormatting sqref="Q61:Q70">
    <cfRule type="dataBar" priority="90">
      <dataBar>
        <cfvo type="num" val="0"/>
        <cfvo type="max"/>
        <color rgb="FFE87722"/>
      </dataBar>
      <extLst>
        <ext xmlns:x14="http://schemas.microsoft.com/office/spreadsheetml/2009/9/main" uri="{B025F937-C7B1-47D3-B67F-A62EFF666E3E}">
          <x14:id>{006A0044-0031-495D-91B6-009C00640014}</x14:id>
        </ext>
      </extLst>
    </cfRule>
  </conditionalFormatting>
  <conditionalFormatting sqref="Q72:Q76">
    <cfRule type="dataBar" priority="79">
      <dataBar>
        <cfvo type="num" val="0"/>
        <cfvo type="max"/>
        <color rgb="FFE87722"/>
      </dataBar>
      <extLst>
        <ext xmlns:x14="http://schemas.microsoft.com/office/spreadsheetml/2009/9/main" uri="{B025F937-C7B1-47D3-B67F-A62EFF666E3E}">
          <x14:id>{0030000C-00C7-4F26-A05F-002600230049}</x14:id>
        </ext>
      </extLst>
    </cfRule>
  </conditionalFormatting>
  <conditionalFormatting sqref="Q100:Q104">
    <cfRule type="dataBar" priority="71">
      <dataBar>
        <cfvo type="num" val="0"/>
        <cfvo type="max"/>
        <color rgb="FFE87722"/>
      </dataBar>
      <extLst>
        <ext xmlns:x14="http://schemas.microsoft.com/office/spreadsheetml/2009/9/main" uri="{B025F937-C7B1-47D3-B67F-A62EFF666E3E}">
          <x14:id>{005B00FE-008D-4F12-B8E0-00D40049005F}</x14:id>
        </ext>
      </extLst>
    </cfRule>
  </conditionalFormatting>
  <conditionalFormatting sqref="Q106:Q108">
    <cfRule type="dataBar" priority="68">
      <dataBar>
        <cfvo type="num" val="0"/>
        <cfvo type="max"/>
        <color rgb="FFE87722"/>
      </dataBar>
      <extLst>
        <ext xmlns:x14="http://schemas.microsoft.com/office/spreadsheetml/2009/9/main" uri="{B025F937-C7B1-47D3-B67F-A62EFF666E3E}">
          <x14:id>{00A0004D-0033-41B0-9518-00AE002400F9}</x14:id>
        </ext>
      </extLst>
    </cfRule>
  </conditionalFormatting>
  <conditionalFormatting sqref="Q110:Q115 Q117:Q123">
    <cfRule type="dataBar" priority="65">
      <dataBar>
        <cfvo type="num" val="0"/>
        <cfvo type="max"/>
        <color rgb="FFE87722"/>
      </dataBar>
      <extLst>
        <ext xmlns:x14="http://schemas.microsoft.com/office/spreadsheetml/2009/9/main" uri="{B025F937-C7B1-47D3-B67F-A62EFF666E3E}">
          <x14:id>{00F1005A-00BF-4841-BC16-00C100B400ED}</x14:id>
        </ext>
      </extLst>
    </cfRule>
  </conditionalFormatting>
  <conditionalFormatting sqref="Q116">
    <cfRule type="dataBar" priority="7">
      <dataBar>
        <cfvo type="num" val="0"/>
        <cfvo type="max"/>
        <color rgb="FFE87722"/>
      </dataBar>
      <extLst>
        <ext xmlns:x14="http://schemas.microsoft.com/office/spreadsheetml/2009/9/main" uri="{B025F937-C7B1-47D3-B67F-A62EFF666E3E}">
          <x14:id>{007B004A-00DE-4B3C-80AE-00E900AF00DA}</x14:id>
        </ext>
      </extLst>
    </cfRule>
  </conditionalFormatting>
  <conditionalFormatting sqref="Q125:Q129">
    <cfRule type="dataBar" priority="62">
      <dataBar>
        <cfvo type="num" val="0"/>
        <cfvo type="max"/>
        <color rgb="FFE87722"/>
      </dataBar>
      <extLst>
        <ext xmlns:x14="http://schemas.microsoft.com/office/spreadsheetml/2009/9/main" uri="{B025F937-C7B1-47D3-B67F-A62EFF666E3E}">
          <x14:id>{00C000B7-007C-4FD3-876F-009C002F00D2}</x14:id>
        </ext>
      </extLst>
    </cfRule>
  </conditionalFormatting>
  <conditionalFormatting sqref="Q131:Q141">
    <cfRule type="dataBar" priority="335">
      <dataBar>
        <cfvo type="num" val="0"/>
        <cfvo type="max"/>
        <color rgb="FFE87722"/>
      </dataBar>
      <extLst>
        <ext xmlns:x14="http://schemas.microsoft.com/office/spreadsheetml/2009/9/main" uri="{B025F937-C7B1-47D3-B67F-A62EFF666E3E}">
          <x14:id>{00EB003A-00AA-42F9-A358-00EA002B00A7}</x14:id>
        </ext>
      </extLst>
    </cfRule>
  </conditionalFormatting>
  <conditionalFormatting sqref="Q143:Q145">
    <cfRule type="dataBar" priority="56">
      <dataBar>
        <cfvo type="num" val="0"/>
        <cfvo type="max"/>
        <color rgb="FFE87722"/>
      </dataBar>
      <extLst>
        <ext xmlns:x14="http://schemas.microsoft.com/office/spreadsheetml/2009/9/main" uri="{B025F937-C7B1-47D3-B67F-A62EFF666E3E}">
          <x14:id>{00F90091-00E4-44C8-BA20-002D004B00FE}</x14:id>
        </ext>
      </extLst>
    </cfRule>
  </conditionalFormatting>
  <conditionalFormatting sqref="Q147:Q151">
    <cfRule type="dataBar" priority="53">
      <dataBar>
        <cfvo type="num" val="0"/>
        <cfvo type="max"/>
        <color rgb="FFE87722"/>
      </dataBar>
      <extLst>
        <ext xmlns:x14="http://schemas.microsoft.com/office/spreadsheetml/2009/9/main" uri="{B025F937-C7B1-47D3-B67F-A62EFF666E3E}">
          <x14:id>{003B0035-00C3-413D-8A73-0014006D00D8}</x14:id>
        </ext>
      </extLst>
    </cfRule>
  </conditionalFormatting>
  <conditionalFormatting sqref="Q153:Q162">
    <cfRule type="dataBar" priority="302">
      <dataBar>
        <cfvo type="num" val="0"/>
        <cfvo type="max"/>
        <color rgb="FFE87722"/>
      </dataBar>
      <extLst>
        <ext xmlns:x14="http://schemas.microsoft.com/office/spreadsheetml/2009/9/main" uri="{B025F937-C7B1-47D3-B67F-A62EFF666E3E}">
          <x14:id>{0006006A-00E3-430B-A482-0035003B00EF}</x14:id>
        </ext>
      </extLst>
    </cfRule>
  </conditionalFormatting>
  <conditionalFormatting sqref="Q164:Q173">
    <cfRule type="dataBar" priority="47">
      <dataBar>
        <cfvo type="num" val="0"/>
        <cfvo type="max"/>
        <color rgb="FFE87722"/>
      </dataBar>
      <extLst>
        <ext xmlns:x14="http://schemas.microsoft.com/office/spreadsheetml/2009/9/main" uri="{B025F937-C7B1-47D3-B67F-A62EFF666E3E}">
          <x14:id>{00FC00C0-00D9-44ED-9772-00A3002A0048}</x14:id>
        </ext>
      </extLst>
    </cfRule>
  </conditionalFormatting>
  <conditionalFormatting sqref="Q175:Q183">
    <cfRule type="dataBar" priority="44">
      <dataBar>
        <cfvo type="num" val="0"/>
        <cfvo type="max"/>
        <color rgb="FFE87722"/>
      </dataBar>
      <extLst>
        <ext xmlns:x14="http://schemas.microsoft.com/office/spreadsheetml/2009/9/main" uri="{B025F937-C7B1-47D3-B67F-A62EFF666E3E}">
          <x14:id>{00B700F0-001E-453D-B9BE-00B4005A00DF}</x14:id>
        </ext>
      </extLst>
    </cfRule>
  </conditionalFormatting>
  <conditionalFormatting sqref="Q185:Q188">
    <cfRule type="dataBar" priority="41">
      <dataBar>
        <cfvo type="num" val="0"/>
        <cfvo type="max"/>
        <color rgb="FFE87722"/>
      </dataBar>
      <extLst>
        <ext xmlns:x14="http://schemas.microsoft.com/office/spreadsheetml/2009/9/main" uri="{B025F937-C7B1-47D3-B67F-A62EFF666E3E}">
          <x14:id>{00F9009D-0052-49BD-94DA-009200E400B3}</x14:id>
        </ext>
      </extLst>
    </cfRule>
  </conditionalFormatting>
  <conditionalFormatting sqref="R42:R55">
    <cfRule type="dataBar" priority="11">
      <dataBar>
        <cfvo type="num" val="0"/>
        <cfvo type="max"/>
        <color theme="7" tint="0.39997558519241921"/>
      </dataBar>
      <extLst>
        <ext xmlns:x14="http://schemas.microsoft.com/office/spreadsheetml/2009/9/main" uri="{B025F937-C7B1-47D3-B67F-A62EFF666E3E}">
          <x14:id>{00F500F5-008D-4B7B-B3B0-002800F400F4}</x14:id>
        </ext>
      </extLst>
    </cfRule>
  </conditionalFormatting>
  <conditionalFormatting sqref="R61:R70">
    <cfRule type="dataBar" priority="24">
      <dataBar>
        <cfvo type="num" val="0"/>
        <cfvo type="max"/>
        <color theme="7" tint="0.39997558519241921"/>
      </dataBar>
      <extLst>
        <ext xmlns:x14="http://schemas.microsoft.com/office/spreadsheetml/2009/9/main" uri="{B025F937-C7B1-47D3-B67F-A62EFF666E3E}">
          <x14:id>{00050080-00C0-4D5E-98FB-0036009C00F7}</x14:id>
        </ext>
      </extLst>
    </cfRule>
  </conditionalFormatting>
  <conditionalFormatting sqref="R72">
    <cfRule type="dataBar" priority="25">
      <dataBar>
        <cfvo type="num" val="0"/>
        <cfvo type="max"/>
        <color theme="7" tint="0.39997558519241921"/>
      </dataBar>
      <extLst>
        <ext xmlns:x14="http://schemas.microsoft.com/office/spreadsheetml/2009/9/main" uri="{B025F937-C7B1-47D3-B67F-A62EFF666E3E}">
          <x14:id>{00B9001B-0095-4F01-BDFB-00A70033009C}</x14:id>
        </ext>
      </extLst>
    </cfRule>
  </conditionalFormatting>
  <conditionalFormatting sqref="R73:R76">
    <cfRule type="dataBar" priority="23">
      <dataBar>
        <cfvo type="num" val="0"/>
        <cfvo type="max"/>
        <color theme="7" tint="0.39997558519241921"/>
      </dataBar>
      <extLst>
        <ext xmlns:x14="http://schemas.microsoft.com/office/spreadsheetml/2009/9/main" uri="{B025F937-C7B1-47D3-B67F-A62EFF666E3E}">
          <x14:id>{00EB00D9-00C6-4F9D-9567-006900C000DC}</x14:id>
        </ext>
      </extLst>
    </cfRule>
  </conditionalFormatting>
  <conditionalFormatting sqref="R100:R101">
    <cfRule type="dataBar" priority="26">
      <dataBar>
        <cfvo type="num" val="0"/>
        <cfvo type="max"/>
        <color theme="7" tint="0.39997558519241921"/>
      </dataBar>
      <extLst>
        <ext xmlns:x14="http://schemas.microsoft.com/office/spreadsheetml/2009/9/main" uri="{B025F937-C7B1-47D3-B67F-A62EFF666E3E}">
          <x14:id>{00710056-0001-4577-B9C6-001A00D8004E}</x14:id>
        </ext>
      </extLst>
    </cfRule>
  </conditionalFormatting>
  <conditionalFormatting sqref="R102:R104">
    <cfRule type="dataBar" priority="72">
      <dataBar>
        <cfvo type="num" val="0"/>
        <cfvo type="max"/>
        <color theme="7" tint="0.39997558519241921"/>
      </dataBar>
      <extLst>
        <ext xmlns:x14="http://schemas.microsoft.com/office/spreadsheetml/2009/9/main" uri="{B025F937-C7B1-47D3-B67F-A62EFF666E3E}">
          <x14:id>{003A00B7-009C-4B52-93D1-0058002100F0}</x14:id>
        </ext>
      </extLst>
    </cfRule>
  </conditionalFormatting>
  <conditionalFormatting sqref="R106:R108">
    <cfRule type="dataBar" priority="27">
      <dataBar>
        <cfvo type="num" val="0"/>
        <cfvo type="max"/>
        <color theme="7" tint="0.39997558519241921"/>
      </dataBar>
      <extLst>
        <ext xmlns:x14="http://schemas.microsoft.com/office/spreadsheetml/2009/9/main" uri="{B025F937-C7B1-47D3-B67F-A62EFF666E3E}">
          <x14:id>{008E005D-00DD-476E-B100-003F001C00A6}</x14:id>
        </ext>
      </extLst>
    </cfRule>
  </conditionalFormatting>
  <conditionalFormatting sqref="R110:R115 R117:R123">
    <cfRule type="dataBar" priority="28">
      <dataBar>
        <cfvo type="num" val="0"/>
        <cfvo type="max"/>
        <color theme="7" tint="0.39997558519241921"/>
      </dataBar>
      <extLst>
        <ext xmlns:x14="http://schemas.microsoft.com/office/spreadsheetml/2009/9/main" uri="{B025F937-C7B1-47D3-B67F-A62EFF666E3E}">
          <x14:id>{009E008A-00C2-46EB-8D16-0081006100B8}</x14:id>
        </ext>
      </extLst>
    </cfRule>
  </conditionalFormatting>
  <conditionalFormatting sqref="R116">
    <cfRule type="dataBar" priority="8">
      <dataBar>
        <cfvo type="num" val="0"/>
        <cfvo type="max"/>
        <color theme="7" tint="0.39997558519241921"/>
      </dataBar>
      <extLst>
        <ext xmlns:x14="http://schemas.microsoft.com/office/spreadsheetml/2009/9/main" uri="{B025F937-C7B1-47D3-B67F-A62EFF666E3E}">
          <x14:id>{00C30087-00E5-48CE-8D26-009E00450008}</x14:id>
        </ext>
      </extLst>
    </cfRule>
  </conditionalFormatting>
  <conditionalFormatting sqref="R125:R129">
    <cfRule type="dataBar" priority="63">
      <dataBar>
        <cfvo type="num" val="0"/>
        <cfvo type="max"/>
        <color theme="7" tint="0.39997558519241921"/>
      </dataBar>
      <extLst>
        <ext xmlns:x14="http://schemas.microsoft.com/office/spreadsheetml/2009/9/main" uri="{B025F937-C7B1-47D3-B67F-A62EFF666E3E}">
          <x14:id>{00F50042-002C-49A1-BA0F-00DF006E00F2}</x14:id>
        </ext>
      </extLst>
    </cfRule>
  </conditionalFormatting>
  <conditionalFormatting sqref="R131:R141">
    <cfRule type="dataBar" priority="339">
      <dataBar>
        <cfvo type="num" val="0"/>
        <cfvo type="max"/>
        <color theme="7" tint="0.39997558519241921"/>
      </dataBar>
      <extLst>
        <ext xmlns:x14="http://schemas.microsoft.com/office/spreadsheetml/2009/9/main" uri="{B025F937-C7B1-47D3-B67F-A62EFF666E3E}">
          <x14:id>{00C600EE-00CD-44B9-BDCD-00DD009B00F9}</x14:id>
        </ext>
      </extLst>
    </cfRule>
  </conditionalFormatting>
  <conditionalFormatting sqref="R143:R145">
    <cfRule type="dataBar" priority="22">
      <dataBar>
        <cfvo type="num" val="0"/>
        <cfvo type="max"/>
        <color theme="7" tint="0.39997558519241921"/>
      </dataBar>
      <extLst>
        <ext xmlns:x14="http://schemas.microsoft.com/office/spreadsheetml/2009/9/main" uri="{B025F937-C7B1-47D3-B67F-A62EFF666E3E}">
          <x14:id>{00910086-00A3-41F5-ABDF-004D00F3009E}</x14:id>
        </ext>
      </extLst>
    </cfRule>
  </conditionalFormatting>
  <conditionalFormatting sqref="R147:R151">
    <cfRule type="dataBar" priority="54">
      <dataBar>
        <cfvo type="num" val="0"/>
        <cfvo type="max"/>
        <color theme="7" tint="0.39997558519241921"/>
      </dataBar>
      <extLst>
        <ext xmlns:x14="http://schemas.microsoft.com/office/spreadsheetml/2009/9/main" uri="{B025F937-C7B1-47D3-B67F-A62EFF666E3E}">
          <x14:id>{005A00E0-00BF-4741-B321-0085009700FB}</x14:id>
        </ext>
      </extLst>
    </cfRule>
  </conditionalFormatting>
  <conditionalFormatting sqref="R153:R162">
    <cfRule type="dataBar" priority="304">
      <dataBar>
        <cfvo type="num" val="0"/>
        <cfvo type="max"/>
        <color theme="7" tint="0.39997558519241921"/>
      </dataBar>
      <extLst>
        <ext xmlns:x14="http://schemas.microsoft.com/office/spreadsheetml/2009/9/main" uri="{B025F937-C7B1-47D3-B67F-A62EFF666E3E}">
          <x14:id>{00BA0091-0002-4BC3-B787-00E7002E00D7}</x14:id>
        </ext>
      </extLst>
    </cfRule>
  </conditionalFormatting>
  <conditionalFormatting sqref="R164:R173">
    <cfRule type="dataBar" priority="20">
      <dataBar>
        <cfvo type="num" val="0"/>
        <cfvo type="max"/>
        <color theme="7" tint="0.39997558519241921"/>
      </dataBar>
      <extLst>
        <ext xmlns:x14="http://schemas.microsoft.com/office/spreadsheetml/2009/9/main" uri="{B025F937-C7B1-47D3-B67F-A62EFF666E3E}">
          <x14:id>{00630002-001D-4987-8340-009C00C7009F}</x14:id>
        </ext>
      </extLst>
    </cfRule>
  </conditionalFormatting>
  <conditionalFormatting sqref="R175:R183">
    <cfRule type="dataBar" priority="19">
      <dataBar>
        <cfvo type="num" val="0"/>
        <cfvo type="max"/>
        <color theme="7" tint="0.39997558519241921"/>
      </dataBar>
      <extLst>
        <ext xmlns:x14="http://schemas.microsoft.com/office/spreadsheetml/2009/9/main" uri="{B025F937-C7B1-47D3-B67F-A62EFF666E3E}">
          <x14:id>{00CF0065-0086-4731-9C8D-00AD006B00DD}</x14:id>
        </ext>
      </extLst>
    </cfRule>
  </conditionalFormatting>
  <conditionalFormatting sqref="R185:R188">
    <cfRule type="dataBar" priority="18">
      <dataBar>
        <cfvo type="num" val="0"/>
        <cfvo type="max"/>
        <color theme="7" tint="0.39997558519241921"/>
      </dataBar>
      <extLst>
        <ext xmlns:x14="http://schemas.microsoft.com/office/spreadsheetml/2009/9/main" uri="{B025F937-C7B1-47D3-B67F-A62EFF666E3E}">
          <x14:id>{002D0000-006B-4856-AC53-00E500B2007A}</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00890017-0096-45EA-9C9D-000500E70099}">
            <x14:dataBar minLength="0" maxLength="100" gradient="0">
              <x14:cfvo type="num">
                <xm:f>0</xm:f>
              </x14:cfvo>
              <x14:cfvo type="autoMax"/>
              <x14:negativeFillColor indexed="2"/>
              <x14:axisColor indexed="64"/>
            </x14:dataBar>
          </x14:cfRule>
          <xm:sqref>P42:P43 P45:P55</xm:sqref>
        </x14:conditionalFormatting>
        <x14:conditionalFormatting xmlns:xm="http://schemas.microsoft.com/office/excel/2006/main">
          <x14:cfRule type="dataBar" id="{00DF00C2-0064-4C46-B714-006400DA003F}">
            <x14:dataBar minLength="0" maxLength="100" gradient="0">
              <x14:cfvo type="num">
                <xm:f>0</xm:f>
              </x14:cfvo>
              <x14:cfvo type="autoMax"/>
              <x14:negativeFillColor indexed="2"/>
              <x14:axisColor indexed="64"/>
            </x14:dataBar>
          </x14:cfRule>
          <xm:sqref>P44</xm:sqref>
        </x14:conditionalFormatting>
        <x14:conditionalFormatting xmlns:xm="http://schemas.microsoft.com/office/excel/2006/main">
          <x14:cfRule type="dataBar" id="{00DF00B9-00C9-4CBF-B211-009200C300E7}">
            <x14:dataBar minLength="0" maxLength="100" gradient="0">
              <x14:cfvo type="num">
                <xm:f>0</xm:f>
              </x14:cfvo>
              <x14:cfvo type="autoMax"/>
              <x14:negativeFillColor indexed="2"/>
              <x14:axisColor indexed="64"/>
            </x14:dataBar>
          </x14:cfRule>
          <xm:sqref>P61:P70</xm:sqref>
        </x14:conditionalFormatting>
        <x14:conditionalFormatting xmlns:xm="http://schemas.microsoft.com/office/excel/2006/main">
          <x14:cfRule type="dataBar" id="{00340084-008C-4720-A886-001D00B90004}">
            <x14:dataBar minLength="0" maxLength="100" gradient="0">
              <x14:cfvo type="num">
                <xm:f>0</xm:f>
              </x14:cfvo>
              <x14:cfvo type="autoMax"/>
              <x14:negativeFillColor indexed="2"/>
              <x14:axisColor indexed="64"/>
            </x14:dataBar>
          </x14:cfRule>
          <xm:sqref>P72:P76</xm:sqref>
        </x14:conditionalFormatting>
        <x14:conditionalFormatting xmlns:xm="http://schemas.microsoft.com/office/excel/2006/main">
          <x14:cfRule type="dataBar" id="{00F00006-003F-4AEC-A137-0033002400B0}">
            <x14:dataBar minLength="0" maxLength="100" gradient="0">
              <x14:cfvo type="num">
                <xm:f>0</xm:f>
              </x14:cfvo>
              <x14:cfvo type="autoMax"/>
              <x14:negativeFillColor indexed="2"/>
              <x14:axisColor indexed="64"/>
            </x14:dataBar>
          </x14:cfRule>
          <xm:sqref>P100:P104</xm:sqref>
        </x14:conditionalFormatting>
        <x14:conditionalFormatting xmlns:xm="http://schemas.microsoft.com/office/excel/2006/main">
          <x14:cfRule type="dataBar" id="{00A200E0-00A4-4042-9E98-00ED00A60054}">
            <x14:dataBar minLength="0" maxLength="100" gradient="0">
              <x14:cfvo type="num">
                <xm:f>0</xm:f>
              </x14:cfvo>
              <x14:cfvo type="autoMax"/>
              <x14:negativeFillColor indexed="2"/>
              <x14:axisColor indexed="64"/>
            </x14:dataBar>
          </x14:cfRule>
          <xm:sqref>P106:P108</xm:sqref>
        </x14:conditionalFormatting>
        <x14:conditionalFormatting xmlns:xm="http://schemas.microsoft.com/office/excel/2006/main">
          <x14:cfRule type="dataBar" id="{00C600C0-00CE-43CD-8C40-00C7008D00E3}">
            <x14:dataBar minLength="0" maxLength="100" gradient="0">
              <x14:cfvo type="num">
                <xm:f>0</xm:f>
              </x14:cfvo>
              <x14:cfvo type="autoMax"/>
              <x14:negativeFillColor indexed="2"/>
              <x14:axisColor indexed="64"/>
            </x14:dataBar>
          </x14:cfRule>
          <xm:sqref>P110:P115 P117:P123</xm:sqref>
        </x14:conditionalFormatting>
        <x14:conditionalFormatting xmlns:xm="http://schemas.microsoft.com/office/excel/2006/main">
          <x14:cfRule type="dataBar" id="{00BA00BF-0054-405D-A6E9-003C00C7004C}">
            <x14:dataBar minLength="0" maxLength="100" gradient="0">
              <x14:cfvo type="num">
                <xm:f>0</xm:f>
              </x14:cfvo>
              <x14:cfvo type="autoMax"/>
              <x14:negativeFillColor indexed="2"/>
              <x14:axisColor indexed="64"/>
            </x14:dataBar>
          </x14:cfRule>
          <xm:sqref>P116</xm:sqref>
        </x14:conditionalFormatting>
        <x14:conditionalFormatting xmlns:xm="http://schemas.microsoft.com/office/excel/2006/main">
          <x14:cfRule type="dataBar" id="{001A0064-0019-4D37-A1F5-00BF00780031}">
            <x14:dataBar minLength="0" maxLength="100" gradient="0">
              <x14:cfvo type="num">
                <xm:f>0</xm:f>
              </x14:cfvo>
              <x14:cfvo type="autoMax"/>
              <x14:negativeFillColor indexed="2"/>
              <x14:axisColor indexed="64"/>
            </x14:dataBar>
          </x14:cfRule>
          <xm:sqref>P125:P129</xm:sqref>
        </x14:conditionalFormatting>
        <x14:conditionalFormatting xmlns:xm="http://schemas.microsoft.com/office/excel/2006/main">
          <x14:cfRule type="dataBar" id="{001800AF-00CF-4145-82D9-008D00190018}">
            <x14:dataBar minLength="0" maxLength="100" gradient="0">
              <x14:cfvo type="num">
                <xm:f>0</xm:f>
              </x14:cfvo>
              <x14:cfvo type="autoMax"/>
              <x14:negativeFillColor indexed="2"/>
              <x14:axisColor indexed="64"/>
            </x14:dataBar>
          </x14:cfRule>
          <xm:sqref>P131:P141</xm:sqref>
        </x14:conditionalFormatting>
        <x14:conditionalFormatting xmlns:xm="http://schemas.microsoft.com/office/excel/2006/main">
          <x14:cfRule type="dataBar" id="{001100AD-00CF-4F6A-8555-006B0050005C}">
            <x14:dataBar minLength="0" maxLength="100" gradient="0">
              <x14:cfvo type="num">
                <xm:f>0</xm:f>
              </x14:cfvo>
              <x14:cfvo type="autoMax"/>
              <x14:negativeFillColor indexed="2"/>
              <x14:axisColor indexed="64"/>
            </x14:dataBar>
          </x14:cfRule>
          <xm:sqref>P143:P145</xm:sqref>
        </x14:conditionalFormatting>
        <x14:conditionalFormatting xmlns:xm="http://schemas.microsoft.com/office/excel/2006/main">
          <x14:cfRule type="dataBar" id="{00A200D0-009E-4C46-94C7-000D0062000F}">
            <x14:dataBar minLength="0" maxLength="100" gradient="0">
              <x14:cfvo type="num">
                <xm:f>0</xm:f>
              </x14:cfvo>
              <x14:cfvo type="autoMax"/>
              <x14:negativeFillColor indexed="2"/>
              <x14:axisColor indexed="64"/>
            </x14:dataBar>
          </x14:cfRule>
          <xm:sqref>P147:P151</xm:sqref>
        </x14:conditionalFormatting>
        <x14:conditionalFormatting xmlns:xm="http://schemas.microsoft.com/office/excel/2006/main">
          <x14:cfRule type="dataBar" id="{00860016-00DA-48AE-8662-00FA00EF007A}">
            <x14:dataBar minLength="0" maxLength="100" gradient="0">
              <x14:cfvo type="num">
                <xm:f>0</xm:f>
              </x14:cfvo>
              <x14:cfvo type="autoMax"/>
              <x14:negativeFillColor indexed="2"/>
              <x14:axisColor indexed="64"/>
            </x14:dataBar>
          </x14:cfRule>
          <xm:sqref>P153:P162</xm:sqref>
        </x14:conditionalFormatting>
        <x14:conditionalFormatting xmlns:xm="http://schemas.microsoft.com/office/excel/2006/main">
          <x14:cfRule type="dataBar" id="{005B0024-00A3-426C-8431-00D300CD003B}">
            <x14:dataBar minLength="0" maxLength="100" gradient="0">
              <x14:cfvo type="num">
                <xm:f>0</xm:f>
              </x14:cfvo>
              <x14:cfvo type="autoMax"/>
              <x14:negativeFillColor indexed="2"/>
              <x14:axisColor indexed="64"/>
            </x14:dataBar>
          </x14:cfRule>
          <xm:sqref>P164:P173</xm:sqref>
        </x14:conditionalFormatting>
        <x14:conditionalFormatting xmlns:xm="http://schemas.microsoft.com/office/excel/2006/main">
          <x14:cfRule type="dataBar" id="{000D0041-0089-44C5-954F-007300EA000D}">
            <x14:dataBar minLength="0" maxLength="100" gradient="0">
              <x14:cfvo type="num">
                <xm:f>0</xm:f>
              </x14:cfvo>
              <x14:cfvo type="autoMax"/>
              <x14:negativeFillColor indexed="2"/>
              <x14:axisColor indexed="64"/>
            </x14:dataBar>
          </x14:cfRule>
          <xm:sqref>P175:P183</xm:sqref>
        </x14:conditionalFormatting>
        <x14:conditionalFormatting xmlns:xm="http://schemas.microsoft.com/office/excel/2006/main">
          <x14:cfRule type="dataBar" id="{00F300E7-009F-4F14-B3C2-007B00710020}">
            <x14:dataBar minLength="0" maxLength="100" gradient="0">
              <x14:cfvo type="num">
                <xm:f>0</xm:f>
              </x14:cfvo>
              <x14:cfvo type="autoMax"/>
              <x14:negativeFillColor indexed="2"/>
              <x14:axisColor indexed="64"/>
            </x14:dataBar>
          </x14:cfRule>
          <xm:sqref>P185:P188</xm:sqref>
        </x14:conditionalFormatting>
        <x14:conditionalFormatting xmlns:xm="http://schemas.microsoft.com/office/excel/2006/main">
          <x14:cfRule type="dataBar" id="{00AE0047-0089-42D1-A240-008600B4005D}">
            <x14:dataBar minLength="0" maxLength="100" gradient="0">
              <x14:cfvo type="num">
                <xm:f>0</xm:f>
              </x14:cfvo>
              <x14:cfvo type="autoMax"/>
              <x14:negativeFillColor indexed="2"/>
              <x14:axisColor indexed="64"/>
            </x14:dataBar>
          </x14:cfRule>
          <xm:sqref>Q42:Q55</xm:sqref>
        </x14:conditionalFormatting>
        <x14:conditionalFormatting xmlns:xm="http://schemas.microsoft.com/office/excel/2006/main">
          <x14:cfRule type="dataBar" id="{006A0044-0031-495D-91B6-009C00640014}">
            <x14:dataBar minLength="0" maxLength="100" gradient="0">
              <x14:cfvo type="num">
                <xm:f>0</xm:f>
              </x14:cfvo>
              <x14:cfvo type="autoMax"/>
              <x14:negativeFillColor indexed="2"/>
              <x14:axisColor indexed="64"/>
            </x14:dataBar>
          </x14:cfRule>
          <xm:sqref>Q61:Q70</xm:sqref>
        </x14:conditionalFormatting>
        <x14:conditionalFormatting xmlns:xm="http://schemas.microsoft.com/office/excel/2006/main">
          <x14:cfRule type="dataBar" id="{0030000C-00C7-4F26-A05F-002600230049}">
            <x14:dataBar minLength="0" maxLength="100" gradient="0">
              <x14:cfvo type="num">
                <xm:f>0</xm:f>
              </x14:cfvo>
              <x14:cfvo type="autoMax"/>
              <x14:negativeFillColor indexed="2"/>
              <x14:axisColor indexed="64"/>
            </x14:dataBar>
          </x14:cfRule>
          <xm:sqref>Q72:Q76</xm:sqref>
        </x14:conditionalFormatting>
        <x14:conditionalFormatting xmlns:xm="http://schemas.microsoft.com/office/excel/2006/main">
          <x14:cfRule type="dataBar" id="{005B00FE-008D-4F12-B8E0-00D40049005F}">
            <x14:dataBar minLength="0" maxLength="100" gradient="0">
              <x14:cfvo type="num">
                <xm:f>0</xm:f>
              </x14:cfvo>
              <x14:cfvo type="autoMax"/>
              <x14:negativeFillColor indexed="2"/>
              <x14:axisColor indexed="64"/>
            </x14:dataBar>
          </x14:cfRule>
          <xm:sqref>Q100:Q104</xm:sqref>
        </x14:conditionalFormatting>
        <x14:conditionalFormatting xmlns:xm="http://schemas.microsoft.com/office/excel/2006/main">
          <x14:cfRule type="dataBar" id="{00A0004D-0033-41B0-9518-00AE002400F9}">
            <x14:dataBar minLength="0" maxLength="100" gradient="0">
              <x14:cfvo type="num">
                <xm:f>0</xm:f>
              </x14:cfvo>
              <x14:cfvo type="autoMax"/>
              <x14:negativeFillColor indexed="2"/>
              <x14:axisColor indexed="64"/>
            </x14:dataBar>
          </x14:cfRule>
          <xm:sqref>Q106:Q108</xm:sqref>
        </x14:conditionalFormatting>
        <x14:conditionalFormatting xmlns:xm="http://schemas.microsoft.com/office/excel/2006/main">
          <x14:cfRule type="dataBar" id="{00F1005A-00BF-4841-BC16-00C100B400ED}">
            <x14:dataBar minLength="0" maxLength="100" gradient="0">
              <x14:cfvo type="num">
                <xm:f>0</xm:f>
              </x14:cfvo>
              <x14:cfvo type="autoMax"/>
              <x14:negativeFillColor indexed="2"/>
              <x14:axisColor indexed="64"/>
            </x14:dataBar>
          </x14:cfRule>
          <xm:sqref>Q110:Q115 Q117:Q123</xm:sqref>
        </x14:conditionalFormatting>
        <x14:conditionalFormatting xmlns:xm="http://schemas.microsoft.com/office/excel/2006/main">
          <x14:cfRule type="dataBar" id="{007B004A-00DE-4B3C-80AE-00E900AF00DA}">
            <x14:dataBar minLength="0" maxLength="100" gradient="0">
              <x14:cfvo type="num">
                <xm:f>0</xm:f>
              </x14:cfvo>
              <x14:cfvo type="autoMax"/>
              <x14:negativeFillColor indexed="2"/>
              <x14:axisColor indexed="64"/>
            </x14:dataBar>
          </x14:cfRule>
          <xm:sqref>Q116</xm:sqref>
        </x14:conditionalFormatting>
        <x14:conditionalFormatting xmlns:xm="http://schemas.microsoft.com/office/excel/2006/main">
          <x14:cfRule type="dataBar" id="{00C000B7-007C-4FD3-876F-009C002F00D2}">
            <x14:dataBar minLength="0" maxLength="100" gradient="0">
              <x14:cfvo type="num">
                <xm:f>0</xm:f>
              </x14:cfvo>
              <x14:cfvo type="autoMax"/>
              <x14:negativeFillColor indexed="2"/>
              <x14:axisColor indexed="64"/>
            </x14:dataBar>
          </x14:cfRule>
          <xm:sqref>Q125:Q129</xm:sqref>
        </x14:conditionalFormatting>
        <x14:conditionalFormatting xmlns:xm="http://schemas.microsoft.com/office/excel/2006/main">
          <x14:cfRule type="dataBar" id="{00EB003A-00AA-42F9-A358-00EA002B00A7}">
            <x14:dataBar minLength="0" maxLength="100" gradient="0">
              <x14:cfvo type="num">
                <xm:f>0</xm:f>
              </x14:cfvo>
              <x14:cfvo type="autoMax"/>
              <x14:negativeFillColor indexed="2"/>
              <x14:axisColor indexed="64"/>
            </x14:dataBar>
          </x14:cfRule>
          <xm:sqref>Q131:Q141</xm:sqref>
        </x14:conditionalFormatting>
        <x14:conditionalFormatting xmlns:xm="http://schemas.microsoft.com/office/excel/2006/main">
          <x14:cfRule type="dataBar" id="{00F90091-00E4-44C8-BA20-002D004B00FE}">
            <x14:dataBar minLength="0" maxLength="100" gradient="0">
              <x14:cfvo type="num">
                <xm:f>0</xm:f>
              </x14:cfvo>
              <x14:cfvo type="autoMax"/>
              <x14:negativeFillColor indexed="2"/>
              <x14:axisColor indexed="64"/>
            </x14:dataBar>
          </x14:cfRule>
          <xm:sqref>Q143:Q145</xm:sqref>
        </x14:conditionalFormatting>
        <x14:conditionalFormatting xmlns:xm="http://schemas.microsoft.com/office/excel/2006/main">
          <x14:cfRule type="dataBar" id="{003B0035-00C3-413D-8A73-0014006D00D8}">
            <x14:dataBar minLength="0" maxLength="100" gradient="0">
              <x14:cfvo type="num">
                <xm:f>0</xm:f>
              </x14:cfvo>
              <x14:cfvo type="autoMax"/>
              <x14:negativeFillColor indexed="2"/>
              <x14:axisColor indexed="64"/>
            </x14:dataBar>
          </x14:cfRule>
          <xm:sqref>Q147:Q151</xm:sqref>
        </x14:conditionalFormatting>
        <x14:conditionalFormatting xmlns:xm="http://schemas.microsoft.com/office/excel/2006/main">
          <x14:cfRule type="dataBar" id="{0006006A-00E3-430B-A482-0035003B00EF}">
            <x14:dataBar minLength="0" maxLength="100" gradient="0">
              <x14:cfvo type="num">
                <xm:f>0</xm:f>
              </x14:cfvo>
              <x14:cfvo type="autoMax"/>
              <x14:negativeFillColor indexed="2"/>
              <x14:axisColor indexed="64"/>
            </x14:dataBar>
          </x14:cfRule>
          <xm:sqref>Q153:Q162</xm:sqref>
        </x14:conditionalFormatting>
        <x14:conditionalFormatting xmlns:xm="http://schemas.microsoft.com/office/excel/2006/main">
          <x14:cfRule type="dataBar" id="{00FC00C0-00D9-44ED-9772-00A3002A0048}">
            <x14:dataBar minLength="0" maxLength="100" gradient="0">
              <x14:cfvo type="num">
                <xm:f>0</xm:f>
              </x14:cfvo>
              <x14:cfvo type="autoMax"/>
              <x14:negativeFillColor indexed="2"/>
              <x14:axisColor indexed="64"/>
            </x14:dataBar>
          </x14:cfRule>
          <xm:sqref>Q164:Q173</xm:sqref>
        </x14:conditionalFormatting>
        <x14:conditionalFormatting xmlns:xm="http://schemas.microsoft.com/office/excel/2006/main">
          <x14:cfRule type="dataBar" id="{00B700F0-001E-453D-B9BE-00B4005A00DF}">
            <x14:dataBar minLength="0" maxLength="100" gradient="0">
              <x14:cfvo type="num">
                <xm:f>0</xm:f>
              </x14:cfvo>
              <x14:cfvo type="autoMax"/>
              <x14:negativeFillColor indexed="2"/>
              <x14:axisColor indexed="64"/>
            </x14:dataBar>
          </x14:cfRule>
          <xm:sqref>Q175:Q183</xm:sqref>
        </x14:conditionalFormatting>
        <x14:conditionalFormatting xmlns:xm="http://schemas.microsoft.com/office/excel/2006/main">
          <x14:cfRule type="dataBar" id="{00F9009D-0052-49BD-94DA-009200E400B3}">
            <x14:dataBar minLength="0" maxLength="100" gradient="0">
              <x14:cfvo type="num">
                <xm:f>0</xm:f>
              </x14:cfvo>
              <x14:cfvo type="autoMax"/>
              <x14:negativeFillColor indexed="2"/>
              <x14:axisColor indexed="64"/>
            </x14:dataBar>
          </x14:cfRule>
          <xm:sqref>Q185:Q188</xm:sqref>
        </x14:conditionalFormatting>
        <x14:conditionalFormatting xmlns:xm="http://schemas.microsoft.com/office/excel/2006/main">
          <x14:cfRule type="dataBar" id="{00F500F5-008D-4B7B-B3B0-002800F400F4}">
            <x14:dataBar minLength="0" maxLength="100" gradient="0">
              <x14:cfvo type="num">
                <xm:f>0</xm:f>
              </x14:cfvo>
              <x14:cfvo type="autoMax"/>
              <x14:negativeFillColor indexed="2"/>
              <x14:axisColor indexed="64"/>
            </x14:dataBar>
          </x14:cfRule>
          <xm:sqref>R42:R55</xm:sqref>
        </x14:conditionalFormatting>
        <x14:conditionalFormatting xmlns:xm="http://schemas.microsoft.com/office/excel/2006/main">
          <x14:cfRule type="dataBar" id="{00050080-00C0-4D5E-98FB-0036009C00F7}">
            <x14:dataBar minLength="0" maxLength="100" gradient="0">
              <x14:cfvo type="num">
                <xm:f>0</xm:f>
              </x14:cfvo>
              <x14:cfvo type="autoMax"/>
              <x14:negativeFillColor indexed="2"/>
              <x14:axisColor indexed="64"/>
            </x14:dataBar>
          </x14:cfRule>
          <xm:sqref>R61:R70</xm:sqref>
        </x14:conditionalFormatting>
        <x14:conditionalFormatting xmlns:xm="http://schemas.microsoft.com/office/excel/2006/main">
          <x14:cfRule type="dataBar" id="{00B9001B-0095-4F01-BDFB-00A70033009C}">
            <x14:dataBar minLength="0" maxLength="100" gradient="0">
              <x14:cfvo type="num">
                <xm:f>0</xm:f>
              </x14:cfvo>
              <x14:cfvo type="autoMax"/>
              <x14:negativeFillColor indexed="2"/>
              <x14:axisColor indexed="64"/>
            </x14:dataBar>
          </x14:cfRule>
          <xm:sqref>R72</xm:sqref>
        </x14:conditionalFormatting>
        <x14:conditionalFormatting xmlns:xm="http://schemas.microsoft.com/office/excel/2006/main">
          <x14:cfRule type="dataBar" id="{00EB00D9-00C6-4F9D-9567-006900C000DC}">
            <x14:dataBar minLength="0" maxLength="100" gradient="0">
              <x14:cfvo type="num">
                <xm:f>0</xm:f>
              </x14:cfvo>
              <x14:cfvo type="autoMax"/>
              <x14:negativeFillColor indexed="2"/>
              <x14:axisColor indexed="64"/>
            </x14:dataBar>
          </x14:cfRule>
          <xm:sqref>R73:R76</xm:sqref>
        </x14:conditionalFormatting>
        <x14:conditionalFormatting xmlns:xm="http://schemas.microsoft.com/office/excel/2006/main">
          <x14:cfRule type="dataBar" id="{00710056-0001-4577-B9C6-001A00D8004E}">
            <x14:dataBar minLength="0" maxLength="100" gradient="0">
              <x14:cfvo type="num">
                <xm:f>0</xm:f>
              </x14:cfvo>
              <x14:cfvo type="autoMax"/>
              <x14:negativeFillColor indexed="2"/>
              <x14:axisColor indexed="64"/>
            </x14:dataBar>
          </x14:cfRule>
          <xm:sqref>R100:R101</xm:sqref>
        </x14:conditionalFormatting>
        <x14:conditionalFormatting xmlns:xm="http://schemas.microsoft.com/office/excel/2006/main">
          <x14:cfRule type="dataBar" id="{003A00B7-009C-4B52-93D1-0058002100F0}">
            <x14:dataBar minLength="0" maxLength="100" gradient="0">
              <x14:cfvo type="num">
                <xm:f>0</xm:f>
              </x14:cfvo>
              <x14:cfvo type="autoMax"/>
              <x14:negativeFillColor indexed="2"/>
              <x14:axisColor indexed="64"/>
            </x14:dataBar>
          </x14:cfRule>
          <xm:sqref>R102:R104</xm:sqref>
        </x14:conditionalFormatting>
        <x14:conditionalFormatting xmlns:xm="http://schemas.microsoft.com/office/excel/2006/main">
          <x14:cfRule type="dataBar" id="{008E005D-00DD-476E-B100-003F001C00A6}">
            <x14:dataBar minLength="0" maxLength="100" gradient="0">
              <x14:cfvo type="num">
                <xm:f>0</xm:f>
              </x14:cfvo>
              <x14:cfvo type="autoMax"/>
              <x14:negativeFillColor indexed="2"/>
              <x14:axisColor indexed="64"/>
            </x14:dataBar>
          </x14:cfRule>
          <xm:sqref>R106:R108</xm:sqref>
        </x14:conditionalFormatting>
        <x14:conditionalFormatting xmlns:xm="http://schemas.microsoft.com/office/excel/2006/main">
          <x14:cfRule type="dataBar" id="{009E008A-00C2-46EB-8D16-0081006100B8}">
            <x14:dataBar minLength="0" maxLength="100" gradient="0">
              <x14:cfvo type="num">
                <xm:f>0</xm:f>
              </x14:cfvo>
              <x14:cfvo type="autoMax"/>
              <x14:negativeFillColor indexed="2"/>
              <x14:axisColor indexed="64"/>
            </x14:dataBar>
          </x14:cfRule>
          <xm:sqref>R110:R115 R117:R123</xm:sqref>
        </x14:conditionalFormatting>
        <x14:conditionalFormatting xmlns:xm="http://schemas.microsoft.com/office/excel/2006/main">
          <x14:cfRule type="dataBar" id="{00C30087-00E5-48CE-8D26-009E00450008}">
            <x14:dataBar minLength="0" maxLength="100" gradient="0">
              <x14:cfvo type="num">
                <xm:f>0</xm:f>
              </x14:cfvo>
              <x14:cfvo type="autoMax"/>
              <x14:negativeFillColor indexed="2"/>
              <x14:axisColor indexed="64"/>
            </x14:dataBar>
          </x14:cfRule>
          <xm:sqref>R116</xm:sqref>
        </x14:conditionalFormatting>
        <x14:conditionalFormatting xmlns:xm="http://schemas.microsoft.com/office/excel/2006/main">
          <x14:cfRule type="dataBar" id="{00F50042-002C-49A1-BA0F-00DF006E00F2}">
            <x14:dataBar minLength="0" maxLength="100" gradient="0">
              <x14:cfvo type="num">
                <xm:f>0</xm:f>
              </x14:cfvo>
              <x14:cfvo type="autoMax"/>
              <x14:negativeFillColor indexed="2"/>
              <x14:axisColor indexed="64"/>
            </x14:dataBar>
          </x14:cfRule>
          <xm:sqref>R125:R129</xm:sqref>
        </x14:conditionalFormatting>
        <x14:conditionalFormatting xmlns:xm="http://schemas.microsoft.com/office/excel/2006/main">
          <x14:cfRule type="dataBar" id="{00C600EE-00CD-44B9-BDCD-00DD009B00F9}">
            <x14:dataBar minLength="0" maxLength="100" gradient="0">
              <x14:cfvo type="num">
                <xm:f>0</xm:f>
              </x14:cfvo>
              <x14:cfvo type="autoMax"/>
              <x14:negativeFillColor indexed="2"/>
              <x14:axisColor indexed="64"/>
            </x14:dataBar>
          </x14:cfRule>
          <xm:sqref>R131:R141</xm:sqref>
        </x14:conditionalFormatting>
        <x14:conditionalFormatting xmlns:xm="http://schemas.microsoft.com/office/excel/2006/main">
          <x14:cfRule type="dataBar" id="{00910086-00A3-41F5-ABDF-004D00F3009E}">
            <x14:dataBar minLength="0" maxLength="100" gradient="0">
              <x14:cfvo type="num">
                <xm:f>0</xm:f>
              </x14:cfvo>
              <x14:cfvo type="autoMax"/>
              <x14:negativeFillColor indexed="2"/>
              <x14:axisColor indexed="64"/>
            </x14:dataBar>
          </x14:cfRule>
          <xm:sqref>R143:R145</xm:sqref>
        </x14:conditionalFormatting>
        <x14:conditionalFormatting xmlns:xm="http://schemas.microsoft.com/office/excel/2006/main">
          <x14:cfRule type="dataBar" id="{005A00E0-00BF-4741-B321-0085009700FB}">
            <x14:dataBar minLength="0" maxLength="100" gradient="0">
              <x14:cfvo type="num">
                <xm:f>0</xm:f>
              </x14:cfvo>
              <x14:cfvo type="autoMax"/>
              <x14:negativeFillColor indexed="2"/>
              <x14:axisColor indexed="64"/>
            </x14:dataBar>
          </x14:cfRule>
          <xm:sqref>R147:R151</xm:sqref>
        </x14:conditionalFormatting>
        <x14:conditionalFormatting xmlns:xm="http://schemas.microsoft.com/office/excel/2006/main">
          <x14:cfRule type="dataBar" id="{00BA0091-0002-4BC3-B787-00E7002E00D7}">
            <x14:dataBar minLength="0" maxLength="100" gradient="0">
              <x14:cfvo type="num">
                <xm:f>0</xm:f>
              </x14:cfvo>
              <x14:cfvo type="autoMax"/>
              <x14:negativeFillColor indexed="2"/>
              <x14:axisColor indexed="64"/>
            </x14:dataBar>
          </x14:cfRule>
          <xm:sqref>R153:R162</xm:sqref>
        </x14:conditionalFormatting>
        <x14:conditionalFormatting xmlns:xm="http://schemas.microsoft.com/office/excel/2006/main">
          <x14:cfRule type="dataBar" id="{00630002-001D-4987-8340-009C00C7009F}">
            <x14:dataBar minLength="0" maxLength="100" gradient="0">
              <x14:cfvo type="num">
                <xm:f>0</xm:f>
              </x14:cfvo>
              <x14:cfvo type="autoMax"/>
              <x14:negativeFillColor indexed="2"/>
              <x14:axisColor indexed="64"/>
            </x14:dataBar>
          </x14:cfRule>
          <xm:sqref>R164:R173</xm:sqref>
        </x14:conditionalFormatting>
        <x14:conditionalFormatting xmlns:xm="http://schemas.microsoft.com/office/excel/2006/main">
          <x14:cfRule type="dataBar" id="{00CF0065-0086-4731-9C8D-00AD006B00DD}">
            <x14:dataBar minLength="0" maxLength="100" gradient="0">
              <x14:cfvo type="num">
                <xm:f>0</xm:f>
              </x14:cfvo>
              <x14:cfvo type="autoMax"/>
              <x14:negativeFillColor indexed="2"/>
              <x14:axisColor indexed="64"/>
            </x14:dataBar>
          </x14:cfRule>
          <xm:sqref>R175:R183</xm:sqref>
        </x14:conditionalFormatting>
        <x14:conditionalFormatting xmlns:xm="http://schemas.microsoft.com/office/excel/2006/main">
          <x14:cfRule type="dataBar" id="{002D0000-006B-4856-AC53-00E500B2007A}">
            <x14:dataBar minLength="0" maxLength="100" gradient="0">
              <x14:cfvo type="num">
                <xm:f>0</xm:f>
              </x14:cfvo>
              <x14:cfvo type="autoMax"/>
              <x14:negativeFillColor indexed="2"/>
              <x14:axisColor indexed="64"/>
            </x14:dataBar>
          </x14:cfRule>
          <xm:sqref>R185:R188</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00000000-0002-0000-0400-000000000000}">
          <x14:formula1>
            <xm:f>'Условные сокращения'!$I$11:$I$14</xm:f>
          </x14:formula1>
          <xm:sqref>N154:N162 N120 N137:N140 N128 N150:N151 N187 N178</xm:sqref>
        </x14:dataValidation>
        <x14:dataValidation type="list" allowBlank="1" showInputMessage="1" showErrorMessage="1" xr:uid="{00000000-0002-0000-0400-000001000000}">
          <x14:formula1>
            <xm:f>'Условные сокращения'!$N$3:$N$8</xm:f>
          </x14:formula1>
          <xm:sqref>N78 N116 N101 N75</xm:sqref>
        </x14:dataValidation>
        <x14:dataValidation type="list" allowBlank="1" showInputMessage="1" showErrorMessage="1" xr:uid="{00000000-0002-0000-0400-000002000000}">
          <x14:formula1>
            <xm:f>'Условные сокращения'!$M$11:$M$12</xm:f>
          </x14:formula1>
          <xm:sqref>N143:N145 N76 N185 N70 N72:N74 N125:N127 N132 N135 N141 N147:N149 N175 N177 N180:N181 N61:N65 N67:N68</xm:sqref>
        </x14:dataValidation>
        <x14:dataValidation type="list" allowBlank="1" showInputMessage="1" showErrorMessage="1" xr:uid="{00000000-0002-0000-0400-000003000000}">
          <x14:formula1>
            <xm:f>'Условные сокращения'!$B$27:$B$30</xm:f>
          </x14:formula1>
          <xm:sqref>N121:N123 N182:N183 N153 N165:N173 N100 N102:N104 N106:N108 N117:N119 N69 N129 N176 N188 N110:N115 N186 N179</xm:sqref>
        </x14:dataValidation>
        <x14:dataValidation type="list" allowBlank="1" showInputMessage="1" showErrorMessage="1" xr:uid="{00000000-0002-0000-0400-000004000000}">
          <x14:formula1>
            <xm:f>'Условные сокращения'!$B$19:$B$22</xm:f>
          </x14:formula1>
          <xm:sqref>N164</xm:sqref>
        </x14:dataValidation>
        <x14:dataValidation type="list" allowBlank="1" showInputMessage="1" showErrorMessage="1" xr:uid="{00000000-0002-0000-0400-000005000000}">
          <x14:formula1>
            <xm:f>'Условные сокращения'!$B$48:$B$51</xm:f>
          </x14:formula1>
          <xm:sqref>N131 N133:N134 N136</xm:sqref>
        </x14:dataValidation>
        <x14:dataValidation type="list" allowBlank="1" showInputMessage="1" showErrorMessage="1" xr:uid="{00000000-0002-0000-0400-000006000000}">
          <x14:formula1>
            <xm:f>'Условные сокращения'!$L$48:$L$51</xm:f>
          </x14:formula1>
          <xm:sqref>N66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theme="3" tint="0.39997558519241921"/>
    <outlinePr summaryBelow="0" summaryRight="0"/>
  </sheetPr>
  <dimension ref="A1:AA158"/>
  <sheetViews>
    <sheetView workbookViewId="0"/>
  </sheetViews>
  <sheetFormatPr defaultColWidth="11.09765625" defaultRowHeight="15.6" outlineLevelRow="2"/>
  <cols>
    <col min="1" max="1" width="10.09765625" style="160" customWidth="1"/>
    <col min="2" max="2" width="64.8984375" style="160" customWidth="1"/>
    <col min="3" max="3" width="20.59765625" style="160" customWidth="1"/>
    <col min="4" max="4" width="15.09765625" style="160" customWidth="1"/>
    <col min="5" max="5" width="14.59765625" style="160" customWidth="1"/>
    <col min="6" max="6" width="14.09765625" style="160" customWidth="1"/>
    <col min="7" max="7" width="16" style="160" hidden="1" customWidth="1"/>
    <col min="8" max="8" width="19.5" style="160" hidden="1" customWidth="1"/>
    <col min="9" max="9" width="17.09765625" style="160" hidden="1" customWidth="1"/>
    <col min="10" max="10" width="13.5" style="160" hidden="1" customWidth="1"/>
    <col min="11" max="11" width="13.5" style="160" customWidth="1"/>
    <col min="12" max="12" width="16.09765625" style="160" customWidth="1"/>
    <col min="13" max="13" width="11.09765625" customWidth="1"/>
    <col min="14" max="14" width="22" style="187" customWidth="1"/>
    <col min="15" max="15" width="31" style="190" customWidth="1"/>
    <col min="16" max="18" width="23.59765625" style="160" customWidth="1"/>
    <col min="19" max="19" width="18" style="160" customWidth="1"/>
    <col min="20" max="20" width="71" style="160" customWidth="1"/>
    <col min="21" max="21" width="58" style="160" customWidth="1"/>
    <col min="22" max="22" width="11.5" style="160" customWidth="1"/>
    <col min="23" max="24" width="40.59765625" style="160" customWidth="1"/>
    <col min="25" max="25" width="19.09765625" style="160" customWidth="1"/>
    <col min="26" max="26" width="32.8984375" style="160" customWidth="1"/>
    <col min="27" max="27" width="35.59765625" style="160" customWidth="1"/>
    <col min="28" max="36" width="10.5" style="160" bestFit="1" customWidth="1"/>
    <col min="37" max="37" width="11.09765625" style="160" bestFit="1"/>
    <col min="38" max="16384" width="11.09765625" style="160"/>
  </cols>
  <sheetData>
    <row r="1" spans="2:14" ht="61.2">
      <c r="B1" s="309" t="s">
        <v>61</v>
      </c>
      <c r="N1" s="190">
        <f>COUNTA(N2:N6989)</f>
        <v>58</v>
      </c>
    </row>
    <row r="2" spans="2:14">
      <c r="N2" s="190"/>
    </row>
    <row r="3" spans="2:14">
      <c r="N3" s="190"/>
    </row>
    <row r="4" spans="2:14">
      <c r="N4" s="190"/>
    </row>
    <row r="5" spans="2:14">
      <c r="N5" s="190"/>
    </row>
    <row r="6" spans="2:14">
      <c r="N6" s="190"/>
    </row>
    <row r="7" spans="2:14">
      <c r="N7" s="190"/>
    </row>
    <row r="8" spans="2:14">
      <c r="N8" s="190"/>
    </row>
    <row r="9" spans="2:14">
      <c r="N9" s="190"/>
    </row>
    <row r="10" spans="2:14">
      <c r="N10" s="190"/>
    </row>
    <row r="11" spans="2:14">
      <c r="N11" s="190"/>
    </row>
    <row r="12" spans="2:14">
      <c r="N12" s="190"/>
    </row>
    <row r="13" spans="2:14">
      <c r="N13" s="190"/>
    </row>
    <row r="14" spans="2:14">
      <c r="N14" s="190"/>
    </row>
    <row r="15" spans="2:14">
      <c r="N15" s="190"/>
    </row>
    <row r="16" spans="2:14">
      <c r="N16" s="190"/>
    </row>
    <row r="17" spans="14:14">
      <c r="N17" s="190"/>
    </row>
    <row r="18" spans="14:14">
      <c r="N18" s="190"/>
    </row>
    <row r="19" spans="14:14">
      <c r="N19" s="190"/>
    </row>
    <row r="20" spans="14:14">
      <c r="N20" s="190"/>
    </row>
    <row r="21" spans="14:14">
      <c r="N21" s="190"/>
    </row>
    <row r="22" spans="14:14">
      <c r="N22" s="190"/>
    </row>
    <row r="23" spans="14:14">
      <c r="N23" s="190"/>
    </row>
    <row r="24" spans="14:14">
      <c r="N24" s="190"/>
    </row>
    <row r="25" spans="14:14">
      <c r="N25" s="190"/>
    </row>
    <row r="26" spans="14:14">
      <c r="N26" s="190"/>
    </row>
    <row r="27" spans="14:14">
      <c r="N27" s="190"/>
    </row>
    <row r="28" spans="14:14">
      <c r="N28" s="190"/>
    </row>
    <row r="29" spans="14:14">
      <c r="N29" s="190"/>
    </row>
    <row r="30" spans="14:14">
      <c r="N30" s="190"/>
    </row>
    <row r="31" spans="14:14">
      <c r="N31" s="190"/>
    </row>
    <row r="32" spans="14:14">
      <c r="N32" s="190"/>
    </row>
    <row r="33" spans="2:27">
      <c r="N33" s="190"/>
    </row>
    <row r="34" spans="2:27">
      <c r="N34" s="190"/>
    </row>
    <row r="35" spans="2:27">
      <c r="N35" s="190"/>
    </row>
    <row r="36" spans="2:27">
      <c r="N36" s="190"/>
    </row>
    <row r="37" spans="2:27">
      <c r="N37" s="190"/>
    </row>
    <row r="38" spans="2:27">
      <c r="N38" s="190"/>
    </row>
    <row r="39" spans="2:27">
      <c r="N39" s="190"/>
    </row>
    <row r="40" spans="2:27" ht="17.399999999999999">
      <c r="B40" s="191"/>
      <c r="G40" s="28">
        <f>Расчет!$F$2</f>
        <v>45017</v>
      </c>
      <c r="H40" s="28">
        <f>Расчет!$H$2</f>
        <v>45444</v>
      </c>
      <c r="I40" s="28" t="s">
        <v>514</v>
      </c>
      <c r="L40" s="192">
        <f ca="1">TODAY()</f>
        <v>46038</v>
      </c>
      <c r="N40" s="190"/>
      <c r="P40" s="756" t="s">
        <v>36</v>
      </c>
      <c r="Q40" s="757" t="s">
        <v>37</v>
      </c>
      <c r="R40" s="758" t="s">
        <v>38</v>
      </c>
    </row>
    <row r="41" spans="2:27" ht="41.4">
      <c r="B41" s="193" t="s">
        <v>317</v>
      </c>
      <c r="C41" s="194" t="s">
        <v>79</v>
      </c>
      <c r="D41" s="310" t="s">
        <v>11</v>
      </c>
      <c r="E41" s="311" t="s">
        <v>10</v>
      </c>
      <c r="F41" s="312" t="s">
        <v>9</v>
      </c>
      <c r="G41" s="313" t="s">
        <v>318</v>
      </c>
      <c r="H41" s="314" t="s">
        <v>318</v>
      </c>
      <c r="I41" s="314" t="s">
        <v>318</v>
      </c>
      <c r="J41" s="200">
        <v>2026</v>
      </c>
      <c r="K41" s="200" t="s">
        <v>84</v>
      </c>
      <c r="L41" s="201" t="s">
        <v>33</v>
      </c>
      <c r="N41" s="202"/>
      <c r="O41" s="202"/>
      <c r="P41" s="756"/>
      <c r="Q41" s="757"/>
      <c r="R41" s="758"/>
      <c r="S41" s="204"/>
    </row>
    <row r="42" spans="2:27">
      <c r="B42" s="218" t="str">
        <f>B49</f>
        <v>Персональные данные</v>
      </c>
      <c r="C42" s="218" t="str">
        <f>C49</f>
        <v>ПР</v>
      </c>
      <c r="D42" s="315">
        <f>AVERAGE('Нормативное соответствие'!D50:D73)</f>
        <v>5</v>
      </c>
      <c r="E42" s="316">
        <f>AVERAGE('Нормативное соответствие'!E50:E73)</f>
        <v>5</v>
      </c>
      <c r="F42" s="317">
        <f>AVERAGE('Нормативное соответствие'!F50:F73)</f>
        <v>5</v>
      </c>
      <c r="G42" s="318" t="e">
        <f>AVERAGE(G50:G73)</f>
        <v>#DIV/0!</v>
      </c>
      <c r="H42" s="318" t="e">
        <f>AVERAGE(H50:H73)</f>
        <v>#DIV/0!</v>
      </c>
      <c r="I42" s="318" t="e">
        <f>AVERAGE(I50:I73)</f>
        <v>#DIV/0!</v>
      </c>
      <c r="J42" s="319" t="e">
        <f>AVERAGE('Нормативное соответствие'!J50:J73)</f>
        <v>#DIV/0!</v>
      </c>
      <c r="K42" s="318">
        <f>AVERAGE('Нормативное соответствие'!K50:K73)</f>
        <v>5</v>
      </c>
      <c r="L42" s="318">
        <f>AVERAGE('Нормативное соответствие'!L50:L73)</f>
        <v>0</v>
      </c>
      <c r="M42" s="214"/>
      <c r="N42" s="215"/>
      <c r="O42" s="215"/>
      <c r="P42" s="217">
        <f>AVERAGE('Нормативное соответствие'!P50:P73)</f>
        <v>0</v>
      </c>
      <c r="Q42" s="217">
        <f>AVERAGE('Нормативное соответствие'!Q50:Q73)</f>
        <v>0</v>
      </c>
      <c r="R42" s="217">
        <f>AVERAGE('Нормативное соответствие'!R50:R73)</f>
        <v>0</v>
      </c>
      <c r="S42" s="204"/>
    </row>
    <row r="43" spans="2:27">
      <c r="B43" s="218" t="str">
        <f>B74</f>
        <v>КИИ</v>
      </c>
      <c r="C43" s="218" t="str">
        <f>C74</f>
        <v>КИИ</v>
      </c>
      <c r="D43" s="315">
        <f>AVERAGE('Нормативное соответствие'!D75:D89)*IF(КИИ="да",1,0)</f>
        <v>5</v>
      </c>
      <c r="E43" s="316">
        <f>AVERAGE('Нормативное соответствие'!E75:E89)*IF(КИИ="да",1,0)</f>
        <v>5</v>
      </c>
      <c r="F43" s="317">
        <f>AVERAGE('Нормативное соответствие'!F75:F89)*IF(КИИ="да",1,0)</f>
        <v>2.8800000000000003</v>
      </c>
      <c r="G43" s="318" t="e">
        <f>AVERAGE('Нормативное соответствие'!G75:G87)</f>
        <v>#DIV/0!</v>
      </c>
      <c r="H43" s="318" t="e">
        <f>AVERAGE('Нормативное соответствие'!H75:H87)</f>
        <v>#DIV/0!</v>
      </c>
      <c r="I43" s="318" t="e">
        <f>AVERAGE('Нормативное соответствие'!I75:I87)</f>
        <v>#DIV/0!</v>
      </c>
      <c r="J43" s="319" t="e">
        <f>AVERAGE('Нормативное соответствие'!J75:J87)</f>
        <v>#DIV/0!</v>
      </c>
      <c r="K43" s="318">
        <f>AVERAGE('Нормативное соответствие'!K75:K89)</f>
        <v>5</v>
      </c>
      <c r="L43" s="318">
        <f>AVERAGE('Нормативное соответствие'!L75:L89)*IF(КИИ="да",1,0)</f>
        <v>0</v>
      </c>
      <c r="M43" s="214"/>
      <c r="N43" s="215"/>
      <c r="O43" s="215"/>
      <c r="P43" s="217">
        <f>IF(ЗОКИИ="да", AVERAGE('Нормативное соответствие'!P75:P89),  AVERAGE(P75,P76,P77,P78,P79,P80,P83,P88,P89))</f>
        <v>0</v>
      </c>
      <c r="Q43" s="217">
        <f>IF(ЗОКИИ="да", AVERAGE('Нормативное соответствие'!Q75:Q89),  AVERAGE(Q75,Q76,Q77,Q78,Q79,Q80,Q83,Q88,Q89))</f>
        <v>0</v>
      </c>
      <c r="R43" s="217">
        <f>IF(ЗОКИИ="да", AVERAGE('Нормативное соответствие'!R75:R89),  AVERAGE(R75,R76,R77,R78,R79,R80,R83,R88,R89))</f>
        <v>0</v>
      </c>
      <c r="S43" s="204"/>
    </row>
    <row r="44" spans="2:27">
      <c r="B44" s="218" t="str">
        <f>B90</f>
        <v>Коммерческая тайна</v>
      </c>
      <c r="C44" s="218" t="str">
        <f>C90</f>
        <v>КТ</v>
      </c>
      <c r="D44" s="315">
        <f>AVERAGE('Нормативное соответствие'!D91:D98)*IF(КТ="да",1,0)</f>
        <v>5</v>
      </c>
      <c r="E44" s="316">
        <f>AVERAGE('Нормативное соответствие'!E91:E98)*IF(КТ="да",1,0)</f>
        <v>5</v>
      </c>
      <c r="F44" s="317">
        <f>AVERAGE('Нормативное соответствие'!F91:F98)*IF(КТ="да",1,0)</f>
        <v>5</v>
      </c>
      <c r="G44" s="318" t="e">
        <f>AVERAGE('Нормативное соответствие'!G91:G98)</f>
        <v>#DIV/0!</v>
      </c>
      <c r="H44" s="318" t="e">
        <f>AVERAGE('Нормативное соответствие'!H91:H98)</f>
        <v>#DIV/0!</v>
      </c>
      <c r="I44" s="318" t="e">
        <f>AVERAGE('Нормативное соответствие'!I91:I98)</f>
        <v>#DIV/0!</v>
      </c>
      <c r="J44" s="319" t="e">
        <f>AVERAGE('Нормативное соответствие'!J91:J98)</f>
        <v>#DIV/0!</v>
      </c>
      <c r="K44" s="318">
        <f>AVERAGE('Нормативное соответствие'!K91:K98)</f>
        <v>5</v>
      </c>
      <c r="L44" s="318">
        <f>AVERAGE('Нормативное соответствие'!L91:L98)*IF(КТ="да",1,0)</f>
        <v>0</v>
      </c>
      <c r="M44" s="214"/>
      <c r="N44" s="215"/>
      <c r="O44" s="215"/>
      <c r="P44" s="217">
        <f>AVERAGE('Нормативное соответствие'!P91:P98)</f>
        <v>0</v>
      </c>
      <c r="Q44" s="217">
        <f>AVERAGE('Нормативное соответствие'!Q91:Q98)</f>
        <v>0</v>
      </c>
      <c r="R44" s="217">
        <f>AVERAGE('Нормативное соответствие'!R91:R98)</f>
        <v>0</v>
      </c>
      <c r="S44" s="204"/>
    </row>
    <row r="45" spans="2:27">
      <c r="B45" s="218" t="str">
        <f>B99</f>
        <v>Средства криптографической защиты информации (СКЗИ ГОСТ)</v>
      </c>
      <c r="C45" s="218" t="str">
        <f>C99</f>
        <v>СКЗИ</v>
      </c>
      <c r="D45" s="315">
        <f>AVERAGE('Нормативное соответствие'!D100:D109)*IF(СКЗИ="да",1,0)</f>
        <v>5</v>
      </c>
      <c r="E45" s="316">
        <f>AVERAGE('Нормативное соответствие'!E100:E109)*IF(СКЗИ="да",1,0)</f>
        <v>5</v>
      </c>
      <c r="F45" s="317">
        <f>AVERAGE('Нормативное соответствие'!F100:F109)*IF(СКЗИ="да",1,0)</f>
        <v>5</v>
      </c>
      <c r="G45" s="318" t="e">
        <f>AVERAGE(G100:G109)</f>
        <v>#DIV/0!</v>
      </c>
      <c r="H45" s="318" t="e">
        <f>AVERAGE(H100:H109)</f>
        <v>#DIV/0!</v>
      </c>
      <c r="I45" s="318" t="e">
        <f>AVERAGE(I100:I109)</f>
        <v>#DIV/0!</v>
      </c>
      <c r="J45" s="319" t="e">
        <f>AVERAGE(J100:J109)</f>
        <v>#DIV/0!</v>
      </c>
      <c r="K45" s="318">
        <f>AVERAGE(K100:K109)</f>
        <v>5</v>
      </c>
      <c r="L45" s="318">
        <f>AVERAGE(L100:L109)*IF(СКЗИ="да",1,0)</f>
        <v>0</v>
      </c>
      <c r="M45" s="214"/>
      <c r="N45" s="215"/>
      <c r="O45" s="215"/>
      <c r="P45" s="217">
        <f>AVERAGE(P100:P109)</f>
        <v>0</v>
      </c>
      <c r="Q45" s="217">
        <f>AVERAGE(Q100:Q109)</f>
        <v>0</v>
      </c>
      <c r="R45" s="217">
        <f>AVERAGE(R100:R109)</f>
        <v>0</v>
      </c>
      <c r="S45" s="204"/>
    </row>
    <row r="46" spans="2:27">
      <c r="B46" s="233" t="str">
        <f>B110</f>
        <v>250 указ</v>
      </c>
      <c r="C46" s="320">
        <f>C110</f>
        <v>250</v>
      </c>
      <c r="D46" s="321">
        <f>AVERAGE('Нормативное соответствие'!D111:D115)*IF(КИИ="да",1,0)</f>
        <v>5</v>
      </c>
      <c r="E46" s="322">
        <f>AVERAGE('Нормативное соответствие'!E111:E115)*IF(КИИ="да",1,0)</f>
        <v>5</v>
      </c>
      <c r="F46" s="323">
        <f>AVERAGE('Нормативное соответствие'!F111:F115)*IF(КИИ="да",1,0)</f>
        <v>5</v>
      </c>
      <c r="G46" s="324" t="e">
        <f>AVERAGE('Нормативное соответствие'!G111:G115)</f>
        <v>#DIV/0!</v>
      </c>
      <c r="H46" s="324" t="e">
        <f>AVERAGE('Нормативное соответствие'!H111:H115)</f>
        <v>#DIV/0!</v>
      </c>
      <c r="I46" s="324" t="e">
        <f>AVERAGE('Нормативное соответствие'!I111:I115)</f>
        <v>#DIV/0!</v>
      </c>
      <c r="J46" s="325" t="e">
        <f>AVERAGE('Нормативное соответствие'!J111:J115)</f>
        <v>#DIV/0!</v>
      </c>
      <c r="K46" s="324">
        <f>AVERAGE('Нормативное соответствие'!K111:K115)</f>
        <v>5</v>
      </c>
      <c r="L46" s="324">
        <f>AVERAGE('Нормативное соответствие'!L111:L115)*IF(КИИ="да",1,0)</f>
        <v>0</v>
      </c>
      <c r="M46" s="214"/>
      <c r="N46" s="215"/>
      <c r="O46" s="215"/>
      <c r="P46" s="217">
        <f>AVERAGE('Нормативное соответствие'!P111:P115)</f>
        <v>0</v>
      </c>
      <c r="Q46" s="217">
        <f>AVERAGE('Нормативное соответствие'!Q111:Q115)</f>
        <v>0</v>
      </c>
      <c r="R46" s="217">
        <f>AVERAGE('Нормативное соответствие'!R111:R115)</f>
        <v>0</v>
      </c>
      <c r="S46" s="204"/>
    </row>
    <row r="47" spans="2:27">
      <c r="B47" s="204"/>
      <c r="C47" s="204"/>
      <c r="D47" s="220"/>
      <c r="E47" s="221"/>
      <c r="F47" s="222"/>
      <c r="G47" s="50"/>
      <c r="H47" s="50"/>
      <c r="I47" s="50"/>
      <c r="J47" s="50"/>
      <c r="K47" s="50"/>
      <c r="L47" s="50"/>
      <c r="M47" s="214"/>
      <c r="N47" s="215"/>
      <c r="O47" s="215"/>
      <c r="P47" s="204"/>
      <c r="Q47" s="204"/>
      <c r="R47" s="204"/>
      <c r="S47" s="204"/>
    </row>
    <row r="48" spans="2:27">
      <c r="B48" s="204"/>
      <c r="C48" s="204"/>
      <c r="D48" s="242"/>
      <c r="E48" s="242"/>
      <c r="F48" s="242"/>
      <c r="G48" s="242"/>
      <c r="H48" s="204"/>
      <c r="I48" s="204"/>
      <c r="J48" s="204"/>
      <c r="K48" s="204"/>
      <c r="L48" s="204"/>
      <c r="M48" s="243" t="s">
        <v>515</v>
      </c>
      <c r="N48" s="244" t="s">
        <v>324</v>
      </c>
      <c r="O48" s="326" t="s">
        <v>325</v>
      </c>
      <c r="P48" s="327"/>
      <c r="Q48" s="327"/>
      <c r="R48" s="327"/>
      <c r="S48" s="247" t="s">
        <v>80</v>
      </c>
      <c r="T48" s="247" t="s">
        <v>326</v>
      </c>
      <c r="U48" s="248" t="s">
        <v>1315</v>
      </c>
      <c r="V48" s="248" t="s">
        <v>80</v>
      </c>
      <c r="W48" s="248" t="s">
        <v>327</v>
      </c>
      <c r="X48" s="248" t="s">
        <v>1316</v>
      </c>
      <c r="Y48" s="248" t="s">
        <v>80</v>
      </c>
      <c r="Z48" s="247" t="s">
        <v>328</v>
      </c>
      <c r="AA48" s="248" t="s">
        <v>1317</v>
      </c>
    </row>
    <row r="49" spans="2:27">
      <c r="B49" s="249" t="s">
        <v>516</v>
      </c>
      <c r="C49" s="21" t="s">
        <v>323</v>
      </c>
      <c r="D49" s="21"/>
      <c r="E49" s="21"/>
      <c r="F49" s="21"/>
      <c r="G49" s="328"/>
      <c r="H49" s="21"/>
      <c r="I49" s="21"/>
      <c r="J49" s="21"/>
      <c r="K49" s="21"/>
      <c r="L49" s="21"/>
      <c r="M49" s="21"/>
      <c r="N49" s="251"/>
      <c r="O49" s="251"/>
      <c r="P49" s="21"/>
      <c r="Q49" s="21"/>
      <c r="R49" s="21"/>
      <c r="S49" s="247">
        <f>VLOOKUP(B49,Приоритет!$G$9:$K$52,5,0)</f>
        <v>26</v>
      </c>
      <c r="T49" s="21" t="s">
        <v>517</v>
      </c>
      <c r="U49" s="21"/>
      <c r="V49" s="21">
        <f>S49+200</f>
        <v>226</v>
      </c>
      <c r="W49" s="21" t="s">
        <v>517</v>
      </c>
      <c r="X49" s="21"/>
      <c r="Y49" s="21">
        <f>S49+300</f>
        <v>326</v>
      </c>
      <c r="Z49" s="21" t="s">
        <v>517</v>
      </c>
      <c r="AA49" s="21"/>
    </row>
    <row r="50" spans="2:27" ht="57.6" outlineLevel="2">
      <c r="B50" s="254" t="s">
        <v>518</v>
      </c>
      <c r="C50" s="254" t="s">
        <v>519</v>
      </c>
      <c r="D50" s="256">
        <v>5</v>
      </c>
      <c r="E50" s="257">
        <v>5</v>
      </c>
      <c r="F50" s="258">
        <v>5</v>
      </c>
      <c r="G50" s="128"/>
      <c r="H50" s="128"/>
      <c r="I50" s="128"/>
      <c r="J50" s="259"/>
      <c r="K50" s="260">
        <f t="shared" ref="K50:K98" si="0">IF(ЦУКБ="КБ 1",F50, IF(ЦУКБ="КБ 2",E50,D50))</f>
        <v>5</v>
      </c>
      <c r="L50" s="128">
        <f t="shared" ref="L50:L98" si="1">VALUE(LEFT(N50,3))</f>
        <v>0</v>
      </c>
      <c r="M50">
        <f t="shared" ref="M50:M103" si="2">L50-K50</f>
        <v>-5</v>
      </c>
      <c r="N50" s="261" t="s">
        <v>331</v>
      </c>
      <c r="O50" s="215"/>
      <c r="P50" s="262">
        <f t="shared" ref="P50:P73" si="3">IFERROR(IF($L50&gt;D50,1,$L50/D50),0)</f>
        <v>0</v>
      </c>
      <c r="Q50" s="262">
        <f t="shared" ref="Q50:Q73" si="4">IFERROR(IF($L50&gt;E50,1,$L50/E50),0)</f>
        <v>0</v>
      </c>
      <c r="R50" s="262">
        <f t="shared" ref="R50:R73" si="5">IFERROR(IF($L50&gt;=F50,1,$L50/F50),0)</f>
        <v>0</v>
      </c>
      <c r="S50" s="263">
        <f t="shared" ref="S50:S73" si="6">S49+0.01</f>
        <v>26.01</v>
      </c>
      <c r="T50" s="266" t="str">
        <f>IF(($L50-$F50)&gt;=0,"",
" -  Разработать и утвердить Политику по обработке персональных данных в Обществе 
   -  Обеспечить регулярную проверку актуальности Политики по обработке персональных данных в Обществе и её соответствия действующим нормам законодательства")</f>
        <v xml:space="preserve"> -  Разработать и утвердить Политику по обработке персональных данных в Обществе 
   -  Обеспечить регулярную проверку актуальности Политики по обработке персональных данных в Обществе и её соответствия действующим нормам законодательства</v>
      </c>
      <c r="U50" s="642" t="s">
        <v>176</v>
      </c>
      <c r="V50" s="263">
        <f t="shared" ref="V50:V73" si="7">V49+0.01</f>
        <v>226.01</v>
      </c>
      <c r="W50" s="265" t="str">
        <f t="shared" ref="W50:W83" si="8">IF(($L50-$E50)&gt;=0,"","")</f>
        <v/>
      </c>
      <c r="X50" s="642"/>
      <c r="Y50" s="263">
        <f t="shared" ref="Y50:Y73" si="9">Y49+0.01</f>
        <v>326.01</v>
      </c>
      <c r="Z50" s="265" t="str">
        <f t="shared" ref="Z50:Z98" si="10">IF(($L50-$D50)&gt;=0,"","")</f>
        <v/>
      </c>
      <c r="AA50" s="265"/>
    </row>
    <row r="51" spans="2:27" ht="115.2" outlineLevel="2">
      <c r="B51" s="254" t="s">
        <v>520</v>
      </c>
      <c r="C51" s="254" t="s">
        <v>521</v>
      </c>
      <c r="D51" s="256">
        <v>5</v>
      </c>
      <c r="E51" s="257">
        <v>5</v>
      </c>
      <c r="F51" s="258">
        <v>5</v>
      </c>
      <c r="G51" s="128"/>
      <c r="H51" s="128"/>
      <c r="I51" s="128"/>
      <c r="J51" s="259"/>
      <c r="K51" s="260">
        <f t="shared" si="0"/>
        <v>5</v>
      </c>
      <c r="L51" s="128">
        <f t="shared" si="1"/>
        <v>0</v>
      </c>
      <c r="M51">
        <f t="shared" si="2"/>
        <v>-5</v>
      </c>
      <c r="N51" s="261" t="s">
        <v>331</v>
      </c>
      <c r="O51" s="215"/>
      <c r="P51" s="262">
        <f t="shared" si="3"/>
        <v>0</v>
      </c>
      <c r="Q51" s="262">
        <f t="shared" si="4"/>
        <v>0</v>
      </c>
      <c r="R51" s="262">
        <f t="shared" si="5"/>
        <v>0</v>
      </c>
      <c r="S51" s="263">
        <f t="shared" si="6"/>
        <v>26.020000000000003</v>
      </c>
      <c r="T51" s="266" t="str">
        <f>IF(($L51-$F51)&gt;=0,"",
"  -  Разместить Политику по обработке персональных данных в Организации (или выписку из неё) на веб-сайте Организации;
    -  Разместить печатную версию Политики по обработке персональных данных в Организации в общедоступной части офиса Организации;"&amp;"
    -  Обеспечить ознакомление всех работников Организации с Политикой по обработке персональных"&amp;" данных в Организации (с возможностью подтверждения такого ознакомления - посредством системы электронного документооборота или под роспись на бумажном носителе")</f>
        <v xml:space="preserve">  -  Разместить Политику по обработке персональных данных в Организации (или выписку из неё) на веб-сайте Организации;
    -  Разместить печатную версию Политики по обработке персональных данных в Организации в общедоступной части офиса Организации;
    -  Обеспечить ознакомление всех работников Организации с Политикой по обработке персональных данных в Организации (с возможностью подтверждения такого ознакомления - посредством системы электронного документооборота или под роспись на бумажном носителе</v>
      </c>
      <c r="U51" s="642" t="s">
        <v>177</v>
      </c>
      <c r="V51" s="263">
        <f t="shared" si="7"/>
        <v>226.01999999999998</v>
      </c>
      <c r="W51" s="265" t="str">
        <f t="shared" si="8"/>
        <v/>
      </c>
      <c r="X51" s="642"/>
      <c r="Y51" s="263">
        <f t="shared" si="9"/>
        <v>326.02</v>
      </c>
      <c r="Z51" s="265" t="str">
        <f t="shared" si="10"/>
        <v/>
      </c>
      <c r="AA51" s="265"/>
    </row>
    <row r="52" spans="2:27" s="271" customFormat="1" ht="78" outlineLevel="2">
      <c r="B52" s="254" t="s">
        <v>522</v>
      </c>
      <c r="C52" s="254" t="s">
        <v>523</v>
      </c>
      <c r="D52" s="256">
        <v>5</v>
      </c>
      <c r="E52" s="257">
        <v>5</v>
      </c>
      <c r="F52" s="258">
        <v>5</v>
      </c>
      <c r="G52" s="128"/>
      <c r="H52" s="128"/>
      <c r="I52" s="128"/>
      <c r="J52" s="259"/>
      <c r="K52" s="260">
        <f t="shared" si="0"/>
        <v>5</v>
      </c>
      <c r="L52" s="128">
        <f t="shared" si="1"/>
        <v>0</v>
      </c>
      <c r="M52">
        <f t="shared" si="2"/>
        <v>-5</v>
      </c>
      <c r="N52" s="261" t="s">
        <v>331</v>
      </c>
      <c r="O52" s="215"/>
      <c r="P52" s="262">
        <f t="shared" si="3"/>
        <v>0</v>
      </c>
      <c r="Q52" s="262">
        <f t="shared" si="4"/>
        <v>0</v>
      </c>
      <c r="R52" s="262">
        <f t="shared" si="5"/>
        <v>0</v>
      </c>
      <c r="S52" s="263">
        <f t="shared" si="6"/>
        <v>26.030000000000005</v>
      </c>
      <c r="T52" s="266" t="str">
        <f>IF(($L52-$F52)&gt;=0,"",
"  -  Разработать и утвердить Приказ о назначении лица, ответственного за организацию обработки персональных данных.")</f>
        <v xml:space="preserve">  -  Разработать и утвердить Приказ о назначении лица, ответственного за организацию обработки персональных данных.</v>
      </c>
      <c r="U52" s="642" t="s">
        <v>178</v>
      </c>
      <c r="V52" s="263">
        <f t="shared" si="7"/>
        <v>226.02999999999997</v>
      </c>
      <c r="W52" s="265" t="str">
        <f t="shared" si="8"/>
        <v/>
      </c>
      <c r="X52" s="642"/>
      <c r="Y52" s="263">
        <f t="shared" si="9"/>
        <v>326.02999999999997</v>
      </c>
      <c r="Z52" s="265" t="str">
        <f t="shared" si="10"/>
        <v/>
      </c>
      <c r="AA52" s="265"/>
    </row>
    <row r="53" spans="2:27" ht="41.4" outlineLevel="2">
      <c r="B53" s="254" t="s">
        <v>524</v>
      </c>
      <c r="C53" s="254" t="s">
        <v>525</v>
      </c>
      <c r="D53" s="256">
        <v>5</v>
      </c>
      <c r="E53" s="257">
        <v>5</v>
      </c>
      <c r="F53" s="258">
        <v>5</v>
      </c>
      <c r="G53" s="128"/>
      <c r="H53" s="128"/>
      <c r="I53" s="128"/>
      <c r="J53" s="259"/>
      <c r="K53" s="260">
        <f t="shared" si="0"/>
        <v>5</v>
      </c>
      <c r="L53" s="128">
        <f t="shared" si="1"/>
        <v>0</v>
      </c>
      <c r="M53">
        <f t="shared" si="2"/>
        <v>-5</v>
      </c>
      <c r="N53" s="261" t="s">
        <v>331</v>
      </c>
      <c r="O53" s="215"/>
      <c r="P53" s="262">
        <f t="shared" si="3"/>
        <v>0</v>
      </c>
      <c r="Q53" s="262">
        <f t="shared" si="4"/>
        <v>0</v>
      </c>
      <c r="R53" s="262">
        <f t="shared" si="5"/>
        <v>0</v>
      </c>
      <c r="S53" s="263">
        <f t="shared" si="6"/>
        <v>26.040000000000006</v>
      </c>
      <c r="T53" s="266" t="str">
        <f>IF(($L53-$F53)&gt;=0,"",
" - Разработать и направить в Роскомнадзор Уведомление об обработке персональных данных")</f>
        <v xml:space="preserve"> - Разработать и направить в Роскомнадзор Уведомление об обработке персональных данных</v>
      </c>
      <c r="U53" s="642" t="s">
        <v>179</v>
      </c>
      <c r="V53" s="263">
        <f t="shared" si="7"/>
        <v>226.03999999999996</v>
      </c>
      <c r="W53" s="265" t="str">
        <f t="shared" si="8"/>
        <v/>
      </c>
      <c r="X53" s="642"/>
      <c r="Y53" s="263">
        <f t="shared" si="9"/>
        <v>326.03999999999996</v>
      </c>
      <c r="Z53" s="265" t="str">
        <f t="shared" si="10"/>
        <v/>
      </c>
      <c r="AA53" s="265"/>
    </row>
    <row r="54" spans="2:27" ht="115.2" outlineLevel="2">
      <c r="B54" s="254" t="s">
        <v>526</v>
      </c>
      <c r="C54" s="254" t="s">
        <v>527</v>
      </c>
      <c r="D54" s="256">
        <v>5</v>
      </c>
      <c r="E54" s="257">
        <v>5</v>
      </c>
      <c r="F54" s="258">
        <v>5</v>
      </c>
      <c r="G54" s="128"/>
      <c r="H54" s="128"/>
      <c r="I54" s="128"/>
      <c r="J54" s="259"/>
      <c r="K54" s="260">
        <f t="shared" si="0"/>
        <v>5</v>
      </c>
      <c r="L54" s="128">
        <f t="shared" si="1"/>
        <v>0</v>
      </c>
      <c r="M54">
        <f t="shared" si="2"/>
        <v>-5</v>
      </c>
      <c r="N54" s="261" t="s">
        <v>331</v>
      </c>
      <c r="O54" s="215"/>
      <c r="P54" s="262">
        <f t="shared" si="3"/>
        <v>0</v>
      </c>
      <c r="Q54" s="262">
        <f t="shared" si="4"/>
        <v>0</v>
      </c>
      <c r="R54" s="262">
        <f t="shared" si="5"/>
        <v>0</v>
      </c>
      <c r="S54" s="263">
        <f t="shared" si="6"/>
        <v>26.050000000000008</v>
      </c>
      <c r="T54" s="266" t="str">
        <f>IF(($L54-$F54)&gt;=0,"",
" -  Провести процедуру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организации;"&amp;"
  -  В случае выявления необходимости, актуализировать и направить повторно Уведомление в Роскомнадзор;"&amp;"
  -  Запланировать регулярный процесс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 и подачи актуальных сведений в Роскомнадзор")</f>
        <v xml:space="preserve"> -  Провести процедуру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
  -  В случае выявления необходимости, актуализировать и направить повторно Уведомление в Роскомнадзор;
  -  Запланировать регулярный процесс сверки указанных в Уведомлении об обработке персональных данных сведений и реально существующих процессов обработки персональных данных в организации и подачи актуальных сведений в Роскомнадзор</v>
      </c>
      <c r="U54" s="642" t="s">
        <v>179</v>
      </c>
      <c r="V54" s="263">
        <f t="shared" si="7"/>
        <v>226.04999999999995</v>
      </c>
      <c r="W54" s="265" t="str">
        <f t="shared" si="8"/>
        <v/>
      </c>
      <c r="X54" s="642"/>
      <c r="Y54" s="263">
        <f t="shared" si="9"/>
        <v>326.04999999999995</v>
      </c>
      <c r="Z54" s="265" t="str">
        <f t="shared" si="10"/>
        <v/>
      </c>
      <c r="AA54" s="265"/>
    </row>
    <row r="55" spans="2:27" ht="144" outlineLevel="2">
      <c r="B55" s="254" t="s">
        <v>528</v>
      </c>
      <c r="C55" s="254" t="s">
        <v>529</v>
      </c>
      <c r="D55" s="256">
        <v>5</v>
      </c>
      <c r="E55" s="257">
        <v>5</v>
      </c>
      <c r="F55" s="258">
        <v>5</v>
      </c>
      <c r="G55" s="128"/>
      <c r="H55" s="128"/>
      <c r="I55" s="128"/>
      <c r="J55" s="259"/>
      <c r="K55" s="260">
        <f t="shared" si="0"/>
        <v>5</v>
      </c>
      <c r="L55" s="128">
        <f t="shared" si="1"/>
        <v>0</v>
      </c>
      <c r="M55">
        <f t="shared" si="2"/>
        <v>-5</v>
      </c>
      <c r="N55" s="261" t="s">
        <v>349</v>
      </c>
      <c r="O55" s="215"/>
      <c r="P55" s="262">
        <f t="shared" si="3"/>
        <v>0</v>
      </c>
      <c r="Q55" s="262">
        <f t="shared" si="4"/>
        <v>0</v>
      </c>
      <c r="R55" s="262">
        <f t="shared" si="5"/>
        <v>0</v>
      </c>
      <c r="S55" s="263">
        <f t="shared" si="6"/>
        <v>26.060000000000009</v>
      </c>
      <c r="T55" s="266" t="str">
        <f>IF(($L55-$F55)&gt;=0,"",
" - Провести процедуру определения оснований для обработки персональных данных для каждой заявленной в ВНД организации цели их обработки;"&amp;"
   -  Разработать формы Согласия на обработку персональных данных от субъекта персональных данных для всех случаев (целей) обработки персональных данных в организации, для которых отсутствует иное законное основание;"&amp;"
   -  Обеспечить сбор Согласий на обработку персональных данных от субъектов персональных данных согласно разработанным формам;"&amp;"
   - Разработать процесс учета и хранения Согласий на обработку персональных данных от субъектов персональных данных для всех случаев (целей) обработки персональных данных в организации")</f>
        <v xml:space="preserve"> - Провести процедуру определения оснований для обработки персональных данных для каждой заявленной в ВНД организации цели их обработки;
   -  Разработать формы Согласия на обработку персональных данных от субъекта персональных данных для всех случаев (целей) обработки персональных данных в организации, для которых отсутствует иное законное основание;
   -  Обеспечить сбор Согласий на обработку персональных данных от субъектов персональных данных согласно разработанным формам;
   - Разработать процесс учета и хранения Согласий на обработку персональных данных от субъектов персональных данных для всех случаев (целей) обработки персональных данных в организации</v>
      </c>
      <c r="U55" s="642" t="s">
        <v>180</v>
      </c>
      <c r="V55" s="263">
        <f t="shared" si="7"/>
        <v>226.05999999999995</v>
      </c>
      <c r="W55" s="265" t="str">
        <f t="shared" si="8"/>
        <v/>
      </c>
      <c r="X55" s="642"/>
      <c r="Y55" s="263">
        <f t="shared" si="9"/>
        <v>326.05999999999995</v>
      </c>
      <c r="Z55" s="265" t="str">
        <f t="shared" si="10"/>
        <v/>
      </c>
      <c r="AA55" s="265"/>
    </row>
    <row r="56" spans="2:27" ht="201.6" outlineLevel="2">
      <c r="B56" s="254" t="s">
        <v>530</v>
      </c>
      <c r="C56" s="254" t="s">
        <v>531</v>
      </c>
      <c r="D56" s="256">
        <v>5</v>
      </c>
      <c r="E56" s="257">
        <v>5</v>
      </c>
      <c r="F56" s="258">
        <v>5</v>
      </c>
      <c r="G56" s="128"/>
      <c r="H56" s="128"/>
      <c r="I56" s="128"/>
      <c r="J56" s="259"/>
      <c r="K56" s="260">
        <f t="shared" si="0"/>
        <v>5</v>
      </c>
      <c r="L56" s="128">
        <f t="shared" si="1"/>
        <v>0</v>
      </c>
      <c r="M56">
        <f t="shared" si="2"/>
        <v>-5</v>
      </c>
      <c r="N56" s="261" t="s">
        <v>331</v>
      </c>
      <c r="O56" s="215"/>
      <c r="P56" s="262">
        <f t="shared" si="3"/>
        <v>0</v>
      </c>
      <c r="Q56" s="262">
        <f t="shared" si="4"/>
        <v>0</v>
      </c>
      <c r="R56" s="262">
        <f t="shared" si="5"/>
        <v>0</v>
      </c>
      <c r="S56" s="263">
        <f t="shared" si="6"/>
        <v>26.070000000000011</v>
      </c>
      <c r="T56" s="266" t="str">
        <f>IF(($L56-$F56)&gt;=0,"",
" -  Разработать или получить в Блоке ИБ ПАО Ростелеком типовую форму Согласия на передачу персональных данных работника;"&amp;"
   -  Провести аудит процессов обработки персональных данных работников с целью выявления случаев их передачи третьим лицам;"&amp;"
   -  Проанализировать выявленные случаи передачи персональных данных работников третьим лицам на предмет отсеивания случаев, когда такая передача осуществляется в целях соблюдения законодательства Российской федерации;"&amp;"
   -  Адаптировать форму Согласия на передачу персональных данных работника для выявленных случаев, не имеющих правовых оснований для передачи;"&amp;"
   -  Разработать процесс учета и хранения Согласий на передачу персональных данных работников третьим лицам;"&amp;"
   -  Разработать и внедрить процедуру адаптации формы Согласия на передачу персональных данных работников третьим лицам для всех вновь возникающих в организации случаев такой передачи.")</f>
        <v xml:space="preserve"> -  Разработать или получить в Блоке ИБ ПАО Ростелеком типовую форму Согласия на передачу персональных данных работника;
   -  Провести аудит процессов обработки персональных данных работников с целью выявления случаев их передачи третьим лицам;
   -  Проанализировать выявленные случаи передачи персональных данных работников третьим лицам на предмет отсеивания случаев, когда такая передача осуществляется в целях соблюдения законодательства Российской федерации;
   -  Адаптировать форму Согласия на передачу персональных данных работника для выявленных случаев, не имеющих правовых оснований для передачи;
   -  Разработать процесс учета и хранения Согласий на передачу персональных данных работников третьим лицам;
   -  Разработать и внедрить процедуру адаптации формы Согласия на передачу персональных данных работников третьим лицам для всех вновь возникающих в организации случаев такой передачи.</v>
      </c>
      <c r="U56" s="642" t="s">
        <v>181</v>
      </c>
      <c r="V56" s="263">
        <f t="shared" si="7"/>
        <v>226.06999999999994</v>
      </c>
      <c r="W56" s="265" t="str">
        <f t="shared" si="8"/>
        <v/>
      </c>
      <c r="X56" s="642"/>
      <c r="Y56" s="263">
        <f t="shared" si="9"/>
        <v>326.06999999999994</v>
      </c>
      <c r="Z56" s="265" t="str">
        <f t="shared" si="10"/>
        <v/>
      </c>
      <c r="AA56" s="265"/>
    </row>
    <row r="57" spans="2:27" ht="57.6" outlineLevel="2">
      <c r="B57" s="254" t="s">
        <v>532</v>
      </c>
      <c r="C57" s="254" t="s">
        <v>533</v>
      </c>
      <c r="D57" s="256">
        <v>5</v>
      </c>
      <c r="E57" s="257">
        <v>5</v>
      </c>
      <c r="F57" s="258">
        <v>5</v>
      </c>
      <c r="G57" s="128"/>
      <c r="H57" s="128"/>
      <c r="I57" s="128"/>
      <c r="J57" s="259"/>
      <c r="K57" s="260">
        <f t="shared" si="0"/>
        <v>5</v>
      </c>
      <c r="L57" s="128">
        <f t="shared" si="1"/>
        <v>0</v>
      </c>
      <c r="M57">
        <f t="shared" si="2"/>
        <v>-5</v>
      </c>
      <c r="N57" s="261" t="s">
        <v>331</v>
      </c>
      <c r="O57" s="215"/>
      <c r="P57" s="262">
        <f t="shared" si="3"/>
        <v>0</v>
      </c>
      <c r="Q57" s="262">
        <f t="shared" si="4"/>
        <v>0</v>
      </c>
      <c r="R57" s="262">
        <f t="shared" si="5"/>
        <v>0</v>
      </c>
      <c r="S57" s="263">
        <f t="shared" si="6"/>
        <v>26.080000000000013</v>
      </c>
      <c r="T57" s="266" t="str">
        <f>IF(($L57-$F57)&gt;=0,"",
" - Разработать Порядок отзыва субъектом персональных данных  согласия на обработку его персональных данных, определяющий процедуру и сроки прекращения обработки"&amp;" его персональных данных (блокирование, уничтожение) в случае невозможности обеспечения правомерности дальнейшей их обработки")</f>
        <v xml:space="preserve"> - Разработать Порядок отзыва субъектом персональных данных  согласия на обработку его персональных данных, определяющий процедуру и сроки прекращения обработки его персональных данных (блокирование, уничтожение) в случае невозможности обеспечения правомерности дальнейшей их обработки</v>
      </c>
      <c r="U57" s="642" t="s">
        <v>182</v>
      </c>
      <c r="V57" s="263">
        <f t="shared" si="7"/>
        <v>226.07999999999993</v>
      </c>
      <c r="W57" s="265" t="str">
        <f t="shared" si="8"/>
        <v/>
      </c>
      <c r="X57" s="642"/>
      <c r="Y57" s="263">
        <f t="shared" si="9"/>
        <v>326.07999999999993</v>
      </c>
      <c r="Z57" s="265" t="str">
        <f t="shared" si="10"/>
        <v/>
      </c>
      <c r="AA57" s="265"/>
    </row>
    <row r="58" spans="2:27" ht="86.4" outlineLevel="2">
      <c r="B58" s="254" t="s">
        <v>534</v>
      </c>
      <c r="C58" s="254" t="s">
        <v>535</v>
      </c>
      <c r="D58" s="256">
        <v>5</v>
      </c>
      <c r="E58" s="257">
        <v>5</v>
      </c>
      <c r="F58" s="258">
        <v>5</v>
      </c>
      <c r="G58" s="128"/>
      <c r="H58" s="128"/>
      <c r="I58" s="128"/>
      <c r="J58" s="259"/>
      <c r="K58" s="260">
        <f t="shared" si="0"/>
        <v>5</v>
      </c>
      <c r="L58" s="128">
        <f t="shared" si="1"/>
        <v>0</v>
      </c>
      <c r="M58">
        <f t="shared" si="2"/>
        <v>-5</v>
      </c>
      <c r="N58" s="261" t="s">
        <v>331</v>
      </c>
      <c r="O58" s="215"/>
      <c r="P58" s="262">
        <f t="shared" si="3"/>
        <v>0</v>
      </c>
      <c r="Q58" s="262">
        <f t="shared" si="4"/>
        <v>0</v>
      </c>
      <c r="R58" s="262">
        <f t="shared" si="5"/>
        <v>0</v>
      </c>
      <c r="S58" s="263">
        <f t="shared" si="6"/>
        <v>26.090000000000014</v>
      </c>
      <c r="T58" s="266" t="str">
        <f>IF(($L58-$F58)&gt;=0,"",
" -  Разработать или получить в Блоке ИБ ПАО Ростелеком типовую форму Обязательства о неразглашении конфиденциальной информации (персональных данных);"&amp;"
   -  Разработать процесс сбора Обязательств о неразглашении конфиденциальной информации (персональных данных) с  вновь устроившихся работников организации, либо подтверждения их ознакомления в с требованием о неразглашении в иной форме")</f>
        <v xml:space="preserve"> -  Разработать или получить в Блоке ИБ ПАО Ростелеком типовую форму Обязательства о неразглашении конфиденциальной информации (персональных данных);
   -  Разработать процесс сбора Обязательств о неразглашении конфиденциальной информации (персональных данных) с  вновь устроившихся работников организации, либо подтверждения их ознакомления в с требованием о неразглашении в иной форме</v>
      </c>
      <c r="U58" s="642" t="s">
        <v>183</v>
      </c>
      <c r="V58" s="263">
        <f t="shared" si="7"/>
        <v>226.08999999999992</v>
      </c>
      <c r="W58" s="265" t="str">
        <f t="shared" si="8"/>
        <v/>
      </c>
      <c r="X58" s="642"/>
      <c r="Y58" s="263">
        <f t="shared" si="9"/>
        <v>326.08999999999992</v>
      </c>
      <c r="Z58" s="265" t="str">
        <f t="shared" si="10"/>
        <v/>
      </c>
      <c r="AA58" s="265"/>
    </row>
    <row r="59" spans="2:27" ht="46.8" outlineLevel="2">
      <c r="B59" s="254" t="s">
        <v>536</v>
      </c>
      <c r="C59" s="254" t="s">
        <v>537</v>
      </c>
      <c r="D59" s="256">
        <v>5</v>
      </c>
      <c r="E59" s="257">
        <v>5</v>
      </c>
      <c r="F59" s="258">
        <v>5</v>
      </c>
      <c r="G59" s="128"/>
      <c r="H59" s="128"/>
      <c r="I59" s="128"/>
      <c r="J59" s="259"/>
      <c r="K59" s="260">
        <f t="shared" si="0"/>
        <v>5</v>
      </c>
      <c r="L59" s="128">
        <f t="shared" si="1"/>
        <v>0</v>
      </c>
      <c r="M59">
        <f t="shared" si="2"/>
        <v>-5</v>
      </c>
      <c r="N59" s="261" t="s">
        <v>331</v>
      </c>
      <c r="O59" s="215"/>
      <c r="P59" s="262">
        <f t="shared" si="3"/>
        <v>0</v>
      </c>
      <c r="Q59" s="262">
        <f t="shared" si="4"/>
        <v>0</v>
      </c>
      <c r="R59" s="262">
        <f t="shared" si="5"/>
        <v>0</v>
      </c>
      <c r="S59" s="267">
        <f t="shared" si="6"/>
        <v>26.100000000000016</v>
      </c>
      <c r="T59" s="266" t="str">
        <f>IF(($L59-$F59)&gt;=0,"",
" Разработать нормативный документ, в котором определены угрозы безопасности ПДн при их обработке в ИСПДн;"&amp;""
)</f>
        <v xml:space="preserve"> Разработать нормативный документ, в котором определены угрозы безопасности ПДн при их обработке в ИСПДн;</v>
      </c>
      <c r="U59" s="642" t="s">
        <v>184</v>
      </c>
      <c r="V59" s="267">
        <f t="shared" si="7"/>
        <v>226.09999999999991</v>
      </c>
      <c r="W59" s="265" t="str">
        <f t="shared" si="8"/>
        <v/>
      </c>
      <c r="X59" s="642"/>
      <c r="Y59" s="267">
        <f t="shared" si="9"/>
        <v>326.09999999999991</v>
      </c>
      <c r="Z59" s="265" t="str">
        <f t="shared" si="10"/>
        <v/>
      </c>
      <c r="AA59" s="265"/>
    </row>
    <row r="60" spans="2:27" ht="86.4" outlineLevel="2">
      <c r="B60" s="254" t="s">
        <v>538</v>
      </c>
      <c r="C60" s="254" t="s">
        <v>539</v>
      </c>
      <c r="D60" s="256">
        <v>5</v>
      </c>
      <c r="E60" s="257">
        <v>5</v>
      </c>
      <c r="F60" s="258">
        <v>5</v>
      </c>
      <c r="G60" s="128"/>
      <c r="H60" s="128"/>
      <c r="I60" s="128"/>
      <c r="J60" s="259"/>
      <c r="K60" s="260">
        <f t="shared" si="0"/>
        <v>5</v>
      </c>
      <c r="L60" s="128">
        <f t="shared" si="1"/>
        <v>0</v>
      </c>
      <c r="M60">
        <f t="shared" si="2"/>
        <v>-5</v>
      </c>
      <c r="N60" s="261" t="s">
        <v>331</v>
      </c>
      <c r="O60" s="215"/>
      <c r="P60" s="262">
        <f t="shared" si="3"/>
        <v>0</v>
      </c>
      <c r="Q60" s="262">
        <f t="shared" si="4"/>
        <v>0</v>
      </c>
      <c r="R60" s="262">
        <f t="shared" si="5"/>
        <v>0</v>
      </c>
      <c r="S60" s="263">
        <f t="shared" si="6"/>
        <v>26.110000000000017</v>
      </c>
      <c r="T60" s="266" t="str">
        <f>IF(($L60-$F60)&gt;=0,"",
" - Разработать и направить в Роскомнадзор Уведомление о намерении осуществлять трансграничную передачу персональных данных (при наличии такого вида обработки);"&amp;"
  -  Разработать процесс внесения изменений в Уведомление Роскомнадзора о намерении осуществлять трансграничную передачу персональных данных для всех новых организуемых бизнес-процессов, предусматривающих трансграничную передачу персональных данных ")</f>
        <v xml:space="preserve"> - Разработать и направить в Роскомнадзор Уведомление о намерении осуществлять трансграничную передачу персональных данных (при наличии такого вида обработки);
  -  Разработать процесс внесения изменений в Уведомление Роскомнадзора о намерении осуществлять трансграничную передачу персональных данных для всех новых организуемых бизнес-процессов, предусматривающих трансграничную передачу персональных данных </v>
      </c>
      <c r="U60" s="642" t="s">
        <v>185</v>
      </c>
      <c r="V60" s="263">
        <f t="shared" si="7"/>
        <v>226.1099999999999</v>
      </c>
      <c r="W60" s="265" t="str">
        <f t="shared" si="8"/>
        <v/>
      </c>
      <c r="X60" s="642"/>
      <c r="Y60" s="263">
        <f t="shared" si="9"/>
        <v>326.1099999999999</v>
      </c>
      <c r="Z60" s="265" t="str">
        <f t="shared" si="10"/>
        <v/>
      </c>
      <c r="AA60" s="265"/>
    </row>
    <row r="61" spans="2:27" ht="129.6" outlineLevel="2">
      <c r="B61" s="254" t="s">
        <v>540</v>
      </c>
      <c r="C61" s="254" t="s">
        <v>541</v>
      </c>
      <c r="D61" s="256">
        <v>5</v>
      </c>
      <c r="E61" s="257">
        <v>5</v>
      </c>
      <c r="F61" s="258">
        <v>5</v>
      </c>
      <c r="G61" s="128"/>
      <c r="H61" s="128"/>
      <c r="I61" s="128"/>
      <c r="J61" s="259"/>
      <c r="K61" s="260">
        <f t="shared" si="0"/>
        <v>5</v>
      </c>
      <c r="L61" s="128">
        <f t="shared" si="1"/>
        <v>0</v>
      </c>
      <c r="M61">
        <f t="shared" si="2"/>
        <v>-5</v>
      </c>
      <c r="N61" s="261" t="s">
        <v>331</v>
      </c>
      <c r="O61" s="215"/>
      <c r="P61" s="262">
        <f t="shared" si="3"/>
        <v>0</v>
      </c>
      <c r="Q61" s="262">
        <f t="shared" si="4"/>
        <v>0</v>
      </c>
      <c r="R61" s="262">
        <f t="shared" si="5"/>
        <v>0</v>
      </c>
      <c r="S61" s="263">
        <f t="shared" si="6"/>
        <v>26.120000000000019</v>
      </c>
      <c r="T61" s="266" t="str">
        <f>IF(($L61-$F61)&gt;=0,"",
" - Провести аудит фактического размещения баз данных, обеспечивающих систематизацию, накопление, хранение, уточнение (обновления, изменения), извлечение персональных данных граждан РФ;"&amp;"
   -  В случае выявления баз данных, размещенных за пределами территории РФ, запланировать модернизацию инфраструктуры, предусматривающую релокацию таких баз;"&amp;"
   -  Разработать процесс учета всех баз данных организации, обеспечивающих систематизацию, накопление, хранение, уточнение (обновления, изменения), извлечение персональных данных, с указанием их местонахождения")</f>
        <v xml:space="preserve"> - Провести аудит фактического размещения баз данных, обеспечивающих систематизацию, накопление, хранение, уточнение (обновления, изменения), извлечение персональных данных граждан РФ;
   -  В случае выявления баз данных, размещенных за пределами территории РФ, запланировать модернизацию инфраструктуры, предусматривающую релокацию таких баз;
   -  Разработать процесс учета всех баз данных организации, обеспечивающих систематизацию, накопление, хранение, уточнение (обновления, изменения), извлечение персональных данных, с указанием их местонахождения</v>
      </c>
      <c r="U61" s="642" t="s">
        <v>186</v>
      </c>
      <c r="V61" s="263">
        <f t="shared" si="7"/>
        <v>226.11999999999989</v>
      </c>
      <c r="W61" s="265" t="str">
        <f t="shared" si="8"/>
        <v/>
      </c>
      <c r="X61" s="642"/>
      <c r="Y61" s="263">
        <f t="shared" si="9"/>
        <v>326.11999999999989</v>
      </c>
      <c r="Z61" s="265" t="str">
        <f t="shared" si="10"/>
        <v/>
      </c>
      <c r="AA61" s="265"/>
    </row>
    <row r="62" spans="2:27" ht="57.6" outlineLevel="2">
      <c r="B62" s="254" t="s">
        <v>542</v>
      </c>
      <c r="C62" s="254" t="s">
        <v>543</v>
      </c>
      <c r="D62" s="256">
        <v>5</v>
      </c>
      <c r="E62" s="257">
        <v>5</v>
      </c>
      <c r="F62" s="258">
        <v>5</v>
      </c>
      <c r="G62" s="128"/>
      <c r="H62" s="128"/>
      <c r="I62" s="128"/>
      <c r="J62" s="259"/>
      <c r="K62" s="260">
        <f t="shared" si="0"/>
        <v>5</v>
      </c>
      <c r="L62" s="128">
        <f t="shared" si="1"/>
        <v>0</v>
      </c>
      <c r="M62">
        <f t="shared" si="2"/>
        <v>-5</v>
      </c>
      <c r="N62" s="261" t="s">
        <v>331</v>
      </c>
      <c r="O62" s="215"/>
      <c r="P62" s="262">
        <f t="shared" si="3"/>
        <v>0</v>
      </c>
      <c r="Q62" s="262">
        <f t="shared" si="4"/>
        <v>0</v>
      </c>
      <c r="R62" s="262">
        <f t="shared" si="5"/>
        <v>0</v>
      </c>
      <c r="S62" s="263">
        <f t="shared" si="6"/>
        <v>26.13000000000002</v>
      </c>
      <c r="T62" s="266" t="str">
        <f>IF(($L62-$F62)&gt;=0,"",
" - Разработать и утвердить ВНД, определяющий угрозы безопасности персональных данных при их обработке в организации;"&amp;"
   -  Убедиться, что для всех информационных систем персональных данных организации определены угрозы безопасности персональных данных")</f>
        <v xml:space="preserve"> - Разработать и утвердить ВНД, определяющий угрозы безопасности персональных данных при их обработке в организации;
   -  Убедиться, что для всех информационных систем персональных данных организации определены угрозы безопасности персональных данных</v>
      </c>
      <c r="U62" s="642" t="s">
        <v>186</v>
      </c>
      <c r="V62" s="263">
        <f t="shared" si="7"/>
        <v>226.12999999999988</v>
      </c>
      <c r="W62" s="265" t="str">
        <f t="shared" si="8"/>
        <v/>
      </c>
      <c r="X62" s="642"/>
      <c r="Y62" s="263">
        <f t="shared" si="9"/>
        <v>326.12999999999988</v>
      </c>
      <c r="Z62" s="265" t="str">
        <f t="shared" si="10"/>
        <v/>
      </c>
      <c r="AA62" s="265"/>
    </row>
    <row r="63" spans="2:27" ht="62.4" outlineLevel="2">
      <c r="B63" s="254" t="s">
        <v>544</v>
      </c>
      <c r="C63" s="254" t="s">
        <v>545</v>
      </c>
      <c r="D63" s="256">
        <v>5</v>
      </c>
      <c r="E63" s="257">
        <v>5</v>
      </c>
      <c r="F63" s="258">
        <v>5</v>
      </c>
      <c r="G63" s="128"/>
      <c r="H63" s="128"/>
      <c r="I63" s="128"/>
      <c r="J63" s="259"/>
      <c r="K63" s="260">
        <f t="shared" si="0"/>
        <v>5</v>
      </c>
      <c r="L63" s="128">
        <f t="shared" si="1"/>
        <v>0</v>
      </c>
      <c r="M63">
        <f t="shared" si="2"/>
        <v>-5</v>
      </c>
      <c r="N63" s="261" t="s">
        <v>331</v>
      </c>
      <c r="O63" s="215"/>
      <c r="P63" s="262">
        <f t="shared" si="3"/>
        <v>0</v>
      </c>
      <c r="Q63" s="262">
        <f t="shared" si="4"/>
        <v>0</v>
      </c>
      <c r="R63" s="262">
        <f t="shared" si="5"/>
        <v>0</v>
      </c>
      <c r="S63" s="263">
        <f t="shared" si="6"/>
        <v>26.140000000000022</v>
      </c>
      <c r="T63" s="266" t="str">
        <f>IF(($L63-$F63)&gt;=0,"",
" - Разработать и утвердить ВНД, определяющий порядок использования съемных носителей информации, в т.ч. правила их учета;"&amp;" 
   - Запланировать регулярный процесс контроля ведения учета съемных носителей информации")</f>
        <v xml:space="preserve"> - Разработать и утвердить ВНД, определяющий порядок использования съемных носителей информации, в т.ч. правила их учета; 
   - Запланировать регулярный процесс контроля ведения учета съемных носителей информации</v>
      </c>
      <c r="U63" s="642" t="s">
        <v>187</v>
      </c>
      <c r="V63" s="263">
        <f t="shared" si="7"/>
        <v>226.13999999999987</v>
      </c>
      <c r="W63" s="265" t="str">
        <f t="shared" si="8"/>
        <v/>
      </c>
      <c r="X63" s="642"/>
      <c r="Y63" s="263">
        <f t="shared" si="9"/>
        <v>326.13999999999987</v>
      </c>
      <c r="Z63" s="265" t="str">
        <f t="shared" si="10"/>
        <v/>
      </c>
      <c r="AA63" s="265"/>
    </row>
    <row r="64" spans="2:27" ht="31.2" outlineLevel="2">
      <c r="B64" s="254" t="s">
        <v>546</v>
      </c>
      <c r="C64" s="254" t="s">
        <v>547</v>
      </c>
      <c r="D64" s="256">
        <v>5</v>
      </c>
      <c r="E64" s="257">
        <v>5</v>
      </c>
      <c r="F64" s="258">
        <v>5</v>
      </c>
      <c r="G64" s="128"/>
      <c r="H64" s="128"/>
      <c r="I64" s="128"/>
      <c r="J64" s="259"/>
      <c r="K64" s="260">
        <f t="shared" si="0"/>
        <v>5</v>
      </c>
      <c r="L64" s="128">
        <f t="shared" si="1"/>
        <v>0</v>
      </c>
      <c r="M64">
        <f t="shared" si="2"/>
        <v>-5</v>
      </c>
      <c r="N64" s="261" t="s">
        <v>331</v>
      </c>
      <c r="O64" s="215"/>
      <c r="P64" s="262">
        <f t="shared" si="3"/>
        <v>0</v>
      </c>
      <c r="Q64" s="262">
        <f t="shared" si="4"/>
        <v>0</v>
      </c>
      <c r="R64" s="262">
        <f t="shared" si="5"/>
        <v>0</v>
      </c>
      <c r="S64" s="263">
        <f t="shared" si="6"/>
        <v>26.150000000000023</v>
      </c>
      <c r="T64" s="266" t="str">
        <f>IF(($L64-$F64)&gt;=0,"",
" - Разработать и утвердить Акты категорирования для каждой ИСПДн;"&amp;""
)</f>
        <v xml:space="preserve"> - Разработать и утвердить Акты категорирования для каждой ИСПДн;</v>
      </c>
      <c r="U64" s="642" t="s">
        <v>188</v>
      </c>
      <c r="V64" s="263">
        <f t="shared" si="7"/>
        <v>226.14999999999986</v>
      </c>
      <c r="W64" s="265" t="str">
        <f t="shared" si="8"/>
        <v/>
      </c>
      <c r="X64" s="642"/>
      <c r="Y64" s="263">
        <f t="shared" si="9"/>
        <v>326.14999999999986</v>
      </c>
      <c r="Z64" s="265" t="str">
        <f t="shared" si="10"/>
        <v/>
      </c>
      <c r="AA64" s="265"/>
    </row>
    <row r="65" spans="1:27" ht="86.4" outlineLevel="2">
      <c r="B65" s="254" t="s">
        <v>548</v>
      </c>
      <c r="C65" s="254" t="s">
        <v>549</v>
      </c>
      <c r="D65" s="256">
        <v>5</v>
      </c>
      <c r="E65" s="257">
        <v>5</v>
      </c>
      <c r="F65" s="258">
        <v>5</v>
      </c>
      <c r="G65" s="128"/>
      <c r="H65" s="128"/>
      <c r="I65" s="128"/>
      <c r="J65" s="259"/>
      <c r="K65" s="260">
        <f t="shared" si="0"/>
        <v>5</v>
      </c>
      <c r="L65" s="128">
        <f t="shared" si="1"/>
        <v>0</v>
      </c>
      <c r="M65">
        <f t="shared" si="2"/>
        <v>-5</v>
      </c>
      <c r="N65" s="261" t="s">
        <v>331</v>
      </c>
      <c r="O65" s="215"/>
      <c r="P65" s="262">
        <f t="shared" si="3"/>
        <v>0</v>
      </c>
      <c r="Q65" s="262">
        <f t="shared" si="4"/>
        <v>0</v>
      </c>
      <c r="R65" s="262">
        <f t="shared" si="5"/>
        <v>0</v>
      </c>
      <c r="S65" s="263">
        <f t="shared" si="6"/>
        <v>26.160000000000025</v>
      </c>
      <c r="T65" s="266" t="str">
        <f>IF(($L65-$F65)&gt;=0,"",
" - Разработать и утвердить Положение о проведении контроля информационной безопасности (в т.ч. устанавливающий порядок проведения аудита соответствия обработки персональных данных требованиям ФЗ-152);"&amp;"
   -  Разработать и утвердить План проведения контроля информационной безопасности и (или) аудита соответствия обработки персональных данных требованиям ФЗ-152")</f>
        <v xml:space="preserve"> - Разработать и утвердить Положение о проведении контроля информационной безопасности (в т.ч. устанавливающий порядок проведения аудита соответствия обработки персональных данных требованиям ФЗ-152);
   -  Разработать и утвердить План проведения контроля информационной безопасности и (или) аудита соответствия обработки персональных данных требованиям ФЗ-152</v>
      </c>
      <c r="U65" s="642" t="s">
        <v>189</v>
      </c>
      <c r="V65" s="263">
        <f t="shared" si="7"/>
        <v>226.15999999999985</v>
      </c>
      <c r="W65" s="265" t="str">
        <f t="shared" si="8"/>
        <v/>
      </c>
      <c r="X65" s="642"/>
      <c r="Y65" s="263">
        <f t="shared" si="9"/>
        <v>326.15999999999985</v>
      </c>
      <c r="Z65" s="265" t="str">
        <f t="shared" si="10"/>
        <v/>
      </c>
      <c r="AA65" s="265"/>
    </row>
    <row r="66" spans="1:27" ht="72" outlineLevel="2">
      <c r="B66" s="254" t="s">
        <v>550</v>
      </c>
      <c r="C66" s="254" t="s">
        <v>551</v>
      </c>
      <c r="D66" s="256">
        <v>5</v>
      </c>
      <c r="E66" s="257">
        <v>5</v>
      </c>
      <c r="F66" s="258">
        <v>5</v>
      </c>
      <c r="G66" s="128"/>
      <c r="H66" s="128"/>
      <c r="I66" s="128"/>
      <c r="J66" s="259"/>
      <c r="K66" s="260">
        <f t="shared" si="0"/>
        <v>5</v>
      </c>
      <c r="L66" s="128">
        <f t="shared" si="1"/>
        <v>0</v>
      </c>
      <c r="M66">
        <f t="shared" si="2"/>
        <v>-5</v>
      </c>
      <c r="N66" s="261" t="s">
        <v>331</v>
      </c>
      <c r="O66" s="215"/>
      <c r="P66" s="262">
        <f t="shared" si="3"/>
        <v>0</v>
      </c>
      <c r="Q66" s="262">
        <f t="shared" si="4"/>
        <v>0</v>
      </c>
      <c r="R66" s="262">
        <f t="shared" si="5"/>
        <v>0</v>
      </c>
      <c r="S66" s="263">
        <f t="shared" si="6"/>
        <v>26.170000000000027</v>
      </c>
      <c r="T66" s="266" t="str">
        <f>IF(($L66-$F66)&gt;=0,"",
" 1.Ответственныи за организацию обработки персональных данных либо комиссией провести процедуру оценку вреда. В ходе оценки определить в соответствии с требованиями Приказа"&amp;" Росконадзора № 178 одну из степеней вреда, который может быть причинен субъекту персональных данных - высокую, среднюю или низкую;"&amp;"
2) Оформить результаты оценки вреда Актом.")</f>
        <v xml:space="preserve"> 1.Ответственныи за организацию обработки персональных данных либо комиссией провести процедуру оценку вреда. В ходе оценки определить в соответствии с требованиями Приказа Росконадзора № 178 одну из степеней вреда, который может быть причинен субъекту персональных данных - высокую, среднюю или низкую;
2) Оформить результаты оценки вреда Актом.</v>
      </c>
      <c r="U66" s="642" t="s">
        <v>190</v>
      </c>
      <c r="V66" s="263">
        <f t="shared" si="7"/>
        <v>226.16999999999985</v>
      </c>
      <c r="W66" s="265" t="str">
        <f t="shared" si="8"/>
        <v/>
      </c>
      <c r="X66" s="642"/>
      <c r="Y66" s="263">
        <f t="shared" si="9"/>
        <v>326.16999999999985</v>
      </c>
      <c r="Z66" s="265" t="str">
        <f t="shared" si="10"/>
        <v/>
      </c>
      <c r="AA66" s="265"/>
    </row>
    <row r="67" spans="1:27" ht="129.6" outlineLevel="2">
      <c r="B67" s="254" t="s">
        <v>552</v>
      </c>
      <c r="C67" s="254" t="s">
        <v>553</v>
      </c>
      <c r="D67" s="256">
        <v>5</v>
      </c>
      <c r="E67" s="257">
        <v>5</v>
      </c>
      <c r="F67" s="258">
        <v>5</v>
      </c>
      <c r="G67" s="128"/>
      <c r="H67" s="128"/>
      <c r="I67" s="128"/>
      <c r="J67" s="259"/>
      <c r="K67" s="260">
        <f t="shared" si="0"/>
        <v>5</v>
      </c>
      <c r="L67" s="128">
        <f t="shared" si="1"/>
        <v>0</v>
      </c>
      <c r="M67">
        <f t="shared" si="2"/>
        <v>-5</v>
      </c>
      <c r="N67" s="261" t="s">
        <v>331</v>
      </c>
      <c r="O67" s="215"/>
      <c r="P67" s="262">
        <f t="shared" si="3"/>
        <v>0</v>
      </c>
      <c r="Q67" s="262">
        <f t="shared" si="4"/>
        <v>0</v>
      </c>
      <c r="R67" s="262">
        <f t="shared" si="5"/>
        <v>0</v>
      </c>
      <c r="S67" s="263">
        <f t="shared" si="6"/>
        <v>26.180000000000028</v>
      </c>
      <c r="T67" s="266" t="str">
        <f>IF(($L67-$F67)&gt;=0,"",
" - Выстроить в организации сквозной процесс по сбору информации об инцидентах, связанных с обработкой персональных данных, повлекших нарушение прав субъектов персональных данных, установить временные ограничения;"&amp;"
 -  Регламентировать процесс по информированию Роскомнадзора об инцидентах, связанных с обработкой персональных"&amp;" данных, повлекших нарушение прав субъектов персональных данных, в сроки и порядке согласно п. - 1 Ст.21 ФЗ № 152;"&amp;"
3) Запланировать регулярный процесс контроля информирования Роскомнадзора об инцидентах, связанных с обработкой персональных"&amp;" данных, повлекших нарушение прав субъектов персональных данных (в случае их обнаружения)")</f>
        <v xml:space="preserve"> - Выстроить в организации сквозной процесс по сбору информации об инцидентах, связанных с обработкой персональных данных, повлекших нарушение прав субъектов персональных данных, установить временные ограничения;
 -  Регламентировать процесс по информированию Роскомнадзора об инцидентах, связанных с обработкой персональных данных, повлекших нарушение прав субъектов персональных данных, в сроки и порядке согласно п. - 1 Ст.21 ФЗ № 152;
3) Запланировать регулярный процесс контроля информирования Роскомнадзора об инцидентах, связанных с обработкой персональных данных, повлекших нарушение прав субъектов персональных данных (в случае их обнаружения)</v>
      </c>
      <c r="U67" s="642" t="s">
        <v>191</v>
      </c>
      <c r="V67" s="263">
        <f t="shared" si="7"/>
        <v>226.17999999999984</v>
      </c>
      <c r="W67" s="265" t="str">
        <f t="shared" si="8"/>
        <v/>
      </c>
      <c r="X67" s="642"/>
      <c r="Y67" s="263">
        <f t="shared" si="9"/>
        <v>326.17999999999984</v>
      </c>
      <c r="Z67" s="265" t="str">
        <f t="shared" si="10"/>
        <v/>
      </c>
      <c r="AA67" s="265"/>
    </row>
    <row r="68" spans="1:27" ht="93.6" outlineLevel="2">
      <c r="B68" s="254" t="s">
        <v>554</v>
      </c>
      <c r="C68" s="254" t="s">
        <v>555</v>
      </c>
      <c r="D68" s="256">
        <v>5</v>
      </c>
      <c r="E68" s="257">
        <v>5</v>
      </c>
      <c r="F68" s="258">
        <v>5</v>
      </c>
      <c r="G68" s="128"/>
      <c r="H68" s="128"/>
      <c r="I68" s="128"/>
      <c r="J68" s="259"/>
      <c r="K68" s="260">
        <f t="shared" si="0"/>
        <v>5</v>
      </c>
      <c r="L68" s="128">
        <f t="shared" si="1"/>
        <v>0</v>
      </c>
      <c r="M68">
        <f t="shared" si="2"/>
        <v>-5</v>
      </c>
      <c r="N68" s="261" t="s">
        <v>331</v>
      </c>
      <c r="O68" s="215"/>
      <c r="P68" s="262">
        <f t="shared" si="3"/>
        <v>0</v>
      </c>
      <c r="Q68" s="262">
        <f t="shared" si="4"/>
        <v>0</v>
      </c>
      <c r="R68" s="262">
        <f t="shared" si="5"/>
        <v>0</v>
      </c>
      <c r="S68" s="263">
        <f t="shared" si="6"/>
        <v>26.19000000000003</v>
      </c>
      <c r="T68" s="266" t="str">
        <f>IF(($L68-$F68)&gt;=0,"",
" - Выстроить в организации процесс по ознакомлению работников, непосредственно осуществляющих обработку персональных данных, с положениями законодательства"&amp;" РФ и ВНД организации по вопросам обработки и обеспечения безопасности персональных данных (в т.ч. при трудоустройстве);"&amp;"
2) Закрепить данный процесс в ВНД")</f>
        <v xml:space="preserve"> - Выстроить в организации процесс по ознакомлению работников, непосредственно осуществляющих обработку персональных данных, с положениями законодательства РФ и ВНД организации по вопросам обработки и обеспечения безопасности персональных данных (в т.ч. при трудоустройстве);
2) Закрепить данный процесс в ВНД</v>
      </c>
      <c r="U68" s="642" t="s">
        <v>192</v>
      </c>
      <c r="V68" s="263">
        <f t="shared" si="7"/>
        <v>226.18999999999983</v>
      </c>
      <c r="W68" s="265" t="str">
        <f t="shared" si="8"/>
        <v/>
      </c>
      <c r="X68" s="642"/>
      <c r="Y68" s="263">
        <f t="shared" si="9"/>
        <v>326.18999999999983</v>
      </c>
      <c r="Z68" s="265" t="str">
        <f t="shared" si="10"/>
        <v/>
      </c>
      <c r="AA68" s="265"/>
    </row>
    <row r="69" spans="1:27" ht="46.8" outlineLevel="2">
      <c r="B69" s="254" t="s">
        <v>556</v>
      </c>
      <c r="C69" s="254" t="s">
        <v>557</v>
      </c>
      <c r="D69" s="256">
        <v>5</v>
      </c>
      <c r="E69" s="257">
        <v>5</v>
      </c>
      <c r="F69" s="258">
        <v>5</v>
      </c>
      <c r="G69" s="128"/>
      <c r="H69" s="128"/>
      <c r="I69" s="128"/>
      <c r="J69" s="259"/>
      <c r="K69" s="260">
        <f t="shared" si="0"/>
        <v>5</v>
      </c>
      <c r="L69" s="128">
        <f t="shared" si="1"/>
        <v>0</v>
      </c>
      <c r="M69">
        <f t="shared" si="2"/>
        <v>-5</v>
      </c>
      <c r="N69" s="261" t="s">
        <v>331</v>
      </c>
      <c r="O69" s="215"/>
      <c r="P69" s="262">
        <f t="shared" si="3"/>
        <v>0</v>
      </c>
      <c r="Q69" s="262">
        <f t="shared" si="4"/>
        <v>0</v>
      </c>
      <c r="R69" s="262">
        <f t="shared" si="5"/>
        <v>0</v>
      </c>
      <c r="S69" s="267">
        <f t="shared" si="6"/>
        <v>26.200000000000031</v>
      </c>
      <c r="T69" s="266" t="str">
        <f>IF(($L69-$F69)&gt;=0,"",
" Разработать и утвердить перечень лиц, доступ которых к ПДн, обрабатываемым в ИСПДн, необходим им для выполнения служебных (трудовых) обязанностей")</f>
        <v xml:space="preserve"> Разработать и утвердить перечень лиц, доступ которых к ПДн, обрабатываемым в ИСПДн, необходим им для выполнения служебных (трудовых) обязанностей</v>
      </c>
      <c r="U69" s="642" t="s">
        <v>193</v>
      </c>
      <c r="V69" s="267">
        <f t="shared" si="7"/>
        <v>226.19999999999982</v>
      </c>
      <c r="W69" s="265" t="str">
        <f t="shared" si="8"/>
        <v/>
      </c>
      <c r="X69" s="642"/>
      <c r="Y69" s="267">
        <f t="shared" si="9"/>
        <v>326.19999999999982</v>
      </c>
      <c r="Z69" s="265" t="str">
        <f t="shared" si="10"/>
        <v/>
      </c>
      <c r="AA69" s="265"/>
    </row>
    <row r="70" spans="1:27" ht="115.2" outlineLevel="2">
      <c r="B70" s="254" t="s">
        <v>558</v>
      </c>
      <c r="C70" s="254" t="s">
        <v>559</v>
      </c>
      <c r="D70" s="256">
        <v>5</v>
      </c>
      <c r="E70" s="257">
        <v>5</v>
      </c>
      <c r="F70" s="258">
        <v>5</v>
      </c>
      <c r="G70" s="128"/>
      <c r="H70" s="128"/>
      <c r="I70" s="128"/>
      <c r="J70" s="259"/>
      <c r="K70" s="260">
        <f t="shared" si="0"/>
        <v>5</v>
      </c>
      <c r="L70" s="128">
        <f t="shared" si="1"/>
        <v>0</v>
      </c>
      <c r="M70">
        <f t="shared" si="2"/>
        <v>-5</v>
      </c>
      <c r="N70" s="261" t="s">
        <v>349</v>
      </c>
      <c r="O70" s="215"/>
      <c r="P70" s="262">
        <f t="shared" si="3"/>
        <v>0</v>
      </c>
      <c r="Q70" s="262">
        <f t="shared" si="4"/>
        <v>0</v>
      </c>
      <c r="R70" s="262">
        <f t="shared" si="5"/>
        <v>0</v>
      </c>
      <c r="S70" s="263">
        <f t="shared" si="6"/>
        <v>26.210000000000033</v>
      </c>
      <c r="T70" s="266" t="str">
        <f>IF(($L70-$F70)&gt;=0,"",
"  -  Определить и утвердить перечень мест хранения персональных данных/материальных носителей"&amp;" 
   -   Регламентировать порядок закрепления мест хранения, а также актуализации информации о местах хранения"&amp;"
   -  Утвердить перечень лиц, осуществляющих обработку персональных данных и/или имеющих к ним доступ"&amp;"
   -  Обеспечить регулярную проверку актуальности имеющихся перечней мест хранения и лиц, осуществляющих обработку персональных данных и/или имеющих к ним доступ ")</f>
        <v xml:space="preserve">  -  Определить и утвердить перечень мест хранения персональных данных/материальных носителей 
   -   Регламентировать порядок закрепления мест хранения, а также актуализации информации о местах хранения
   -  Утвердить перечень лиц, осуществляющих обработку персональных данных и/или имеющих к ним доступ
   -  Обеспечить регулярную проверку актуальности имеющихся перечней мест хранения и лиц, осуществляющих обработку персональных данных и/или имеющих к ним доступ </v>
      </c>
      <c r="U70" s="642" t="s">
        <v>194</v>
      </c>
      <c r="V70" s="263">
        <f t="shared" si="7"/>
        <v>226.20999999999981</v>
      </c>
      <c r="W70" s="265" t="str">
        <f t="shared" si="8"/>
        <v/>
      </c>
      <c r="X70" s="642"/>
      <c r="Y70" s="263">
        <f t="shared" si="9"/>
        <v>326.20999999999981</v>
      </c>
      <c r="Z70" s="265" t="str">
        <f t="shared" si="10"/>
        <v/>
      </c>
      <c r="AA70" s="265"/>
    </row>
    <row r="71" spans="1:27" ht="86.4" outlineLevel="2">
      <c r="B71" s="254" t="s">
        <v>560</v>
      </c>
      <c r="C71" s="254" t="s">
        <v>561</v>
      </c>
      <c r="D71" s="256">
        <v>5</v>
      </c>
      <c r="E71" s="257">
        <v>5</v>
      </c>
      <c r="F71" s="258">
        <v>5</v>
      </c>
      <c r="G71" s="128"/>
      <c r="H71" s="128"/>
      <c r="I71" s="128"/>
      <c r="J71" s="259"/>
      <c r="K71" s="260">
        <f t="shared" si="0"/>
        <v>5</v>
      </c>
      <c r="L71" s="128">
        <f t="shared" si="1"/>
        <v>0</v>
      </c>
      <c r="M71">
        <f t="shared" si="2"/>
        <v>-5</v>
      </c>
      <c r="N71" s="261" t="s">
        <v>349</v>
      </c>
      <c r="O71" s="215"/>
      <c r="P71" s="262">
        <f t="shared" si="3"/>
        <v>0</v>
      </c>
      <c r="Q71" s="262">
        <f t="shared" si="4"/>
        <v>0</v>
      </c>
      <c r="R71" s="262">
        <f t="shared" si="5"/>
        <v>0</v>
      </c>
      <c r="S71" s="263">
        <f t="shared" si="6"/>
        <v>26.220000000000034</v>
      </c>
      <c r="T71" s="266" t="str">
        <f>IF(($L71-$E71)&gt;=0,"",
"  -  Разработать и утвердить перечень мер, необходимых для обеспечения сохранности персональных данных и исключающих несанкционированный доступ к ним при хранении материальных носителей;"&amp;" 
   -  Назначить работников, ответственных за реализацию мер;"&amp;" 
   -  Проводить плановые и внеплановые проверки соблюдения закрепленных в ВНД мер, необходимых для обеспечения сохранности персональных данных")</f>
        <v xml:space="preserve">  -  Разработать и утвердить перечень мер, необходимых для обеспечения сохранности персональных данных и исключающих несанкционированный доступ к ним при хранении материальных носителей; 
   -  Назначить работников, ответственных за реализацию мер; 
   -  Проводить плановые и внеплановые проверки соблюдения закрепленных в ВНД мер, необходимых для обеспечения сохранности персональных данных</v>
      </c>
      <c r="U71" s="642" t="s">
        <v>195</v>
      </c>
      <c r="V71" s="263">
        <f t="shared" si="7"/>
        <v>226.2199999999998</v>
      </c>
      <c r="W71" s="265" t="str">
        <f t="shared" si="8"/>
        <v/>
      </c>
      <c r="X71" s="642"/>
      <c r="Y71" s="263">
        <f t="shared" si="9"/>
        <v>326.2199999999998</v>
      </c>
      <c r="Z71" s="265" t="str">
        <f t="shared" si="10"/>
        <v/>
      </c>
      <c r="AA71" s="265"/>
    </row>
    <row r="72" spans="1:27" ht="55.2" outlineLevel="2">
      <c r="B72" s="254" t="s">
        <v>562</v>
      </c>
      <c r="C72" s="254" t="s">
        <v>563</v>
      </c>
      <c r="D72" s="308">
        <v>5</v>
      </c>
      <c r="E72" s="257">
        <v>5</v>
      </c>
      <c r="F72" s="258">
        <v>5</v>
      </c>
      <c r="G72" s="128"/>
      <c r="H72" s="128"/>
      <c r="I72" s="128"/>
      <c r="J72" s="259"/>
      <c r="K72" s="260">
        <f t="shared" si="0"/>
        <v>5</v>
      </c>
      <c r="L72" s="128">
        <f t="shared" si="1"/>
        <v>0</v>
      </c>
      <c r="M72">
        <f t="shared" si="2"/>
        <v>-5</v>
      </c>
      <c r="N72" s="269" t="s">
        <v>349</v>
      </c>
      <c r="O72" s="215"/>
      <c r="P72" s="262">
        <f t="shared" si="3"/>
        <v>0</v>
      </c>
      <c r="Q72" s="262">
        <f t="shared" si="4"/>
        <v>0</v>
      </c>
      <c r="R72" s="262">
        <f t="shared" si="5"/>
        <v>0</v>
      </c>
      <c r="S72" s="263">
        <f t="shared" si="6"/>
        <v>26.230000000000036</v>
      </c>
      <c r="T72" s="266" t="str">
        <f>IF(($L72-$F72)&gt;=0,"",
" -  Регламентировать и внедрить процесс уничтожения данных в соответствии с требованиями приказа Роскомнадзор № 179;"&amp;" 
    ")</f>
        <v xml:space="preserve"> -  Регламентировать и внедрить процесс уничтожения данных в соответствии с требованиями приказа Роскомнадзор № 179; 
    </v>
      </c>
      <c r="U72" s="642" t="s">
        <v>196</v>
      </c>
      <c r="V72" s="263">
        <f t="shared" si="7"/>
        <v>226.22999999999979</v>
      </c>
      <c r="W72" s="265" t="str">
        <f t="shared" si="8"/>
        <v/>
      </c>
      <c r="X72" s="642"/>
      <c r="Y72" s="263">
        <f t="shared" si="9"/>
        <v>326.22999999999979</v>
      </c>
      <c r="Z72" s="265" t="str">
        <f t="shared" si="10"/>
        <v/>
      </c>
      <c r="AA72" s="265"/>
    </row>
    <row r="73" spans="1:27" ht="115.2" outlineLevel="2">
      <c r="B73" s="254" t="s">
        <v>564</v>
      </c>
      <c r="C73" s="254" t="s">
        <v>565</v>
      </c>
      <c r="D73" s="256">
        <v>5</v>
      </c>
      <c r="E73" s="257">
        <v>5</v>
      </c>
      <c r="F73" s="258">
        <v>5</v>
      </c>
      <c r="G73" s="128"/>
      <c r="H73" s="128"/>
      <c r="I73" s="128"/>
      <c r="J73" s="259"/>
      <c r="K73" s="260">
        <f t="shared" si="0"/>
        <v>5</v>
      </c>
      <c r="L73" s="128">
        <f t="shared" si="1"/>
        <v>0</v>
      </c>
      <c r="M73">
        <f t="shared" si="2"/>
        <v>-5</v>
      </c>
      <c r="N73" s="261" t="s">
        <v>349</v>
      </c>
      <c r="O73" s="215"/>
      <c r="P73" s="262">
        <f t="shared" si="3"/>
        <v>0</v>
      </c>
      <c r="Q73" s="262">
        <f t="shared" si="4"/>
        <v>0</v>
      </c>
      <c r="R73" s="262">
        <f t="shared" si="5"/>
        <v>0</v>
      </c>
      <c r="S73" s="263">
        <f t="shared" si="6"/>
        <v>26.240000000000038</v>
      </c>
      <c r="T73" s="266" t="str">
        <f>IF(($L73-$F73)&gt;=0,"",
"  -  Регламентировать требования по защите персональных данных при их передаче/выходе за пределы контролируемой зоны организации, в т.ч. применение сертифицированных средств криптографической защиты информации (СКЗИ);"&amp;" 
  -  Определить требуемый класс СКЗИ в соответствии с моделью нарушителя;"&amp;" 
  -  Включить требования по защите персональных данных при их передаче как обязательные при заключении договоров с третьимм лицами;"&amp;" 
  -  Осуществлять проверку выполнения требований по защите персональных данных при их передаче ")</f>
        <v xml:space="preserve">  -  Регламентировать требования по защите персональных данных при их передаче/выходе за пределы контролируемой зоны организации, в т.ч. применение сертифицированных средств криптографической защиты информации (СКЗИ); 
  -  Определить требуемый класс СКЗИ в соответствии с моделью нарушителя; 
  -  Включить требования по защите персональных данных при их передаче как обязательные при заключении договоров с третьимм лицами; 
  -  Осуществлять проверку выполнения требований по защите персональных данных при их передаче </v>
      </c>
      <c r="U73" s="642" t="s">
        <v>197</v>
      </c>
      <c r="V73" s="263">
        <f t="shared" si="7"/>
        <v>226.23999999999978</v>
      </c>
      <c r="W73" s="265" t="str">
        <f t="shared" si="8"/>
        <v/>
      </c>
      <c r="X73" s="642"/>
      <c r="Y73" s="263">
        <f t="shared" si="9"/>
        <v>326.23999999999978</v>
      </c>
      <c r="Z73" s="265" t="str">
        <f t="shared" si="10"/>
        <v/>
      </c>
      <c r="AA73" s="265"/>
    </row>
    <row r="74" spans="1:27">
      <c r="B74" s="249" t="s">
        <v>123</v>
      </c>
      <c r="C74" s="21" t="s">
        <v>123</v>
      </c>
      <c r="D74" s="21"/>
      <c r="E74" s="21"/>
      <c r="F74" s="21"/>
      <c r="G74" s="328"/>
      <c r="H74" s="21"/>
      <c r="I74" s="21"/>
      <c r="J74" s="21"/>
      <c r="K74" s="21"/>
      <c r="L74" s="21"/>
      <c r="M74" s="329">
        <f t="shared" si="2"/>
        <v>0</v>
      </c>
      <c r="N74" s="330"/>
      <c r="O74" s="331"/>
      <c r="P74" s="332"/>
      <c r="Q74" s="332"/>
      <c r="R74" s="332"/>
      <c r="S74" s="247">
        <f>VLOOKUP(B74,Приоритет!$G$9:$K$52,5,0)</f>
        <v>8</v>
      </c>
      <c r="T74" s="249" t="s">
        <v>326</v>
      </c>
      <c r="U74" s="249"/>
      <c r="V74" s="247">
        <f t="shared" ref="V74:V110" si="11">S74+200</f>
        <v>208</v>
      </c>
      <c r="W74" s="249" t="s">
        <v>327</v>
      </c>
      <c r="X74" s="249"/>
      <c r="Y74" s="247">
        <f t="shared" ref="Y74:Y110" si="12">S74+300</f>
        <v>308</v>
      </c>
      <c r="Z74" s="249" t="s">
        <v>328</v>
      </c>
      <c r="AA74" s="249"/>
    </row>
    <row r="75" spans="1:27" ht="296.39999999999998" outlineLevel="1">
      <c r="A75" s="271"/>
      <c r="B75" s="254" t="s">
        <v>566</v>
      </c>
      <c r="C75" s="254" t="s">
        <v>567</v>
      </c>
      <c r="D75" s="256">
        <f t="shared" ref="D75:F89" si="13">5*IF(КИИ="да",1,0)</f>
        <v>5</v>
      </c>
      <c r="E75" s="257">
        <f t="shared" si="13"/>
        <v>5</v>
      </c>
      <c r="F75" s="258">
        <f t="shared" si="13"/>
        <v>5</v>
      </c>
      <c r="G75" s="128"/>
      <c r="H75" s="128"/>
      <c r="I75" s="128"/>
      <c r="J75" s="259"/>
      <c r="K75" s="260">
        <f t="shared" si="0"/>
        <v>5</v>
      </c>
      <c r="L75" s="128">
        <f t="shared" si="1"/>
        <v>0</v>
      </c>
      <c r="M75">
        <f t="shared" si="2"/>
        <v>-5</v>
      </c>
      <c r="N75" s="261" t="s">
        <v>331</v>
      </c>
      <c r="O75" s="215"/>
      <c r="P75" s="262">
        <f>IFERROR(IF($L75&gt;=D75,1,$L75/D75),0)</f>
        <v>0</v>
      </c>
      <c r="Q75" s="262">
        <f>IFERROR(IF($L75&gt;=E75,1,$L75/E75),0)</f>
        <v>0</v>
      </c>
      <c r="R75" s="262">
        <f>IFERROR(IF($L75&gt;=F75,1,$L75/F75),0)</f>
        <v>0</v>
      </c>
      <c r="S75" s="263">
        <f t="shared" ref="S75:S89" si="14">S74+0.01</f>
        <v>8.01</v>
      </c>
      <c r="T75" s="265" t="str">
        <f>IF(($L75-$F75)&gt;=0,""," - В соотвествии с приказом 235 с Приказом ФСТЭК от 21 декабря 2017 г. N 235 Об утверждении Требований к созданию систем безопасности значимых объектов критической"&amp;" информационной инфраструктуры Российской Федерации и обеспечению их функционирования:
 -  Определить полномочия для подразделения, ответственное за ИБ (как минимум уровня отдела ИБ);"&amp;"
 -  Подготовить положение  о подразделении, обеспечивающим ИБ в Обществе;"&amp;"
 -  Создать выделенное подразделение, ответственное за ИБ (как минимум уровня отдела ИБ):
- Утвердить приказом по орг. структуре создание подразделения ИБ;"&amp;"
- Утвердить положение  о подразделении, обеспечивающим ИБ в Обществе;
 -  Распоряжением/приказом определить подразделение ИБ, как подразделение Общества, ответственное за обеспечение безопасности значимых объектов КИИ;"&amp;"
Если 2-3 работника подчиняются главному инженеру (тех. директору) или заместителю по безопасности (экономической и физической), то этих 2-3 работников необходимо выделить в отдельный отдел информационной безопасности.")</f>
        <v xml:space="preserve"> - В соотвествии с приказом 235 с Приказом ФСТЭК от 21 декабря 2017 г. N 235 Об утверждении Требований к созданию систем безопасности значимых объектов критической информационной инфраструктуры Российской Федерации и обеспечению их функционирования:
 -  Определить полномочия для подразделения, ответственное за ИБ (как минимум уровня отдела ИБ);
 -  Подготовить положение  о подразделении, обеспечивающим ИБ в Обществе;
 -  Создать выделенное подразделение, ответственное за ИБ (как минимум уровня отдела ИБ):
- Утвердить приказом по орг. структуре создание подразделения ИБ;
- Утвердить положение  о подразделении, обеспечивающим ИБ в Обществе;
 -  Распоряжением/приказом определить подразделение ИБ, как подразделение Общества, ответственное за обеспечение безопасности значимых объектов КИИ;
Если 2-3 работника подчиняются главному инженеру (тех. директору) или заместителю по безопасности (экономической и физической), то этих 2-3 работников необходимо выделить в отдельный отдел информационной безопасности.</v>
      </c>
      <c r="U75" s="265" t="s">
        <v>124</v>
      </c>
      <c r="V75" s="263">
        <f t="shared" si="11"/>
        <v>208.01</v>
      </c>
      <c r="W75" s="160" t="str">
        <f t="shared" si="8"/>
        <v/>
      </c>
      <c r="Y75" s="263">
        <f t="shared" si="12"/>
        <v>308.01</v>
      </c>
      <c r="Z75" s="160" t="str">
        <f t="shared" si="10"/>
        <v/>
      </c>
    </row>
    <row r="76" spans="1:27" ht="296.39999999999998" outlineLevel="1">
      <c r="A76" s="271"/>
      <c r="B76" s="254" t="s">
        <v>568</v>
      </c>
      <c r="C76" s="254" t="s">
        <v>569</v>
      </c>
      <c r="D76" s="256">
        <f t="shared" si="13"/>
        <v>5</v>
      </c>
      <c r="E76" s="257">
        <f t="shared" si="13"/>
        <v>5</v>
      </c>
      <c r="F76" s="258">
        <f t="shared" si="13"/>
        <v>5</v>
      </c>
      <c r="G76" s="128"/>
      <c r="H76" s="128"/>
      <c r="I76" s="128"/>
      <c r="J76" s="259"/>
      <c r="K76" s="260">
        <f t="shared" si="0"/>
        <v>5</v>
      </c>
      <c r="L76" s="128">
        <f t="shared" si="1"/>
        <v>0</v>
      </c>
      <c r="M76">
        <f t="shared" si="2"/>
        <v>-5</v>
      </c>
      <c r="N76" s="261" t="s">
        <v>331</v>
      </c>
      <c r="O76" s="215"/>
      <c r="P76" s="262">
        <f t="shared" ref="P76:P89" si="15">IFERROR(IF($L76&gt;=D76,1,$L76/D76),0)</f>
        <v>0</v>
      </c>
      <c r="Q76" s="262">
        <f t="shared" ref="Q76:Q89" si="16">IFERROR(IF($L76&gt;=E76,1,$L76/E76),0)</f>
        <v>0</v>
      </c>
      <c r="R76" s="262">
        <f t="shared" ref="R76:R98" si="17">IFERROR(IF($L76&gt;=F76,1,$L76/F76),0)</f>
        <v>0</v>
      </c>
      <c r="S76" s="263">
        <f t="shared" si="14"/>
        <v>8.02</v>
      </c>
      <c r="T76" s="265" t="str">
        <f>IF(($L77-$F77)&gt;=0,""," - В соотвествии с приказом 235 с Приказом ФСТЭК от 21 декабря 2017 г. N 235 Об утверждении Требований к созданию систем безопасности значимых объектов критической"&amp;" информационной инфраструктуры Российской Федерации и обеспечению их функционирования:
 -  Определить полномочия для подразделения, ответственное за ИБ (как минимум уровня отдела ИБ);"&amp;"
 -  Подготовить положение  о подразделении, обеспечивающим ИБ в Обществе;"&amp;"
 -  Создать выделенное подразделение, ответственное за ИБ (как минимум уровня отдела ИБ):
- Утвердить приказом по орг. структуре создание подразделения ИБ;"&amp;"
- Утвердить положение  о подразделении, обеспечивающим ИБ в Обществе;
 -  Распоряжением/приказом определить подразделение ИБ, как подразделение Общества, ответственное за обеспечение безопасности значимых объектов КИИ;"&amp;"
Если 2-3 работника подчиняются главному инженеру (тех. директору) или заместителю по безопасности (экономической и физической), то этих 2-3 работников необходимо выделить в отдельный отдел информационной безопасности.")</f>
        <v xml:space="preserve"> - В соотвествии с приказом 235 с Приказом ФСТЭК от 21 декабря 2017 г. N 235 Об утверждении Требований к созданию систем безопасности значимых объектов критической информационной инфраструктуры Российской Федерации и обеспечению их функционирования:
 -  Определить полномочия для подразделения, ответственное за ИБ (как минимум уровня отдела ИБ);
 -  Подготовить положение  о подразделении, обеспечивающим ИБ в Обществе;
 -  Создать выделенное подразделение, ответственное за ИБ (как минимум уровня отдела ИБ):
- Утвердить приказом по орг. структуре создание подразделения ИБ;
- Утвердить положение  о подразделении, обеспечивающим ИБ в Обществе;
 -  Распоряжением/приказом определить подразделение ИБ, как подразделение Общества, ответственное за обеспечение безопасности значимых объектов КИИ;
Если 2-3 работника подчиняются главному инженеру (тех. директору) или заместителю по безопасности (экономической и физической), то этих 2-3 работников необходимо выделить в отдельный отдел информационной безопасности.</v>
      </c>
      <c r="U76" s="265" t="s">
        <v>124</v>
      </c>
      <c r="V76" s="263">
        <f t="shared" si="11"/>
        <v>208.02</v>
      </c>
      <c r="W76" s="160" t="str">
        <f t="shared" si="8"/>
        <v/>
      </c>
      <c r="Y76" s="263">
        <f t="shared" si="12"/>
        <v>308.02</v>
      </c>
      <c r="Z76" s="160" t="str">
        <f t="shared" si="10"/>
        <v/>
      </c>
    </row>
    <row r="77" spans="1:27" ht="156" outlineLevel="1">
      <c r="A77" s="271"/>
      <c r="B77" s="254" t="s">
        <v>570</v>
      </c>
      <c r="C77" s="254" t="s">
        <v>571</v>
      </c>
      <c r="D77" s="256">
        <f t="shared" si="13"/>
        <v>5</v>
      </c>
      <c r="E77" s="257">
        <f t="shared" si="13"/>
        <v>5</v>
      </c>
      <c r="F77" s="258">
        <f t="shared" si="13"/>
        <v>5</v>
      </c>
      <c r="G77" s="128"/>
      <c r="H77" s="128"/>
      <c r="I77" s="128"/>
      <c r="J77" s="259"/>
      <c r="K77" s="260">
        <f t="shared" si="0"/>
        <v>5</v>
      </c>
      <c r="L77" s="128">
        <f t="shared" si="1"/>
        <v>0</v>
      </c>
      <c r="M77">
        <f t="shared" si="2"/>
        <v>-5</v>
      </c>
      <c r="N77" s="261" t="s">
        <v>331</v>
      </c>
      <c r="O77" s="215"/>
      <c r="P77" s="262">
        <f t="shared" si="15"/>
        <v>0</v>
      </c>
      <c r="Q77" s="262">
        <f t="shared" si="16"/>
        <v>0</v>
      </c>
      <c r="R77" s="262">
        <f t="shared" si="17"/>
        <v>0</v>
      </c>
      <c r="S77" s="263">
        <f t="shared" si="14"/>
        <v>8.0299999999999994</v>
      </c>
      <c r="T77" s="265" t="str">
        <f>IF(($L77-$F77)&gt;=0,""," - В соотвествии с Постановлением Правительства РФ от 08.02.2018 N 127 Об утверждении Правил категорирования объектов критической информационной"&amp;" инфраструктуры Российской Федерации, а также перечня показателей критериев значимости объектов критической информационной инфраструктуры Российской Федерации и их значений:"&amp;"
1.Определить полномочия для комиссии по категорированию
2.Подготовить и утвердить Положение о работе Комиссии по категорированию (описывается процесс и порядок работы комиссии)"&amp;"
3. Определить состав комиссии по категорированию согласно пункту 11 ПП127
4. Утвердить приказом состав комиссии по Обществу")</f>
        <v xml:space="preserve"> - В соотвествии с Постановлением Правительства РФ от 08.02.2018 N 127 Об утверждении Правил категорирования объектов критической информационной инфраструктуры Российской Федерации, а также перечня показателей критериев значимости объектов критической информационной инфраструктуры Российской Федерации и их значений:
1.Определить полномочия для комиссии по категорированию
2.Подготовить и утвердить Положение о работе Комиссии по категорированию (описывается процесс и порядок работы комиссии)
3. Определить состав комиссии по категорированию согласно пункту 11 ПП127
4. Утвердить приказом состав комиссии по Обществу</v>
      </c>
      <c r="U77" s="265" t="s">
        <v>125</v>
      </c>
      <c r="V77" s="263">
        <f t="shared" si="11"/>
        <v>208.03</v>
      </c>
      <c r="W77" s="160" t="str">
        <f t="shared" si="8"/>
        <v/>
      </c>
      <c r="Y77" s="263">
        <f t="shared" si="12"/>
        <v>308.02999999999997</v>
      </c>
      <c r="Z77" s="160" t="str">
        <f t="shared" si="10"/>
        <v/>
      </c>
    </row>
    <row r="78" spans="1:27" ht="327.60000000000002" outlineLevel="1">
      <c r="A78" s="271"/>
      <c r="B78" s="254" t="s">
        <v>572</v>
      </c>
      <c r="C78" s="254" t="s">
        <v>573</v>
      </c>
      <c r="D78" s="256">
        <f t="shared" si="13"/>
        <v>5</v>
      </c>
      <c r="E78" s="257">
        <f t="shared" si="13"/>
        <v>5</v>
      </c>
      <c r="F78" s="258">
        <f t="shared" si="13"/>
        <v>5</v>
      </c>
      <c r="G78" s="128"/>
      <c r="H78" s="128"/>
      <c r="I78" s="128"/>
      <c r="J78" s="259"/>
      <c r="K78" s="260">
        <f t="shared" si="0"/>
        <v>5</v>
      </c>
      <c r="L78" s="128">
        <f t="shared" si="1"/>
        <v>0</v>
      </c>
      <c r="M78">
        <f t="shared" si="2"/>
        <v>-5</v>
      </c>
      <c r="N78" s="261" t="s">
        <v>331</v>
      </c>
      <c r="O78" s="215"/>
      <c r="P78" s="262">
        <f t="shared" si="15"/>
        <v>0</v>
      </c>
      <c r="Q78" s="262">
        <f t="shared" si="16"/>
        <v>0</v>
      </c>
      <c r="R78" s="262">
        <f t="shared" si="17"/>
        <v>0</v>
      </c>
      <c r="S78" s="263">
        <f t="shared" si="14"/>
        <v>8.0399999999999991</v>
      </c>
      <c r="T78" s="265" t="str">
        <f>IF(($L78-$F78)=0,""," - В соответствии с Постановлением Правительства РФ № 127 и Методическими указаниями по категорированию объектов критической информационной инфраструктуры,"&amp;" принадлежащих субъектам критической информационной инфраструктуры, осуществляющим деятельность в отрасли связи (утв. Минцифры России):
1.Провести анализ и определить список  управленческих, технологических,"&amp;" производственных, финансово- экономических и (или) иных процессов в рамках выполнения функций (полномочий) или осуществления видов деятельности организации"&amp;"
2.Выявить посредством анализа управленческих, технологических, производственных, финансово-экономических"&amp;" и (или) иных процессов в рамках выполнения функций (полномочий) или осуществления видов деятельности , нарушение и (или) прекращение которых может привести к негативным социальным, политическим, экономическим, экологическим последствиям, последствиям"&amp;" для обеспечения обороны страны, безопасности государства и правопорядка (далее - критические процессы).
3.Определить список систем и сервисов, которые выполняют и/или обеспечивают критчиеские"&amp;" процессы (п. 2) - перечень этих систем и будет являться перечнем объектов КИИ, подлежащим категорированию.
4. Перечень объектов КИИ, подлежащих категорированию"&amp;", вынести на рассмотрение комиссии по категорированию объектов КИИ Общества.")</f>
        <v xml:space="preserve"> - В соответствии с Постановлением Правительства РФ № 127 и Методическими указаниями по категорированию объектов критической информационной инфраструктуры, принадлежащих субъектам критической информационной инфраструктуры, осуществляющим деятельность в отрасли связи (утв. Минцифры России):
1.Провести анализ и определить список  управленческих, технологических, производственных, финансово- экономических и (или) иных процессов в рамках выполнения функций (полномочий) или осуществления видов деятельности организации
2.Выявить посредством анализа управленческих, технологических, производственных, финансово-экономических и (или) иных процессов в рамках выполнения функций (полномочий) или осуществления видов деятельности , нарушение и (или) прекращение которых может привести к негативным социальным, политическим, экономическим, экологическим последствиям, последствиям для обеспечения обороны страны, безопасности государства и правопорядка (далее - критические процессы).
3.Определить список систем и сервисов, которые выполняют и/или обеспечивают критчиеские процессы (п. 2) - перечень этих систем и будет являться перечнем объектов КИИ, подлежащим категорированию.
4. Перечень объектов КИИ, подлежащих категорированию, вынести на рассмотрение комиссии по категорированию объектов КИИ Общества.</v>
      </c>
      <c r="U78" s="265" t="s">
        <v>126</v>
      </c>
      <c r="V78" s="263">
        <f t="shared" si="11"/>
        <v>208.04</v>
      </c>
      <c r="W78" s="160" t="str">
        <f t="shared" si="8"/>
        <v/>
      </c>
      <c r="Y78" s="263">
        <f t="shared" si="12"/>
        <v>308.04000000000002</v>
      </c>
      <c r="Z78" s="160" t="str">
        <f t="shared" si="10"/>
        <v/>
      </c>
    </row>
    <row r="79" spans="1:27" ht="249.6" outlineLevel="1">
      <c r="A79" s="271"/>
      <c r="B79" s="254" t="s">
        <v>574</v>
      </c>
      <c r="C79" s="254" t="s">
        <v>575</v>
      </c>
      <c r="D79" s="256">
        <f t="shared" si="13"/>
        <v>5</v>
      </c>
      <c r="E79" s="257">
        <f t="shared" si="13"/>
        <v>5</v>
      </c>
      <c r="F79" s="258">
        <f t="shared" si="13"/>
        <v>5</v>
      </c>
      <c r="G79" s="128"/>
      <c r="H79" s="128"/>
      <c r="I79" s="128"/>
      <c r="J79" s="259"/>
      <c r="K79" s="260">
        <f t="shared" si="0"/>
        <v>5</v>
      </c>
      <c r="L79" s="128">
        <f t="shared" si="1"/>
        <v>0</v>
      </c>
      <c r="M79">
        <f t="shared" si="2"/>
        <v>-5</v>
      </c>
      <c r="N79" s="261" t="s">
        <v>349</v>
      </c>
      <c r="O79" s="215"/>
      <c r="P79" s="262">
        <f t="shared" si="15"/>
        <v>0</v>
      </c>
      <c r="Q79" s="262">
        <f t="shared" si="16"/>
        <v>0</v>
      </c>
      <c r="R79" s="262">
        <f t="shared" si="17"/>
        <v>0</v>
      </c>
      <c r="S79" s="263">
        <f t="shared" si="14"/>
        <v>8.0499999999999989</v>
      </c>
      <c r="T79" s="265" t="str">
        <f>IF(($L79-$F79)&gt;=0,""," - В соответствии с Постановлением Правительства РФ № 127 и Методическими указаниями по категорированию"&amp;" объектов критической информационной инфраструктуры, принадлежащих субъектам критической информационной инфраструктуры, осуществляющим деятельность в отрасли связи (утв. Минцифры России "&amp;"
1.Провести оценку в соответствии с перечнем показателей критериев значимости масштаба возможных последствий в случае возникновения компьютерного инцидента"&amp;" на объектах КИИ.
2. Присвоить каждому из объектов КИИ одной из категорий"&amp;" значимости, либо принятие решения комиссией по категорированию об отсутствии необходимости присвоения им одной из категорий значимости.
3. Утвердить у руководителя организации"&amp;" акты категорирования объектов КИИ (для каждого объекта КИИ).
4. Уведомить ФСТЭК России о результатах категторирования ОКИИ."&amp;"
5. Получить подвтерждение из ФСТЭК России о корректности, проведенного"&amp;" категорирования и внесении в Реестр ЗОКИИ (значимых объектов КИИ) РФ.")</f>
        <v xml:space="preserve"> - В соответствии с Постановлением Правительства РФ № 127 и Методическими указаниями по категорированию объектов критической информационной инфраструктуры, принадлежащих субъектам критической информационной инфраструктуры, осуществляющим деятельность в отрасли связи (утв. Минцифры России 
1.Провести оценку в соответствии с перечнем показателей критериев значимости масштаба возможных последствий в случае возникновения компьютерного инцидента на объектах КИИ.
2. Присвоить каждому из объектов КИИ одной из категорий значимости, либо принятие решения комиссией по категорированию об отсутствии необходимости присвоения им одной из категорий значимости.
3. Утвердить у руководителя организации акты категорирования объектов КИИ (для каждого объекта КИИ).
4. Уведомить ФСТЭК России о результатах категторирования ОКИИ.
5. Получить подвтерждение из ФСТЭК России о корректности, проведенного категорирования и внесении в Реестр ЗОКИИ (значимых объектов КИИ) РФ.</v>
      </c>
      <c r="U79" s="265" t="s">
        <v>127</v>
      </c>
      <c r="V79" s="263">
        <f t="shared" si="11"/>
        <v>208.05</v>
      </c>
      <c r="W79" s="160" t="str">
        <f t="shared" si="8"/>
        <v/>
      </c>
      <c r="Y79" s="263">
        <f t="shared" si="12"/>
        <v>308.05</v>
      </c>
      <c r="Z79" s="160" t="str">
        <f t="shared" si="10"/>
        <v/>
      </c>
    </row>
    <row r="80" spans="1:27" ht="171.6" outlineLevel="1">
      <c r="A80" s="271"/>
      <c r="B80" s="254" t="s">
        <v>576</v>
      </c>
      <c r="C80" s="254" t="s">
        <v>577</v>
      </c>
      <c r="D80" s="256">
        <f t="shared" si="13"/>
        <v>5</v>
      </c>
      <c r="E80" s="257">
        <f t="shared" si="13"/>
        <v>5</v>
      </c>
      <c r="F80" s="258">
        <f t="shared" si="13"/>
        <v>5</v>
      </c>
      <c r="G80" s="128"/>
      <c r="H80" s="128"/>
      <c r="I80" s="128"/>
      <c r="J80" s="259"/>
      <c r="K80" s="260">
        <f t="shared" si="0"/>
        <v>5</v>
      </c>
      <c r="L80" s="128">
        <f t="shared" si="1"/>
        <v>0</v>
      </c>
      <c r="M80">
        <f t="shared" si="2"/>
        <v>-5</v>
      </c>
      <c r="N80" s="261" t="s">
        <v>349</v>
      </c>
      <c r="O80" s="215"/>
      <c r="P80" s="262">
        <f t="shared" si="15"/>
        <v>0</v>
      </c>
      <c r="Q80" s="262">
        <f t="shared" si="16"/>
        <v>0</v>
      </c>
      <c r="R80" s="262">
        <f t="shared" si="17"/>
        <v>0</v>
      </c>
      <c r="S80" s="263">
        <f t="shared" si="14"/>
        <v>8.0599999999999987</v>
      </c>
      <c r="T80" s="265" t="str">
        <f>IF(($L80-$F80)&gt;=0,"","- В соответствии с Постановлением Правительства РФ № 127 и Приказ ФСТЭК России от 6 декабря 2017 г. N 227."&amp;"
1. Во ФСТЭК России направить сведения о результатах категорирования ОКИИ в течение 10 рабочих дней после утверждения актов категорирования объектов КИИ;"&amp;"
2. При изменениях состава ОКИИ направлять во ФСТЭК России сведения об изменениях"&amp;" в составе ОКИИ в течение 20 рабочих дней со дня их изменения на бумажном и электронном носителях.
3.Получить подвтерждение из ФСТЭК России о корректности проведенного категорирования и внесении в Реестр"&amp;" ЗОКИИ РФ, либо внесение в Реестр ЗОКИИ РФ изменений сведений об ОКИИ.")</f>
        <v>- В соответствии с Постановлением Правительства РФ № 127 и Приказ ФСТЭК России от 6 декабря 2017 г. N 227.
1. Во ФСТЭК России направить сведения о результатах категорирования ОКИИ в течение 10 рабочих дней после утверждения актов категорирования объектов КИИ;
2. При изменениях состава ОКИИ направлять во ФСТЭК России сведения об изменениях в составе ОКИИ в течение 20 рабочих дней со дня их изменения на бумажном и электронном носителях.
3.Получить подвтерждение из ФСТЭК России о корректности проведенного категорирования и внесении в Реестр ЗОКИИ РФ, либо внесение в Реестр ЗОКИИ РФ изменений сведений об ОКИИ.</v>
      </c>
      <c r="U80" s="265" t="s">
        <v>128</v>
      </c>
      <c r="V80" s="263">
        <f t="shared" si="11"/>
        <v>208.06</v>
      </c>
      <c r="W80" s="160" t="str">
        <f t="shared" si="8"/>
        <v/>
      </c>
      <c r="Y80" s="263">
        <f t="shared" si="12"/>
        <v>308.06</v>
      </c>
      <c r="Z80" s="160" t="str">
        <f t="shared" si="10"/>
        <v/>
      </c>
    </row>
    <row r="81" spans="1:27" ht="409.6" outlineLevel="1">
      <c r="A81" s="271"/>
      <c r="B81" s="254" t="s">
        <v>578</v>
      </c>
      <c r="C81" s="254" t="s">
        <v>579</v>
      </c>
      <c r="D81" s="256">
        <f>5*IF(ЗОКИИ="да",1,0)</f>
        <v>5</v>
      </c>
      <c r="E81" s="257">
        <f>5*IF(ЗОКИИ="да",1,0)</f>
        <v>5</v>
      </c>
      <c r="F81" s="258">
        <v>0</v>
      </c>
      <c r="G81" s="128"/>
      <c r="H81" s="128"/>
      <c r="I81" s="128"/>
      <c r="J81" s="259"/>
      <c r="K81" s="260">
        <f t="shared" si="0"/>
        <v>5</v>
      </c>
      <c r="L81" s="128">
        <f t="shared" si="1"/>
        <v>0</v>
      </c>
      <c r="M81">
        <f t="shared" si="2"/>
        <v>-5</v>
      </c>
      <c r="N81" s="261" t="s">
        <v>349</v>
      </c>
      <c r="O81" s="333"/>
      <c r="P81" s="262">
        <f t="shared" si="15"/>
        <v>0</v>
      </c>
      <c r="Q81" s="262">
        <f t="shared" si="16"/>
        <v>0</v>
      </c>
      <c r="R81" s="334"/>
      <c r="S81" s="263">
        <f t="shared" si="14"/>
        <v>8.0699999999999985</v>
      </c>
      <c r="T81" s="265" t="str">
        <f>IF(($L81-$F81)&gt;=0,"", "")</f>
        <v/>
      </c>
      <c r="U81" s="265"/>
      <c r="V81" s="263">
        <f t="shared" si="11"/>
        <v>208.07</v>
      </c>
      <c r="W81" s="160" t="str">
        <f>IF(($L81-$E81)&gt;=0,""," - В соотвествии с Приказом Федеральной службы по техническому и экспортному контролю от 25 декабря 2017 г. N 239 Об утверждении Требований по обеспечению безопасности значимых объектов критической"&amp;" информационной инфраструктуры Российской Федерации:
1. Разработать и утвердить Модель угроз и нарушителей (МУиН):"&amp;"
- Провести анализ  угроз безопасности информации и разработка модели угроз безопасности информации или ее уточнение при ее наличии."&amp;"
- Выявить источники угроз безопасности информации и оценить возможности (потенциал) внешних и внутренних нарушителей"&amp;"
- Проанализировать возможные уязвимости значимого объекта и его программных, программно-аппаратных средств"&amp;"
- Определить возможные способы (сценарии) реализации (возникновения) угроз безопасности информации
- Оценить возможные последствия от реализации (возникновения) угроз безопасности информации"&amp;"
- утвердить МУиН.
2. На основе МУиН:
- определить базовый набор  организационных и технических мер по обеспечению безопасности"&amp;" значимого объекта на основе установленной категории значимости значимого объекта;
- адаптировать базовый набор организационных и технических мер по обеспечению безопасности значимого объекта"&amp;" в соответствии с угрозами безопасности информации, применяемыми информационными технологиями и особенностями функционирования значимого объекта;
- разработать компенсирующие организационных"&amp;" и технические меры, обеспечивающие блокирование (нейтрализацию) угроз безопасности информации с необходимым уровнем защищенности значимого объекта (при необходимости);
- разработать и утвердить комплект ОРД и ВНД,"&amp;" регламентирующие процессы обеспечения безопасности ОКИИ."&amp;"
3.На постоянной основе актуализировать ОРД и ВНД при изменении бизнес процессов и/или изменении в законодательсвте, регулирующем сферу КИИ")</f>
        <v xml:space="preserve"> - В соотвествии с Приказом Федеральной службы по техническому и экспортному контролю от 25 декабря 2017 г. N 239 Об утверждении Требований по обеспечению безопасности значимых объектов критической информационной инфраструктуры Российской Федерации:
1. Разработать и утвердить Модель угроз и нарушителей (МУиН):
- Провести анализ  угроз безопасности информации и разработка модели угроз безопасности информации или ее уточнение при ее наличии.
- Выявить источники угроз безопасности информации и оценить возможности (потенциал) внешних и внутренних нарушителей
- Проанализировать возможные уязвимости значимого объекта и его программных, программно-аппаратных средств
- Определить возможные способы (сценарии) реализации (возникновения) угроз безопасности информации
- Оценить возможные последствия от реализации (возникновения) угроз безопасности информации
- утвердить МУиН.
2. На основе МУиН:
- определить базовый набор  организационных и технических мер по обеспечению безопасности значимого объекта на основе установленной категории значимости значимого объекта;
- адаптировать базовый набор организационных и технических мер по обеспечению безопасности значимого объекта в соответствии с угрозами безопасности информации, применяемыми информационными технологиями и особенностями функционирования значимого объекта;
- разработать компенсирующие организационных и технические меры, обеспечивающие блокирование (нейтрализацию) угроз безопасности информации с необходимым уровнем защищенности значимого объекта (при необходимости);
- разработать и утвердить комплект ОРД и ВНД, регламентирующие процессы обеспечения безопасности ОКИИ.
3.На постоянной основе актуализировать ОРД и ВНД при изменении бизнес процессов и/или изменении в законодательсвте, регулирующем сферу КИИ</v>
      </c>
      <c r="X81" s="265" t="s">
        <v>1309</v>
      </c>
      <c r="Y81" s="263">
        <f t="shared" si="12"/>
        <v>308.07</v>
      </c>
      <c r="Z81" s="160" t="str">
        <f t="shared" si="10"/>
        <v/>
      </c>
    </row>
    <row r="82" spans="1:27" ht="358.8" outlineLevel="1">
      <c r="A82" s="271"/>
      <c r="B82" s="254" t="s">
        <v>580</v>
      </c>
      <c r="C82" s="254" t="s">
        <v>581</v>
      </c>
      <c r="D82" s="256">
        <f>5*IF(ЗОКИИ="да",1,0)</f>
        <v>5</v>
      </c>
      <c r="E82" s="257">
        <f>5*IF(ЗОКИИ="да",1,0)</f>
        <v>5</v>
      </c>
      <c r="F82" s="258">
        <v>0</v>
      </c>
      <c r="G82" s="128"/>
      <c r="H82" s="128"/>
      <c r="I82" s="128"/>
      <c r="J82" s="259"/>
      <c r="K82" s="260">
        <f t="shared" si="0"/>
        <v>5</v>
      </c>
      <c r="L82" s="128">
        <f t="shared" si="1"/>
        <v>0</v>
      </c>
      <c r="M82">
        <f t="shared" si="2"/>
        <v>-5</v>
      </c>
      <c r="N82" s="261" t="s">
        <v>349</v>
      </c>
      <c r="O82" s="215"/>
      <c r="P82" s="262">
        <f t="shared" si="15"/>
        <v>0</v>
      </c>
      <c r="Q82" s="262">
        <f t="shared" si="16"/>
        <v>0</v>
      </c>
      <c r="R82" s="334"/>
      <c r="S82" s="263">
        <f t="shared" si="14"/>
        <v>8.0799999999999983</v>
      </c>
      <c r="T82" s="265" t="str">
        <f>IF(($L82-$F82)&gt;=0,"", "")</f>
        <v/>
      </c>
      <c r="U82" s="265"/>
      <c r="V82" s="263">
        <f t="shared" si="11"/>
        <v>208.07999999999998</v>
      </c>
      <c r="W82" s="160" t="str">
        <f>IF(($L82-$E82)&gt;=0,"","- В соотвествии с Приказом Федеральной службы по техническому и экспортному контролю от 25 декабря 2017 г. N 239 Об утверждении Требований"&amp;" по обеспечению безопасности значимых объектов критической информационной инфраструктуры Российской Федерации:
Создать единую или пообъектную систему обеспечения информационной безопасности (СОИБ) ЗОКИИ:"&amp;"
 - На основе МУиН разработать ТЗ на создание системы обеспечения информационной СОИБ ЗОКИИ.
 - Имеется в наличии проектная документация на СОИБ ЗОКИИ (в т.ч. для программа и методика испытаний), проведены"&amp;" приемо-сдаточные мероприятия СОИБ ЗОКИИ. 
 - СОИБ ЗОКИИ ввести в промышленную эксплуатацию."&amp;"
 - Обеспечить эксплуатацию СОИБ КИИ в течение всего периода функционирования ЗОКИИ")</f>
        <v>- В соотвествии с Приказом Федеральной службы по техническому и экспортному контролю от 25 декабря 2017 г. N 239 Об утверждении Требований по обеспечению безопасности значимых объектов критической информационной инфраструктуры Российской Федерации:
Создать единую или пообъектную систему обеспечения информационной безопасности (СОИБ) ЗОКИИ:
 - На основе МУиН разработать ТЗ на создание системы обеспечения информационной СОИБ ЗОКИИ.
 - Имеется в наличии проектная документация на СОИБ ЗОКИИ (в т.ч. для программа и методика испытаний), проведены приемо-сдаточные мероприятия СОИБ ЗОКИИ. 
 - СОИБ ЗОКИИ ввести в промышленную эксплуатацию.
 - Обеспечить эксплуатацию СОИБ КИИ в течение всего периода функционирования ЗОКИИ</v>
      </c>
      <c r="X82" s="651" t="s">
        <v>1328</v>
      </c>
      <c r="Y82" s="263">
        <f t="shared" si="12"/>
        <v>308.08</v>
      </c>
      <c r="Z82" s="160" t="str">
        <f t="shared" si="10"/>
        <v/>
      </c>
    </row>
    <row r="83" spans="1:27" ht="405.6" outlineLevel="1">
      <c r="A83" s="271"/>
      <c r="B83" s="287" t="s">
        <v>582</v>
      </c>
      <c r="C83" s="254" t="s">
        <v>583</v>
      </c>
      <c r="D83" s="256">
        <f t="shared" si="13"/>
        <v>5</v>
      </c>
      <c r="E83" s="257">
        <f t="shared" si="13"/>
        <v>5</v>
      </c>
      <c r="F83" s="258">
        <f t="shared" si="13"/>
        <v>5</v>
      </c>
      <c r="G83" s="128"/>
      <c r="H83" s="128"/>
      <c r="I83" s="128"/>
      <c r="J83" s="259"/>
      <c r="K83" s="260">
        <f t="shared" si="0"/>
        <v>5</v>
      </c>
      <c r="L83" s="128">
        <f t="shared" si="1"/>
        <v>0</v>
      </c>
      <c r="M83">
        <f t="shared" si="2"/>
        <v>-5</v>
      </c>
      <c r="N83" s="261" t="s">
        <v>349</v>
      </c>
      <c r="O83" s="215"/>
      <c r="P83" s="262">
        <f t="shared" si="15"/>
        <v>0</v>
      </c>
      <c r="Q83" s="262">
        <f t="shared" si="16"/>
        <v>0</v>
      </c>
      <c r="R83" s="262">
        <f t="shared" si="17"/>
        <v>0</v>
      </c>
      <c r="S83" s="263">
        <f t="shared" si="14"/>
        <v>8.0899999999999981</v>
      </c>
      <c r="T83" s="160" t="str">
        <f>IF(($L83-$F83)&gt;=0,"", " - Использовать для СОИБ КИИ:
 -  средства защиты информации (СрЗИ) сертифицированные на соответствие требованиям"&amp;" по безопасности (требования к классу защищенности разные, в зависимости от категории значимости ЗОКИИ);
 -  СрЗИ прошедшие оценку соответствия в форме испытаний или приемки, которые проводятся субъектами"&amp;" критической информационной инфраструктуры самостоятельно или с привлечением организаций."&amp;"
В случае п. 2 и привлечения организаций, имеющих в соответствии с законодательством Российской Федерации лицензии на деятельность в области защиты информации:"&amp;"
 - Определить  и привлечь  организацию для оценки уровня защищенности информационных систем ,имеющих соответствующие лицензии ФСТЭК и ФСБ (https://reestr.fstec.ru/reg1)."&amp;"
 - Сформировать техническое задание на выполнение работ по оценке уровня защищенности.
 - Получить отчетные документы в бумажном"&amp;" и в электронном виде от лицензиата по результатам оценки уровня защищенности информационных систем."&amp;" 
 -  На основании распоряжения Правительства РФ от 2 - 0 - 2022 N 1661-р (ред. от 0 - 0 - 2023) Об утверждении перечня ключевых органов (организаций), которым необходимо осуществить"&amp;" мероприятия по оценке уровня защищенности своих информационных систем с привлечением организаций, имеющих соответствующие лицензии ФСБ России и ФСТЭК Росси  предоставить отчетные документы по"&amp;" оценке уровня защищенности информационных систем Правительству РФ, а также в адрес ФСТЭК и ФСБ России на основании соответствующего запроса.")</f>
        <v xml:space="preserve"> - Использовать для СОИБ КИИ:
 -  средства защиты информации (СрЗИ) сертифицированные на соответствие требованиям по безопасности (требования к классу защищенности разные, в зависимости от категории значимости ЗОКИИ);
 -  СрЗИ прошедшие оценку соответствия в форме испытаний или приемки, которые проводятся субъектами критической информационной инфраструктуры самостоятельно или с привлечением организаций.
В случае п. 2 и привлечения организаций, имеющих в соответствии с законодательством Российской Федерации лицензии на деятельность в области защиты информации:
 - Определить  и привлечь  организацию для оценки уровня защищенности информационных систем ,имеющих соответствующие лицензии ФСТЭК и ФСБ (https://reestr.fstec.ru/reg1).
 - Сформировать техническое задание на выполнение работ по оценке уровня защищенности.
 - Получить отчетные документы в бумажном и в электронном виде от лицензиата по результатам оценки уровня защищенности информационных систем. 
 -  На основании распоряжения Правительства РФ от 2 - 0 - 2022 N 1661-р (ред. от 0 - 0 - 2023) Об утверждении перечня ключевых органов (организаций), которым необходимо осуществить мероприятия по оценке уровня защищенности своих информационных систем с привлечением организаций, имеющих соответствующие лицензии ФСБ России и ФСТЭК Росси  предоставить отчетные документы по оценке уровня защищенности информационных систем Правительству РФ, а также в адрес ФСТЭК и ФСБ России на основании соответствующего запроса.</v>
      </c>
      <c r="U83" s="265" t="s">
        <v>129</v>
      </c>
      <c r="V83" s="263">
        <f t="shared" si="11"/>
        <v>208.09</v>
      </c>
      <c r="W83" s="160" t="str">
        <f t="shared" si="8"/>
        <v/>
      </c>
      <c r="Y83" s="263">
        <f t="shared" si="12"/>
        <v>308.08999999999997</v>
      </c>
      <c r="Z83" s="160" t="str">
        <f t="shared" si="10"/>
        <v/>
      </c>
    </row>
    <row r="84" spans="1:27" ht="409.6" outlineLevel="1">
      <c r="A84" s="271"/>
      <c r="B84" s="254" t="s">
        <v>584</v>
      </c>
      <c r="C84" s="254" t="s">
        <v>585</v>
      </c>
      <c r="D84" s="256">
        <f t="shared" ref="D84:E87" si="18">5*IF(ЗОКИИ="да",1,0)</f>
        <v>5</v>
      </c>
      <c r="E84" s="257">
        <f t="shared" si="18"/>
        <v>5</v>
      </c>
      <c r="F84" s="258">
        <v>0</v>
      </c>
      <c r="G84" s="128"/>
      <c r="H84" s="128"/>
      <c r="I84" s="128"/>
      <c r="J84" s="259"/>
      <c r="K84" s="260">
        <f t="shared" si="0"/>
        <v>5</v>
      </c>
      <c r="L84" s="128">
        <f t="shared" si="1"/>
        <v>0</v>
      </c>
      <c r="M84" s="6">
        <f t="shared" si="2"/>
        <v>-5</v>
      </c>
      <c r="N84" s="261" t="s">
        <v>349</v>
      </c>
      <c r="O84" s="215"/>
      <c r="P84" s="262">
        <f t="shared" si="15"/>
        <v>0</v>
      </c>
      <c r="Q84" s="262">
        <f t="shared" si="16"/>
        <v>0</v>
      </c>
      <c r="R84" s="334"/>
      <c r="S84" s="267">
        <f t="shared" si="14"/>
        <v>8.0999999999999979</v>
      </c>
      <c r="T84" s="265" t="str">
        <f>IF(($L84-$F84)&gt;=0,"", "")</f>
        <v/>
      </c>
      <c r="U84" s="265"/>
      <c r="V84" s="267">
        <f t="shared" si="11"/>
        <v>208.1</v>
      </c>
      <c r="W84" s="160" t="str">
        <f>IF(($L84-$E84)&gt;=0,""," - В соотвествии с Указом Президента Российской Федерации от 30.03.2022 г. № 166 О мерах по обеспечению технологической независимости и безопасности критической"&amp;" информационной инфраструктуры Российской Федерации:
 - Провести анализ  и выявить иностранное ПО на значимых объектах КИИ: в части общесистемного (ОС) и прикладного ПО;"&amp;"
 - Разработать план перехода на использование российского ПО в соответствии с приказом Министерства цифрового развития, связи и массовых коммуникаций РФ"&amp;" от 1 - 0 - 2023 № 21 и отраслевым планом мероприятий по обеспечению готовности к преимущественному использованию российского ПО"&amp;"
 - Утвердить план и направить его в Минцифры России 
 - Использовать в работе утвержденный план от Минцифры России."&amp;"
 - Обозначить сроки принятия мер по импортозамещению"&amp;"
"&amp;"
 - В соотвествии с Постановлением Правительства Российской Федерации от 14 ноября 2023 года №1912 "&amp;" О порядке перехода субъектов критической информационной инфраструктуры Российской Федерации на преимущественное применение доверенных программно-аппаратных комплексов на принадлежащих им значимых объектах критической информационной"&amp;" инфраструктуры Российской Федерации:
 - Провести инвентаризацию используемых на ЗОКИИ ПАК;
 - Разработать и утвердить план перехода на преимущественное применение доверенных ПАК в срок до 0 - 0 - 2025;"&amp;"
 - Запретить покупку новых программно-аппаратных комплексов (ПАК) не у доверенных лиц.Срок 2024 (до начала сентября);"&amp;"
 - Уведомить ФСТЭК о планах применения доверенных ПАК .Срок 2024 (конец года);
 - Полностью отказаться от применения ПАК, не соответствующих требованиям импортозамещения. Срок 2029 (конец года);"&amp;"
 - Осуществить переход на преимущественное применение доверенных ПАК в соответствии с планом в срок до 0 - 0 - 2030.")</f>
        <v xml:space="preserve"> - В соотвествии с Указом Президента Российской Федерации от 30.03.2022 г. № 166 О мерах по обеспечению технологической независимости и безопасности критической информационной инфраструктуры Российской Федерации:
 - Провести анализ  и выявить иностранное ПО на значимых объектах КИИ: в части общесистемного (ОС) и прикладного ПО;
 - Разработать план перехода на использование российского ПО в соответствии с приказом Министерства цифрового развития, связи и массовых коммуникаций РФ от 1 - 0 - 2023 № 21 и отраслевым планом мероприятий по обеспечению готовности к преимущественному использованию российского ПО
 - Утвердить план и направить его в Минцифры России 
 - Использовать в работе утвержденный план от Минцифры России.
 - Обозначить сроки принятия мер по импортозамещению
 - В соотвествии с Постановлением Правительства Российской Федерации от 14 ноября 2023 года №1912  О порядке перехода субъектов критической информационной инфраструктуры Российской Федерации на преимущественное применение доверенных программно-аппаратных комплексов на принадлежащих им значимых объектах критической информационной инфраструктуры Российской Федерации:
 - Провести инвентаризацию используемых на ЗОКИИ ПАК;
 - Разработать и утвердить план перехода на преимущественное применение доверенных ПАК в срок до 0 - 0 - 2025;
 - Запретить покупку новых программно-аппаратных комплексов (ПАК) не у доверенных лиц.Срок 2024 (до начала сентября);
 - Уведомить ФСТЭК о планах применения доверенных ПАК .Срок 2024 (конец года);
 - Полностью отказаться от применения ПАК, не соответствующих требованиям импортозамещения. Срок 2029 (конец года);
 - Осуществить переход на преимущественное применение доверенных ПАК в соответствии с планом в срок до 0 - 0 - 2030.</v>
      </c>
      <c r="X84" s="160" t="s">
        <v>130</v>
      </c>
      <c r="Y84" s="267">
        <f t="shared" si="12"/>
        <v>308.10000000000002</v>
      </c>
      <c r="Z84" s="160" t="str">
        <f t="shared" si="10"/>
        <v/>
      </c>
    </row>
    <row r="85" spans="1:27" ht="390" outlineLevel="1">
      <c r="A85" s="271"/>
      <c r="B85" s="254" t="s">
        <v>586</v>
      </c>
      <c r="C85" s="254" t="s">
        <v>587</v>
      </c>
      <c r="D85" s="256">
        <f t="shared" si="18"/>
        <v>5</v>
      </c>
      <c r="E85" s="257">
        <f t="shared" si="18"/>
        <v>5</v>
      </c>
      <c r="F85" s="258">
        <v>0</v>
      </c>
      <c r="G85" s="128"/>
      <c r="H85" s="128"/>
      <c r="I85" s="128"/>
      <c r="J85" s="259"/>
      <c r="K85" s="260">
        <f t="shared" si="0"/>
        <v>5</v>
      </c>
      <c r="L85" s="128">
        <f t="shared" si="1"/>
        <v>0</v>
      </c>
      <c r="M85" s="6">
        <f t="shared" si="2"/>
        <v>-5</v>
      </c>
      <c r="N85" s="261" t="s">
        <v>349</v>
      </c>
      <c r="O85" s="215"/>
      <c r="P85" s="262">
        <f t="shared" si="15"/>
        <v>0</v>
      </c>
      <c r="Q85" s="262">
        <f t="shared" si="16"/>
        <v>0</v>
      </c>
      <c r="R85" s="334"/>
      <c r="S85" s="267">
        <f t="shared" si="14"/>
        <v>8.1099999999999977</v>
      </c>
      <c r="T85" s="265" t="str">
        <f>IF(($L85-$F85)&gt;=0,"", "")</f>
        <v/>
      </c>
      <c r="U85" s="265"/>
      <c r="V85" s="267">
        <f t="shared" si="11"/>
        <v>208.10999999999999</v>
      </c>
      <c r="W85" s="265" t="str">
        <f>IF(($L85-$E85)&gt;=0,"","- В соотвествии с Указом Президента Российской Федерации от 30.0 - 2022 г. № 166  О мерах по обеспечению технологической независимости и безопасности"&amp;" критической информационной инфраструктуры Российской Федерации:
 - Провести инвентаризацию используемых импортных средств защиты информации (далее - СрЗИ);"&amp;"
 - Разработать и утвердить план перехода на преимущественное отечественные СрЗИ;"&amp;"
 - Осуществить пилотирование СрЗИ:
 - 1 Провести предварительные испытания СрЗИ отдельно или в составе значимого объекта;"&amp;"
 - 2  В случае самостоятельного проведения испытаний Программу и методику испытаний"&amp;" разработать и утвердить.В случае если проводится лицензиатом, то необходимо утвердить;
 - 3 Получить и утвердить протокол испытаний;
 - Осуществить переход на отечественные СрЗИ")</f>
        <v>- В соотвествии с Указом Президента Российской Федерации от 30.0 - 2022 г. № 166  О мерах по обеспечению технологической независимости и безопасности критической информационной инфраструктуры Российской Федерации:
 - Провести инвентаризацию используемых импортных средств защиты информации (далее - СрЗИ);
 - Разработать и утвердить план перехода на преимущественное отечественные СрЗИ;
 - Осуществить пилотирование СрЗИ:
 - 1 Провести предварительные испытания СрЗИ отдельно или в составе значимого объекта;
 - 2  В случае самостоятельного проведения испытаний Программу и методику испытаний разработать и утвердить.В случае если проводится лицензиатом, то необходимо утвердить;
 - 3 Получить и утвердить протокол испытаний;
 - Осуществить переход на отечественные СрЗИ</v>
      </c>
      <c r="X85" s="265" t="s">
        <v>131</v>
      </c>
      <c r="Y85" s="267">
        <f t="shared" si="12"/>
        <v>308.11</v>
      </c>
      <c r="Z85" s="160" t="str">
        <f t="shared" si="10"/>
        <v/>
      </c>
    </row>
    <row r="86" spans="1:27" ht="390" outlineLevel="1">
      <c r="A86" s="271"/>
      <c r="B86" s="254" t="s">
        <v>588</v>
      </c>
      <c r="C86" s="254" t="s">
        <v>589</v>
      </c>
      <c r="D86" s="256">
        <f t="shared" si="18"/>
        <v>5</v>
      </c>
      <c r="E86" s="257">
        <f t="shared" si="18"/>
        <v>5</v>
      </c>
      <c r="F86" s="258">
        <v>0</v>
      </c>
      <c r="G86" s="128"/>
      <c r="H86" s="128"/>
      <c r="I86" s="128"/>
      <c r="J86" s="259"/>
      <c r="K86" s="260">
        <f t="shared" si="0"/>
        <v>5</v>
      </c>
      <c r="L86" s="128">
        <f t="shared" si="1"/>
        <v>0</v>
      </c>
      <c r="M86" s="6">
        <f t="shared" si="2"/>
        <v>-5</v>
      </c>
      <c r="N86" s="261" t="s">
        <v>349</v>
      </c>
      <c r="O86" s="215"/>
      <c r="P86" s="262">
        <f t="shared" si="15"/>
        <v>0</v>
      </c>
      <c r="Q86" s="262">
        <f t="shared" si="16"/>
        <v>0</v>
      </c>
      <c r="R86" s="334"/>
      <c r="S86" s="267">
        <f t="shared" si="14"/>
        <v>8.1199999999999974</v>
      </c>
      <c r="T86" s="265" t="str">
        <f>IF(($L86-$F86)&gt;=0,"", "")</f>
        <v/>
      </c>
      <c r="U86" s="265"/>
      <c r="V86" s="267">
        <f t="shared" si="11"/>
        <v>208.12</v>
      </c>
      <c r="W86" s="265" t="str">
        <f>IF(($L86-$E86)&gt;=0,"", " - В соотвествии с Указом Президента Российской Федерации от 30.0 - 2022 г. № 166  О мерах по обеспечению технологической независимости и безопасности"&amp;" критической информационной инфраструктуры Российской Федерации:
 - Провести инвентаризацию используемых импортных средств защиты информации (далее - СрЗИ);"&amp;"
 - Разработать и утвердить план перехода на преимущественное отечественные СрЗИ;"&amp;"
 - Осуществить пилотирование СрЗИ:
 - 1 Провести предварительные испытания СрЗИ отдельно или в составе значимого объекта;"&amp;"
 - 2  В случае самостоятельного проведения испытаний Программу и методику испытаний"&amp;" разработать и утвердить.В случае если проводится лицензиатом, то необходимо утвердить;
 - 3 Получить и утвердить протокол испытаний;
 - Осуществить переход на отечественные СрЗИ")</f>
        <v xml:space="preserve"> - В соотвествии с Указом Президента Российской Федерации от 30.0 - 2022 г. № 166  О мерах по обеспечению технологической независимости и безопасности критической информационной инфраструктуры Российской Федерации:
 - Провести инвентаризацию используемых импортных средств защиты информации (далее - СрЗИ);
 - Разработать и утвердить план перехода на преимущественное отечественные СрЗИ;
 - Осуществить пилотирование СрЗИ:
 - 1 Провести предварительные испытания СрЗИ отдельно или в составе значимого объекта;
 - 2  В случае самостоятельного проведения испытаний Программу и методику испытаний разработать и утвердить.В случае если проводится лицензиатом, то необходимо утвердить;
 - 3 Получить и утвердить протокол испытаний;
 - Осуществить переход на отечественные СрЗИ</v>
      </c>
      <c r="X86" s="265" t="s">
        <v>131</v>
      </c>
      <c r="Y86" s="267"/>
      <c r="AA86" s="265"/>
    </row>
    <row r="87" spans="1:27" ht="280.8" outlineLevel="1">
      <c r="A87" s="271"/>
      <c r="B87" s="254" t="s">
        <v>590</v>
      </c>
      <c r="C87" s="254" t="s">
        <v>591</v>
      </c>
      <c r="D87" s="256">
        <f t="shared" si="18"/>
        <v>5</v>
      </c>
      <c r="E87" s="257">
        <f t="shared" si="18"/>
        <v>5</v>
      </c>
      <c r="F87" s="258">
        <v>0</v>
      </c>
      <c r="G87" s="128"/>
      <c r="H87" s="128"/>
      <c r="I87" s="128"/>
      <c r="J87" s="259"/>
      <c r="K87" s="260">
        <f t="shared" si="0"/>
        <v>5</v>
      </c>
      <c r="L87" s="128">
        <f t="shared" si="1"/>
        <v>0</v>
      </c>
      <c r="M87">
        <f t="shared" si="2"/>
        <v>-5</v>
      </c>
      <c r="N87" s="261" t="s">
        <v>349</v>
      </c>
      <c r="O87" s="215"/>
      <c r="P87" s="262">
        <f t="shared" si="15"/>
        <v>0</v>
      </c>
      <c r="Q87" s="262">
        <f t="shared" si="16"/>
        <v>0</v>
      </c>
      <c r="R87" s="334"/>
      <c r="S87" s="267">
        <f t="shared" si="14"/>
        <v>8.1299999999999972</v>
      </c>
      <c r="T87" s="265" t="str">
        <f>IF(($L87-$F87)&gt;=0,"", "")</f>
        <v/>
      </c>
      <c r="U87" s="265"/>
      <c r="V87" s="267">
        <f t="shared" si="11"/>
        <v>208.13</v>
      </c>
      <c r="W87" s="265" t="str">
        <f>IF(($L87-$E87)&gt;=0,""," - Разработать и утвердить правила и процедуры информирования и обучения персонала;"&amp;"
 - Доводить до персонала требования по обеспечению информационной безопасности, а также положения"&amp;" организационно-распорядительных документов по информационной безопасности;
 - Проводить информирование персонала об угрозах безопасности"&amp;" информации, о правилах безопасной работы;
 - Ежегодно или при наступлении компьютерных инцидентов на ОКИИ проводить обучение персонала по вопросам информационной безопасности, включая проведение практических занятий с персоналом.")</f>
        <v xml:space="preserve"> - Разработать и утвердить правила и процедуры информирования и обучения персонала;
 - Доводить до персонала требования по обеспечению информационной безопасности, а также положения организационно-распорядительных документов по информационной безопасности;
 - Проводить информирование персонала об угрозах безопасности информации, о правилах безопасной работы;
 - Ежегодно или при наступлении компьютерных инцидентов на ОКИИ проводить обучение персонала по вопросам информационной безопасности, включая проведение практических занятий с персоналом.</v>
      </c>
      <c r="X87" s="265" t="s">
        <v>132</v>
      </c>
      <c r="Y87" s="263">
        <f t="shared" si="12"/>
        <v>308.13</v>
      </c>
      <c r="Z87" s="160" t="str">
        <f t="shared" si="10"/>
        <v/>
      </c>
    </row>
    <row r="88" spans="1:27" ht="280.8" outlineLevel="1">
      <c r="A88" s="271"/>
      <c r="B88" s="287" t="s">
        <v>592</v>
      </c>
      <c r="C88" s="254" t="s">
        <v>593</v>
      </c>
      <c r="D88" s="256">
        <f t="shared" si="13"/>
        <v>5</v>
      </c>
      <c r="E88" s="257">
        <f t="shared" si="13"/>
        <v>5</v>
      </c>
      <c r="F88" s="258">
        <f t="shared" si="13"/>
        <v>5</v>
      </c>
      <c r="G88" s="128"/>
      <c r="H88" s="128"/>
      <c r="I88" s="128"/>
      <c r="J88" s="259"/>
      <c r="K88" s="260">
        <f t="shared" si="0"/>
        <v>5</v>
      </c>
      <c r="L88" s="128">
        <f t="shared" si="1"/>
        <v>0</v>
      </c>
      <c r="M88">
        <f t="shared" si="2"/>
        <v>-5</v>
      </c>
      <c r="N88" s="261" t="s">
        <v>331</v>
      </c>
      <c r="O88" s="215"/>
      <c r="P88" s="262">
        <f t="shared" si="15"/>
        <v>0</v>
      </c>
      <c r="Q88" s="262">
        <f t="shared" si="16"/>
        <v>0</v>
      </c>
      <c r="R88" s="262">
        <f t="shared" si="17"/>
        <v>0</v>
      </c>
      <c r="S88" s="267">
        <f t="shared" si="14"/>
        <v>8.139999999999997</v>
      </c>
      <c r="T88" s="265" t="str">
        <f>IF(($L88-$F88)&gt;=0,"", " - Выполнить подключение ЗОКИИ к Корпоративному центру ГосСОПКА (на базе SOC Департамент мониторинга и реагирования на компьютерные инциденты КЦ ПАО Ростелеком; далее - КЦ ГосСОПКА):"&amp;"
1. Подписать Соглашение о взаимодействии Публичного акционерного общества Ростелеком и ДЗО в области обнаружения, предупреждения"&amp;" и ликвидации последствий компьютерных атак 
2. Разработать и утвердить ОРД и ВНД, регламентирующие взаимодействие с КЦ ГосСОПКА:
- утвердить регламент информирования ФСБ России (НКЦКИ) о компьютерных инцидентах;"&amp;"
- Утвердить перечень информации о компьютерных инцидентах, связанных с функционированием объектов КИИ;
- Разработать и утвердить правила и процедуры реагирования на компьютерные инциденты."&amp;"
- Разработать и утвердить план реагирования на компьютерные инциденты и принятия мер по ликвидации последствий компьютерных атак самостоятельно или совместно с НКЦКИ.
- Направить План на согласование в НКЦКИ.")</f>
        <v xml:space="preserve"> - Выполнить подключение ЗОКИИ к Корпоративному центру ГосСОПКА (на базе SOC Департамент мониторинга и реагирования на компьютерные инциденты КЦ ПАО Ростелеком; далее - КЦ ГосСОПКА):
1. Подписать Соглашение о взаимодействии Публичного акционерного общества Ростелеком и ДЗО в области обнаружения, предупреждения и ликвидации последствий компьютерных атак 
2. Разработать и утвердить ОРД и ВНД, регламентирующие взаимодействие с КЦ ГосСОПКА:
- утвердить регламент информирования ФСБ России (НКЦКИ) о компьютерных инцидентах;
- Утвердить перечень информации о компьютерных инцидентах, связанных с функционированием объектов КИИ;
- Разработать и утвердить правила и процедуры реагирования на компьютерные инциденты.
- Разработать и утвердить план реагирования на компьютерные инциденты и принятия мер по ликвидации последствий компьютерных атак самостоятельно или совместно с НКЦКИ.
- Направить План на согласование в НКЦКИ.</v>
      </c>
      <c r="U88" s="265" t="s">
        <v>133</v>
      </c>
      <c r="V88" s="267">
        <f t="shared" si="11"/>
        <v>208.14</v>
      </c>
      <c r="Y88" s="263"/>
    </row>
    <row r="89" spans="1:27" ht="78" outlineLevel="1">
      <c r="A89" s="271"/>
      <c r="B89" s="287" t="s">
        <v>594</v>
      </c>
      <c r="C89" s="254" t="s">
        <v>595</v>
      </c>
      <c r="D89" s="256">
        <f t="shared" si="13"/>
        <v>5</v>
      </c>
      <c r="E89" s="257">
        <f t="shared" si="13"/>
        <v>5</v>
      </c>
      <c r="F89" s="258">
        <f>3.2*IF(КИИ="да",1,0)</f>
        <v>3.2</v>
      </c>
      <c r="G89" s="128"/>
      <c r="H89" s="128"/>
      <c r="I89" s="128"/>
      <c r="J89" s="259"/>
      <c r="K89" s="260">
        <f t="shared" si="0"/>
        <v>5</v>
      </c>
      <c r="L89" s="128">
        <f t="shared" si="1"/>
        <v>0</v>
      </c>
      <c r="M89">
        <f t="shared" si="2"/>
        <v>-5</v>
      </c>
      <c r="N89" s="269" t="s">
        <v>331</v>
      </c>
      <c r="O89" s="215"/>
      <c r="P89" s="262">
        <f t="shared" si="15"/>
        <v>0</v>
      </c>
      <c r="Q89" s="262">
        <f t="shared" si="16"/>
        <v>0</v>
      </c>
      <c r="R89" s="262">
        <f t="shared" si="17"/>
        <v>0</v>
      </c>
      <c r="S89" s="267">
        <f t="shared" si="14"/>
        <v>8.1499999999999968</v>
      </c>
      <c r="T89" s="335" t="str">
        <f>IF(($L89-$F89)&gt;=0,"", " - Определить ответственного сотрудника за взаимодействие с гос.регуляторами в области запросов КИИ")</f>
        <v xml:space="preserve"> - Определить ответственного сотрудника за взаимодействие с гос.регуляторами в области запросов КИИ</v>
      </c>
      <c r="U89" s="265" t="s">
        <v>134</v>
      </c>
      <c r="V89" s="263">
        <f t="shared" si="11"/>
        <v>208.15</v>
      </c>
      <c r="W89" s="335" t="str">
        <f>IF(($L89-$E89)&gt;=0,""," - Предоставлены своевременные ответы на запросы ФСТЭК России о выполнении мер по защите информации, рекомендованных к реализации (ответы предоставлены на более чем 95% запросов)")</f>
        <v xml:space="preserve"> - Предоставлены своевременные ответы на запросы ФСТЭК России о выполнении мер по защите информации, рекомендованных к реализации (ответы предоставлены на более чем 95% запросов)</v>
      </c>
      <c r="X89" s="335"/>
      <c r="Y89" s="263">
        <f t="shared" si="12"/>
        <v>308.14999999999998</v>
      </c>
      <c r="Z89" s="160" t="str">
        <f t="shared" si="10"/>
        <v/>
      </c>
      <c r="AA89" s="335"/>
    </row>
    <row r="90" spans="1:27">
      <c r="B90" s="249" t="s">
        <v>222</v>
      </c>
      <c r="C90" s="21" t="s">
        <v>596</v>
      </c>
      <c r="D90" s="21"/>
      <c r="E90" s="21"/>
      <c r="F90" s="21"/>
      <c r="G90" s="328"/>
      <c r="H90" s="21"/>
      <c r="I90" s="21"/>
      <c r="J90" s="21"/>
      <c r="K90" s="21"/>
      <c r="L90" s="21"/>
      <c r="M90" s="329"/>
      <c r="N90" s="336"/>
      <c r="O90" s="337"/>
      <c r="P90" s="338"/>
      <c r="Q90" s="338"/>
      <c r="R90" s="338"/>
      <c r="S90" s="247">
        <f>VLOOKUP(B90,Приоритет!$G$9:$K$52,5,0)</f>
        <v>40</v>
      </c>
      <c r="T90" s="249" t="s">
        <v>597</v>
      </c>
      <c r="U90" s="249"/>
      <c r="V90" s="247">
        <f t="shared" si="11"/>
        <v>240</v>
      </c>
      <c r="W90" s="249" t="s">
        <v>597</v>
      </c>
      <c r="X90" s="249"/>
      <c r="Y90" s="247">
        <f t="shared" si="12"/>
        <v>340</v>
      </c>
      <c r="Z90" s="249" t="s">
        <v>597</v>
      </c>
      <c r="AA90" s="249"/>
    </row>
    <row r="91" spans="1:27" ht="46.8" outlineLevel="1">
      <c r="B91" s="254" t="s">
        <v>598</v>
      </c>
      <c r="C91" s="254" t="s">
        <v>599</v>
      </c>
      <c r="D91" s="256">
        <f t="shared" ref="D91:F98" si="19">5*IF(КТ="да",1,0)</f>
        <v>5</v>
      </c>
      <c r="E91" s="257">
        <f t="shared" si="19"/>
        <v>5</v>
      </c>
      <c r="F91" s="258">
        <f t="shared" si="19"/>
        <v>5</v>
      </c>
      <c r="G91" s="128"/>
      <c r="H91" s="128"/>
      <c r="I91" s="128"/>
      <c r="J91" s="259"/>
      <c r="K91" s="260">
        <f t="shared" si="0"/>
        <v>5</v>
      </c>
      <c r="L91" s="128">
        <f t="shared" si="1"/>
        <v>0</v>
      </c>
      <c r="M91">
        <f t="shared" si="2"/>
        <v>-5</v>
      </c>
      <c r="N91" s="261" t="s">
        <v>331</v>
      </c>
      <c r="O91" s="215"/>
      <c r="P91" s="262">
        <f t="shared" ref="P91:Q98" si="20">IFERROR(IF($L91&gt;D91,1,$L91/D91),0)</f>
        <v>0</v>
      </c>
      <c r="Q91" s="262">
        <f t="shared" si="20"/>
        <v>0</v>
      </c>
      <c r="R91" s="262">
        <f t="shared" si="17"/>
        <v>0</v>
      </c>
      <c r="S91" s="263">
        <f t="shared" ref="S91:S100" si="21">S90+0.01</f>
        <v>40.01</v>
      </c>
      <c r="T91" s="265" t="str">
        <f>IF(($L91-$F91)&gt;=0,"", " - Определить и утвердить перечень информации, составляющей КТ, взяв за основу определение из п.2 ст. 3 ФЗ № 98;"&amp;"
 - Ознакомить сотрудников с перечнем.")</f>
        <v xml:space="preserve"> - Определить и утвердить перечень информации, составляющей КТ, взяв за основу определение из п.2 ст. 3 ФЗ № 98;
 - Ознакомить сотрудников с перечнем.</v>
      </c>
      <c r="U91" s="265" t="s">
        <v>223</v>
      </c>
      <c r="V91" s="263">
        <f t="shared" si="11"/>
        <v>240.01</v>
      </c>
      <c r="W91" s="160" t="str">
        <f>IF(($L91-$E91)&gt;=0,"","")</f>
        <v/>
      </c>
      <c r="Y91" s="263">
        <f t="shared" si="12"/>
        <v>340.01</v>
      </c>
      <c r="Z91" s="160" t="str">
        <f t="shared" si="10"/>
        <v/>
      </c>
    </row>
    <row r="92" spans="1:27" ht="41.4" outlineLevel="1">
      <c r="B92" s="254" t="s">
        <v>600</v>
      </c>
      <c r="C92" s="254" t="s">
        <v>601</v>
      </c>
      <c r="D92" s="256">
        <f t="shared" si="19"/>
        <v>5</v>
      </c>
      <c r="E92" s="257">
        <f t="shared" si="19"/>
        <v>5</v>
      </c>
      <c r="F92" s="258">
        <f t="shared" si="19"/>
        <v>5</v>
      </c>
      <c r="G92" s="128"/>
      <c r="H92" s="128"/>
      <c r="I92" s="128"/>
      <c r="J92" s="259"/>
      <c r="K92" s="260">
        <f t="shared" si="0"/>
        <v>5</v>
      </c>
      <c r="L92" s="128">
        <f t="shared" si="1"/>
        <v>0</v>
      </c>
      <c r="M92">
        <f t="shared" si="2"/>
        <v>-5</v>
      </c>
      <c r="N92" s="261" t="s">
        <v>331</v>
      </c>
      <c r="O92" s="215"/>
      <c r="P92" s="262">
        <f t="shared" si="20"/>
        <v>0</v>
      </c>
      <c r="Q92" s="262">
        <f>IFERROR(IF($L92&gt;E92,1,$L92/E92),0)</f>
        <v>0</v>
      </c>
      <c r="R92" s="262">
        <f t="shared" si="17"/>
        <v>0</v>
      </c>
      <c r="S92" s="263">
        <f t="shared" si="21"/>
        <v>40.019999999999996</v>
      </c>
      <c r="T92" s="265" t="str">
        <f>IF(($L92-$F92)&gt;=0,"", "Организовать и осуществлять маркирование материальных носителей КТ")</f>
        <v>Организовать и осуществлять маркирование материальных носителей КТ</v>
      </c>
      <c r="U92" s="265" t="s">
        <v>224</v>
      </c>
      <c r="V92" s="263">
        <f t="shared" si="11"/>
        <v>240.01999999999998</v>
      </c>
      <c r="Y92" s="263">
        <f t="shared" si="12"/>
        <v>340.02</v>
      </c>
    </row>
    <row r="93" spans="1:27" ht="46.8" outlineLevel="1">
      <c r="B93" s="254" t="s">
        <v>602</v>
      </c>
      <c r="C93" s="254" t="s">
        <v>603</v>
      </c>
      <c r="D93" s="256">
        <f t="shared" si="19"/>
        <v>5</v>
      </c>
      <c r="E93" s="257">
        <f t="shared" si="19"/>
        <v>5</v>
      </c>
      <c r="F93" s="258">
        <f t="shared" si="19"/>
        <v>5</v>
      </c>
      <c r="G93" s="128"/>
      <c r="H93" s="128"/>
      <c r="I93" s="128"/>
      <c r="J93" s="259"/>
      <c r="K93" s="260">
        <f t="shared" si="0"/>
        <v>5</v>
      </c>
      <c r="L93" s="128">
        <f t="shared" si="1"/>
        <v>0</v>
      </c>
      <c r="M93">
        <f t="shared" si="2"/>
        <v>-5</v>
      </c>
      <c r="N93" s="261" t="s">
        <v>331</v>
      </c>
      <c r="O93" s="215"/>
      <c r="P93" s="262">
        <f t="shared" si="20"/>
        <v>0</v>
      </c>
      <c r="Q93" s="262">
        <f>IFERROR(IF($L93&gt;E93,1,$L93/E93),0)</f>
        <v>0</v>
      </c>
      <c r="R93" s="262">
        <f t="shared" si="17"/>
        <v>0</v>
      </c>
      <c r="S93" s="263">
        <f t="shared" si="21"/>
        <v>40.029999999999994</v>
      </c>
      <c r="T93" s="265" t="str">
        <f>IF(($L93-$F93)&gt;=0,"", "Организовать и осуществлятьучет лиц имеющих доступ к КТ")</f>
        <v>Организовать и осуществлятьучет лиц имеющих доступ к КТ</v>
      </c>
      <c r="U93" s="265" t="s">
        <v>225</v>
      </c>
      <c r="V93" s="263">
        <f t="shared" si="11"/>
        <v>240.03</v>
      </c>
      <c r="Y93" s="263">
        <f t="shared" si="12"/>
        <v>340.03</v>
      </c>
    </row>
    <row r="94" spans="1:27" ht="78" outlineLevel="1">
      <c r="B94" s="254" t="s">
        <v>604</v>
      </c>
      <c r="C94" s="254" t="s">
        <v>605</v>
      </c>
      <c r="D94" s="256">
        <f t="shared" si="19"/>
        <v>5</v>
      </c>
      <c r="E94" s="257">
        <f t="shared" si="19"/>
        <v>5</v>
      </c>
      <c r="F94" s="258">
        <f t="shared" si="19"/>
        <v>5</v>
      </c>
      <c r="G94" s="128"/>
      <c r="H94" s="128"/>
      <c r="I94" s="128"/>
      <c r="J94" s="259"/>
      <c r="K94" s="260">
        <f t="shared" si="0"/>
        <v>5</v>
      </c>
      <c r="L94" s="128">
        <f t="shared" si="1"/>
        <v>0</v>
      </c>
      <c r="M94">
        <f t="shared" si="2"/>
        <v>-5</v>
      </c>
      <c r="N94" s="261" t="s">
        <v>331</v>
      </c>
      <c r="O94" s="215"/>
      <c r="P94" s="262">
        <f t="shared" si="20"/>
        <v>0</v>
      </c>
      <c r="Q94" s="262">
        <f>IFERROR(IF($L94&gt;E94,1,$L94/E94),0)</f>
        <v>0</v>
      </c>
      <c r="R94" s="262">
        <f t="shared" si="17"/>
        <v>0</v>
      </c>
      <c r="S94" s="263">
        <f t="shared" si="21"/>
        <v>40.039999999999992</v>
      </c>
      <c r="T94" s="265" t="str">
        <f>IF(($L94-$F94)&gt;=0,"", "- Разработать шаблон соглашения о неразглашении информации, составляющей КТ;"&amp;"
 - Включить соглашение в трудовые договоры, а также договоры с контрагентами.")</f>
        <v>- Разработать шаблон соглашения о неразглашении информации, составляющей КТ;
 - Включить соглашение в трудовые договоры, а также договоры с контрагентами.</v>
      </c>
      <c r="U94" s="265" t="s">
        <v>226</v>
      </c>
      <c r="V94" s="263">
        <f t="shared" si="11"/>
        <v>240.04</v>
      </c>
      <c r="Y94" s="263">
        <f t="shared" si="12"/>
        <v>340.03999999999996</v>
      </c>
    </row>
    <row r="95" spans="1:27" ht="78" outlineLevel="1">
      <c r="B95" s="254" t="s">
        <v>606</v>
      </c>
      <c r="C95" s="254" t="s">
        <v>607</v>
      </c>
      <c r="D95" s="256">
        <f t="shared" si="19"/>
        <v>5</v>
      </c>
      <c r="E95" s="257">
        <f t="shared" si="19"/>
        <v>5</v>
      </c>
      <c r="F95" s="258">
        <f t="shared" si="19"/>
        <v>5</v>
      </c>
      <c r="G95" s="128"/>
      <c r="H95" s="128"/>
      <c r="I95" s="128"/>
      <c r="J95" s="259"/>
      <c r="K95" s="260">
        <f t="shared" si="0"/>
        <v>5</v>
      </c>
      <c r="L95" s="128">
        <f t="shared" si="1"/>
        <v>0</v>
      </c>
      <c r="M95">
        <f t="shared" si="2"/>
        <v>-5</v>
      </c>
      <c r="N95" s="261" t="s">
        <v>331</v>
      </c>
      <c r="P95" s="262">
        <f t="shared" si="20"/>
        <v>0</v>
      </c>
      <c r="Q95" s="262">
        <f t="shared" si="20"/>
        <v>0</v>
      </c>
      <c r="R95" s="262">
        <f t="shared" si="17"/>
        <v>0</v>
      </c>
      <c r="S95" s="263">
        <f t="shared" si="21"/>
        <v>40.04999999999999</v>
      </c>
      <c r="T95" s="265" t="str">
        <f>IF(($L95-$F95)&gt;=0,"", " - Разработать и утвердить локальный документ, который определяет порядок обращения с КТ. Ознакомить сотрудников.Проводить актуализацию ВНД")</f>
        <v xml:space="preserve"> - Разработать и утвердить локальный документ, который определяет порядок обращения с КТ. Ознакомить сотрудников.Проводить актуализацию ВНД</v>
      </c>
      <c r="U95" s="265" t="s">
        <v>227</v>
      </c>
      <c r="V95" s="263">
        <f t="shared" si="11"/>
        <v>240.04999999999998</v>
      </c>
      <c r="W95" s="160" t="str">
        <f>IF(($L95-$E95)&gt;=0,"","")</f>
        <v/>
      </c>
      <c r="Y95" s="263">
        <f t="shared" si="12"/>
        <v>340.05</v>
      </c>
      <c r="Z95" s="160" t="str">
        <f t="shared" si="10"/>
        <v/>
      </c>
    </row>
    <row r="96" spans="1:27" ht="62.4" outlineLevel="1">
      <c r="B96" s="254" t="s">
        <v>608</v>
      </c>
      <c r="C96" s="254" t="s">
        <v>609</v>
      </c>
      <c r="D96" s="256">
        <f t="shared" si="19"/>
        <v>5</v>
      </c>
      <c r="E96" s="257">
        <f t="shared" si="19"/>
        <v>5</v>
      </c>
      <c r="F96" s="258">
        <f t="shared" si="19"/>
        <v>5</v>
      </c>
      <c r="G96" s="128"/>
      <c r="H96" s="128"/>
      <c r="I96" s="128"/>
      <c r="J96" s="259"/>
      <c r="K96" s="260">
        <f t="shared" si="0"/>
        <v>5</v>
      </c>
      <c r="L96" s="128">
        <f t="shared" si="1"/>
        <v>0</v>
      </c>
      <c r="M96">
        <f t="shared" si="2"/>
        <v>-5</v>
      </c>
      <c r="N96" s="261" t="s">
        <v>331</v>
      </c>
      <c r="P96" s="262">
        <f t="shared" si="20"/>
        <v>0</v>
      </c>
      <c r="Q96" s="262">
        <f t="shared" si="20"/>
        <v>0</v>
      </c>
      <c r="R96" s="262">
        <f t="shared" si="17"/>
        <v>0</v>
      </c>
      <c r="S96" s="263">
        <f t="shared" si="21"/>
        <v>40.059999999999988</v>
      </c>
      <c r="T96" s="265" t="str">
        <f>IF(($L96-$F96)&gt;=0,"", " В трудовом договоре с руководителем Общества предусмотреть его обязанности по обеспечению охраны КТ")</f>
        <v xml:space="preserve"> В трудовом договоре с руководителем Общества предусмотреть его обязанности по обеспечению охраны КТ</v>
      </c>
      <c r="U96" s="265" t="s">
        <v>228</v>
      </c>
      <c r="V96" s="263">
        <f t="shared" si="11"/>
        <v>240.06</v>
      </c>
      <c r="W96" s="160" t="str">
        <f>IF(($L96-$E96)&gt;=0,"","")</f>
        <v/>
      </c>
      <c r="Y96" s="263">
        <f t="shared" si="12"/>
        <v>340.06</v>
      </c>
      <c r="Z96" s="160" t="str">
        <f t="shared" si="10"/>
        <v/>
      </c>
    </row>
    <row r="97" spans="2:27" ht="69" outlineLevel="1">
      <c r="B97" s="254" t="s">
        <v>1291</v>
      </c>
      <c r="C97" s="254" t="s">
        <v>610</v>
      </c>
      <c r="D97" s="256">
        <f t="shared" si="19"/>
        <v>5</v>
      </c>
      <c r="E97" s="257">
        <f t="shared" si="19"/>
        <v>5</v>
      </c>
      <c r="F97" s="258">
        <f t="shared" si="19"/>
        <v>5</v>
      </c>
      <c r="G97" s="128"/>
      <c r="H97" s="128"/>
      <c r="I97" s="128"/>
      <c r="J97" s="259"/>
      <c r="K97" s="260">
        <f t="shared" si="0"/>
        <v>5</v>
      </c>
      <c r="L97" s="128">
        <f t="shared" si="1"/>
        <v>0</v>
      </c>
      <c r="M97">
        <f t="shared" si="2"/>
        <v>-5</v>
      </c>
      <c r="N97" s="261" t="s">
        <v>331</v>
      </c>
      <c r="P97" s="262">
        <f t="shared" si="20"/>
        <v>0</v>
      </c>
      <c r="Q97" s="262">
        <f t="shared" si="20"/>
        <v>0</v>
      </c>
      <c r="R97" s="262">
        <f t="shared" si="17"/>
        <v>0</v>
      </c>
      <c r="S97" s="263">
        <f t="shared" si="21"/>
        <v>40.069999999999986</v>
      </c>
      <c r="T97" s="265" t="str">
        <f>IF(($L97-$F97)&gt;=0,"", "Обеспечить ознакомление работников Общества, допущенных к КТ,  под подпись с документами Общества, устанавливающими режим КТ")</f>
        <v>Обеспечить ознакомление работников Общества, допущенных к КТ,  под подпись с документами Общества, устанавливающими режим КТ</v>
      </c>
      <c r="U97" s="265" t="s">
        <v>229</v>
      </c>
      <c r="V97" s="263">
        <f t="shared" si="11"/>
        <v>240.07</v>
      </c>
      <c r="W97" s="160" t="str">
        <f>IF(($L97-$E97)&gt;=0,"","")</f>
        <v/>
      </c>
      <c r="Y97" s="263">
        <f t="shared" si="12"/>
        <v>340.07</v>
      </c>
      <c r="Z97" s="160" t="str">
        <f t="shared" si="10"/>
        <v/>
      </c>
    </row>
    <row r="98" spans="2:27" ht="46.8" outlineLevel="1">
      <c r="B98" s="254" t="s">
        <v>611</v>
      </c>
      <c r="C98" s="254" t="s">
        <v>612</v>
      </c>
      <c r="D98" s="256">
        <f t="shared" si="19"/>
        <v>5</v>
      </c>
      <c r="E98" s="257">
        <f t="shared" si="19"/>
        <v>5</v>
      </c>
      <c r="F98" s="258">
        <f t="shared" si="19"/>
        <v>5</v>
      </c>
      <c r="G98" s="128"/>
      <c r="H98" s="128"/>
      <c r="I98" s="128"/>
      <c r="J98" s="259"/>
      <c r="K98" s="260">
        <f t="shared" si="0"/>
        <v>5</v>
      </c>
      <c r="L98" s="128">
        <f t="shared" si="1"/>
        <v>0</v>
      </c>
      <c r="M98">
        <f t="shared" si="2"/>
        <v>-5</v>
      </c>
      <c r="N98" s="261" t="s">
        <v>331</v>
      </c>
      <c r="P98" s="262">
        <f t="shared" si="20"/>
        <v>0</v>
      </c>
      <c r="Q98" s="262">
        <f t="shared" si="20"/>
        <v>0</v>
      </c>
      <c r="R98" s="262">
        <f t="shared" si="17"/>
        <v>0</v>
      </c>
      <c r="S98" s="263">
        <f t="shared" si="21"/>
        <v>40.079999999999984</v>
      </c>
      <c r="T98" s="265" t="str">
        <f>IF(($L98-$F98)&gt;=0,"", " -Определить порядок доступа работников к КТ, если таковой не предусмотрен трудовыми договорами.")</f>
        <v xml:space="preserve"> -Определить порядок доступа работников к КТ, если таковой не предусмотрен трудовыми договорами.</v>
      </c>
      <c r="U98" s="265" t="s">
        <v>230</v>
      </c>
      <c r="V98" s="263">
        <f t="shared" si="11"/>
        <v>240.07999999999998</v>
      </c>
      <c r="W98" s="160" t="str">
        <f>IF(($L98-$E98)&gt;=0,"","")</f>
        <v/>
      </c>
      <c r="Y98" s="263">
        <f t="shared" si="12"/>
        <v>340.08</v>
      </c>
      <c r="Z98" s="160" t="str">
        <f t="shared" si="10"/>
        <v/>
      </c>
    </row>
    <row r="99" spans="2:27">
      <c r="B99" s="249" t="s">
        <v>613</v>
      </c>
      <c r="C99" s="21" t="s">
        <v>208</v>
      </c>
      <c r="D99" s="21"/>
      <c r="E99" s="21"/>
      <c r="F99" s="21"/>
      <c r="G99" s="328"/>
      <c r="H99" s="21"/>
      <c r="I99" s="21"/>
      <c r="J99" s="21"/>
      <c r="K99" s="21"/>
      <c r="L99" s="21"/>
      <c r="M99" s="329"/>
      <c r="N99" s="339"/>
      <c r="O99" s="340"/>
      <c r="P99" s="328"/>
      <c r="Q99" s="328"/>
      <c r="R99" s="328"/>
      <c r="S99" s="247">
        <v>37</v>
      </c>
      <c r="T99" s="21" t="s">
        <v>208</v>
      </c>
      <c r="U99" s="21"/>
      <c r="V99" s="21">
        <f t="shared" si="11"/>
        <v>237</v>
      </c>
      <c r="W99" s="21" t="s">
        <v>208</v>
      </c>
      <c r="X99" s="21"/>
      <c r="Y99" s="21">
        <f t="shared" si="12"/>
        <v>337</v>
      </c>
      <c r="Z99" s="21" t="s">
        <v>208</v>
      </c>
      <c r="AA99" s="21"/>
    </row>
    <row r="100" spans="2:27" ht="57.6" outlineLevel="1">
      <c r="B100" s="254" t="s">
        <v>614</v>
      </c>
      <c r="C100" s="254" t="s">
        <v>615</v>
      </c>
      <c r="D100" s="256">
        <f t="shared" ref="D100:F109" si="22">5*IF(СКЗИ="да",1,0)</f>
        <v>5</v>
      </c>
      <c r="E100" s="257">
        <f t="shared" si="22"/>
        <v>5</v>
      </c>
      <c r="F100" s="258">
        <f t="shared" si="22"/>
        <v>5</v>
      </c>
      <c r="G100" s="128"/>
      <c r="H100" s="128"/>
      <c r="I100" s="128"/>
      <c r="J100" s="259"/>
      <c r="K100" s="260">
        <f t="shared" ref="K100:K115" si="23">IF(ЦУКБ="КБ 1",F100, IF(ЦУКБ="КБ 2",E100,D100))</f>
        <v>5</v>
      </c>
      <c r="L100" s="128">
        <f>IF((СК="Да"), D100, VALUE(LEFT(N100,3)))</f>
        <v>0</v>
      </c>
      <c r="M100">
        <f t="shared" si="2"/>
        <v>-5</v>
      </c>
      <c r="N100" s="187" t="s">
        <v>331</v>
      </c>
      <c r="O100" s="216" t="str">
        <f>IF((СК="Да"),"Зона ответственности Сервисной компании", "")</f>
        <v/>
      </c>
      <c r="P100" s="262">
        <f t="shared" ref="P100:P115" si="24">IFERROR(IF($L100&gt;D100,1,$L100/D100),0)</f>
        <v>0</v>
      </c>
      <c r="Q100" s="262">
        <f t="shared" ref="Q100:Q115" si="25">IFERROR(IF($L100&gt;E100,1,$L100/E100),0)</f>
        <v>0</v>
      </c>
      <c r="R100" s="262">
        <f t="shared" ref="R100:R115" si="26">IFERROR(IF($L100&gt;=F100,1,$L100/F100),0)</f>
        <v>0</v>
      </c>
      <c r="S100" s="263">
        <f t="shared" si="21"/>
        <v>37.01</v>
      </c>
      <c r="T100" s="266" t="str">
        <f>IF(($L100-$F100)&gt;=0,"",
" -Издать приказ о создании ОКЗ;
Утверждено Положение об ОКЗ;
Назначить руководителя ОКЗ и инженерно-технических работников;
Утвердить состав ОКЗ.")</f>
        <v xml:space="preserve"> -Издать приказ о создании ОКЗ;
Утверждено Положение об ОКЗ;
Назначить руководителя ОКЗ и инженерно-технических работников;
Утвердить состав ОКЗ.</v>
      </c>
      <c r="U100" s="265" t="s">
        <v>209</v>
      </c>
      <c r="V100" s="263">
        <f t="shared" si="11"/>
        <v>237.01</v>
      </c>
      <c r="W100" s="160" t="str">
        <f t="shared" ref="W100:W115" si="27">IF(($L100-$E100)&gt;=0,"","")</f>
        <v/>
      </c>
      <c r="Y100" s="263">
        <f t="shared" si="12"/>
        <v>337.01</v>
      </c>
      <c r="Z100" s="160" t="str">
        <f t="shared" ref="Z100:Z115" si="28">IF(($L100-$D100)&gt;=0,"","")</f>
        <v/>
      </c>
    </row>
    <row r="101" spans="2:27" ht="57.6" outlineLevel="1">
      <c r="B101" s="287" t="s">
        <v>616</v>
      </c>
      <c r="C101" s="254" t="s">
        <v>617</v>
      </c>
      <c r="D101" s="256">
        <f t="shared" si="22"/>
        <v>5</v>
      </c>
      <c r="E101" s="257">
        <f t="shared" si="22"/>
        <v>5</v>
      </c>
      <c r="F101" s="258">
        <f t="shared" si="22"/>
        <v>5</v>
      </c>
      <c r="G101" s="128"/>
      <c r="H101" s="128"/>
      <c r="I101" s="128"/>
      <c r="J101" s="259"/>
      <c r="K101" s="260">
        <f t="shared" si="23"/>
        <v>5</v>
      </c>
      <c r="L101" s="128">
        <f>IF((СК="Да"),3.2, VALUE(LEFT(N101,3)))</f>
        <v>0</v>
      </c>
      <c r="M101">
        <f t="shared" si="2"/>
        <v>-5</v>
      </c>
      <c r="N101" s="269" t="s">
        <v>331</v>
      </c>
      <c r="O101" s="216" t="str">
        <f>IF((СК="Да"),"Совместная зона ответственности ДЗО и Сервисной компании
(3,2 - при подключении к СК;
5 - при выполнении в ДЗО)", "")</f>
        <v/>
      </c>
      <c r="P101" s="262">
        <f t="shared" si="24"/>
        <v>0</v>
      </c>
      <c r="Q101" s="262">
        <f t="shared" si="25"/>
        <v>0</v>
      </c>
      <c r="R101" s="262">
        <f t="shared" si="26"/>
        <v>0</v>
      </c>
      <c r="S101" s="263">
        <f t="shared" ref="S101:S109" si="29">S100+0.01</f>
        <v>37.019999999999996</v>
      </c>
      <c r="T101" s="266" t="str">
        <f>IF(($L101-$F101)&gt;=0,"",
" Организовать процесс учета ключевой информации;
Присвоить ключевым документам (КД), ключевым носителям (КН) идентификаторы (в случае их отсутствия);
Заполнить Журнал учета КД/КН в разрезе лиц, которым эти КД/КН выданы..")</f>
        <v xml:space="preserve"> Организовать процесс учета ключевой информации;
Присвоить ключевым документам (КД), ключевым носителям (КН) идентификаторы (в случае их отсутствия);
Заполнить Журнал учета КД/КН в разрезе лиц, которым эти КД/КН выданы..</v>
      </c>
      <c r="U101" s="265" t="s">
        <v>210</v>
      </c>
      <c r="V101" s="263">
        <f t="shared" si="11"/>
        <v>237.01999999999998</v>
      </c>
      <c r="W101" s="160" t="str">
        <f t="shared" si="27"/>
        <v/>
      </c>
      <c r="Y101" s="263">
        <f t="shared" si="12"/>
        <v>337.02</v>
      </c>
      <c r="Z101" s="160" t="str">
        <f t="shared" si="28"/>
        <v/>
      </c>
    </row>
    <row r="102" spans="2:27" ht="57.6" outlineLevel="1">
      <c r="B102" s="287" t="s">
        <v>618</v>
      </c>
      <c r="C102" s="254" t="s">
        <v>619</v>
      </c>
      <c r="D102" s="256">
        <f t="shared" si="22"/>
        <v>5</v>
      </c>
      <c r="E102" s="257">
        <f t="shared" si="22"/>
        <v>5</v>
      </c>
      <c r="F102" s="258">
        <f t="shared" si="22"/>
        <v>5</v>
      </c>
      <c r="G102" s="128"/>
      <c r="H102" s="128"/>
      <c r="I102" s="128"/>
      <c r="J102" s="259"/>
      <c r="K102" s="260">
        <f t="shared" si="23"/>
        <v>5</v>
      </c>
      <c r="L102" s="128">
        <f>IF((СК="Да"),3.2, VALUE(LEFT(N102,3)))</f>
        <v>0</v>
      </c>
      <c r="M102">
        <f t="shared" si="2"/>
        <v>-5</v>
      </c>
      <c r="N102" s="269" t="s">
        <v>331</v>
      </c>
      <c r="O102" s="216" t="str">
        <f>IF((СК="Да"),"Совместная зона ответственности ДЗО и Сервисной компании
(3,2 - при подключении к СК;
5 - при выполнении в ДЗО)", "")</f>
        <v/>
      </c>
      <c r="P102" s="262">
        <f t="shared" si="24"/>
        <v>0</v>
      </c>
      <c r="Q102" s="262">
        <f t="shared" si="25"/>
        <v>0</v>
      </c>
      <c r="R102" s="262">
        <f t="shared" si="26"/>
        <v>0</v>
      </c>
      <c r="S102" s="263">
        <f t="shared" si="29"/>
        <v>37.029999999999994</v>
      </c>
      <c r="T102" s="266" t="str">
        <f>IF(($L102-$F102)&gt;=0,"",
" Разработать и утвердить инструкцию для пользователей СКЗИ. Ознакомить пользователей  СКЗИ с инструкцией. 
Оформить заключения о допуске лиц к самостоятельной работе с СКЗИ для каждого пользователя СКЗИ.")</f>
        <v xml:space="preserve"> Разработать и утвердить инструкцию для пользователей СКЗИ. Ознакомить пользователей  СКЗИ с инструкцией. 
Оформить заключения о допуске лиц к самостоятельной работе с СКЗИ для каждого пользователя СКЗИ.</v>
      </c>
      <c r="U102" s="265" t="s">
        <v>211</v>
      </c>
      <c r="V102" s="263">
        <f t="shared" si="11"/>
        <v>237.03</v>
      </c>
      <c r="W102" s="160" t="str">
        <f t="shared" si="27"/>
        <v/>
      </c>
      <c r="Y102" s="263">
        <f t="shared" si="12"/>
        <v>337.03</v>
      </c>
      <c r="Z102" s="160" t="str">
        <f t="shared" si="28"/>
        <v/>
      </c>
    </row>
    <row r="103" spans="2:27" ht="28.8" outlineLevel="1">
      <c r="B103" s="287" t="s">
        <v>620</v>
      </c>
      <c r="C103" s="254" t="s">
        <v>621</v>
      </c>
      <c r="D103" s="256">
        <f t="shared" si="22"/>
        <v>5</v>
      </c>
      <c r="E103" s="257">
        <f t="shared" si="22"/>
        <v>5</v>
      </c>
      <c r="F103" s="258">
        <f t="shared" si="22"/>
        <v>5</v>
      </c>
      <c r="G103" s="128"/>
      <c r="H103" s="128"/>
      <c r="I103" s="128"/>
      <c r="J103" s="259"/>
      <c r="K103" s="260">
        <f t="shared" si="23"/>
        <v>5</v>
      </c>
      <c r="L103" s="128">
        <f t="shared" ref="L103:L109" si="30">IF((СК="Да"), D103, VALUE(LEFT(N103,3)))</f>
        <v>0</v>
      </c>
      <c r="M103">
        <f t="shared" si="2"/>
        <v>-5</v>
      </c>
      <c r="N103" s="269" t="s">
        <v>331</v>
      </c>
      <c r="O103" s="216" t="str">
        <f t="shared" ref="O103:O109" si="31">IF((СК="Да"),"Зона ответственности Сервисной компании", "")</f>
        <v/>
      </c>
      <c r="P103" s="262">
        <f t="shared" si="24"/>
        <v>0</v>
      </c>
      <c r="Q103" s="262">
        <f t="shared" si="25"/>
        <v>0</v>
      </c>
      <c r="R103" s="262">
        <f t="shared" si="26"/>
        <v>0</v>
      </c>
      <c r="S103" s="263">
        <f t="shared" si="29"/>
        <v>37.039999999999992</v>
      </c>
      <c r="T103" s="266" t="str">
        <f>IF(($L103-$F103)&gt;=0,"",
" - На каждого пользователя СКЗИ оформить лицевой счет в части выданных ему ключевых документов (КД)")</f>
        <v xml:space="preserve"> - На каждого пользователя СКЗИ оформить лицевой счет в части выданных ему ключевых документов (КД)</v>
      </c>
      <c r="U103" s="265" t="s">
        <v>212</v>
      </c>
      <c r="V103" s="263">
        <f t="shared" si="11"/>
        <v>237.04</v>
      </c>
      <c r="W103" s="160" t="str">
        <f t="shared" si="27"/>
        <v/>
      </c>
      <c r="Y103" s="263">
        <f t="shared" si="12"/>
        <v>337.03999999999996</v>
      </c>
      <c r="Z103" s="160" t="str">
        <f t="shared" si="28"/>
        <v/>
      </c>
    </row>
    <row r="104" spans="2:27" ht="41.4" outlineLevel="1">
      <c r="B104" s="287" t="s">
        <v>622</v>
      </c>
      <c r="C104" s="254" t="s">
        <v>623</v>
      </c>
      <c r="D104" s="256">
        <f t="shared" si="22"/>
        <v>5</v>
      </c>
      <c r="E104" s="257">
        <f t="shared" si="22"/>
        <v>5</v>
      </c>
      <c r="F104" s="258">
        <f t="shared" si="22"/>
        <v>5</v>
      </c>
      <c r="G104" s="128"/>
      <c r="H104" s="128"/>
      <c r="I104" s="128"/>
      <c r="J104" s="259"/>
      <c r="K104" s="260">
        <f t="shared" si="23"/>
        <v>5</v>
      </c>
      <c r="L104" s="128">
        <f t="shared" si="30"/>
        <v>0</v>
      </c>
      <c r="M104">
        <f t="shared" ref="M104:M115" si="32">L104-K104</f>
        <v>-5</v>
      </c>
      <c r="N104" s="269" t="s">
        <v>331</v>
      </c>
      <c r="O104" s="216" t="str">
        <f t="shared" si="31"/>
        <v/>
      </c>
      <c r="P104" s="262">
        <f t="shared" si="24"/>
        <v>0</v>
      </c>
      <c r="Q104" s="262">
        <f t="shared" si="25"/>
        <v>0</v>
      </c>
      <c r="R104" s="262">
        <f t="shared" si="26"/>
        <v>0</v>
      </c>
      <c r="S104" s="263">
        <f t="shared" si="29"/>
        <v>37.04999999999999</v>
      </c>
      <c r="T104" s="266" t="str">
        <f>IF(($L104-$F104)&gt;=0,"",
" Заполнить Журнал поэкземплярного учета, используемых СКЗИ, включив в него сведения об эксплуатационной и технической документации на СКЗИ.")</f>
        <v xml:space="preserve"> Заполнить Журнал поэкземплярного учета, используемых СКЗИ, включив в него сведения об эксплуатационной и технической документации на СКЗИ.</v>
      </c>
      <c r="U104" s="265" t="s">
        <v>210</v>
      </c>
      <c r="V104" s="263">
        <f t="shared" si="11"/>
        <v>237.04999999999998</v>
      </c>
      <c r="W104" s="160" t="str">
        <f t="shared" si="27"/>
        <v/>
      </c>
      <c r="Y104" s="263">
        <f t="shared" si="12"/>
        <v>337.05</v>
      </c>
      <c r="Z104" s="160" t="str">
        <f t="shared" si="28"/>
        <v/>
      </c>
    </row>
    <row r="105" spans="2:27" ht="72" outlineLevel="1">
      <c r="B105" s="287" t="s">
        <v>624</v>
      </c>
      <c r="C105" s="254" t="s">
        <v>625</v>
      </c>
      <c r="D105" s="256">
        <f t="shared" si="22"/>
        <v>5</v>
      </c>
      <c r="E105" s="257">
        <f t="shared" si="22"/>
        <v>5</v>
      </c>
      <c r="F105" s="258">
        <f t="shared" si="22"/>
        <v>5</v>
      </c>
      <c r="G105" s="128"/>
      <c r="H105" s="128"/>
      <c r="I105" s="128"/>
      <c r="J105" s="259"/>
      <c r="K105" s="260">
        <f t="shared" si="23"/>
        <v>5</v>
      </c>
      <c r="L105" s="128">
        <f t="shared" si="30"/>
        <v>0</v>
      </c>
      <c r="M105">
        <f t="shared" si="32"/>
        <v>-5</v>
      </c>
      <c r="N105" s="269" t="s">
        <v>331</v>
      </c>
      <c r="O105" s="216" t="str">
        <f t="shared" si="31"/>
        <v/>
      </c>
      <c r="P105" s="262">
        <f t="shared" si="24"/>
        <v>0</v>
      </c>
      <c r="Q105" s="262">
        <f t="shared" si="25"/>
        <v>0</v>
      </c>
      <c r="R105" s="262">
        <f t="shared" si="26"/>
        <v>0</v>
      </c>
      <c r="S105" s="263">
        <f t="shared" si="29"/>
        <v>37.059999999999988</v>
      </c>
      <c r="T105" s="266" t="str">
        <f>IF(($L105-$F105)&gt;=0,"",
" -  Обеспечить приобретение сейфов/металлических шкафов для хранения КД для ОКЗ и для пользователей СКЗИ;"&amp;"
   -  Выдать персоналу ОКЗ и пользователям СКЗИ персональные печати для опечатывания хранилищ;"&amp;"
   -  Присвоить идентификаторы хранилищам, учесть их в Журнале учета хранилищ.")</f>
        <v xml:space="preserve"> -  Обеспечить приобретение сейфов/металлических шкафов для хранения КД для ОКЗ и для пользователей СКЗИ;
   -  Выдать персоналу ОКЗ и пользователям СКЗИ персональные печати для опечатывания хранилищ;
   -  Присвоить идентификаторы хранилищам, учесть их в Журнале учета хранилищ.</v>
      </c>
      <c r="U105" s="265" t="s">
        <v>216</v>
      </c>
      <c r="V105" s="263">
        <f t="shared" si="11"/>
        <v>237.06</v>
      </c>
      <c r="W105" s="160" t="str">
        <f t="shared" si="27"/>
        <v/>
      </c>
      <c r="Y105" s="263">
        <f t="shared" si="12"/>
        <v>337.06</v>
      </c>
      <c r="Z105" s="160" t="str">
        <f t="shared" si="28"/>
        <v/>
      </c>
    </row>
    <row r="106" spans="2:27" ht="43.2" outlineLevel="1">
      <c r="B106" s="287" t="s">
        <v>626</v>
      </c>
      <c r="C106" s="254" t="s">
        <v>627</v>
      </c>
      <c r="D106" s="256">
        <f t="shared" si="22"/>
        <v>5</v>
      </c>
      <c r="E106" s="257">
        <f t="shared" si="22"/>
        <v>5</v>
      </c>
      <c r="F106" s="258">
        <f t="shared" si="22"/>
        <v>5</v>
      </c>
      <c r="G106" s="128"/>
      <c r="H106" s="128"/>
      <c r="I106" s="128"/>
      <c r="J106" s="259"/>
      <c r="K106" s="260">
        <f t="shared" si="23"/>
        <v>5</v>
      </c>
      <c r="L106" s="128">
        <f t="shared" si="30"/>
        <v>0</v>
      </c>
      <c r="M106">
        <f t="shared" si="32"/>
        <v>-5</v>
      </c>
      <c r="N106" s="269" t="s">
        <v>331</v>
      </c>
      <c r="O106" s="216" t="str">
        <f t="shared" si="31"/>
        <v/>
      </c>
      <c r="P106" s="262">
        <f t="shared" si="24"/>
        <v>0</v>
      </c>
      <c r="Q106" s="262">
        <f t="shared" si="25"/>
        <v>0</v>
      </c>
      <c r="R106" s="262">
        <f t="shared" si="26"/>
        <v>0</v>
      </c>
      <c r="S106" s="263">
        <f t="shared" si="29"/>
        <v>37.069999999999986</v>
      </c>
      <c r="T106" s="266" t="str">
        <f>IF(($L106-$F106)&gt;=0,"",
" -  Разработать план и график проведения проверок выполнения пользователями СКЗИ условий использования СКЗИ;"&amp;"
   - Организовать проверки в соответствии с планом.")</f>
        <v xml:space="preserve"> -  Разработать план и график проведения проверок выполнения пользователями СКЗИ условий использования СКЗИ;
   - Организовать проверки в соответствии с планом.</v>
      </c>
      <c r="U106" s="265" t="s">
        <v>217</v>
      </c>
      <c r="V106" s="263">
        <f t="shared" si="11"/>
        <v>237.07</v>
      </c>
      <c r="W106" s="160" t="str">
        <f t="shared" si="27"/>
        <v/>
      </c>
      <c r="Y106" s="263">
        <f t="shared" si="12"/>
        <v>337.07</v>
      </c>
      <c r="Z106" s="160" t="str">
        <f t="shared" si="28"/>
        <v/>
      </c>
    </row>
    <row r="107" spans="2:27" ht="28.8" outlineLevel="1">
      <c r="B107" s="287" t="s">
        <v>628</v>
      </c>
      <c r="C107" s="254" t="s">
        <v>629</v>
      </c>
      <c r="D107" s="256">
        <f t="shared" si="22"/>
        <v>5</v>
      </c>
      <c r="E107" s="257">
        <f t="shared" si="22"/>
        <v>5</v>
      </c>
      <c r="F107" s="258">
        <f t="shared" si="22"/>
        <v>5</v>
      </c>
      <c r="G107" s="128"/>
      <c r="H107" s="128"/>
      <c r="I107" s="128"/>
      <c r="J107" s="259"/>
      <c r="K107" s="260">
        <f t="shared" si="23"/>
        <v>5</v>
      </c>
      <c r="L107" s="128">
        <f t="shared" si="30"/>
        <v>0</v>
      </c>
      <c r="M107">
        <f t="shared" si="32"/>
        <v>-5</v>
      </c>
      <c r="N107" s="269" t="s">
        <v>331</v>
      </c>
      <c r="O107" s="216" t="str">
        <f t="shared" si="31"/>
        <v/>
      </c>
      <c r="P107" s="262">
        <f t="shared" si="24"/>
        <v>0</v>
      </c>
      <c r="Q107" s="262">
        <f t="shared" si="25"/>
        <v>0</v>
      </c>
      <c r="R107" s="262">
        <f t="shared" si="26"/>
        <v>0</v>
      </c>
      <c r="S107" s="263">
        <f t="shared" si="29"/>
        <v>37.079999999999984</v>
      </c>
      <c r="T107" s="266" t="str">
        <f>IF(($L107-$F107)&gt;=0,"",
" - Организовать процесс уничтожения ключевой информации в соответствии с требованиями пункта 42 Приказа ФАПСИ от 13 июня 2001 г. № 152")</f>
        <v xml:space="preserve"> - Организовать процесс уничтожения ключевой информации в соответствии с требованиями пункта 42 Приказа ФАПСИ от 13 июня 2001 г. № 152</v>
      </c>
      <c r="U107" s="265" t="s">
        <v>218</v>
      </c>
      <c r="V107" s="263">
        <f t="shared" si="11"/>
        <v>237.07999999999998</v>
      </c>
      <c r="W107" s="160" t="str">
        <f t="shared" si="27"/>
        <v/>
      </c>
      <c r="Y107" s="263">
        <f t="shared" si="12"/>
        <v>337.08</v>
      </c>
      <c r="Z107" s="160" t="str">
        <f t="shared" si="28"/>
        <v/>
      </c>
    </row>
    <row r="108" spans="2:27" ht="28.8" outlineLevel="1">
      <c r="B108" s="254" t="s">
        <v>630</v>
      </c>
      <c r="C108" s="254" t="s">
        <v>631</v>
      </c>
      <c r="D108" s="256">
        <f t="shared" si="22"/>
        <v>5</v>
      </c>
      <c r="E108" s="257">
        <f t="shared" si="22"/>
        <v>5</v>
      </c>
      <c r="F108" s="258">
        <f t="shared" si="22"/>
        <v>5</v>
      </c>
      <c r="G108" s="128"/>
      <c r="H108" s="128"/>
      <c r="I108" s="128"/>
      <c r="J108" s="259"/>
      <c r="K108" s="260">
        <f t="shared" si="23"/>
        <v>5</v>
      </c>
      <c r="L108" s="128">
        <f t="shared" si="30"/>
        <v>0</v>
      </c>
      <c r="M108">
        <f t="shared" si="32"/>
        <v>-5</v>
      </c>
      <c r="N108" s="269" t="s">
        <v>331</v>
      </c>
      <c r="O108" s="216" t="str">
        <f t="shared" si="31"/>
        <v/>
      </c>
      <c r="P108" s="262">
        <f t="shared" si="24"/>
        <v>0</v>
      </c>
      <c r="Q108" s="262">
        <f t="shared" si="25"/>
        <v>0</v>
      </c>
      <c r="R108" s="262">
        <f t="shared" si="26"/>
        <v>0</v>
      </c>
      <c r="S108" s="263">
        <f t="shared" si="29"/>
        <v>37.089999999999982</v>
      </c>
      <c r="T108" s="266" t="str">
        <f>IF(($L108-$F108)&gt;=0,"",
" Определить, организовать, оборудовать в соответствии с требованиями Приказа ФАПСИ № 152 спецпомещения, а также обеспечить их учет")</f>
        <v xml:space="preserve"> Определить, организовать, оборудовать в соответствии с требованиями Приказа ФАПСИ № 152 спецпомещения, а также обеспечить их учет</v>
      </c>
      <c r="U108" s="265" t="s">
        <v>219</v>
      </c>
      <c r="V108" s="263">
        <f t="shared" si="11"/>
        <v>237.08999999999997</v>
      </c>
      <c r="W108" s="160" t="str">
        <f t="shared" si="27"/>
        <v/>
      </c>
      <c r="Y108" s="263">
        <f t="shared" si="12"/>
        <v>337.09</v>
      </c>
      <c r="Z108" s="160" t="str">
        <f t="shared" si="28"/>
        <v/>
      </c>
    </row>
    <row r="109" spans="2:27" ht="288" outlineLevel="1">
      <c r="B109" s="254" t="s">
        <v>632</v>
      </c>
      <c r="C109" s="254" t="s">
        <v>633</v>
      </c>
      <c r="D109" s="256">
        <f t="shared" si="22"/>
        <v>5</v>
      </c>
      <c r="E109" s="257">
        <f t="shared" si="22"/>
        <v>5</v>
      </c>
      <c r="F109" s="258">
        <f t="shared" si="22"/>
        <v>5</v>
      </c>
      <c r="G109" s="128"/>
      <c r="H109" s="128"/>
      <c r="I109" s="128"/>
      <c r="J109" s="259"/>
      <c r="K109" s="260">
        <f t="shared" si="23"/>
        <v>5</v>
      </c>
      <c r="L109" s="128">
        <f t="shared" si="30"/>
        <v>0</v>
      </c>
      <c r="M109">
        <f t="shared" si="32"/>
        <v>-5</v>
      </c>
      <c r="N109" s="187" t="s">
        <v>331</v>
      </c>
      <c r="O109" s="216" t="str">
        <f t="shared" si="31"/>
        <v/>
      </c>
      <c r="P109" s="262">
        <f t="shared" si="24"/>
        <v>0</v>
      </c>
      <c r="Q109" s="262">
        <f t="shared" si="25"/>
        <v>0</v>
      </c>
      <c r="R109" s="262">
        <f t="shared" si="26"/>
        <v>0</v>
      </c>
      <c r="S109" s="267">
        <f t="shared" si="29"/>
        <v>37.09999999999998</v>
      </c>
      <c r="T109" s="266" t="str">
        <f>IF(($L109-$F109)&gt;=0,"",
" -Разработать и утвердить приказом Регламент ОКЗ с приложенями, но не органичиваясь:
-Типовая форма акта повреждения упаковки;
-Типовая форма лицевого счета пользователя СКЗИ;"&amp;"
-Типовая форма журнала поэкземплярного учёта СКЗИ, эксплуатационной и технической документации к ним, ключевых документов;
-Типовая форма журнала учета хранилищ ключевых документов, дистрибутивов, технической и эксплуатационной документации к СКЗИ;"&amp;"
-Типовая форма журнала учета проверок порядка использования СКЗИ;
-Типовая форма журнала поэкземплярного учета ключевых документов;"&amp;"
-Типовая форма акта уничтожения СКЗИ, ключевой информации, эксплуатационной и технической документации СКЗИ;
-Типовая форма журнала учёта Спецпомещений;"&amp;"
-Порядок проведения расследований фактов нарушения условий использования средств криптографической защиты информации в организации;
-Акт приема-передачи СКЗИ, эксплуатационной и технической документации СКЗИ, ключевых документов и ключевых носителей;"&amp;"
-Акт установки и настройки СКЗИ.
Перечень приложений может быть расширен в зависимости от потребностей организации.")</f>
        <v xml:space="preserve"> -Разработать и утвердить приказом Регламент ОКЗ с приложенями, но не органичиваясь:
-Типовая форма акта повреждения упаковки;
-Типовая форма лицевого счета пользователя СКЗИ;
-Типовая форма журнала поэкземплярного учёта СКЗИ, эксплуатационной и технической документации к ним, ключевых документов;
-Типовая форма журнала учета хранилищ ключевых документов, дистрибутивов, технической и эксплуатационной документации к СКЗИ;
-Типовая форма журнала учета проверок порядка использования СКЗИ;
-Типовая форма журнала поэкземплярного учета ключевых документов;
-Типовая форма акта уничтожения СКЗИ, ключевой информации, эксплуатационной и технической документации СКЗИ;
-Типовая форма журнала учёта Спецпомещений;
-Порядок проведения расследований фактов нарушения условий использования средств криптографической защиты информации в организации;
-Акт приема-передачи СКЗИ, эксплуатационной и технической документации СКЗИ, ключевых документов и ключевых носителей;
-Акт установки и настройки СКЗИ.
Перечень приложений может быть расширен в зависимости от потребностей организации.</v>
      </c>
      <c r="U109" s="265" t="s">
        <v>220</v>
      </c>
      <c r="V109" s="267">
        <f t="shared" si="11"/>
        <v>237.09999999999997</v>
      </c>
      <c r="W109" s="160" t="str">
        <f t="shared" si="27"/>
        <v/>
      </c>
      <c r="Y109" s="267">
        <f t="shared" si="12"/>
        <v>337.09999999999997</v>
      </c>
      <c r="Z109" s="160" t="str">
        <f t="shared" si="28"/>
        <v/>
      </c>
    </row>
    <row r="110" spans="2:27">
      <c r="B110" s="249" t="s">
        <v>634</v>
      </c>
      <c r="C110" s="21">
        <v>250</v>
      </c>
      <c r="D110" s="21"/>
      <c r="E110" s="21"/>
      <c r="F110" s="21"/>
      <c r="G110" s="328"/>
      <c r="H110" s="21"/>
      <c r="I110" s="21"/>
      <c r="J110" s="21"/>
      <c r="K110" s="21"/>
      <c r="L110" s="21"/>
      <c r="M110" s="329"/>
      <c r="N110" s="339"/>
      <c r="O110" s="340"/>
      <c r="P110" s="328"/>
      <c r="Q110" s="328"/>
      <c r="R110" s="328"/>
      <c r="S110" s="247">
        <f>VLOOKUP(B110,Приоритет!$G$9:$K$52,5,0)</f>
        <v>9</v>
      </c>
      <c r="T110" s="249" t="s">
        <v>135</v>
      </c>
      <c r="U110" s="249"/>
      <c r="V110" s="247">
        <f t="shared" si="11"/>
        <v>209</v>
      </c>
      <c r="W110" s="249" t="s">
        <v>135</v>
      </c>
      <c r="X110" s="249"/>
      <c r="Y110" s="247">
        <f t="shared" si="12"/>
        <v>309</v>
      </c>
      <c r="Z110" s="249" t="s">
        <v>135</v>
      </c>
      <c r="AA110" s="249"/>
    </row>
    <row r="111" spans="2:27" ht="17.399999999999999" outlineLevel="1">
      <c r="B111" s="341" t="str">
        <f>'250'!B42</f>
        <v xml:space="preserve">Созданы органы управления </v>
      </c>
      <c r="C111" s="254" t="s">
        <v>635</v>
      </c>
      <c r="D111" s="256">
        <f>'250'!D42</f>
        <v>5</v>
      </c>
      <c r="E111" s="257">
        <f>'250'!E42</f>
        <v>5</v>
      </c>
      <c r="F111" s="258">
        <f>'250'!F42</f>
        <v>5</v>
      </c>
      <c r="G111" s="342"/>
      <c r="H111" s="343"/>
      <c r="I111" s="344"/>
      <c r="J111" s="345"/>
      <c r="K111" s="260">
        <f t="shared" si="23"/>
        <v>5</v>
      </c>
      <c r="L111" s="344">
        <f>'250'!L42</f>
        <v>0</v>
      </c>
      <c r="M111">
        <f t="shared" si="32"/>
        <v>-5</v>
      </c>
      <c r="P111" s="262">
        <f t="shared" si="24"/>
        <v>0</v>
      </c>
      <c r="Q111" s="262">
        <f t="shared" si="25"/>
        <v>0</v>
      </c>
      <c r="R111" s="262">
        <f t="shared" si="26"/>
        <v>0</v>
      </c>
      <c r="S111" s="263">
        <f>S110+0.01</f>
        <v>9.01</v>
      </c>
      <c r="T111" s="160" t="str">
        <f>IF(($L111-$F111)&gt;=0,"","")</f>
        <v/>
      </c>
      <c r="V111" s="263">
        <f>V110+0.01</f>
        <v>209.01</v>
      </c>
      <c r="W111" s="160" t="str">
        <f t="shared" si="27"/>
        <v/>
      </c>
      <c r="Y111" s="263">
        <f>Y110+0.01</f>
        <v>309.01</v>
      </c>
      <c r="Z111" s="160" t="str">
        <f t="shared" si="28"/>
        <v/>
      </c>
    </row>
    <row r="112" spans="2:27" ht="17.399999999999999" outlineLevel="1">
      <c r="B112" s="341" t="str">
        <f>'250'!B43</f>
        <v>Подразделение по ИБ</v>
      </c>
      <c r="C112" s="254" t="s">
        <v>636</v>
      </c>
      <c r="D112" s="256">
        <f>'250'!D43</f>
        <v>5</v>
      </c>
      <c r="E112" s="257">
        <f>'250'!E43</f>
        <v>5</v>
      </c>
      <c r="F112" s="258">
        <f>'250'!F43</f>
        <v>5</v>
      </c>
      <c r="G112" s="342"/>
      <c r="H112" s="343"/>
      <c r="I112" s="344"/>
      <c r="J112" s="345"/>
      <c r="K112" s="260">
        <f t="shared" si="23"/>
        <v>5</v>
      </c>
      <c r="L112" s="344">
        <f>'250'!L43</f>
        <v>0</v>
      </c>
      <c r="M112">
        <f t="shared" si="32"/>
        <v>-5</v>
      </c>
      <c r="P112" s="262">
        <f t="shared" si="24"/>
        <v>0</v>
      </c>
      <c r="Q112" s="262">
        <f t="shared" si="25"/>
        <v>0</v>
      </c>
      <c r="R112" s="262">
        <f t="shared" si="26"/>
        <v>0</v>
      </c>
      <c r="S112" s="263">
        <f>S111+0.01</f>
        <v>9.02</v>
      </c>
      <c r="T112" s="160" t="str">
        <f>IF(($L112-$F112)&gt;=0,"","")</f>
        <v/>
      </c>
      <c r="V112" s="263">
        <f>V111+0.01</f>
        <v>209.01999999999998</v>
      </c>
      <c r="W112" s="160" t="str">
        <f t="shared" si="27"/>
        <v/>
      </c>
      <c r="Y112" s="263">
        <f>Y111+0.01</f>
        <v>309.02</v>
      </c>
      <c r="Z112" s="160" t="str">
        <f t="shared" si="28"/>
        <v/>
      </c>
    </row>
    <row r="113" spans="2:26" ht="17.399999999999999" outlineLevel="1">
      <c r="B113" s="341" t="str">
        <f>'250'!B44</f>
        <v>Организованно взаимодействие с подрядчиками</v>
      </c>
      <c r="C113" s="254" t="s">
        <v>637</v>
      </c>
      <c r="D113" s="256">
        <f>'250'!D44</f>
        <v>5</v>
      </c>
      <c r="E113" s="257">
        <f>'250'!E44</f>
        <v>5</v>
      </c>
      <c r="F113" s="258">
        <f>'250'!F44</f>
        <v>5</v>
      </c>
      <c r="G113" s="342"/>
      <c r="H113" s="343"/>
      <c r="I113" s="344"/>
      <c r="J113" s="345"/>
      <c r="K113" s="260">
        <f t="shared" si="23"/>
        <v>5</v>
      </c>
      <c r="L113" s="344">
        <f>'250'!L44</f>
        <v>0</v>
      </c>
      <c r="M113">
        <f t="shared" si="32"/>
        <v>-5</v>
      </c>
      <c r="P113" s="262">
        <f t="shared" si="24"/>
        <v>0</v>
      </c>
      <c r="Q113" s="262">
        <f t="shared" si="25"/>
        <v>0</v>
      </c>
      <c r="R113" s="262">
        <f t="shared" si="26"/>
        <v>0</v>
      </c>
      <c r="S113" s="263">
        <f>S112+0.01</f>
        <v>9.0299999999999994</v>
      </c>
      <c r="T113" s="160" t="str">
        <f>IF(($L113-$F113)&gt;=0,"","")</f>
        <v/>
      </c>
      <c r="V113" s="263">
        <f>V112+0.01</f>
        <v>209.02999999999997</v>
      </c>
      <c r="W113" s="160" t="str">
        <f t="shared" si="27"/>
        <v/>
      </c>
      <c r="Y113" s="263">
        <f>Y112+0.01</f>
        <v>309.02999999999997</v>
      </c>
      <c r="Z113" s="160" t="str">
        <f t="shared" si="28"/>
        <v/>
      </c>
    </row>
    <row r="114" spans="2:26" ht="17.399999999999999" outlineLevel="1">
      <c r="B114" s="341" t="str">
        <f>'250'!B45</f>
        <v>Использование СЗИ</v>
      </c>
      <c r="C114" s="254" t="s">
        <v>638</v>
      </c>
      <c r="D114" s="256">
        <f>'250'!D45</f>
        <v>5</v>
      </c>
      <c r="E114" s="257">
        <f>'250'!E45</f>
        <v>5</v>
      </c>
      <c r="F114" s="258">
        <f>'250'!F45</f>
        <v>5</v>
      </c>
      <c r="G114" s="342"/>
      <c r="H114" s="343"/>
      <c r="I114" s="344"/>
      <c r="J114" s="345"/>
      <c r="K114" s="260">
        <f t="shared" si="23"/>
        <v>5</v>
      </c>
      <c r="L114" s="344">
        <f>'250'!L45</f>
        <v>0</v>
      </c>
      <c r="M114">
        <f t="shared" si="32"/>
        <v>-5</v>
      </c>
      <c r="P114" s="262">
        <f t="shared" si="24"/>
        <v>0</v>
      </c>
      <c r="Q114" s="262">
        <f t="shared" si="25"/>
        <v>0</v>
      </c>
      <c r="R114" s="262">
        <f t="shared" si="26"/>
        <v>0</v>
      </c>
      <c r="S114" s="263">
        <f>S113+0.01</f>
        <v>9.0399999999999991</v>
      </c>
      <c r="T114" s="160" t="str">
        <f>IF(($L114-$F114)&gt;=0,"","")</f>
        <v/>
      </c>
      <c r="V114" s="263">
        <f>V113+0.01</f>
        <v>209.03999999999996</v>
      </c>
      <c r="W114" s="160" t="str">
        <f t="shared" si="27"/>
        <v/>
      </c>
      <c r="Y114" s="263">
        <f>Y113+0.01</f>
        <v>309.03999999999996</v>
      </c>
      <c r="Z114" s="160" t="str">
        <f t="shared" si="28"/>
        <v/>
      </c>
    </row>
    <row r="115" spans="2:26" ht="17.399999999999999" outlineLevel="1">
      <c r="B115" s="341" t="str">
        <f>'250'!B46</f>
        <v>Взаимодействие с ГОССОПКА</v>
      </c>
      <c r="C115" s="254" t="s">
        <v>639</v>
      </c>
      <c r="D115" s="256">
        <f>'250'!D46</f>
        <v>5</v>
      </c>
      <c r="E115" s="257">
        <f>'250'!E46</f>
        <v>5</v>
      </c>
      <c r="F115" s="258">
        <f>'250'!F46</f>
        <v>5</v>
      </c>
      <c r="G115" s="342"/>
      <c r="H115" s="343"/>
      <c r="I115" s="344"/>
      <c r="J115" s="345"/>
      <c r="K115" s="260">
        <f t="shared" si="23"/>
        <v>5</v>
      </c>
      <c r="L115" s="344">
        <f>'250'!L46</f>
        <v>0</v>
      </c>
      <c r="M115">
        <f t="shared" si="32"/>
        <v>-5</v>
      </c>
      <c r="P115" s="262">
        <f t="shared" si="24"/>
        <v>0</v>
      </c>
      <c r="Q115" s="262">
        <f t="shared" si="25"/>
        <v>0</v>
      </c>
      <c r="R115" s="262">
        <f t="shared" si="26"/>
        <v>0</v>
      </c>
      <c r="S115" s="263">
        <f>S114+0.01</f>
        <v>9.0499999999999989</v>
      </c>
      <c r="T115" s="160" t="str">
        <f>IF(($L115-$F115)&gt;=0,"","")</f>
        <v/>
      </c>
      <c r="V115" s="263">
        <f>V114+0.01</f>
        <v>209.04999999999995</v>
      </c>
      <c r="W115" s="160" t="str">
        <f t="shared" si="27"/>
        <v/>
      </c>
      <c r="Y115" s="263">
        <f>Y114+0.01</f>
        <v>309.04999999999995</v>
      </c>
      <c r="Z115" s="160" t="str">
        <f t="shared" si="28"/>
        <v/>
      </c>
    </row>
    <row r="116" spans="2:26">
      <c r="N116" s="190"/>
    </row>
    <row r="117" spans="2:26">
      <c r="N117" s="190"/>
    </row>
    <row r="118" spans="2:26">
      <c r="N118" s="190"/>
    </row>
    <row r="119" spans="2:26">
      <c r="N119" s="190"/>
    </row>
    <row r="120" spans="2:26">
      <c r="N120" s="190"/>
    </row>
    <row r="121" spans="2:26">
      <c r="N121" s="190"/>
    </row>
    <row r="122" spans="2:26">
      <c r="N122" s="190"/>
    </row>
    <row r="123" spans="2:26">
      <c r="N123" s="190"/>
    </row>
    <row r="124" spans="2:26">
      <c r="N124" s="190"/>
    </row>
    <row r="125" spans="2:26">
      <c r="N125" s="190"/>
    </row>
    <row r="126" spans="2:26">
      <c r="N126" s="190"/>
    </row>
    <row r="127" spans="2:26">
      <c r="N127" s="190"/>
    </row>
    <row r="128" spans="2:26">
      <c r="N128" s="190"/>
    </row>
    <row r="129" spans="14:14">
      <c r="N129" s="190"/>
    </row>
    <row r="130" spans="14:14">
      <c r="N130" s="190"/>
    </row>
    <row r="131" spans="14:14">
      <c r="N131" s="190"/>
    </row>
    <row r="132" spans="14:14">
      <c r="N132" s="190"/>
    </row>
    <row r="133" spans="14:14">
      <c r="N133" s="190"/>
    </row>
    <row r="134" spans="14:14">
      <c r="N134" s="190"/>
    </row>
    <row r="135" spans="14:14">
      <c r="N135" s="190"/>
    </row>
    <row r="136" spans="14:14">
      <c r="N136" s="190"/>
    </row>
    <row r="137" spans="14:14">
      <c r="N137" s="190"/>
    </row>
    <row r="138" spans="14:14">
      <c r="N138" s="190"/>
    </row>
    <row r="139" spans="14:14">
      <c r="N139" s="190"/>
    </row>
    <row r="140" spans="14:14">
      <c r="N140" s="190"/>
    </row>
    <row r="141" spans="14:14">
      <c r="N141" s="190"/>
    </row>
    <row r="142" spans="14:14">
      <c r="N142" s="190"/>
    </row>
    <row r="143" spans="14:14">
      <c r="N143" s="190"/>
    </row>
    <row r="144" spans="14:14">
      <c r="N144" s="190"/>
    </row>
    <row r="145" spans="14:14">
      <c r="N145" s="190"/>
    </row>
    <row r="146" spans="14:14">
      <c r="N146" s="190"/>
    </row>
    <row r="147" spans="14:14">
      <c r="N147" s="190"/>
    </row>
    <row r="148" spans="14:14">
      <c r="N148" s="190"/>
    </row>
    <row r="149" spans="14:14">
      <c r="N149" s="190"/>
    </row>
    <row r="150" spans="14:14">
      <c r="N150" s="190"/>
    </row>
    <row r="151" spans="14:14">
      <c r="N151" s="190"/>
    </row>
    <row r="152" spans="14:14">
      <c r="N152" s="190"/>
    </row>
    <row r="153" spans="14:14">
      <c r="N153" s="190"/>
    </row>
    <row r="154" spans="14:14">
      <c r="N154" s="190"/>
    </row>
    <row r="155" spans="14:14">
      <c r="N155" s="190"/>
    </row>
    <row r="156" spans="14:14">
      <c r="N156" s="190"/>
    </row>
    <row r="157" spans="14:14">
      <c r="N157" s="190"/>
    </row>
    <row r="158" spans="14:14">
      <c r="N158" s="190"/>
    </row>
  </sheetData>
  <sheetProtection algorithmName="SHA-512" hashValue="mPfmAuVmZGj2Jz5XyTeclY8btihvooENzzS7iPbtim2vX3PiZo/hxkoH+zgvZuVmj2C8e8Kg9RTURAmn1WYX1g==" saltValue="YBIfl5jw0ghbbawEw3AvjA==" spinCount="100000" sheet="1" sort="0"/>
  <autoFilter ref="B48:S115" xr:uid="{00000000-0009-0000-0000-000005000000}"/>
  <mergeCells count="3">
    <mergeCell ref="P40:P41"/>
    <mergeCell ref="Q40:Q41"/>
    <mergeCell ref="R40:R41"/>
  </mergeCells>
  <conditionalFormatting sqref="M1:M48">
    <cfRule type="cellIs" dxfId="48" priority="31" operator="greaterThan">
      <formula>0</formula>
    </cfRule>
    <cfRule type="cellIs" dxfId="47" priority="32" operator="equal">
      <formula>0</formula>
    </cfRule>
    <cfRule type="cellIs" dxfId="46" priority="33" operator="lessThan">
      <formula>0</formula>
    </cfRule>
  </conditionalFormatting>
  <conditionalFormatting sqref="M50:M11101">
    <cfRule type="cellIs" dxfId="45" priority="44" operator="lessThan">
      <formula>0</formula>
    </cfRule>
  </conditionalFormatting>
  <conditionalFormatting sqref="M50:M1048576">
    <cfRule type="cellIs" dxfId="44" priority="40" operator="greaterThan">
      <formula>0</formula>
    </cfRule>
    <cfRule type="cellIs" dxfId="43" priority="41" operator="equal">
      <formula>0</formula>
    </cfRule>
  </conditionalFormatting>
  <conditionalFormatting sqref="O48:R48">
    <cfRule type="cellIs" dxfId="42" priority="42" operator="lessThan">
      <formula>0</formula>
    </cfRule>
  </conditionalFormatting>
  <conditionalFormatting sqref="P42:P46 Q43:R43">
    <cfRule type="dataBar" priority="10">
      <dataBar>
        <cfvo type="num" val="0"/>
        <cfvo type="max"/>
        <color rgb="FFAADB1E"/>
      </dataBar>
      <extLst>
        <ext xmlns:x14="http://schemas.microsoft.com/office/spreadsheetml/2009/9/main" uri="{B025F937-C7B1-47D3-B67F-A62EFF666E3E}">
          <x14:id>{005600AD-00ED-41D3-91A5-00F4006C005A}</x14:id>
        </ext>
      </extLst>
    </cfRule>
  </conditionalFormatting>
  <conditionalFormatting sqref="P50">
    <cfRule type="dataBar" priority="29">
      <dataBar>
        <cfvo type="num" val="0"/>
        <cfvo type="max"/>
        <color rgb="FFAADB1E"/>
      </dataBar>
      <extLst>
        <ext xmlns:x14="http://schemas.microsoft.com/office/spreadsheetml/2009/9/main" uri="{B025F937-C7B1-47D3-B67F-A62EFF666E3E}">
          <x14:id>{002E006D-001C-46C9-8549-00F800A00001}</x14:id>
        </ext>
      </extLst>
    </cfRule>
  </conditionalFormatting>
  <conditionalFormatting sqref="P51:P73">
    <cfRule type="dataBar" priority="26">
      <dataBar>
        <cfvo type="num" val="0"/>
        <cfvo type="max"/>
        <color rgb="FFAADB1E"/>
      </dataBar>
      <extLst>
        <ext xmlns:x14="http://schemas.microsoft.com/office/spreadsheetml/2009/9/main" uri="{B025F937-C7B1-47D3-B67F-A62EFF666E3E}">
          <x14:id>{00C1009E-0039-46C0-A908-0030007C00A1}</x14:id>
        </ext>
      </extLst>
    </cfRule>
  </conditionalFormatting>
  <conditionalFormatting sqref="P75:P89">
    <cfRule type="dataBar" priority="5">
      <dataBar>
        <cfvo type="num" val="0"/>
        <cfvo type="max"/>
        <color rgb="FFAADB1E"/>
      </dataBar>
      <extLst>
        <ext xmlns:x14="http://schemas.microsoft.com/office/spreadsheetml/2009/9/main" uri="{B025F937-C7B1-47D3-B67F-A62EFF666E3E}">
          <x14:id>{00AF00E5-008F-4A6B-9D5F-000D007E003A}</x14:id>
        </ext>
      </extLst>
    </cfRule>
  </conditionalFormatting>
  <conditionalFormatting sqref="P92:P94">
    <cfRule type="dataBar" priority="2">
      <dataBar>
        <cfvo type="num" val="0"/>
        <cfvo type="max"/>
        <color rgb="FFAADB1E"/>
      </dataBar>
      <extLst>
        <ext xmlns:x14="http://schemas.microsoft.com/office/spreadsheetml/2009/9/main" uri="{B025F937-C7B1-47D3-B67F-A62EFF666E3E}">
          <x14:id>{001500D8-0039-42DB-A9E1-008C00EE00AF}</x14:id>
        </ext>
      </extLst>
    </cfRule>
  </conditionalFormatting>
  <conditionalFormatting sqref="P95:P98 P91">
    <cfRule type="dataBar" priority="20">
      <dataBar>
        <cfvo type="num" val="0"/>
        <cfvo type="max"/>
        <color rgb="FFAADB1E"/>
      </dataBar>
      <extLst>
        <ext xmlns:x14="http://schemas.microsoft.com/office/spreadsheetml/2009/9/main" uri="{B025F937-C7B1-47D3-B67F-A62EFF666E3E}">
          <x14:id>{003B0017-00DB-4962-8596-003D00280095}</x14:id>
        </ext>
      </extLst>
    </cfRule>
  </conditionalFormatting>
  <conditionalFormatting sqref="P100:P109">
    <cfRule type="dataBar" priority="17">
      <dataBar>
        <cfvo type="num" val="0"/>
        <cfvo type="max"/>
        <color rgb="FFAADB1E"/>
      </dataBar>
      <extLst>
        <ext xmlns:x14="http://schemas.microsoft.com/office/spreadsheetml/2009/9/main" uri="{B025F937-C7B1-47D3-B67F-A62EFF666E3E}">
          <x14:id>{00CA001B-004D-4F35-9E65-0054001B00EB}</x14:id>
        </ext>
      </extLst>
    </cfRule>
  </conditionalFormatting>
  <conditionalFormatting sqref="P111:P115">
    <cfRule type="dataBar" priority="326">
      <dataBar>
        <cfvo type="num" val="0"/>
        <cfvo type="max"/>
        <color rgb="FFAADB1E"/>
      </dataBar>
      <extLst>
        <ext xmlns:x14="http://schemas.microsoft.com/office/spreadsheetml/2009/9/main" uri="{B025F937-C7B1-47D3-B67F-A62EFF666E3E}">
          <x14:id>{009F00F9-0067-4DB3-9289-006800F20084}</x14:id>
        </ext>
      </extLst>
    </cfRule>
  </conditionalFormatting>
  <conditionalFormatting sqref="Q44:Q46 Q42">
    <cfRule type="dataBar" priority="11">
      <dataBar>
        <cfvo type="num" val="0"/>
        <cfvo type="max"/>
        <color rgb="FFE87722"/>
      </dataBar>
      <extLst>
        <ext xmlns:x14="http://schemas.microsoft.com/office/spreadsheetml/2009/9/main" uri="{B025F937-C7B1-47D3-B67F-A62EFF666E3E}">
          <x14:id>{002C0004-0068-41A8-969D-00D300E300EB}</x14:id>
        </ext>
      </extLst>
    </cfRule>
  </conditionalFormatting>
  <conditionalFormatting sqref="Q50">
    <cfRule type="dataBar" priority="30">
      <dataBar>
        <cfvo type="num" val="0"/>
        <cfvo type="max"/>
        <color rgb="FFE87722"/>
      </dataBar>
      <extLst>
        <ext xmlns:x14="http://schemas.microsoft.com/office/spreadsheetml/2009/9/main" uri="{B025F937-C7B1-47D3-B67F-A62EFF666E3E}">
          <x14:id>{00490009-0044-4DB3-9239-007F008400A1}</x14:id>
        </ext>
      </extLst>
    </cfRule>
  </conditionalFormatting>
  <conditionalFormatting sqref="Q51:Q73">
    <cfRule type="dataBar" priority="27">
      <dataBar>
        <cfvo type="num" val="0"/>
        <cfvo type="max"/>
        <color rgb="FFE87722"/>
      </dataBar>
      <extLst>
        <ext xmlns:x14="http://schemas.microsoft.com/office/spreadsheetml/2009/9/main" uri="{B025F937-C7B1-47D3-B67F-A62EFF666E3E}">
          <x14:id>{00D500FD-001D-4334-ABAA-00C5006B00FA}</x14:id>
        </ext>
      </extLst>
    </cfRule>
  </conditionalFormatting>
  <conditionalFormatting sqref="Q75:Q89">
    <cfRule type="dataBar" priority="4">
      <dataBar>
        <cfvo type="num" val="0"/>
        <cfvo type="max"/>
        <color rgb="FFE87722"/>
      </dataBar>
      <extLst>
        <ext xmlns:x14="http://schemas.microsoft.com/office/spreadsheetml/2009/9/main" uri="{B025F937-C7B1-47D3-B67F-A62EFF666E3E}">
          <x14:id>{00B200E8-0042-42C7-B8D5-002700CC0031}</x14:id>
        </ext>
      </extLst>
    </cfRule>
  </conditionalFormatting>
  <conditionalFormatting sqref="Q92:Q94">
    <cfRule type="dataBar" priority="3">
      <dataBar>
        <cfvo type="num" val="0"/>
        <cfvo type="max"/>
        <color rgb="FFE87722"/>
      </dataBar>
      <extLst>
        <ext xmlns:x14="http://schemas.microsoft.com/office/spreadsheetml/2009/9/main" uri="{B025F937-C7B1-47D3-B67F-A62EFF666E3E}">
          <x14:id>{007E00FA-0042-4523-B35D-003E00BB0025}</x14:id>
        </ext>
      </extLst>
    </cfRule>
  </conditionalFormatting>
  <conditionalFormatting sqref="Q95:Q98 Q91">
    <cfRule type="dataBar" priority="21">
      <dataBar>
        <cfvo type="num" val="0"/>
        <cfvo type="max"/>
        <color rgb="FFE87722"/>
      </dataBar>
      <extLst>
        <ext xmlns:x14="http://schemas.microsoft.com/office/spreadsheetml/2009/9/main" uri="{B025F937-C7B1-47D3-B67F-A62EFF666E3E}">
          <x14:id>{00E800F8-0019-4647-8DDE-001C002A00EE}</x14:id>
        </ext>
      </extLst>
    </cfRule>
  </conditionalFormatting>
  <conditionalFormatting sqref="Q100:Q109">
    <cfRule type="dataBar" priority="18">
      <dataBar>
        <cfvo type="num" val="0"/>
        <cfvo type="max"/>
        <color rgb="FFE87722"/>
      </dataBar>
      <extLst>
        <ext xmlns:x14="http://schemas.microsoft.com/office/spreadsheetml/2009/9/main" uri="{B025F937-C7B1-47D3-B67F-A62EFF666E3E}">
          <x14:id>{003100FF-00C1-4B43-95B5-005C00BF00D9}</x14:id>
        </ext>
      </extLst>
    </cfRule>
  </conditionalFormatting>
  <conditionalFormatting sqref="Q111:Q115">
    <cfRule type="dataBar" priority="324">
      <dataBar>
        <cfvo type="num" val="0"/>
        <cfvo type="max"/>
        <color rgb="FFE87722"/>
      </dataBar>
      <extLst>
        <ext xmlns:x14="http://schemas.microsoft.com/office/spreadsheetml/2009/9/main" uri="{B025F937-C7B1-47D3-B67F-A62EFF666E3E}">
          <x14:id>{00790095-00C5-44A0-A6CF-00C700F10004}</x14:id>
        </ext>
      </extLst>
    </cfRule>
  </conditionalFormatting>
  <conditionalFormatting sqref="R44:R46 R42">
    <cfRule type="dataBar" priority="12">
      <dataBar>
        <cfvo type="num" val="0"/>
        <cfvo type="max"/>
        <color theme="7" tint="0.39997558519241921"/>
      </dataBar>
      <extLst>
        <ext xmlns:x14="http://schemas.microsoft.com/office/spreadsheetml/2009/9/main" uri="{B025F937-C7B1-47D3-B67F-A62EFF666E3E}">
          <x14:id>{00DD001B-00FA-4CD9-9A20-00E700A20044}</x14:id>
        </ext>
      </extLst>
    </cfRule>
  </conditionalFormatting>
  <conditionalFormatting sqref="R50">
    <cfRule type="dataBar" priority="28">
      <dataBar>
        <cfvo type="num" val="0"/>
        <cfvo type="max"/>
        <color theme="7" tint="0.39997558519241921"/>
      </dataBar>
      <extLst>
        <ext xmlns:x14="http://schemas.microsoft.com/office/spreadsheetml/2009/9/main" uri="{B025F937-C7B1-47D3-B67F-A62EFF666E3E}">
          <x14:id>{00A800C1-00EC-450D-A3B0-0059008B0027}</x14:id>
        </ext>
      </extLst>
    </cfRule>
  </conditionalFormatting>
  <conditionalFormatting sqref="R51:R73">
    <cfRule type="dataBar" priority="25">
      <dataBar>
        <cfvo type="num" val="0"/>
        <cfvo type="max"/>
        <color theme="7" tint="0.39997558519241921"/>
      </dataBar>
      <extLst>
        <ext xmlns:x14="http://schemas.microsoft.com/office/spreadsheetml/2009/9/main" uri="{B025F937-C7B1-47D3-B67F-A62EFF666E3E}">
          <x14:id>{00DA00D1-0023-44B2-9A1F-00B6009600D9}</x14:id>
        </ext>
      </extLst>
    </cfRule>
  </conditionalFormatting>
  <conditionalFormatting sqref="R75:R89">
    <cfRule type="dataBar" priority="22">
      <dataBar>
        <cfvo type="num" val="0"/>
        <cfvo type="max"/>
        <color theme="7" tint="0.39997558519241921"/>
      </dataBar>
      <extLst>
        <ext xmlns:x14="http://schemas.microsoft.com/office/spreadsheetml/2009/9/main" uri="{B025F937-C7B1-47D3-B67F-A62EFF666E3E}">
          <x14:id>{00100065-0083-4B16-BD7E-00C2002A00AF}</x14:id>
        </ext>
      </extLst>
    </cfRule>
  </conditionalFormatting>
  <conditionalFormatting sqref="R92:R94">
    <cfRule type="dataBar" priority="1">
      <dataBar>
        <cfvo type="num" val="0"/>
        <cfvo type="max"/>
        <color theme="7" tint="0.39997558519241921"/>
      </dataBar>
      <extLst>
        <ext xmlns:x14="http://schemas.microsoft.com/office/spreadsheetml/2009/9/main" uri="{B025F937-C7B1-47D3-B67F-A62EFF666E3E}">
          <x14:id>{00A700D2-00CF-4975-8BC8-00EA00E600B7}</x14:id>
        </ext>
      </extLst>
    </cfRule>
  </conditionalFormatting>
  <conditionalFormatting sqref="R95:R98 R91">
    <cfRule type="dataBar" priority="19">
      <dataBar>
        <cfvo type="num" val="0"/>
        <cfvo type="max"/>
        <color theme="7" tint="0.39997558519241921"/>
      </dataBar>
      <extLst>
        <ext xmlns:x14="http://schemas.microsoft.com/office/spreadsheetml/2009/9/main" uri="{B025F937-C7B1-47D3-B67F-A62EFF666E3E}">
          <x14:id>{00A000FD-00AF-43F1-94C2-00DE00CD0071}</x14:id>
        </ext>
      </extLst>
    </cfRule>
  </conditionalFormatting>
  <conditionalFormatting sqref="R100:R109">
    <cfRule type="dataBar" priority="16">
      <dataBar>
        <cfvo type="num" val="0"/>
        <cfvo type="max"/>
        <color theme="7" tint="0.39997558519241921"/>
      </dataBar>
      <extLst>
        <ext xmlns:x14="http://schemas.microsoft.com/office/spreadsheetml/2009/9/main" uri="{B025F937-C7B1-47D3-B67F-A62EFF666E3E}">
          <x14:id>{00A40013-0037-4933-8763-002000580075}</x14:id>
        </ext>
      </extLst>
    </cfRule>
  </conditionalFormatting>
  <conditionalFormatting sqref="R111:R115">
    <cfRule type="dataBar" priority="328">
      <dataBar>
        <cfvo type="num" val="0"/>
        <cfvo type="max"/>
        <color theme="7" tint="0.39997558519241921"/>
      </dataBar>
      <extLst>
        <ext xmlns:x14="http://schemas.microsoft.com/office/spreadsheetml/2009/9/main" uri="{B025F937-C7B1-47D3-B67F-A62EFF666E3E}">
          <x14:id>{00100082-00EC-489A-818E-00D1004D0082}</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005600AD-00ED-41D3-91A5-00F4006C005A}">
            <x14:dataBar minLength="0" maxLength="100" gradient="0">
              <x14:cfvo type="num">
                <xm:f>0</xm:f>
              </x14:cfvo>
              <x14:cfvo type="autoMax"/>
              <x14:negativeFillColor indexed="2"/>
              <x14:axisColor indexed="64"/>
            </x14:dataBar>
          </x14:cfRule>
          <xm:sqref>P42:P46 Q43:R43</xm:sqref>
        </x14:conditionalFormatting>
        <x14:conditionalFormatting xmlns:xm="http://schemas.microsoft.com/office/excel/2006/main">
          <x14:cfRule type="dataBar" id="{002E006D-001C-46C9-8549-00F800A00001}">
            <x14:dataBar minLength="0" maxLength="100" gradient="0">
              <x14:cfvo type="num">
                <xm:f>0</xm:f>
              </x14:cfvo>
              <x14:cfvo type="autoMax"/>
              <x14:negativeFillColor indexed="2"/>
              <x14:axisColor indexed="64"/>
            </x14:dataBar>
          </x14:cfRule>
          <xm:sqref>P50</xm:sqref>
        </x14:conditionalFormatting>
        <x14:conditionalFormatting xmlns:xm="http://schemas.microsoft.com/office/excel/2006/main">
          <x14:cfRule type="dataBar" id="{00C1009E-0039-46C0-A908-0030007C00A1}">
            <x14:dataBar minLength="0" maxLength="100" gradient="0">
              <x14:cfvo type="num">
                <xm:f>0</xm:f>
              </x14:cfvo>
              <x14:cfvo type="autoMax"/>
              <x14:negativeFillColor indexed="2"/>
              <x14:axisColor indexed="64"/>
            </x14:dataBar>
          </x14:cfRule>
          <xm:sqref>P51:P73</xm:sqref>
        </x14:conditionalFormatting>
        <x14:conditionalFormatting xmlns:xm="http://schemas.microsoft.com/office/excel/2006/main">
          <x14:cfRule type="dataBar" id="{00AF00E5-008F-4A6B-9D5F-000D007E003A}">
            <x14:dataBar minLength="0" maxLength="100" gradient="0">
              <x14:cfvo type="num">
                <xm:f>0</xm:f>
              </x14:cfvo>
              <x14:cfvo type="autoMax"/>
              <x14:negativeFillColor indexed="2"/>
              <x14:axisColor indexed="64"/>
            </x14:dataBar>
          </x14:cfRule>
          <xm:sqref>P75:P89</xm:sqref>
        </x14:conditionalFormatting>
        <x14:conditionalFormatting xmlns:xm="http://schemas.microsoft.com/office/excel/2006/main">
          <x14:cfRule type="dataBar" id="{001500D8-0039-42DB-A9E1-008C00EE00AF}">
            <x14:dataBar minLength="0" maxLength="100" gradient="0">
              <x14:cfvo type="num">
                <xm:f>0</xm:f>
              </x14:cfvo>
              <x14:cfvo type="autoMax"/>
              <x14:negativeFillColor indexed="2"/>
              <x14:axisColor indexed="64"/>
            </x14:dataBar>
          </x14:cfRule>
          <xm:sqref>P92:P94</xm:sqref>
        </x14:conditionalFormatting>
        <x14:conditionalFormatting xmlns:xm="http://schemas.microsoft.com/office/excel/2006/main">
          <x14:cfRule type="dataBar" id="{003B0017-00DB-4962-8596-003D00280095}">
            <x14:dataBar minLength="0" maxLength="100" gradient="0">
              <x14:cfvo type="num">
                <xm:f>0</xm:f>
              </x14:cfvo>
              <x14:cfvo type="autoMax"/>
              <x14:negativeFillColor indexed="2"/>
              <x14:axisColor indexed="64"/>
            </x14:dataBar>
          </x14:cfRule>
          <xm:sqref>P95:P98 P91</xm:sqref>
        </x14:conditionalFormatting>
        <x14:conditionalFormatting xmlns:xm="http://schemas.microsoft.com/office/excel/2006/main">
          <x14:cfRule type="dataBar" id="{00CA001B-004D-4F35-9E65-0054001B00EB}">
            <x14:dataBar minLength="0" maxLength="100" gradient="0">
              <x14:cfvo type="num">
                <xm:f>0</xm:f>
              </x14:cfvo>
              <x14:cfvo type="autoMax"/>
              <x14:negativeFillColor indexed="2"/>
              <x14:axisColor indexed="64"/>
            </x14:dataBar>
          </x14:cfRule>
          <xm:sqref>P100:P109</xm:sqref>
        </x14:conditionalFormatting>
        <x14:conditionalFormatting xmlns:xm="http://schemas.microsoft.com/office/excel/2006/main">
          <x14:cfRule type="dataBar" id="{009F00F9-0067-4DB3-9289-006800F20084}">
            <x14:dataBar minLength="0" maxLength="100" gradient="0">
              <x14:cfvo type="num">
                <xm:f>0</xm:f>
              </x14:cfvo>
              <x14:cfvo type="autoMax"/>
              <x14:negativeFillColor indexed="2"/>
              <x14:axisColor indexed="64"/>
            </x14:dataBar>
          </x14:cfRule>
          <xm:sqref>P111:P115</xm:sqref>
        </x14:conditionalFormatting>
        <x14:conditionalFormatting xmlns:xm="http://schemas.microsoft.com/office/excel/2006/main">
          <x14:cfRule type="dataBar" id="{002C0004-0068-41A8-969D-00D300E300EB}">
            <x14:dataBar minLength="0" maxLength="100" gradient="0">
              <x14:cfvo type="num">
                <xm:f>0</xm:f>
              </x14:cfvo>
              <x14:cfvo type="autoMax"/>
              <x14:negativeFillColor indexed="2"/>
              <x14:axisColor indexed="64"/>
            </x14:dataBar>
          </x14:cfRule>
          <xm:sqref>Q44:Q46 Q42</xm:sqref>
        </x14:conditionalFormatting>
        <x14:conditionalFormatting xmlns:xm="http://schemas.microsoft.com/office/excel/2006/main">
          <x14:cfRule type="dataBar" id="{00490009-0044-4DB3-9239-007F008400A1}">
            <x14:dataBar minLength="0" maxLength="100" gradient="0">
              <x14:cfvo type="num">
                <xm:f>0</xm:f>
              </x14:cfvo>
              <x14:cfvo type="autoMax"/>
              <x14:negativeFillColor indexed="2"/>
              <x14:axisColor indexed="64"/>
            </x14:dataBar>
          </x14:cfRule>
          <xm:sqref>Q50</xm:sqref>
        </x14:conditionalFormatting>
        <x14:conditionalFormatting xmlns:xm="http://schemas.microsoft.com/office/excel/2006/main">
          <x14:cfRule type="dataBar" id="{00D500FD-001D-4334-ABAA-00C5006B00FA}">
            <x14:dataBar minLength="0" maxLength="100" gradient="0">
              <x14:cfvo type="num">
                <xm:f>0</xm:f>
              </x14:cfvo>
              <x14:cfvo type="autoMax"/>
              <x14:negativeFillColor indexed="2"/>
              <x14:axisColor indexed="64"/>
            </x14:dataBar>
          </x14:cfRule>
          <xm:sqref>Q51:Q73</xm:sqref>
        </x14:conditionalFormatting>
        <x14:conditionalFormatting xmlns:xm="http://schemas.microsoft.com/office/excel/2006/main">
          <x14:cfRule type="dataBar" id="{00B200E8-0042-42C7-B8D5-002700CC0031}">
            <x14:dataBar minLength="0" maxLength="100" gradient="0">
              <x14:cfvo type="num">
                <xm:f>0</xm:f>
              </x14:cfvo>
              <x14:cfvo type="autoMax"/>
              <x14:negativeFillColor indexed="2"/>
              <x14:axisColor indexed="64"/>
            </x14:dataBar>
          </x14:cfRule>
          <xm:sqref>Q75:Q89</xm:sqref>
        </x14:conditionalFormatting>
        <x14:conditionalFormatting xmlns:xm="http://schemas.microsoft.com/office/excel/2006/main">
          <x14:cfRule type="dataBar" id="{007E00FA-0042-4523-B35D-003E00BB0025}">
            <x14:dataBar minLength="0" maxLength="100" gradient="0">
              <x14:cfvo type="num">
                <xm:f>0</xm:f>
              </x14:cfvo>
              <x14:cfvo type="autoMax"/>
              <x14:negativeFillColor indexed="2"/>
              <x14:axisColor indexed="64"/>
            </x14:dataBar>
          </x14:cfRule>
          <xm:sqref>Q92:Q94</xm:sqref>
        </x14:conditionalFormatting>
        <x14:conditionalFormatting xmlns:xm="http://schemas.microsoft.com/office/excel/2006/main">
          <x14:cfRule type="dataBar" id="{00E800F8-0019-4647-8DDE-001C002A00EE}">
            <x14:dataBar minLength="0" maxLength="100" gradient="0">
              <x14:cfvo type="num">
                <xm:f>0</xm:f>
              </x14:cfvo>
              <x14:cfvo type="autoMax"/>
              <x14:negativeFillColor indexed="2"/>
              <x14:axisColor indexed="64"/>
            </x14:dataBar>
          </x14:cfRule>
          <xm:sqref>Q95:Q98 Q91</xm:sqref>
        </x14:conditionalFormatting>
        <x14:conditionalFormatting xmlns:xm="http://schemas.microsoft.com/office/excel/2006/main">
          <x14:cfRule type="dataBar" id="{003100FF-00C1-4B43-95B5-005C00BF00D9}">
            <x14:dataBar minLength="0" maxLength="100" gradient="0">
              <x14:cfvo type="num">
                <xm:f>0</xm:f>
              </x14:cfvo>
              <x14:cfvo type="autoMax"/>
              <x14:negativeFillColor indexed="2"/>
              <x14:axisColor indexed="64"/>
            </x14:dataBar>
          </x14:cfRule>
          <xm:sqref>Q100:Q109</xm:sqref>
        </x14:conditionalFormatting>
        <x14:conditionalFormatting xmlns:xm="http://schemas.microsoft.com/office/excel/2006/main">
          <x14:cfRule type="dataBar" id="{00790095-00C5-44A0-A6CF-00C700F10004}">
            <x14:dataBar minLength="0" maxLength="100" gradient="0">
              <x14:cfvo type="num">
                <xm:f>0</xm:f>
              </x14:cfvo>
              <x14:cfvo type="autoMax"/>
              <x14:negativeFillColor indexed="2"/>
              <x14:axisColor indexed="64"/>
            </x14:dataBar>
          </x14:cfRule>
          <xm:sqref>Q111:Q115</xm:sqref>
        </x14:conditionalFormatting>
        <x14:conditionalFormatting xmlns:xm="http://schemas.microsoft.com/office/excel/2006/main">
          <x14:cfRule type="dataBar" id="{00DD001B-00FA-4CD9-9A20-00E700A20044}">
            <x14:dataBar minLength="0" maxLength="100" gradient="0">
              <x14:cfvo type="num">
                <xm:f>0</xm:f>
              </x14:cfvo>
              <x14:cfvo type="autoMax"/>
              <x14:negativeFillColor indexed="2"/>
              <x14:axisColor indexed="64"/>
            </x14:dataBar>
          </x14:cfRule>
          <xm:sqref>R44:R46 R42</xm:sqref>
        </x14:conditionalFormatting>
        <x14:conditionalFormatting xmlns:xm="http://schemas.microsoft.com/office/excel/2006/main">
          <x14:cfRule type="dataBar" id="{00A800C1-00EC-450D-A3B0-0059008B0027}">
            <x14:dataBar minLength="0" maxLength="100" gradient="0">
              <x14:cfvo type="num">
                <xm:f>0</xm:f>
              </x14:cfvo>
              <x14:cfvo type="autoMax"/>
              <x14:negativeFillColor indexed="2"/>
              <x14:axisColor indexed="64"/>
            </x14:dataBar>
          </x14:cfRule>
          <xm:sqref>R50</xm:sqref>
        </x14:conditionalFormatting>
        <x14:conditionalFormatting xmlns:xm="http://schemas.microsoft.com/office/excel/2006/main">
          <x14:cfRule type="dataBar" id="{00DA00D1-0023-44B2-9A1F-00B6009600D9}">
            <x14:dataBar minLength="0" maxLength="100" gradient="0">
              <x14:cfvo type="num">
                <xm:f>0</xm:f>
              </x14:cfvo>
              <x14:cfvo type="autoMax"/>
              <x14:negativeFillColor indexed="2"/>
              <x14:axisColor indexed="64"/>
            </x14:dataBar>
          </x14:cfRule>
          <xm:sqref>R51:R73</xm:sqref>
        </x14:conditionalFormatting>
        <x14:conditionalFormatting xmlns:xm="http://schemas.microsoft.com/office/excel/2006/main">
          <x14:cfRule type="dataBar" id="{00100065-0083-4B16-BD7E-00C2002A00AF}">
            <x14:dataBar minLength="0" maxLength="100" gradient="0">
              <x14:cfvo type="num">
                <xm:f>0</xm:f>
              </x14:cfvo>
              <x14:cfvo type="autoMax"/>
              <x14:negativeFillColor indexed="2"/>
              <x14:axisColor indexed="64"/>
            </x14:dataBar>
          </x14:cfRule>
          <xm:sqref>R75:R89</xm:sqref>
        </x14:conditionalFormatting>
        <x14:conditionalFormatting xmlns:xm="http://schemas.microsoft.com/office/excel/2006/main">
          <x14:cfRule type="dataBar" id="{00A700D2-00CF-4975-8BC8-00EA00E600B7}">
            <x14:dataBar minLength="0" maxLength="100" gradient="0">
              <x14:cfvo type="num">
                <xm:f>0</xm:f>
              </x14:cfvo>
              <x14:cfvo type="autoMax"/>
              <x14:negativeFillColor indexed="2"/>
              <x14:axisColor indexed="64"/>
            </x14:dataBar>
          </x14:cfRule>
          <xm:sqref>R92:R94</xm:sqref>
        </x14:conditionalFormatting>
        <x14:conditionalFormatting xmlns:xm="http://schemas.microsoft.com/office/excel/2006/main">
          <x14:cfRule type="dataBar" id="{00A000FD-00AF-43F1-94C2-00DE00CD0071}">
            <x14:dataBar minLength="0" maxLength="100" gradient="0">
              <x14:cfvo type="num">
                <xm:f>0</xm:f>
              </x14:cfvo>
              <x14:cfvo type="autoMax"/>
              <x14:negativeFillColor indexed="2"/>
              <x14:axisColor indexed="64"/>
            </x14:dataBar>
          </x14:cfRule>
          <xm:sqref>R95:R98 R91</xm:sqref>
        </x14:conditionalFormatting>
        <x14:conditionalFormatting xmlns:xm="http://schemas.microsoft.com/office/excel/2006/main">
          <x14:cfRule type="dataBar" id="{00A40013-0037-4933-8763-002000580075}">
            <x14:dataBar minLength="0" maxLength="100" gradient="0">
              <x14:cfvo type="num">
                <xm:f>0</xm:f>
              </x14:cfvo>
              <x14:cfvo type="autoMax"/>
              <x14:negativeFillColor indexed="2"/>
              <x14:axisColor indexed="64"/>
            </x14:dataBar>
          </x14:cfRule>
          <xm:sqref>R100:R109</xm:sqref>
        </x14:conditionalFormatting>
        <x14:conditionalFormatting xmlns:xm="http://schemas.microsoft.com/office/excel/2006/main">
          <x14:cfRule type="dataBar" id="{00100082-00EC-489A-818E-00D1004D0082}">
            <x14:dataBar minLength="0" maxLength="100" gradient="0">
              <x14:cfvo type="num">
                <xm:f>0</xm:f>
              </x14:cfvo>
              <x14:cfvo type="autoMax"/>
              <x14:negativeFillColor indexed="2"/>
              <x14:axisColor indexed="64"/>
            </x14:dataBar>
          </x14:cfRule>
          <xm:sqref>R111:R115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0000000}">
          <x14:formula1>
            <xm:f>'Условные сокращения'!$M$11:$M$12</xm:f>
          </x14:formula1>
          <xm:sqref>N100 N109 N75:N78 N88 N50:N54 N56:N69 N91:N98</xm:sqref>
        </x14:dataValidation>
        <x14:dataValidation type="list" allowBlank="1" showInputMessage="1" showErrorMessage="1" xr:uid="{00000000-0002-0000-0500-000001000000}">
          <x14:formula1>
            <xm:f>'Условные сокращения'!$I$11:$I$14</xm:f>
          </x14:formula1>
          <xm:sqref>N101:N108 N89</xm:sqref>
        </x14:dataValidation>
        <x14:dataValidation type="list" allowBlank="1" showInputMessage="1" showErrorMessage="1" xr:uid="{00000000-0002-0000-0500-000002000000}">
          <x14:formula1>
            <xm:f>'Условные сокращения'!$B$27:$B$30</xm:f>
          </x14:formula1>
          <xm:sqref>N55 N70:N73 N79:N87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tabColor theme="3" tint="0.79998168889431442"/>
    <outlinePr summaryBelow="0" summaryRight="0"/>
  </sheetPr>
  <dimension ref="A1:X222"/>
  <sheetViews>
    <sheetView workbookViewId="0"/>
  </sheetViews>
  <sheetFormatPr defaultRowHeight="15.6" outlineLevelRow="1"/>
  <cols>
    <col min="1" max="1" width="21.09765625" customWidth="1"/>
    <col min="2" max="2" width="94.59765625" bestFit="1" customWidth="1"/>
    <col min="3" max="3" width="18.09765625" bestFit="1" customWidth="1"/>
    <col min="6" max="6" width="9" customWidth="1"/>
    <col min="7" max="7" width="19.59765625" hidden="1" customWidth="1"/>
    <col min="8" max="10" width="18.09765625" hidden="1" customWidth="1"/>
    <col min="11" max="11" width="13.59765625" bestFit="1" customWidth="1"/>
    <col min="12" max="12" width="18.09765625" customWidth="1"/>
    <col min="14" max="14" width="11.8984375" style="187" customWidth="1"/>
    <col min="15" max="15" width="18" style="346" customWidth="1"/>
    <col min="16" max="18" width="11.8984375" style="347" customWidth="1"/>
    <col min="19" max="19" width="68.5" style="88" customWidth="1"/>
    <col min="20" max="20" width="43.59765625" style="88" customWidth="1"/>
    <col min="21" max="21" width="14.5" customWidth="1"/>
    <col min="22" max="22" width="24.09765625" customWidth="1"/>
    <col min="23" max="23" width="21" customWidth="1"/>
    <col min="24" max="24" width="23.59765625" customWidth="1"/>
  </cols>
  <sheetData>
    <row r="1" spans="2:18" ht="61.2">
      <c r="B1" s="309" t="s">
        <v>61</v>
      </c>
      <c r="C1" s="160"/>
      <c r="D1" s="759" t="s">
        <v>640</v>
      </c>
      <c r="E1" s="759"/>
      <c r="F1" s="759"/>
      <c r="G1" s="759"/>
      <c r="H1" s="759"/>
      <c r="I1" s="348"/>
      <c r="J1" s="348"/>
      <c r="L1" s="348"/>
      <c r="N1" s="190"/>
      <c r="O1" s="349"/>
      <c r="P1"/>
      <c r="Q1"/>
      <c r="R1"/>
    </row>
    <row r="2" spans="2:18">
      <c r="B2" s="160"/>
      <c r="C2" s="160"/>
      <c r="D2" s="160"/>
      <c r="E2" s="160"/>
      <c r="F2" s="160"/>
      <c r="G2" s="160"/>
      <c r="H2" s="160"/>
      <c r="I2" s="160"/>
      <c r="J2" s="160"/>
      <c r="L2" s="160"/>
      <c r="N2" s="190"/>
      <c r="O2" s="349"/>
      <c r="P2"/>
      <c r="Q2"/>
      <c r="R2"/>
    </row>
    <row r="3" spans="2:18">
      <c r="B3" s="160"/>
      <c r="C3" s="160"/>
      <c r="D3" s="160"/>
      <c r="E3" s="160"/>
      <c r="F3" s="160"/>
      <c r="G3" s="160"/>
      <c r="H3" s="160"/>
      <c r="I3" s="160"/>
      <c r="J3" s="160"/>
      <c r="L3" s="160"/>
      <c r="N3" s="190"/>
      <c r="O3" s="349"/>
      <c r="P3"/>
      <c r="Q3"/>
      <c r="R3"/>
    </row>
    <row r="4" spans="2:18">
      <c r="B4" s="160"/>
      <c r="C4" s="160"/>
      <c r="D4" s="160"/>
      <c r="E4" s="160"/>
      <c r="F4" s="160"/>
      <c r="G4" s="160"/>
      <c r="H4" s="160"/>
      <c r="I4" s="160"/>
      <c r="J4" s="160"/>
      <c r="L4" s="160"/>
      <c r="N4" s="190"/>
      <c r="O4" s="349"/>
      <c r="P4"/>
      <c r="Q4"/>
      <c r="R4"/>
    </row>
    <row r="5" spans="2:18">
      <c r="B5" s="160"/>
      <c r="C5" s="160"/>
      <c r="D5" s="160"/>
      <c r="E5" s="160"/>
      <c r="F5" s="160"/>
      <c r="G5" s="160"/>
      <c r="H5" s="160"/>
      <c r="I5" s="160"/>
      <c r="J5" s="160"/>
      <c r="L5" s="160"/>
      <c r="N5" s="190"/>
      <c r="O5" s="349"/>
      <c r="P5"/>
      <c r="Q5"/>
      <c r="R5"/>
    </row>
    <row r="6" spans="2:18">
      <c r="B6" s="160"/>
      <c r="C6" s="160"/>
      <c r="D6" s="160"/>
      <c r="E6" s="160"/>
      <c r="F6" s="160"/>
      <c r="G6" s="160"/>
      <c r="H6" s="160"/>
      <c r="I6" s="160"/>
      <c r="J6" s="160"/>
      <c r="L6" s="160"/>
      <c r="N6" s="190"/>
      <c r="O6" s="349"/>
      <c r="P6"/>
      <c r="Q6"/>
      <c r="R6"/>
    </row>
    <row r="7" spans="2:18">
      <c r="B7" s="160"/>
      <c r="C7" s="160"/>
      <c r="D7" s="160"/>
      <c r="E7" s="160"/>
      <c r="F7" s="160"/>
      <c r="G7" s="160"/>
      <c r="H7" s="160"/>
      <c r="I7" s="160"/>
      <c r="J7" s="160"/>
      <c r="L7" s="160"/>
      <c r="N7" s="190"/>
      <c r="O7" s="349"/>
      <c r="P7"/>
      <c r="Q7"/>
      <c r="R7"/>
    </row>
    <row r="8" spans="2:18">
      <c r="B8" s="160"/>
      <c r="C8" s="160"/>
      <c r="D8" s="160"/>
      <c r="E8" s="160"/>
      <c r="F8" s="160"/>
      <c r="G8" s="160"/>
      <c r="H8" s="160"/>
      <c r="I8" s="160"/>
      <c r="J8" s="160"/>
      <c r="L8" s="160"/>
      <c r="N8" s="190"/>
      <c r="O8" s="349"/>
      <c r="P8"/>
      <c r="Q8"/>
      <c r="R8"/>
    </row>
    <row r="9" spans="2:18">
      <c r="B9" s="160"/>
      <c r="C9" s="160"/>
      <c r="D9" s="160"/>
      <c r="E9" s="160"/>
      <c r="F9" s="160"/>
      <c r="G9" s="160"/>
      <c r="H9" s="160"/>
      <c r="I9" s="160"/>
      <c r="J9" s="160"/>
      <c r="L9" s="160"/>
      <c r="N9" s="190"/>
      <c r="O9" s="349"/>
      <c r="P9"/>
      <c r="Q9"/>
      <c r="R9"/>
    </row>
    <row r="10" spans="2:18">
      <c r="B10" s="160"/>
      <c r="C10" s="160"/>
      <c r="D10" s="160"/>
      <c r="E10" s="160"/>
      <c r="F10" s="160"/>
      <c r="G10" s="160"/>
      <c r="H10" s="160"/>
      <c r="I10" s="160"/>
      <c r="J10" s="160"/>
      <c r="L10" s="160"/>
      <c r="N10" s="190"/>
      <c r="O10" s="349"/>
      <c r="P10"/>
      <c r="Q10"/>
      <c r="R10"/>
    </row>
    <row r="11" spans="2:18">
      <c r="B11" s="160"/>
      <c r="C11" s="160"/>
      <c r="D11" s="160"/>
      <c r="E11" s="160"/>
      <c r="F11" s="160"/>
      <c r="G11" s="160"/>
      <c r="H11" s="160"/>
      <c r="I11" s="160"/>
      <c r="J11" s="160"/>
      <c r="L11" s="160"/>
      <c r="N11" s="190"/>
      <c r="O11" s="349"/>
      <c r="P11"/>
      <c r="Q11"/>
      <c r="R11"/>
    </row>
    <row r="12" spans="2:18">
      <c r="B12" s="160"/>
      <c r="C12" s="160"/>
      <c r="D12" s="160"/>
      <c r="E12" s="160"/>
      <c r="F12" s="160"/>
      <c r="G12" s="160"/>
      <c r="H12" s="160"/>
      <c r="I12" s="160"/>
      <c r="J12" s="160"/>
      <c r="L12" s="160"/>
      <c r="N12" s="190"/>
      <c r="O12" s="349"/>
      <c r="P12"/>
      <c r="Q12"/>
      <c r="R12"/>
    </row>
    <row r="13" spans="2:18">
      <c r="B13" s="160"/>
      <c r="C13" s="160"/>
      <c r="D13" s="160"/>
      <c r="E13" s="160"/>
      <c r="F13" s="160"/>
      <c r="G13" s="160"/>
      <c r="H13" s="160"/>
      <c r="I13" s="160"/>
      <c r="J13" s="160"/>
      <c r="L13" s="160"/>
      <c r="N13" s="190"/>
      <c r="O13" s="349"/>
      <c r="P13"/>
      <c r="Q13"/>
      <c r="R13"/>
    </row>
    <row r="14" spans="2:18">
      <c r="B14" s="160"/>
      <c r="C14" s="160"/>
      <c r="D14" s="160"/>
      <c r="E14" s="160"/>
      <c r="F14" s="160"/>
      <c r="G14" s="160"/>
      <c r="H14" s="160"/>
      <c r="I14" s="160"/>
      <c r="J14" s="160"/>
      <c r="L14" s="160"/>
      <c r="N14" s="190"/>
      <c r="O14" s="349"/>
      <c r="P14"/>
      <c r="Q14"/>
      <c r="R14"/>
    </row>
    <row r="15" spans="2:18">
      <c r="B15" s="160"/>
      <c r="C15" s="160"/>
      <c r="D15" s="160"/>
      <c r="E15" s="160"/>
      <c r="F15" s="160"/>
      <c r="G15" s="160"/>
      <c r="H15" s="160"/>
      <c r="I15" s="160"/>
      <c r="J15" s="160"/>
      <c r="L15" s="160"/>
      <c r="N15" s="190"/>
      <c r="O15" s="349"/>
      <c r="P15"/>
      <c r="Q15"/>
      <c r="R15"/>
    </row>
    <row r="16" spans="2:18">
      <c r="B16" s="160"/>
      <c r="C16" s="160"/>
      <c r="D16" s="160"/>
      <c r="E16" s="160"/>
      <c r="F16" s="160"/>
      <c r="G16" s="160"/>
      <c r="H16" s="160"/>
      <c r="I16" s="160"/>
      <c r="J16" s="160"/>
      <c r="L16" s="160"/>
      <c r="N16" s="190"/>
      <c r="O16" s="349"/>
      <c r="P16"/>
      <c r="Q16"/>
      <c r="R16"/>
    </row>
    <row r="17" spans="2:18">
      <c r="B17" s="160"/>
      <c r="C17" s="160"/>
      <c r="D17" s="160"/>
      <c r="E17" s="160"/>
      <c r="F17" s="160"/>
      <c r="G17" s="160"/>
      <c r="H17" s="160"/>
      <c r="I17" s="160"/>
      <c r="J17" s="160"/>
      <c r="L17" s="160"/>
      <c r="N17" s="190"/>
      <c r="O17" s="349"/>
      <c r="P17"/>
      <c r="Q17"/>
      <c r="R17"/>
    </row>
    <row r="18" spans="2:18">
      <c r="B18" s="160"/>
      <c r="C18" s="160"/>
      <c r="D18" s="160"/>
      <c r="E18" s="160"/>
      <c r="F18" s="160"/>
      <c r="G18" s="160"/>
      <c r="H18" s="160"/>
      <c r="I18" s="160"/>
      <c r="J18" s="160"/>
      <c r="L18" s="160"/>
      <c r="N18" s="190"/>
      <c r="O18" s="349"/>
      <c r="P18"/>
      <c r="Q18"/>
      <c r="R18"/>
    </row>
    <row r="19" spans="2:18">
      <c r="B19" s="160"/>
      <c r="C19" s="160"/>
      <c r="D19" s="160"/>
      <c r="E19" s="160"/>
      <c r="F19" s="160"/>
      <c r="G19" s="160"/>
      <c r="H19" s="160"/>
      <c r="I19" s="160"/>
      <c r="J19" s="160"/>
      <c r="L19" s="160"/>
      <c r="N19" s="190"/>
      <c r="O19" s="349"/>
      <c r="P19"/>
      <c r="Q19"/>
      <c r="R19"/>
    </row>
    <row r="20" spans="2:18">
      <c r="B20" s="160"/>
      <c r="C20" s="160"/>
      <c r="D20" s="160"/>
      <c r="E20" s="160"/>
      <c r="F20" s="160"/>
      <c r="G20" s="160"/>
      <c r="H20" s="160"/>
      <c r="I20" s="160"/>
      <c r="J20" s="160"/>
      <c r="L20" s="160"/>
      <c r="N20" s="190"/>
      <c r="O20" s="349"/>
      <c r="P20"/>
      <c r="Q20"/>
      <c r="R20"/>
    </row>
    <row r="21" spans="2:18">
      <c r="B21" s="160"/>
      <c r="C21" s="160"/>
      <c r="D21" s="160"/>
      <c r="E21" s="160"/>
      <c r="F21" s="160"/>
      <c r="G21" s="160"/>
      <c r="H21" s="160"/>
      <c r="I21" s="160"/>
      <c r="J21" s="160"/>
      <c r="L21" s="160"/>
      <c r="N21" s="190"/>
      <c r="O21" s="349"/>
      <c r="P21"/>
      <c r="Q21"/>
      <c r="R21"/>
    </row>
    <row r="22" spans="2:18">
      <c r="B22" s="160"/>
      <c r="C22" s="160"/>
      <c r="D22" s="160"/>
      <c r="E22" s="160"/>
      <c r="F22" s="160"/>
      <c r="G22" s="160"/>
      <c r="H22" s="160"/>
      <c r="I22" s="160"/>
      <c r="J22" s="160"/>
      <c r="L22" s="160"/>
      <c r="N22" s="190"/>
      <c r="O22" s="349"/>
      <c r="P22"/>
      <c r="Q22"/>
      <c r="R22"/>
    </row>
    <row r="23" spans="2:18">
      <c r="B23" s="160"/>
      <c r="C23" s="160"/>
      <c r="D23" s="160"/>
      <c r="E23" s="160"/>
      <c r="F23" s="160"/>
      <c r="G23" s="160"/>
      <c r="H23" s="160"/>
      <c r="I23" s="160"/>
      <c r="J23" s="160"/>
      <c r="L23" s="160"/>
      <c r="N23" s="190"/>
      <c r="O23" s="349"/>
      <c r="P23"/>
      <c r="Q23"/>
      <c r="R23"/>
    </row>
    <row r="24" spans="2:18">
      <c r="B24" s="160"/>
      <c r="C24" s="160"/>
      <c r="D24" s="160"/>
      <c r="E24" s="160"/>
      <c r="F24" s="160"/>
      <c r="G24" s="160"/>
      <c r="H24" s="160"/>
      <c r="I24" s="160"/>
      <c r="J24" s="160"/>
      <c r="L24" s="160"/>
      <c r="N24" s="190"/>
      <c r="O24" s="349"/>
      <c r="P24"/>
      <c r="Q24"/>
      <c r="R24"/>
    </row>
    <row r="25" spans="2:18">
      <c r="B25" s="160"/>
      <c r="C25" s="160"/>
      <c r="D25" s="160"/>
      <c r="E25" s="160"/>
      <c r="F25" s="160"/>
      <c r="G25" s="160"/>
      <c r="H25" s="160"/>
      <c r="I25" s="160"/>
      <c r="J25" s="160"/>
      <c r="L25" s="160"/>
      <c r="N25" s="190"/>
      <c r="O25" s="349"/>
      <c r="P25"/>
      <c r="Q25"/>
      <c r="R25"/>
    </row>
    <row r="26" spans="2:18">
      <c r="B26" s="160"/>
      <c r="C26" s="160"/>
      <c r="D26" s="160"/>
      <c r="E26" s="160"/>
      <c r="F26" s="160"/>
      <c r="G26" s="160"/>
      <c r="H26" s="160"/>
      <c r="I26" s="160"/>
      <c r="J26" s="160"/>
      <c r="L26" s="160"/>
      <c r="N26" s="190"/>
      <c r="O26" s="349"/>
      <c r="P26"/>
      <c r="Q26"/>
      <c r="R26"/>
    </row>
    <row r="27" spans="2:18">
      <c r="B27" s="160"/>
      <c r="C27" s="160"/>
      <c r="D27" s="160"/>
      <c r="E27" s="160"/>
      <c r="F27" s="160"/>
      <c r="G27" s="160"/>
      <c r="H27" s="160"/>
      <c r="I27" s="160"/>
      <c r="J27" s="160"/>
      <c r="L27" s="160"/>
      <c r="N27" s="190"/>
      <c r="O27" s="349"/>
      <c r="P27"/>
      <c r="Q27"/>
      <c r="R27"/>
    </row>
    <row r="28" spans="2:18">
      <c r="B28" s="160"/>
      <c r="C28" s="160"/>
      <c r="D28" s="160"/>
      <c r="E28" s="160"/>
      <c r="F28" s="160"/>
      <c r="G28" s="160"/>
      <c r="H28" s="160"/>
      <c r="I28" s="160"/>
      <c r="J28" s="160"/>
      <c r="L28" s="160"/>
      <c r="N28" s="190"/>
      <c r="O28" s="349"/>
      <c r="P28"/>
      <c r="Q28"/>
      <c r="R28"/>
    </row>
    <row r="29" spans="2:18">
      <c r="B29" s="160"/>
      <c r="C29" s="160"/>
      <c r="D29" s="160"/>
      <c r="E29" s="160"/>
      <c r="F29" s="160"/>
      <c r="G29" s="160"/>
      <c r="H29" s="160"/>
      <c r="I29" s="160"/>
      <c r="J29" s="160"/>
      <c r="L29" s="160"/>
      <c r="N29" s="190"/>
      <c r="O29" s="349"/>
      <c r="P29"/>
      <c r="Q29"/>
      <c r="R29"/>
    </row>
    <row r="30" spans="2:18">
      <c r="B30" s="160"/>
      <c r="C30" s="160"/>
      <c r="D30" s="160"/>
      <c r="E30" s="160"/>
      <c r="F30" s="160"/>
      <c r="G30" s="160"/>
      <c r="H30" s="160"/>
      <c r="I30" s="160"/>
      <c r="J30" s="160"/>
      <c r="L30" s="160"/>
      <c r="N30" s="190"/>
      <c r="O30" s="349"/>
      <c r="P30"/>
      <c r="Q30"/>
      <c r="R30"/>
    </row>
    <row r="31" spans="2:18">
      <c r="B31" s="160"/>
      <c r="C31" s="160"/>
      <c r="D31" s="160"/>
      <c r="E31" s="160"/>
      <c r="F31" s="160"/>
      <c r="G31" s="160"/>
      <c r="H31" s="160"/>
      <c r="I31" s="160"/>
      <c r="J31" s="160"/>
      <c r="L31" s="160"/>
      <c r="N31" s="190"/>
      <c r="O31" s="349"/>
      <c r="P31"/>
      <c r="Q31"/>
      <c r="R31"/>
    </row>
    <row r="32" spans="2:18">
      <c r="B32" s="160"/>
      <c r="C32" s="160"/>
      <c r="D32" s="160"/>
      <c r="E32" s="160"/>
      <c r="F32" s="160"/>
      <c r="G32" s="160"/>
      <c r="H32" s="160"/>
      <c r="I32" s="160"/>
      <c r="J32" s="160"/>
      <c r="L32" s="160"/>
      <c r="N32" s="190"/>
      <c r="O32" s="349"/>
      <c r="P32"/>
      <c r="Q32"/>
      <c r="R32"/>
    </row>
    <row r="33" spans="2:18">
      <c r="B33" s="160"/>
      <c r="C33" s="160"/>
      <c r="D33" s="160"/>
      <c r="E33" s="160"/>
      <c r="F33" s="160"/>
      <c r="G33" s="160"/>
      <c r="H33" s="160"/>
      <c r="I33" s="160"/>
      <c r="J33" s="160"/>
      <c r="L33" s="160"/>
      <c r="N33" s="190"/>
      <c r="O33" s="349"/>
      <c r="P33"/>
      <c r="Q33"/>
      <c r="R33"/>
    </row>
    <row r="34" spans="2:18">
      <c r="B34" s="160"/>
      <c r="C34" s="160"/>
      <c r="D34" s="160"/>
      <c r="E34" s="160"/>
      <c r="F34" s="160"/>
      <c r="G34" s="160"/>
      <c r="H34" s="160"/>
      <c r="I34" s="160"/>
      <c r="J34" s="160"/>
      <c r="L34" s="160"/>
      <c r="N34" s="190"/>
      <c r="O34" s="349"/>
      <c r="P34"/>
      <c r="Q34"/>
      <c r="R34"/>
    </row>
    <row r="35" spans="2:18">
      <c r="B35" s="160"/>
      <c r="C35" s="160"/>
      <c r="D35" s="160"/>
      <c r="E35" s="160"/>
      <c r="F35" s="160"/>
      <c r="G35" s="160"/>
      <c r="H35" s="160"/>
      <c r="I35" s="160"/>
      <c r="J35" s="160"/>
      <c r="L35" s="160"/>
      <c r="N35" s="190"/>
      <c r="O35" s="349"/>
      <c r="P35"/>
      <c r="Q35"/>
      <c r="R35"/>
    </row>
    <row r="36" spans="2:18">
      <c r="B36" s="160"/>
      <c r="C36" s="160"/>
      <c r="D36" s="160"/>
      <c r="E36" s="160"/>
      <c r="F36" s="160"/>
      <c r="G36" s="160"/>
      <c r="H36" s="160"/>
      <c r="I36" s="160"/>
      <c r="J36" s="160"/>
      <c r="L36" s="160"/>
      <c r="N36" s="190"/>
      <c r="O36" s="349"/>
      <c r="P36"/>
      <c r="Q36"/>
      <c r="R36"/>
    </row>
    <row r="37" spans="2:18">
      <c r="B37" s="160"/>
      <c r="C37" s="160"/>
      <c r="D37" s="160"/>
      <c r="E37" s="160"/>
      <c r="F37" s="160"/>
      <c r="G37" s="160"/>
      <c r="H37" s="160"/>
      <c r="I37" s="160"/>
      <c r="J37" s="160"/>
      <c r="L37" s="160"/>
      <c r="N37" s="190"/>
      <c r="O37" s="349"/>
      <c r="P37"/>
      <c r="Q37"/>
      <c r="R37"/>
    </row>
    <row r="38" spans="2:18">
      <c r="B38" s="160"/>
      <c r="C38" s="160"/>
      <c r="D38" s="160"/>
      <c r="E38" s="160"/>
      <c r="F38" s="160"/>
      <c r="G38" s="160"/>
      <c r="H38" s="160"/>
      <c r="I38" s="160"/>
      <c r="J38" s="160"/>
      <c r="L38" s="160"/>
      <c r="N38" s="190"/>
      <c r="O38" s="349"/>
      <c r="P38"/>
      <c r="Q38"/>
      <c r="R38"/>
    </row>
    <row r="39" spans="2:18">
      <c r="B39" s="160"/>
      <c r="C39" s="160"/>
      <c r="D39" s="160"/>
      <c r="E39" s="160"/>
      <c r="F39" s="160"/>
      <c r="G39" s="160"/>
      <c r="H39" s="160"/>
      <c r="I39" s="160"/>
      <c r="J39" s="160"/>
      <c r="L39" s="160"/>
      <c r="N39" s="190"/>
      <c r="O39" s="349"/>
      <c r="P39"/>
      <c r="Q39"/>
      <c r="R39"/>
    </row>
    <row r="40" spans="2:18" ht="17.399999999999999">
      <c r="B40" s="191"/>
      <c r="C40" s="160"/>
      <c r="D40" s="160"/>
      <c r="E40" s="160"/>
      <c r="F40" s="160"/>
      <c r="G40" s="28">
        <f>Расчет!$F$2</f>
        <v>45017</v>
      </c>
      <c r="H40" s="28">
        <f>Расчет!$H$2</f>
        <v>45444</v>
      </c>
      <c r="I40" s="28" t="s">
        <v>641</v>
      </c>
      <c r="J40" s="28"/>
      <c r="L40" s="192">
        <f ca="1">TODAY()</f>
        <v>46038</v>
      </c>
      <c r="N40" s="190"/>
      <c r="O40" s="349"/>
      <c r="P40" s="756" t="s">
        <v>36</v>
      </c>
      <c r="Q40" s="757" t="s">
        <v>37</v>
      </c>
      <c r="R40" s="758" t="s">
        <v>38</v>
      </c>
    </row>
    <row r="41" spans="2:18" ht="41.4">
      <c r="B41" s="193" t="s">
        <v>317</v>
      </c>
      <c r="C41" s="194" t="s">
        <v>79</v>
      </c>
      <c r="D41" s="195" t="s">
        <v>11</v>
      </c>
      <c r="E41" s="350" t="s">
        <v>10</v>
      </c>
      <c r="F41" s="351" t="s">
        <v>9</v>
      </c>
      <c r="G41" s="313" t="s">
        <v>318</v>
      </c>
      <c r="H41" s="314" t="s">
        <v>318</v>
      </c>
      <c r="I41" s="314" t="s">
        <v>318</v>
      </c>
      <c r="J41" s="200">
        <v>2026</v>
      </c>
      <c r="K41" s="200" t="s">
        <v>84</v>
      </c>
      <c r="L41" s="201" t="s">
        <v>33</v>
      </c>
      <c r="N41" s="190">
        <f>COUNTA(N42:N7023)</f>
        <v>24</v>
      </c>
      <c r="O41" s="190"/>
      <c r="P41" s="756"/>
      <c r="Q41" s="757"/>
      <c r="R41" s="758"/>
    </row>
    <row r="42" spans="2:18">
      <c r="B42" s="218" t="str">
        <f>B50</f>
        <v xml:space="preserve">Созданы органы управления </v>
      </c>
      <c r="C42" s="204" t="s">
        <v>642</v>
      </c>
      <c r="D42" s="315">
        <f t="shared" ref="D42:K42" si="0">IF(КИИ="да",AVERAGE(D52:D59),AVERAGE(D53:D59))</f>
        <v>5</v>
      </c>
      <c r="E42" s="316">
        <f t="shared" si="0"/>
        <v>5</v>
      </c>
      <c r="F42" s="317">
        <f t="shared" si="0"/>
        <v>5</v>
      </c>
      <c r="G42" s="317">
        <f t="shared" si="0"/>
        <v>5</v>
      </c>
      <c r="H42" s="317">
        <f t="shared" si="0"/>
        <v>5</v>
      </c>
      <c r="I42" s="317">
        <f t="shared" si="0"/>
        <v>0</v>
      </c>
      <c r="J42" s="317">
        <f t="shared" si="0"/>
        <v>0</v>
      </c>
      <c r="K42" s="224">
        <f t="shared" si="0"/>
        <v>5</v>
      </c>
      <c r="L42" s="318">
        <f>AVERAGE(L52:L59)</f>
        <v>0</v>
      </c>
      <c r="M42" s="214">
        <f>E42-J42</f>
        <v>5</v>
      </c>
      <c r="N42" s="190"/>
      <c r="O42" s="349"/>
      <c r="P42" s="217">
        <f>AVERAGE(P52:P59)</f>
        <v>0</v>
      </c>
      <c r="Q42" s="352">
        <f>AVERAGE(Q52:Q59)</f>
        <v>0</v>
      </c>
      <c r="R42" s="352">
        <f>AVERAGE(R52:R59)</f>
        <v>0</v>
      </c>
    </row>
    <row r="43" spans="2:18">
      <c r="B43" s="218" t="str">
        <f>B60</f>
        <v>Подразделение по ИБ</v>
      </c>
      <c r="C43" s="204" t="s">
        <v>643</v>
      </c>
      <c r="D43" s="315">
        <f t="shared" ref="D43:K43" si="1">IF(КИИ="да",AVERAGE(D61:D63),AVERAGE(D62:D63))</f>
        <v>5</v>
      </c>
      <c r="E43" s="316">
        <f t="shared" si="1"/>
        <v>5</v>
      </c>
      <c r="F43" s="317">
        <f t="shared" si="1"/>
        <v>5</v>
      </c>
      <c r="G43" s="317" t="e">
        <f t="shared" si="1"/>
        <v>#DIV/0!</v>
      </c>
      <c r="H43" s="317" t="e">
        <f t="shared" si="1"/>
        <v>#DIV/0!</v>
      </c>
      <c r="I43" s="317" t="e">
        <f t="shared" si="1"/>
        <v>#DIV/0!</v>
      </c>
      <c r="J43" s="317" t="e">
        <f t="shared" si="1"/>
        <v>#DIV/0!</v>
      </c>
      <c r="K43" s="224">
        <f t="shared" si="1"/>
        <v>5</v>
      </c>
      <c r="L43" s="318">
        <f>AVERAGE(L61:L63)</f>
        <v>0</v>
      </c>
      <c r="M43" s="214"/>
      <c r="N43" s="190"/>
      <c r="O43" s="349"/>
      <c r="P43" s="217">
        <f>AVERAGE(P61:P63)</f>
        <v>0</v>
      </c>
      <c r="Q43" s="352">
        <f>AVERAGE(Q61:Q63)</f>
        <v>0</v>
      </c>
      <c r="R43" s="352">
        <f>AVERAGE(R61:R63)</f>
        <v>0</v>
      </c>
    </row>
    <row r="44" spans="2:18">
      <c r="B44" s="218" t="str">
        <f>B64</f>
        <v>Организованно взаимодействие с подрядчиками</v>
      </c>
      <c r="C44" s="204" t="s">
        <v>644</v>
      </c>
      <c r="D44" s="315">
        <f>AVERAGE(D65:D68)</f>
        <v>5</v>
      </c>
      <c r="E44" s="316">
        <f t="shared" ref="E44:L44" si="2">AVERAGE(E65:E68)</f>
        <v>5</v>
      </c>
      <c r="F44" s="317">
        <f t="shared" si="2"/>
        <v>5</v>
      </c>
      <c r="G44" s="318" t="e">
        <f t="shared" si="2"/>
        <v>#DIV/0!</v>
      </c>
      <c r="H44" s="318" t="e">
        <f t="shared" si="2"/>
        <v>#DIV/0!</v>
      </c>
      <c r="I44" s="318" t="e">
        <f>AVERAGE(I65:I68)</f>
        <v>#DIV/0!</v>
      </c>
      <c r="J44" s="319" t="e">
        <f>AVERAGE(J65:J68)</f>
        <v>#DIV/0!</v>
      </c>
      <c r="K44" s="224">
        <f>AVERAGE(K65:K68)</f>
        <v>5</v>
      </c>
      <c r="L44" s="318">
        <f t="shared" si="2"/>
        <v>0</v>
      </c>
      <c r="M44" s="214"/>
      <c r="N44" s="190"/>
      <c r="O44" s="349"/>
      <c r="P44" s="217">
        <f>AVERAGE(P65:P68)</f>
        <v>0</v>
      </c>
      <c r="Q44" s="352">
        <f>AVERAGE(Q65:Q68)</f>
        <v>0</v>
      </c>
      <c r="R44" s="352">
        <f>AVERAGE(R65:R68)</f>
        <v>0</v>
      </c>
    </row>
    <row r="45" spans="2:18">
      <c r="B45" s="218" t="str">
        <f>B69</f>
        <v>Использование СЗИ</v>
      </c>
      <c r="C45" s="204" t="s">
        <v>44</v>
      </c>
      <c r="D45" s="315">
        <f>AVERAGE(D70:D74)</f>
        <v>5</v>
      </c>
      <c r="E45" s="316">
        <f>AVERAGE(E70:E74)</f>
        <v>5</v>
      </c>
      <c r="F45" s="317">
        <f t="shared" ref="F45:L45" si="3">AVERAGE(F70:F74)</f>
        <v>5</v>
      </c>
      <c r="G45" s="318" t="e">
        <f t="shared" si="3"/>
        <v>#DIV/0!</v>
      </c>
      <c r="H45" s="318" t="e">
        <f t="shared" si="3"/>
        <v>#DIV/0!</v>
      </c>
      <c r="I45" s="318" t="e">
        <f>AVERAGE(I70:I74)</f>
        <v>#DIV/0!</v>
      </c>
      <c r="J45" s="319" t="e">
        <f>AVERAGE(J70:J74)</f>
        <v>#DIV/0!</v>
      </c>
      <c r="K45" s="224">
        <f>AVERAGE(K70:K74)</f>
        <v>5</v>
      </c>
      <c r="L45" s="318">
        <f t="shared" si="3"/>
        <v>0</v>
      </c>
      <c r="M45" s="214"/>
      <c r="N45" s="190"/>
      <c r="O45" s="349"/>
      <c r="P45" s="217">
        <f>AVERAGE(P70:P74)</f>
        <v>0</v>
      </c>
      <c r="Q45" s="352">
        <f>AVERAGE(Q70:Q74)</f>
        <v>0</v>
      </c>
      <c r="R45" s="352">
        <f>AVERAGE(R70:R74)</f>
        <v>0</v>
      </c>
    </row>
    <row r="46" spans="2:18">
      <c r="B46" s="233" t="str">
        <f>B75</f>
        <v>Взаимодействие с ГОССОПКА</v>
      </c>
      <c r="C46" s="353" t="s">
        <v>645</v>
      </c>
      <c r="D46" s="321">
        <f t="shared" ref="D46:L46" si="4">AVERAGE(D76:D80)</f>
        <v>5</v>
      </c>
      <c r="E46" s="322">
        <f t="shared" si="4"/>
        <v>5</v>
      </c>
      <c r="F46" s="323">
        <f t="shared" si="4"/>
        <v>5</v>
      </c>
      <c r="G46" s="324" t="e">
        <f t="shared" si="4"/>
        <v>#DIV/0!</v>
      </c>
      <c r="H46" s="324" t="e">
        <f t="shared" si="4"/>
        <v>#DIV/0!</v>
      </c>
      <c r="I46" s="324" t="e">
        <f>AVERAGE(I76:I80)</f>
        <v>#DIV/0!</v>
      </c>
      <c r="J46" s="325" t="e">
        <f>AVERAGE(J76:J80)</f>
        <v>#DIV/0!</v>
      </c>
      <c r="K46" s="224">
        <f>AVERAGE(K76:K80)</f>
        <v>5</v>
      </c>
      <c r="L46" s="324">
        <f t="shared" si="4"/>
        <v>0</v>
      </c>
      <c r="M46" s="214"/>
      <c r="N46" s="190"/>
      <c r="O46" s="349"/>
      <c r="P46" s="217">
        <f>AVERAGE(P76:P80)</f>
        <v>0</v>
      </c>
      <c r="Q46" s="352">
        <f>AVERAGE(Q76:Q80)</f>
        <v>0</v>
      </c>
      <c r="R46" s="352">
        <f>AVERAGE(R76:R80)</f>
        <v>0</v>
      </c>
    </row>
    <row r="47" spans="2:18">
      <c r="B47" s="204"/>
      <c r="C47" s="204"/>
      <c r="D47" s="220"/>
      <c r="E47" s="221"/>
      <c r="F47" s="222"/>
      <c r="G47" s="50"/>
      <c r="H47" s="50"/>
      <c r="I47" s="50"/>
      <c r="J47" s="50"/>
      <c r="K47" s="50"/>
      <c r="L47" s="50"/>
      <c r="M47" s="214"/>
      <c r="N47" s="190"/>
      <c r="O47" s="349"/>
      <c r="P47"/>
      <c r="Q47"/>
      <c r="R47"/>
    </row>
    <row r="48" spans="2:18">
      <c r="B48" s="204"/>
      <c r="C48" s="204"/>
      <c r="D48" s="220"/>
      <c r="E48" s="221"/>
      <c r="F48" s="222"/>
      <c r="G48" s="50"/>
      <c r="H48" s="50"/>
      <c r="I48" s="50"/>
      <c r="J48" s="50"/>
      <c r="K48" s="50"/>
      <c r="L48" s="50"/>
      <c r="M48" s="214"/>
      <c r="N48" s="190"/>
      <c r="O48" s="349"/>
      <c r="P48"/>
      <c r="Q48"/>
      <c r="R48"/>
    </row>
    <row r="49" spans="1:24" ht="31.2">
      <c r="B49" s="204"/>
      <c r="C49" s="204"/>
      <c r="D49" s="242"/>
      <c r="E49" s="242"/>
      <c r="F49" s="242"/>
      <c r="G49" s="242"/>
      <c r="H49" s="204"/>
      <c r="I49" s="204"/>
      <c r="J49" s="204"/>
      <c r="L49" s="204"/>
      <c r="M49" s="243" t="s">
        <v>515</v>
      </c>
      <c r="N49" s="244" t="s">
        <v>324</v>
      </c>
      <c r="O49" s="244" t="s">
        <v>325</v>
      </c>
      <c r="P49" s="354"/>
      <c r="Q49" s="354"/>
      <c r="R49" s="354"/>
      <c r="S49" s="254" t="s">
        <v>326</v>
      </c>
      <c r="T49" s="255" t="s">
        <v>1315</v>
      </c>
      <c r="U49" s="355" t="s">
        <v>327</v>
      </c>
      <c r="V49" s="255" t="s">
        <v>1316</v>
      </c>
      <c r="W49" s="355" t="s">
        <v>328</v>
      </c>
      <c r="X49" s="255" t="s">
        <v>1317</v>
      </c>
    </row>
    <row r="50" spans="1:24">
      <c r="B50" s="21" t="s">
        <v>646</v>
      </c>
      <c r="C50" s="21" t="s">
        <v>642</v>
      </c>
      <c r="D50" s="21"/>
      <c r="E50" s="21"/>
      <c r="F50" s="21"/>
      <c r="G50" s="356"/>
      <c r="H50" s="21"/>
      <c r="I50" s="21"/>
      <c r="J50" s="21"/>
      <c r="K50" s="21"/>
      <c r="L50" s="21"/>
      <c r="M50" s="21"/>
      <c r="N50" s="251"/>
      <c r="O50" s="251"/>
      <c r="P50" s="21"/>
      <c r="Q50" s="21"/>
      <c r="R50" s="21"/>
      <c r="S50" s="21"/>
      <c r="T50" s="21"/>
      <c r="U50" s="21"/>
      <c r="V50" s="21"/>
      <c r="W50" s="21"/>
      <c r="X50" s="21"/>
    </row>
    <row r="51" spans="1:24">
      <c r="B51" s="21"/>
      <c r="C51" s="21"/>
      <c r="D51" s="21"/>
      <c r="E51" s="21"/>
      <c r="F51" s="21"/>
      <c r="G51" s="356"/>
      <c r="H51" s="21"/>
      <c r="I51" s="21"/>
      <c r="J51" s="21"/>
      <c r="K51" s="21"/>
      <c r="L51" s="21"/>
      <c r="M51" s="21"/>
      <c r="N51" s="251"/>
      <c r="O51" s="251"/>
      <c r="P51" s="21"/>
      <c r="Q51" s="21"/>
      <c r="R51" s="21"/>
      <c r="S51" s="21"/>
      <c r="T51" s="21"/>
      <c r="U51" s="21"/>
      <c r="V51" s="21"/>
      <c r="W51" s="21"/>
      <c r="X51" s="21"/>
    </row>
    <row r="52" spans="1:24" outlineLevel="1">
      <c r="A52" s="357"/>
      <c r="B52" s="358" t="s">
        <v>647</v>
      </c>
      <c r="C52" s="358" t="s">
        <v>333</v>
      </c>
      <c r="D52" s="359">
        <f>'Управление ИБ'!D62</f>
        <v>5</v>
      </c>
      <c r="E52" s="359">
        <f>'Управление ИБ'!E62</f>
        <v>5</v>
      </c>
      <c r="F52" s="359">
        <f>'Управление ИБ'!F62</f>
        <v>5</v>
      </c>
      <c r="G52" s="360">
        <v>5</v>
      </c>
      <c r="H52" s="360">
        <v>5</v>
      </c>
      <c r="I52" s="360">
        <f>'Управление ИБ'!I62</f>
        <v>0</v>
      </c>
      <c r="J52" s="360">
        <f>'Управление ИБ'!J62</f>
        <v>0</v>
      </c>
      <c r="K52" s="360">
        <f>'Управление ИБ'!K62</f>
        <v>5</v>
      </c>
      <c r="L52" s="360">
        <f>'Управление ИБ'!L62</f>
        <v>0</v>
      </c>
      <c r="M52" s="360"/>
      <c r="N52" s="361"/>
      <c r="O52" s="361"/>
      <c r="P52" s="262">
        <f t="shared" ref="P52:R59" si="5">IFERROR(IF($L52&gt;=D52,1,$L52/D52),0)</f>
        <v>0</v>
      </c>
      <c r="Q52" s="262">
        <f t="shared" si="5"/>
        <v>0</v>
      </c>
      <c r="R52" s="262">
        <f t="shared" si="5"/>
        <v>0</v>
      </c>
      <c r="S52" s="359"/>
      <c r="T52" s="359"/>
      <c r="U52" s="362"/>
      <c r="V52" s="362"/>
      <c r="W52" s="362"/>
      <c r="X52" s="362"/>
    </row>
    <row r="53" spans="1:24" ht="72" outlineLevel="1">
      <c r="B53" s="254" t="s">
        <v>1175</v>
      </c>
      <c r="C53" s="254" t="s">
        <v>648</v>
      </c>
      <c r="D53" s="256">
        <f t="shared" ref="D53:F59" si="6">5*IF(КИИ="да",1,0)</f>
        <v>5</v>
      </c>
      <c r="E53" s="257">
        <f t="shared" si="6"/>
        <v>5</v>
      </c>
      <c r="F53" s="258">
        <f t="shared" si="6"/>
        <v>5</v>
      </c>
      <c r="G53" s="128"/>
      <c r="H53" s="128"/>
      <c r="I53" s="128"/>
      <c r="J53" s="259"/>
      <c r="K53" s="260">
        <f t="shared" ref="K53:K59" si="7">IF(ЦУКБ="КБ 1",F53, IF(ЦУКБ="КБ 2",E53,D53))</f>
        <v>5</v>
      </c>
      <c r="L53" s="128">
        <f t="shared" ref="L53:L59" si="8">VALUE(LEFT(N53,3))</f>
        <v>0</v>
      </c>
      <c r="M53">
        <f t="shared" ref="M53:M80" si="9">L53-K53</f>
        <v>-5</v>
      </c>
      <c r="N53" s="187" t="s">
        <v>331</v>
      </c>
      <c r="O53" s="349"/>
      <c r="P53" s="262">
        <f t="shared" si="5"/>
        <v>0</v>
      </c>
      <c r="Q53" s="262">
        <f t="shared" si="5"/>
        <v>0</v>
      </c>
      <c r="R53" s="262">
        <f t="shared" si="5"/>
        <v>0</v>
      </c>
      <c r="S53" s="363" t="str">
        <f>IF(($L53-$F53)&gt;=0,"",
" - Разработать и утвердить положение о заместителе, ответсвенном за обеспечение ИБ
 - Ознакомить с положением заместителя, ответственного за обеспечение ИБ")</f>
        <v xml:space="preserve"> - Разработать и утвердить положение о заместителе, ответсвенном за обеспечение ИБ
 - Ознакомить с положением заместителя, ответственного за обеспечение ИБ</v>
      </c>
      <c r="T53" s="363" t="s">
        <v>136</v>
      </c>
      <c r="U53" s="265"/>
      <c r="V53" s="265"/>
      <c r="W53" s="265"/>
      <c r="X53" s="265"/>
    </row>
    <row r="54" spans="1:24" ht="124.95" customHeight="1" outlineLevel="1">
      <c r="B54" s="254" t="s">
        <v>649</v>
      </c>
      <c r="C54" s="254" t="s">
        <v>650</v>
      </c>
      <c r="D54" s="256">
        <f t="shared" si="6"/>
        <v>5</v>
      </c>
      <c r="E54" s="257">
        <f t="shared" si="6"/>
        <v>5</v>
      </c>
      <c r="F54" s="258">
        <f t="shared" si="6"/>
        <v>5</v>
      </c>
      <c r="G54" s="128"/>
      <c r="H54" s="128"/>
      <c r="I54" s="128"/>
      <c r="J54" s="259"/>
      <c r="K54" s="260">
        <f t="shared" si="7"/>
        <v>5</v>
      </c>
      <c r="L54" s="128">
        <f t="shared" si="8"/>
        <v>0</v>
      </c>
      <c r="M54">
        <f t="shared" si="9"/>
        <v>-5</v>
      </c>
      <c r="N54" s="187" t="s">
        <v>331</v>
      </c>
      <c r="O54" s="349"/>
      <c r="P54" s="262">
        <f t="shared" si="5"/>
        <v>0</v>
      </c>
      <c r="Q54" s="262">
        <f t="shared" ref="Q54:Q59" si="10">IFERROR(IF($L54&gt;=E54,1,$L54/E54),0)</f>
        <v>0</v>
      </c>
      <c r="R54" s="262">
        <f t="shared" ref="R54:R80" si="11">IFERROR(IF($L54&gt;=F54,1,$L54/F54),0)</f>
        <v>0</v>
      </c>
      <c r="S54" s="363" t="str">
        <f>IF(($L54-$F54)&gt;=0,"",
" - При наличии коллегиальных органов (правление, совет директоров)  возложить полномочия ответственного за обеспечение ИБ на руководителя, входящего в состав указанных коллегиальных органов или включить ответственного за обеспечение ИБ в их состав.")</f>
        <v xml:space="preserve"> - При наличии коллегиальных органов (правление, совет директоров)  возложить полномочия ответственного за обеспечение ИБ на руководителя, входящего в состав указанных коллегиальных органов или включить ответственного за обеспечение ИБ в их состав.</v>
      </c>
      <c r="T54" s="363" t="s">
        <v>137</v>
      </c>
      <c r="U54" s="265"/>
      <c r="V54" s="265"/>
      <c r="W54" s="265"/>
      <c r="X54" s="265"/>
    </row>
    <row r="55" spans="1:24" ht="158.4" outlineLevel="1">
      <c r="B55" s="254" t="s">
        <v>651</v>
      </c>
      <c r="C55" s="254" t="s">
        <v>652</v>
      </c>
      <c r="D55" s="256">
        <f t="shared" si="6"/>
        <v>5</v>
      </c>
      <c r="E55" s="257">
        <f t="shared" si="6"/>
        <v>5</v>
      </c>
      <c r="F55" s="258">
        <f t="shared" si="6"/>
        <v>5</v>
      </c>
      <c r="G55" s="128"/>
      <c r="H55" s="128"/>
      <c r="I55" s="128"/>
      <c r="J55" s="259"/>
      <c r="K55" s="260">
        <f t="shared" si="7"/>
        <v>5</v>
      </c>
      <c r="L55" s="128">
        <f t="shared" si="8"/>
        <v>0</v>
      </c>
      <c r="M55">
        <f t="shared" si="9"/>
        <v>-5</v>
      </c>
      <c r="N55" s="187" t="s">
        <v>349</v>
      </c>
      <c r="O55" s="349"/>
      <c r="P55" s="262">
        <f t="shared" si="5"/>
        <v>0</v>
      </c>
      <c r="Q55" s="262">
        <f t="shared" si="10"/>
        <v>0</v>
      </c>
      <c r="R55" s="262">
        <f t="shared" si="11"/>
        <v>0</v>
      </c>
      <c r="S55" s="266" t="str">
        <f>IF(($L55-$F55)&gt;=0,"",
" -  Разработать и утвердить правила и процедуры информирования и обучения персонала;
 - Переодически проводить обучение персонала правилам эксплуатации отдельных средств защиты информации, включая проведение практических занятий с персоналом;"&amp;"
 -  Проводить контроль осведомленности персонала об угрозах безопасности информации и уровня знаний персонала по вопросам обеспечения ИБ
 - Актуализировать правила и процедуры информирования и обучения персонала")</f>
        <v xml:space="preserve"> -  Разработать и утвердить правила и процедуры информирования и обучения персонала;
 - Переодически проводить обучение персонала правилам эксплуатации отдельных средств защиты информации, включая проведение практических занятий с персоналом;
 -  Проводить контроль осведомленности персонала об угрозах безопасности информации и уровня знаний персонала по вопросам обеспечения ИБ
 - Актуализировать правила и процедуры информирования и обучения персонала</v>
      </c>
      <c r="T55" s="363" t="s">
        <v>132</v>
      </c>
      <c r="U55" s="265"/>
      <c r="V55" s="265"/>
      <c r="W55" s="265"/>
      <c r="X55" s="265"/>
    </row>
    <row r="56" spans="1:24" ht="216" outlineLevel="1">
      <c r="B56" s="254" t="s">
        <v>653</v>
      </c>
      <c r="C56" s="254" t="s">
        <v>654</v>
      </c>
      <c r="D56" s="256">
        <f t="shared" si="6"/>
        <v>5</v>
      </c>
      <c r="E56" s="257">
        <f t="shared" si="6"/>
        <v>5</v>
      </c>
      <c r="F56" s="258">
        <f t="shared" si="6"/>
        <v>5</v>
      </c>
      <c r="G56" s="128"/>
      <c r="H56" s="128"/>
      <c r="I56" s="128"/>
      <c r="J56" s="259"/>
      <c r="K56" s="260">
        <f t="shared" si="7"/>
        <v>5</v>
      </c>
      <c r="L56" s="128">
        <f t="shared" si="8"/>
        <v>0</v>
      </c>
      <c r="M56">
        <f t="shared" si="9"/>
        <v>-5</v>
      </c>
      <c r="N56" s="187" t="s">
        <v>331</v>
      </c>
      <c r="O56" s="349"/>
      <c r="P56" s="262">
        <f t="shared" si="5"/>
        <v>0</v>
      </c>
      <c r="Q56" s="262">
        <f t="shared" si="10"/>
        <v>0</v>
      </c>
      <c r="R56" s="262">
        <f t="shared" si="11"/>
        <v>0</v>
      </c>
      <c r="S56" s="363" t="str">
        <f>IF(($L56-$F56)&gt;=0,"",
" - Ответственное лицо должно иметь высшее образование (не ниже уровня специалитета, магистратуры) по направлению обеспечения информационной безопасности (далее – ИБ):
­ 10.0 - 01 «Информационная безопасность»;
­ 10.0 - 01 «Компьютерная безопасность»;"&amp;"
­ 10.0 - 02 «ИБ телекоммуникационных систем»;
­ 10.0 - 03 «ИБ автоматизированных систем»;
­ 10.0 - 04 «Информационно-аналитические системы безопасности»;"&amp;"
­ 10.0 - 05 «Безопасность ИТ в правоохранительных органах».
Если ответственное лицо имеет высшее образование по другому направлению подготовки (специальности), то ответственное лицо обязано пройти обучение по программе профессиональной"&amp;" переподготовки по направлению 'Информационная безопасность'.
Минимальный срок профессиональной переподготовки — 250 академических часов.")</f>
        <v xml:space="preserve"> - Ответственное лицо должно иметь высшее образование (не ниже уровня специалитета, магистратуры) по направлению обеспечения информационной безопасности (далее – ИБ):
­ 10.0 - 01 «Информационная безопасность»;
­ 10.0 - 01 «Компьютерная безопасность»;
­ 10.0 - 02 «ИБ телекоммуникационных систем»;
­ 10.0 - 03 «ИБ автоматизированных систем»;
­ 10.0 - 04 «Информационно-аналитические системы безопасности»;
­ 10.0 - 05 «Безопасность ИТ в правоохранительных органах».
Если ответственное лицо имеет высшее образование по другому направлению подготовки (специальности), то ответственное лицо обязано пройти обучение по программе профессиональной переподготовки по направлению 'Информационная безопасность'.
Минимальный срок профессиональной переподготовки — 250 академических часов.</v>
      </c>
      <c r="T56" s="363" t="s">
        <v>138</v>
      </c>
      <c r="U56" s="265"/>
      <c r="V56" s="265"/>
      <c r="W56" s="265"/>
      <c r="X56" s="265"/>
    </row>
    <row r="57" spans="1:24" ht="28.8" outlineLevel="1">
      <c r="B57" s="254" t="s">
        <v>655</v>
      </c>
      <c r="C57" s="254" t="s">
        <v>656</v>
      </c>
      <c r="D57" s="256">
        <f t="shared" si="6"/>
        <v>5</v>
      </c>
      <c r="E57" s="257">
        <f t="shared" si="6"/>
        <v>5</v>
      </c>
      <c r="F57" s="258">
        <f t="shared" si="6"/>
        <v>5</v>
      </c>
      <c r="G57" s="128"/>
      <c r="H57" s="128"/>
      <c r="I57" s="128"/>
      <c r="J57" s="259"/>
      <c r="K57" s="260">
        <f t="shared" si="7"/>
        <v>5</v>
      </c>
      <c r="L57" s="128">
        <f t="shared" si="8"/>
        <v>0</v>
      </c>
      <c r="M57">
        <f t="shared" si="9"/>
        <v>-5</v>
      </c>
      <c r="N57" s="187" t="s">
        <v>331</v>
      </c>
      <c r="O57" s="349"/>
      <c r="P57" s="262">
        <f t="shared" si="5"/>
        <v>0</v>
      </c>
      <c r="Q57" s="262">
        <f t="shared" si="10"/>
        <v>0</v>
      </c>
      <c r="R57" s="262">
        <f t="shared" si="11"/>
        <v>0</v>
      </c>
      <c r="S57" s="363" t="str">
        <f>IF(($L57-$F57)&gt;=0,"",
" - Ответственное лицо обязано проходит повышение квалификации не менее одного раза в 3 года")</f>
        <v xml:space="preserve"> - Ответственное лицо обязано проходит повышение квалификации не менее одного раза в 3 года</v>
      </c>
      <c r="T57" s="363" t="s">
        <v>139</v>
      </c>
      <c r="U57" s="265"/>
      <c r="V57" s="265"/>
      <c r="W57" s="265"/>
      <c r="X57" s="265"/>
    </row>
    <row r="58" spans="1:24" ht="43.2" outlineLevel="1">
      <c r="B58" s="254" t="s">
        <v>657</v>
      </c>
      <c r="C58" s="254" t="s">
        <v>658</v>
      </c>
      <c r="D58" s="256">
        <f t="shared" si="6"/>
        <v>5</v>
      </c>
      <c r="E58" s="257">
        <f t="shared" si="6"/>
        <v>5</v>
      </c>
      <c r="F58" s="258">
        <f t="shared" si="6"/>
        <v>5</v>
      </c>
      <c r="G58" s="128"/>
      <c r="H58" s="128"/>
      <c r="I58" s="128"/>
      <c r="J58" s="259"/>
      <c r="K58" s="260">
        <f t="shared" si="7"/>
        <v>5</v>
      </c>
      <c r="L58" s="128">
        <f t="shared" si="8"/>
        <v>0</v>
      </c>
      <c r="M58">
        <f t="shared" si="9"/>
        <v>-5</v>
      </c>
      <c r="N58" s="187" t="s">
        <v>331</v>
      </c>
      <c r="O58" s="349"/>
      <c r="P58" s="262">
        <f t="shared" si="5"/>
        <v>0</v>
      </c>
      <c r="Q58" s="262">
        <f t="shared" si="10"/>
        <v>0</v>
      </c>
      <c r="R58" s="262">
        <f t="shared" si="11"/>
        <v>0</v>
      </c>
      <c r="S58" s="363" t="str">
        <f>IF(($L58-$F58)&gt;=0,"",
" - Основополагающие документы Общества в сфере ИТ, цифровизации и цифровой трансформации должны быть согласованы с заместителем руководителя, ответственным за обеспечение ИБ")</f>
        <v xml:space="preserve"> - Основополагающие документы Общества в сфере ИТ, цифровизации и цифровой трансформации должны быть согласованы с заместителем руководителя, ответственным за обеспечение ИБ</v>
      </c>
      <c r="T58" s="363" t="s">
        <v>140</v>
      </c>
      <c r="U58" s="265"/>
      <c r="V58" s="265"/>
      <c r="W58" s="265"/>
      <c r="X58" s="265"/>
    </row>
    <row r="59" spans="1:24" ht="28.8" outlineLevel="1">
      <c r="B59" s="254" t="s">
        <v>659</v>
      </c>
      <c r="C59" s="254" t="s">
        <v>660</v>
      </c>
      <c r="D59" s="256">
        <f t="shared" si="6"/>
        <v>5</v>
      </c>
      <c r="E59" s="257">
        <f t="shared" si="6"/>
        <v>5</v>
      </c>
      <c r="F59" s="258">
        <f t="shared" si="6"/>
        <v>5</v>
      </c>
      <c r="G59" s="128"/>
      <c r="H59" s="128"/>
      <c r="I59" s="128"/>
      <c r="J59" s="259"/>
      <c r="K59" s="260">
        <f t="shared" si="7"/>
        <v>5</v>
      </c>
      <c r="L59" s="128">
        <f t="shared" si="8"/>
        <v>0</v>
      </c>
      <c r="M59">
        <f t="shared" si="9"/>
        <v>-5</v>
      </c>
      <c r="N59" s="187" t="s">
        <v>331</v>
      </c>
      <c r="O59" s="349"/>
      <c r="P59" s="262">
        <f t="shared" si="5"/>
        <v>0</v>
      </c>
      <c r="Q59" s="262">
        <f t="shared" si="10"/>
        <v>0</v>
      </c>
      <c r="R59" s="262">
        <f t="shared" si="11"/>
        <v>0</v>
      </c>
      <c r="S59" s="363" t="str">
        <f>IF(($L59-$F59)&gt;=0,"",
" - Наладить регулярное информирование руководства Общества  о компьютерных инцидентах и текущем уровне ИБ в Общества.")</f>
        <v xml:space="preserve"> - Наладить регулярное информирование руководства Общества  о компьютерных инцидентах и текущем уровне ИБ в Общества.</v>
      </c>
      <c r="T59" s="363" t="s">
        <v>141</v>
      </c>
      <c r="U59" s="265"/>
      <c r="V59" s="265"/>
      <c r="W59" s="265"/>
      <c r="X59" s="265"/>
    </row>
    <row r="60" spans="1:24">
      <c r="B60" s="21" t="s">
        <v>661</v>
      </c>
      <c r="C60" s="21" t="s">
        <v>643</v>
      </c>
      <c r="D60" s="21"/>
      <c r="E60" s="21"/>
      <c r="F60" s="21"/>
      <c r="G60" s="328"/>
      <c r="H60" s="21"/>
      <c r="I60" s="21"/>
      <c r="J60" s="21"/>
      <c r="K60" s="21"/>
      <c r="L60" s="21"/>
      <c r="M60" s="21"/>
      <c r="N60" s="251"/>
      <c r="O60" s="251"/>
      <c r="P60" s="21"/>
      <c r="Q60" s="21"/>
      <c r="R60" s="21"/>
      <c r="S60" s="21"/>
      <c r="T60" s="21"/>
      <c r="U60" s="21"/>
      <c r="V60" s="21"/>
      <c r="W60" s="21"/>
      <c r="X60" s="21"/>
    </row>
    <row r="61" spans="1:24" outlineLevel="1">
      <c r="A61" s="357"/>
      <c r="B61" s="358" t="s">
        <v>662</v>
      </c>
      <c r="C61" s="358" t="s">
        <v>335</v>
      </c>
      <c r="D61" s="359">
        <f>'Управление ИБ'!D63</f>
        <v>5</v>
      </c>
      <c r="E61" s="359">
        <f>'Управление ИБ'!E63</f>
        <v>5</v>
      </c>
      <c r="F61" s="359">
        <f>'Управление ИБ'!F63</f>
        <v>5</v>
      </c>
      <c r="G61" s="359"/>
      <c r="H61" s="359"/>
      <c r="I61" s="359"/>
      <c r="J61" s="359"/>
      <c r="K61" s="359">
        <f>'Управление ИБ'!K63</f>
        <v>5</v>
      </c>
      <c r="L61" s="359">
        <f>'Управление ИБ'!L63</f>
        <v>0</v>
      </c>
      <c r="M61" s="359"/>
      <c r="N61" s="364"/>
      <c r="O61" s="364"/>
      <c r="P61" s="262">
        <f>IFERROR(IF($L61&gt;D61,1,$L61/D61),0)</f>
        <v>0</v>
      </c>
      <c r="Q61" s="262">
        <f>IFERROR(IF($L61&gt;E61,1,$L61/E61),0)</f>
        <v>0</v>
      </c>
      <c r="R61" s="262">
        <f t="shared" si="11"/>
        <v>0</v>
      </c>
      <c r="S61" s="365"/>
      <c r="T61" s="365"/>
      <c r="U61" s="362"/>
      <c r="V61" s="362"/>
      <c r="W61" s="362"/>
      <c r="X61" s="362"/>
    </row>
    <row r="62" spans="1:24" ht="57.6" outlineLevel="1">
      <c r="B62" s="254" t="s">
        <v>1174</v>
      </c>
      <c r="C62" s="254" t="s">
        <v>663</v>
      </c>
      <c r="D62" s="256">
        <f t="shared" ref="D62:F68" si="12">5*IF(КИИ="да",1,0)</f>
        <v>5</v>
      </c>
      <c r="E62" s="257">
        <f t="shared" si="12"/>
        <v>5</v>
      </c>
      <c r="F62" s="258">
        <f t="shared" si="12"/>
        <v>5</v>
      </c>
      <c r="G62" s="128"/>
      <c r="H62" s="128"/>
      <c r="I62" s="128"/>
      <c r="J62" s="259"/>
      <c r="K62" s="260">
        <f t="shared" ref="K62:K68" si="13">IF(ЦУКБ="КБ 1",F62, IF(ЦУКБ="КБ 2",E62,D62))</f>
        <v>5</v>
      </c>
      <c r="L62" s="128">
        <f t="shared" ref="L62:L68" si="14">VALUE(LEFT(N62,3))</f>
        <v>0</v>
      </c>
      <c r="M62">
        <f t="shared" si="9"/>
        <v>-5</v>
      </c>
      <c r="N62" s="187" t="s">
        <v>331</v>
      </c>
      <c r="O62" s="349"/>
      <c r="P62" s="262">
        <f t="shared" ref="P62:P80" si="15">IFERROR(IF($L62&gt;=D62,1,$L62/D62),0)</f>
        <v>0</v>
      </c>
      <c r="Q62" s="262">
        <f t="shared" ref="Q62:Q68" si="16">IFERROR(IF($L62&gt;=E62,1,$L62/E62),0)</f>
        <v>0</v>
      </c>
      <c r="R62" s="262">
        <f t="shared" si="11"/>
        <v>0</v>
      </c>
      <c r="S62" s="266" t="str">
        <f>IF(($L62-$F62)&gt;=0,"",
" - Разработать и утвердить положение о структурном подразделении, ответсвенном за обеспечение ИБ
 - Ознакомить с положением  подразделение, ответственное  за обеспечение ИБ")</f>
        <v xml:space="preserve"> - Разработать и утвердить положение о структурном подразделении, ответсвенном за обеспечение ИБ
 - Ознакомить с положением  подразделение, ответственное  за обеспечение ИБ</v>
      </c>
      <c r="T62" s="363" t="s">
        <v>142</v>
      </c>
      <c r="U62" s="265"/>
      <c r="V62" s="265"/>
      <c r="W62" s="265"/>
      <c r="X62" s="265"/>
    </row>
    <row r="63" spans="1:24" ht="57.6" outlineLevel="1">
      <c r="B63" s="254" t="s">
        <v>664</v>
      </c>
      <c r="C63" s="254" t="s">
        <v>665</v>
      </c>
      <c r="D63" s="256">
        <f t="shared" si="12"/>
        <v>5</v>
      </c>
      <c r="E63" s="257">
        <f t="shared" si="12"/>
        <v>5</v>
      </c>
      <c r="F63" s="258">
        <f t="shared" si="12"/>
        <v>5</v>
      </c>
      <c r="G63" s="128"/>
      <c r="H63" s="128"/>
      <c r="I63" s="128"/>
      <c r="J63" s="259"/>
      <c r="K63" s="260">
        <f t="shared" si="13"/>
        <v>5</v>
      </c>
      <c r="L63" s="128">
        <f t="shared" si="14"/>
        <v>0</v>
      </c>
      <c r="M63">
        <f t="shared" si="9"/>
        <v>-5</v>
      </c>
      <c r="N63" s="187" t="s">
        <v>331</v>
      </c>
      <c r="O63" s="349"/>
      <c r="P63" s="262">
        <f t="shared" si="15"/>
        <v>0</v>
      </c>
      <c r="Q63" s="262">
        <f t="shared" si="16"/>
        <v>0</v>
      </c>
      <c r="R63" s="262">
        <f t="shared" si="11"/>
        <v>0</v>
      </c>
      <c r="S63" s="266" t="str">
        <f>IF(($L63-$F63)&gt;=0,"",
" - Подчинить подразделение, ответственное  за обеспечение ИБ, заместителю руководителю Общества, ответственному за ИБ, в соответствии со орг. структурой Общества")</f>
        <v xml:space="preserve"> - Подчинить подразделение, ответственное  за обеспечение ИБ, заместителю руководителю Общества, ответственному за ИБ, в соответствии со орг. структурой Общества</v>
      </c>
      <c r="T63" s="363" t="s">
        <v>142</v>
      </c>
      <c r="U63" s="265"/>
      <c r="V63" s="265"/>
      <c r="W63" s="265"/>
      <c r="X63" s="265"/>
    </row>
    <row r="64" spans="1:24">
      <c r="B64" s="21" t="s">
        <v>666</v>
      </c>
      <c r="C64" s="21" t="s">
        <v>644</v>
      </c>
      <c r="D64" s="21"/>
      <c r="E64" s="21"/>
      <c r="F64" s="21"/>
      <c r="G64" s="328"/>
      <c r="H64" s="21"/>
      <c r="I64" s="21"/>
      <c r="J64" s="21"/>
      <c r="K64" s="21"/>
      <c r="L64" s="21"/>
      <c r="M64" s="21"/>
      <c r="N64" s="251"/>
      <c r="O64" s="251"/>
      <c r="P64" s="21"/>
      <c r="Q64" s="21"/>
      <c r="R64" s="21"/>
      <c r="S64" s="21"/>
      <c r="T64" s="21"/>
      <c r="U64" s="21"/>
      <c r="V64" s="21"/>
      <c r="W64" s="21"/>
      <c r="X64" s="21"/>
    </row>
    <row r="65" spans="2:24" ht="31.2" outlineLevel="1">
      <c r="B65" s="254" t="s">
        <v>667</v>
      </c>
      <c r="C65" s="254" t="s">
        <v>668</v>
      </c>
      <c r="D65" s="256">
        <f t="shared" si="12"/>
        <v>5</v>
      </c>
      <c r="E65" s="257">
        <f t="shared" si="12"/>
        <v>5</v>
      </c>
      <c r="F65" s="258">
        <f t="shared" si="12"/>
        <v>5</v>
      </c>
      <c r="G65" s="128"/>
      <c r="H65" s="128"/>
      <c r="I65" s="128"/>
      <c r="J65" s="259"/>
      <c r="K65" s="260">
        <f t="shared" si="13"/>
        <v>5</v>
      </c>
      <c r="L65" s="128">
        <f t="shared" si="14"/>
        <v>0</v>
      </c>
      <c r="M65">
        <f t="shared" si="9"/>
        <v>-5</v>
      </c>
      <c r="N65" s="187" t="s">
        <v>331</v>
      </c>
      <c r="O65" s="349"/>
      <c r="P65" s="262">
        <f t="shared" si="15"/>
        <v>0</v>
      </c>
      <c r="Q65" s="262">
        <f t="shared" si="16"/>
        <v>0</v>
      </c>
      <c r="R65" s="262">
        <f t="shared" si="11"/>
        <v>0</v>
      </c>
      <c r="S65" s="266" t="str">
        <f>IF(($L65-$F65)&gt;=0,"",
" - Привлекать к мероприятиям по ИБ только организации имеющие лицензии ФСТЭК и ФСБ")</f>
        <v xml:space="preserve"> - Привлекать к мероприятиям по ИБ только организации имеющие лицензии ФСТЭК и ФСБ</v>
      </c>
      <c r="T65" s="657" t="s">
        <v>143</v>
      </c>
      <c r="U65" s="265"/>
      <c r="V65" s="265"/>
      <c r="W65" s="265"/>
      <c r="X65" s="265"/>
    </row>
    <row r="66" spans="2:24" ht="31.2" outlineLevel="1">
      <c r="B66" s="254" t="s">
        <v>669</v>
      </c>
      <c r="C66" s="254" t="s">
        <v>670</v>
      </c>
      <c r="D66" s="256">
        <f t="shared" si="12"/>
        <v>5</v>
      </c>
      <c r="E66" s="257">
        <f t="shared" si="12"/>
        <v>5</v>
      </c>
      <c r="F66" s="258">
        <f t="shared" si="12"/>
        <v>5</v>
      </c>
      <c r="G66" s="128"/>
      <c r="H66" s="128"/>
      <c r="I66" s="128"/>
      <c r="J66" s="259"/>
      <c r="K66" s="260">
        <f t="shared" si="13"/>
        <v>5</v>
      </c>
      <c r="L66" s="128">
        <f t="shared" si="14"/>
        <v>0</v>
      </c>
      <c r="M66">
        <f t="shared" si="9"/>
        <v>-5</v>
      </c>
      <c r="N66" s="187" t="s">
        <v>331</v>
      </c>
      <c r="O66" s="349"/>
      <c r="P66" s="262">
        <f t="shared" si="15"/>
        <v>0</v>
      </c>
      <c r="Q66" s="262">
        <f t="shared" si="16"/>
        <v>0</v>
      </c>
      <c r="R66" s="262">
        <f t="shared" si="11"/>
        <v>0</v>
      </c>
      <c r="S66" s="266" t="str">
        <f>IF(($L66-$F66)&gt;=0,"",
" - При заключении договора с SOC убедиться в наличии аккредитации")</f>
        <v xml:space="preserve"> - При заключении договора с SOC убедиться в наличии аккредитации</v>
      </c>
      <c r="T66" s="657" t="s">
        <v>144</v>
      </c>
      <c r="U66" s="265"/>
      <c r="V66" s="265"/>
      <c r="W66" s="265"/>
      <c r="X66" s="265"/>
    </row>
    <row r="67" spans="2:24" ht="201.6" outlineLevel="1">
      <c r="B67" s="254" t="s">
        <v>671</v>
      </c>
      <c r="C67" s="254" t="s">
        <v>672</v>
      </c>
      <c r="D67" s="256">
        <f t="shared" si="12"/>
        <v>5</v>
      </c>
      <c r="E67" s="257">
        <f t="shared" si="12"/>
        <v>5</v>
      </c>
      <c r="F67" s="258">
        <f t="shared" si="12"/>
        <v>5</v>
      </c>
      <c r="G67" s="128"/>
      <c r="H67" s="128"/>
      <c r="I67" s="128"/>
      <c r="J67" s="259"/>
      <c r="K67" s="260">
        <f t="shared" si="13"/>
        <v>5</v>
      </c>
      <c r="L67" s="128">
        <f t="shared" si="14"/>
        <v>0</v>
      </c>
      <c r="M67">
        <f t="shared" si="9"/>
        <v>-5</v>
      </c>
      <c r="N67" s="187" t="s">
        <v>331</v>
      </c>
      <c r="O67" s="349"/>
      <c r="P67" s="262">
        <f t="shared" si="15"/>
        <v>0</v>
      </c>
      <c r="Q67" s="262">
        <f t="shared" si="16"/>
        <v>0</v>
      </c>
      <c r="R67" s="262">
        <f t="shared" si="11"/>
        <v>0</v>
      </c>
      <c r="S67" s="266" t="str">
        <f>IF(($L67-$F67)&gt;=0,"",
" - Определить  и привлечь  организацию для оценки уровня защищенности информационных систем ,имеющих соответствующие лицензии ФСТЭК и ФСБ (https://reestr.fstec.ru/reg1)."&amp;"
 - Сформировать техническое задание на выполнение работ по оценке уровня защищенности."&amp;"
 - Получить отчетные документы в бумажном и в электронном"&amp;" виде от лицензиата по результатам оценки уровня защищенности информационных систем."&amp;"
 -  На основании распоряжения Правительства"&amp;" РФ от 2 - 0 - 2022 N 1661-р (ред. от 0 - 0 - 2023) 'Об утверждении перечня ключевых органов (организаций), которым"&amp;" необходимо осуществить мероприятия по оценке уровня защищенности своих информационных систем с привлечением организаций"&amp;", имеющих соответствующие лицензии ФСБ России и ФСТЭК Росси'  предоставить отчетные"&amp;" документы по оценке уровня защищенности информационных систем Правительству РФ"&amp;", а также в адрес ФСТЭК и ФСБ России на основании"&amp;" соответствующего запроса.")</f>
        <v xml:space="preserve"> - Определить  и привлечь  организацию для оценки уровня защищенности информационных систем ,имеющих соответствующие лицензии ФСТЭК и ФСБ (https://reestr.fstec.ru/reg1).
 - Сформировать техническое задание на выполнение работ по оценке уровня защищенности.
 - Получить отчетные документы в бумажном и в электронном виде от лицензиата по результатам оценки уровня защищенности информационных систем.
 -  На основании распоряжения Правительства РФ от 2 - 0 - 2022 N 1661-р (ред. от 0 - 0 - 2023) 'Об утверждении перечня ключевых органов (организаций), которым необходимо осуществить мероприятия по оценке уровня защищенности своих информационных систем с привлечением организаций, имеющих соответствующие лицензии ФСБ России и ФСТЭК Росси'  предоставить отчетные документы по оценке уровня защищенности информационных систем Правительству РФ, а также в адрес ФСТЭК и ФСБ России на основании соответствующего запроса.</v>
      </c>
      <c r="T67" s="657" t="s">
        <v>145</v>
      </c>
      <c r="U67" s="265"/>
      <c r="V67" s="265"/>
      <c r="W67" s="265"/>
      <c r="X67" s="265"/>
    </row>
    <row r="68" spans="2:24" ht="201.6" outlineLevel="1">
      <c r="B68" s="254" t="s">
        <v>673</v>
      </c>
      <c r="C68" s="254" t="s">
        <v>674</v>
      </c>
      <c r="D68" s="256">
        <f t="shared" si="12"/>
        <v>5</v>
      </c>
      <c r="E68" s="257">
        <f t="shared" si="12"/>
        <v>5</v>
      </c>
      <c r="F68" s="258">
        <f t="shared" si="12"/>
        <v>5</v>
      </c>
      <c r="G68" s="128"/>
      <c r="H68" s="128"/>
      <c r="I68" s="128"/>
      <c r="J68" s="259"/>
      <c r="K68" s="260">
        <f t="shared" si="13"/>
        <v>5</v>
      </c>
      <c r="L68" s="128">
        <f t="shared" si="14"/>
        <v>0</v>
      </c>
      <c r="M68">
        <f t="shared" si="9"/>
        <v>-5</v>
      </c>
      <c r="N68" s="187" t="s">
        <v>331</v>
      </c>
      <c r="O68" s="349"/>
      <c r="P68" s="262">
        <f t="shared" si="15"/>
        <v>0</v>
      </c>
      <c r="Q68" s="262">
        <f t="shared" si="16"/>
        <v>0</v>
      </c>
      <c r="R68" s="262">
        <f t="shared" si="11"/>
        <v>0</v>
      </c>
      <c r="S68" s="266" t="str">
        <f>IF(($L68-$F68)&gt;=0,"",
" - Определить  и привлечь  организацию для оценки уровня"&amp;" защищенности информационных систем ,имеющих соответствующие лицензии ФСТЭК и ФСБ (https://reestr.fstec.ru/reg1).
  - Сформировать техническое задание на выполнение работ по оценке уровня защищенности."&amp;"
 - Получить отчетные документы в бумажном и в электронном"&amp;" виде от лицензиата по результатам оценки уровня защищенности информационных систем. 
 -  На основании распоряжения Правительства"&amp;" РФ от 2 - 0 - 2022 N 1661-р (ред. от 0 - 0 - 2023) 'Об утверждении перечня ключевых органов (организаций), которым"&amp;" необходимо осуществить мероприятия по оценке уровня защищенности своих информационных систем с привлечением организаций, имеющих соответствующие лицензии ФСБ России и ФСТЭК Росси'  предоставить отчетные"&amp;" документы по оценке уровня защищенности информационных систем Правительству РФ, а также в адрес ФСТЭК и ФСБ России на основании соответствующего запроса.")</f>
        <v xml:space="preserve"> - Определить  и привлечь  организацию для оценки уровня защищенности информационных систем ,имеющих соответствующие лицензии ФСТЭК и ФСБ (https://reestr.fstec.ru/reg1).
  - Сформировать техническое задание на выполнение работ по оценке уровня защищенности.
 - Получить отчетные документы в бумажном и в электронном виде от лицензиата по результатам оценки уровня защищенности информационных систем. 
 -  На основании распоряжения Правительства РФ от 2 - 0 - 2022 N 1661-р (ред. от 0 - 0 - 2023) 'Об утверждении перечня ключевых органов (организаций), которым необходимо осуществить мероприятия по оценке уровня защищенности своих информационных систем с привлечением организаций, имеющих соответствующие лицензии ФСБ России и ФСТЭК Росси'  предоставить отчетные документы по оценке уровня защищенности информационных систем Правительству РФ, а также в адрес ФСТЭК и ФСБ России на основании соответствующего запроса.</v>
      </c>
      <c r="T68" s="657" t="s">
        <v>145</v>
      </c>
      <c r="U68" s="265"/>
      <c r="V68" s="265"/>
      <c r="W68" s="265"/>
      <c r="X68" s="265"/>
    </row>
    <row r="69" spans="2:24">
      <c r="B69" s="21" t="s">
        <v>675</v>
      </c>
      <c r="C69" s="21" t="s">
        <v>44</v>
      </c>
      <c r="D69" s="21"/>
      <c r="E69" s="21"/>
      <c r="F69" s="21"/>
      <c r="G69" s="328"/>
      <c r="H69" s="21"/>
      <c r="I69" s="21"/>
      <c r="J69" s="21"/>
      <c r="K69" s="21"/>
      <c r="L69" s="21"/>
      <c r="M69" s="21"/>
      <c r="N69" s="251"/>
      <c r="O69" s="251"/>
      <c r="P69" s="21"/>
      <c r="Q69" s="21"/>
      <c r="R69" s="21"/>
      <c r="S69" s="21"/>
      <c r="T69" s="21"/>
      <c r="U69" s="21"/>
      <c r="V69" s="21"/>
      <c r="W69" s="21"/>
      <c r="X69" s="21"/>
    </row>
    <row r="70" spans="2:24" ht="31.2" outlineLevel="1">
      <c r="B70" s="254" t="s">
        <v>676</v>
      </c>
      <c r="C70" s="254" t="s">
        <v>677</v>
      </c>
      <c r="D70" s="256">
        <f t="shared" ref="D70:F80" si="17">5*IF(КИИ="да",1,0)</f>
        <v>5</v>
      </c>
      <c r="E70" s="257">
        <f t="shared" si="17"/>
        <v>5</v>
      </c>
      <c r="F70" s="258">
        <f t="shared" si="17"/>
        <v>5</v>
      </c>
      <c r="G70" s="128"/>
      <c r="H70" s="128"/>
      <c r="I70" s="128"/>
      <c r="J70" s="259"/>
      <c r="K70" s="260">
        <f t="shared" ref="K70:K80" si="18">IF(ЦУКБ="КБ 1",F70, IF(ЦУКБ="КБ 2",E70,D70))</f>
        <v>5</v>
      </c>
      <c r="L70" s="128">
        <f t="shared" ref="L70:L80" si="19">VALUE(LEFT(N70,3))</f>
        <v>0</v>
      </c>
      <c r="M70">
        <f t="shared" si="9"/>
        <v>-5</v>
      </c>
      <c r="N70" s="187" t="s">
        <v>331</v>
      </c>
      <c r="O70" s="349"/>
      <c r="P70" s="262">
        <f t="shared" si="15"/>
        <v>0</v>
      </c>
      <c r="Q70" s="262">
        <f t="shared" ref="Q70:Q80" si="20">IFERROR(IF($L70&gt;=E70,1,$L70/E70),0)</f>
        <v>0</v>
      </c>
      <c r="R70" s="262">
        <f t="shared" si="11"/>
        <v>0</v>
      </c>
      <c r="S70" s="266" t="str">
        <f>IF(($L70-$F70)&gt;=0,"",
" - Провести инвентаризацию используемых средств защиты информации и выявить все средства из недружественных государств")</f>
        <v xml:space="preserve"> - Провести инвентаризацию используемых средств защиты информации и выявить все средства из недружественных государств</v>
      </c>
      <c r="T70" s="657" t="s">
        <v>146</v>
      </c>
      <c r="U70" s="265"/>
      <c r="V70" s="265"/>
      <c r="W70" s="265"/>
      <c r="X70" s="265"/>
    </row>
    <row r="71" spans="2:24" ht="43.2" outlineLevel="1">
      <c r="B71" s="254" t="s">
        <v>678</v>
      </c>
      <c r="C71" s="254" t="s">
        <v>679</v>
      </c>
      <c r="D71" s="256">
        <f t="shared" si="17"/>
        <v>5</v>
      </c>
      <c r="E71" s="257">
        <f t="shared" si="17"/>
        <v>5</v>
      </c>
      <c r="F71" s="258">
        <f t="shared" si="17"/>
        <v>5</v>
      </c>
      <c r="G71" s="128"/>
      <c r="H71" s="128"/>
      <c r="I71" s="128"/>
      <c r="J71" s="259"/>
      <c r="K71" s="260">
        <f t="shared" si="18"/>
        <v>5</v>
      </c>
      <c r="L71" s="128">
        <f t="shared" si="19"/>
        <v>0</v>
      </c>
      <c r="M71">
        <f t="shared" si="9"/>
        <v>-5</v>
      </c>
      <c r="N71" s="187" t="s">
        <v>331</v>
      </c>
      <c r="O71" s="349"/>
      <c r="P71" s="262">
        <f t="shared" si="15"/>
        <v>0</v>
      </c>
      <c r="Q71" s="262">
        <f t="shared" si="20"/>
        <v>0</v>
      </c>
      <c r="R71" s="262">
        <f t="shared" si="11"/>
        <v>0</v>
      </c>
      <c r="S71" s="266" t="str">
        <f>IF(($L71-$F71)&gt;=0,"",
" - Провести  оценку возможности перехода с используемых средств защиты информации из недружественных государств  на иные решения (отечественные, open source или из дружественных государств).")</f>
        <v xml:space="preserve"> - Провести  оценку возможности перехода с используемых средств защиты информации из недружественных государств  на иные решения (отечественные, open source или из дружественных государств).</v>
      </c>
      <c r="T71" s="657" t="s">
        <v>147</v>
      </c>
      <c r="U71" s="265"/>
      <c r="V71" s="265"/>
      <c r="W71" s="265"/>
      <c r="X71" s="265"/>
    </row>
    <row r="72" spans="2:24" ht="28.8" outlineLevel="1">
      <c r="B72" s="254" t="s">
        <v>680</v>
      </c>
      <c r="C72" s="254" t="s">
        <v>681</v>
      </c>
      <c r="D72" s="256">
        <f t="shared" si="17"/>
        <v>5</v>
      </c>
      <c r="E72" s="257">
        <f t="shared" si="17"/>
        <v>5</v>
      </c>
      <c r="F72" s="258">
        <f t="shared" si="17"/>
        <v>5</v>
      </c>
      <c r="G72" s="128"/>
      <c r="H72" s="128"/>
      <c r="I72" s="128"/>
      <c r="J72" s="259"/>
      <c r="K72" s="260">
        <f t="shared" si="18"/>
        <v>5</v>
      </c>
      <c r="L72" s="128">
        <f t="shared" si="19"/>
        <v>0</v>
      </c>
      <c r="M72">
        <f t="shared" si="9"/>
        <v>-5</v>
      </c>
      <c r="N72" s="187" t="s">
        <v>331</v>
      </c>
      <c r="O72" s="349"/>
      <c r="P72" s="262">
        <f t="shared" si="15"/>
        <v>0</v>
      </c>
      <c r="Q72" s="262">
        <f t="shared" si="20"/>
        <v>0</v>
      </c>
      <c r="R72" s="262">
        <f t="shared" si="11"/>
        <v>0</v>
      </c>
      <c r="S72" s="266" t="str">
        <f>IF(($L72-$F72)&gt;=0,"",
" - Подготовить план перехода со средств защиты информации  из недружественных государств.")</f>
        <v xml:space="preserve"> - Подготовить план перехода со средств защиты информации  из недружественных государств.</v>
      </c>
      <c r="T72" s="657" t="s">
        <v>148</v>
      </c>
      <c r="U72" s="265"/>
      <c r="V72" s="265"/>
      <c r="W72" s="265"/>
      <c r="X72" s="265"/>
    </row>
    <row r="73" spans="2:24" ht="39" customHeight="1" outlineLevel="1">
      <c r="B73" s="254" t="s">
        <v>682</v>
      </c>
      <c r="C73" s="254" t="s">
        <v>683</v>
      </c>
      <c r="D73" s="256">
        <f t="shared" si="17"/>
        <v>5</v>
      </c>
      <c r="E73" s="257">
        <f t="shared" si="17"/>
        <v>5</v>
      </c>
      <c r="F73" s="258">
        <f t="shared" si="17"/>
        <v>5</v>
      </c>
      <c r="G73" s="128"/>
      <c r="H73" s="128"/>
      <c r="I73" s="128"/>
      <c r="J73" s="259"/>
      <c r="K73" s="260">
        <f t="shared" si="18"/>
        <v>5</v>
      </c>
      <c r="L73" s="128">
        <f t="shared" si="19"/>
        <v>0</v>
      </c>
      <c r="M73">
        <f t="shared" si="9"/>
        <v>-5</v>
      </c>
      <c r="N73" s="187" t="s">
        <v>331</v>
      </c>
      <c r="O73" s="349"/>
      <c r="P73" s="262">
        <f t="shared" si="15"/>
        <v>0</v>
      </c>
      <c r="Q73" s="262">
        <f t="shared" si="20"/>
        <v>0</v>
      </c>
      <c r="R73" s="262">
        <f t="shared" si="11"/>
        <v>0</v>
      </c>
      <c r="S73" s="266" t="str">
        <f>IF(($L73-$F73)&gt;=0,"",
" - Осуществить пилотирование решений, выбранных для замены средствам защиты информации  из недружественных государств")</f>
        <v xml:space="preserve"> - Осуществить пилотирование решений, выбранных для замены средствам защиты информации  из недружественных государств</v>
      </c>
      <c r="T73" s="657" t="s">
        <v>149</v>
      </c>
      <c r="U73" s="265"/>
      <c r="V73" s="265"/>
      <c r="W73" s="265"/>
      <c r="X73" s="265"/>
    </row>
    <row r="74" spans="2:24" ht="31.2" outlineLevel="1">
      <c r="B74" s="254" t="s">
        <v>684</v>
      </c>
      <c r="C74" s="254" t="s">
        <v>685</v>
      </c>
      <c r="D74" s="256">
        <f t="shared" si="17"/>
        <v>5</v>
      </c>
      <c r="E74" s="257">
        <f t="shared" si="17"/>
        <v>5</v>
      </c>
      <c r="F74" s="258">
        <f t="shared" si="17"/>
        <v>5</v>
      </c>
      <c r="G74" s="128"/>
      <c r="H74" s="128"/>
      <c r="I74" s="128"/>
      <c r="J74" s="259"/>
      <c r="K74" s="260">
        <f t="shared" si="18"/>
        <v>5</v>
      </c>
      <c r="L74" s="128">
        <f t="shared" si="19"/>
        <v>0</v>
      </c>
      <c r="M74">
        <f t="shared" si="9"/>
        <v>-5</v>
      </c>
      <c r="N74" s="187" t="s">
        <v>331</v>
      </c>
      <c r="O74" s="349"/>
      <c r="P74" s="262">
        <f t="shared" si="15"/>
        <v>0</v>
      </c>
      <c r="Q74" s="262">
        <f t="shared" si="20"/>
        <v>0</v>
      </c>
      <c r="R74" s="262">
        <f t="shared" si="11"/>
        <v>0</v>
      </c>
      <c r="S74" s="266" t="str">
        <f>IF(($L74-$F74)&gt;=0,"",
" - Внедрить выбранные средства защиты информации.")</f>
        <v xml:space="preserve"> - Внедрить выбранные средства защиты информации.</v>
      </c>
      <c r="T74" s="657" t="s">
        <v>150</v>
      </c>
      <c r="U74" s="265"/>
      <c r="V74" s="265"/>
      <c r="W74" s="265"/>
      <c r="X74" s="265"/>
    </row>
    <row r="75" spans="2:24">
      <c r="B75" s="21" t="s">
        <v>592</v>
      </c>
      <c r="C75" s="249" t="s">
        <v>645</v>
      </c>
      <c r="D75" s="21"/>
      <c r="E75" s="21"/>
      <c r="F75" s="21"/>
      <c r="G75" s="328"/>
      <c r="H75" s="21"/>
      <c r="I75" s="21"/>
      <c r="J75" s="21"/>
      <c r="K75" s="21"/>
      <c r="L75" s="21"/>
      <c r="M75" s="21"/>
      <c r="N75" s="251"/>
      <c r="O75" s="251"/>
      <c r="P75" s="21"/>
      <c r="Q75" s="21"/>
      <c r="R75" s="21"/>
      <c r="S75" s="21"/>
      <c r="T75" s="21"/>
      <c r="U75" s="21"/>
      <c r="V75" s="21"/>
      <c r="W75" s="21"/>
      <c r="X75" s="21"/>
    </row>
    <row r="76" spans="2:24" ht="187.2" outlineLevel="1">
      <c r="B76" s="254" t="s">
        <v>686</v>
      </c>
      <c r="C76" s="254" t="s">
        <v>687</v>
      </c>
      <c r="D76" s="256">
        <f t="shared" si="17"/>
        <v>5</v>
      </c>
      <c r="E76" s="257">
        <f t="shared" si="17"/>
        <v>5</v>
      </c>
      <c r="F76" s="258">
        <f t="shared" si="17"/>
        <v>5</v>
      </c>
      <c r="G76" s="128"/>
      <c r="H76" s="128"/>
      <c r="I76" s="128"/>
      <c r="J76" s="259"/>
      <c r="K76" s="260">
        <f t="shared" si="18"/>
        <v>5</v>
      </c>
      <c r="L76" s="128">
        <f t="shared" si="19"/>
        <v>0</v>
      </c>
      <c r="M76">
        <f t="shared" si="9"/>
        <v>-5</v>
      </c>
      <c r="N76" s="187" t="s">
        <v>331</v>
      </c>
      <c r="O76" s="349"/>
      <c r="P76" s="262">
        <f t="shared" si="15"/>
        <v>0</v>
      </c>
      <c r="Q76" s="262">
        <f t="shared" si="20"/>
        <v>0</v>
      </c>
      <c r="R76" s="262">
        <f t="shared" si="11"/>
        <v>0</v>
      </c>
      <c r="S76" s="266" t="str">
        <f>IF(($L76-$F76)&gt;=0,"",
" -  Подписать Соглашение о взаимодействии Публичного акционерного общества Ростелеком и ДЗО в области обнаружения, предупреждения и ликвидации последствий компьютерных атак ;"&amp;"
 -  Разработать и утверждить ОРД и ВНД, регламентирующие взаимодействие с  Корпоративным центром ГосСОПКА"&amp;" (на базе SOC Департамент мониторинга и реагирования на компьютерные инциденты КЦ ПАО 'Ростелеком; далее - КЦ ГосСОПКА):
- утвердить регламент информирования ФСБ России (НКЦКИ) о компьютерных инцидентах;"&amp;"
- Утвердить перечень информации о компьютерных инцидентах, связанных с функционированием объектов КИИ;"&amp;"
- Разработать и утвердить правила и процедуры реагирования на компьютерные инциденты.")</f>
        <v xml:space="preserve"> -  Подписать Соглашение о взаимодействии Публичного акционерного общества Ростелеком и ДЗО в области обнаружения, предупреждения и ликвидации последствий компьютерных атак ;
 -  Разработать и утверждить ОРД и ВНД, регламентирующие взаимодействие с  Корпоративным центром ГосСОПКА (на базе SOC Департамент мониторинга и реагирования на компьютерные инциденты КЦ ПАО 'Ростелеком; далее - КЦ ГосСОПКА):
- утвердить регламент информирования ФСБ России (НКЦКИ) о компьютерных инцидентах;
- Утвердить перечень информации о компьютерных инцидентах, связанных с функционированием объектов КИИ;
- Разработать и утвердить правила и процедуры реагирования на компьютерные инциденты.</v>
      </c>
      <c r="T76" s="657" t="s">
        <v>151</v>
      </c>
      <c r="U76" s="265"/>
      <c r="V76" s="265"/>
      <c r="W76" s="265"/>
      <c r="X76" s="265"/>
    </row>
    <row r="77" spans="2:24" ht="43.2" outlineLevel="1">
      <c r="B77" s="366" t="s">
        <v>688</v>
      </c>
      <c r="C77" s="254" t="s">
        <v>689</v>
      </c>
      <c r="D77" s="256">
        <f t="shared" si="17"/>
        <v>5</v>
      </c>
      <c r="E77" s="257">
        <f t="shared" si="17"/>
        <v>5</v>
      </c>
      <c r="F77" s="258">
        <f t="shared" si="17"/>
        <v>5</v>
      </c>
      <c r="G77" s="128"/>
      <c r="H77" s="128"/>
      <c r="I77" s="128"/>
      <c r="J77" s="259"/>
      <c r="K77" s="260">
        <f t="shared" si="18"/>
        <v>5</v>
      </c>
      <c r="L77" s="128">
        <f t="shared" si="19"/>
        <v>0</v>
      </c>
      <c r="M77">
        <f t="shared" si="9"/>
        <v>-5</v>
      </c>
      <c r="N77" s="187" t="s">
        <v>331</v>
      </c>
      <c r="O77" s="349"/>
      <c r="P77" s="262">
        <f t="shared" si="15"/>
        <v>0</v>
      </c>
      <c r="Q77" s="262">
        <f t="shared" si="20"/>
        <v>0</v>
      </c>
      <c r="R77" s="262">
        <f t="shared" si="11"/>
        <v>0</v>
      </c>
      <c r="S77" s="266" t="str">
        <f>IF(($L77-$F77)&gt;=0,"",
" - Выполнить подключение ЗОКИИ к КЦ ГосСОПКА
 - Организовать двустороннее взаимодействие с КЦ ГосСОПКА по мониторингу защищенности  ЗОКИИ, принадлежащих Обществу  или используемых ею")</f>
        <v xml:space="preserve"> - Выполнить подключение ЗОКИИ к КЦ ГосСОПКА
 - Организовать двустороннее взаимодействие с КЦ ГосСОПКА по мониторингу защищенности  ЗОКИИ, принадлежащих Обществу  или используемых ею</v>
      </c>
      <c r="T77" s="657" t="s">
        <v>152</v>
      </c>
      <c r="U77" s="265"/>
      <c r="V77" s="265"/>
      <c r="W77" s="265"/>
      <c r="X77" s="265"/>
    </row>
    <row r="78" spans="2:24" ht="46.8" outlineLevel="1">
      <c r="B78" s="366" t="s">
        <v>690</v>
      </c>
      <c r="C78" s="254" t="s">
        <v>691</v>
      </c>
      <c r="D78" s="256">
        <f t="shared" si="17"/>
        <v>5</v>
      </c>
      <c r="E78" s="257">
        <f t="shared" si="17"/>
        <v>5</v>
      </c>
      <c r="F78" s="258">
        <f t="shared" si="17"/>
        <v>5</v>
      </c>
      <c r="G78" s="128"/>
      <c r="H78" s="128"/>
      <c r="I78" s="128"/>
      <c r="J78" s="259"/>
      <c r="K78" s="260">
        <f t="shared" si="18"/>
        <v>5</v>
      </c>
      <c r="L78" s="128">
        <f t="shared" si="19"/>
        <v>0</v>
      </c>
      <c r="M78">
        <f t="shared" si="9"/>
        <v>-5</v>
      </c>
      <c r="N78" s="187" t="s">
        <v>331</v>
      </c>
      <c r="O78" s="349"/>
      <c r="P78" s="262">
        <f t="shared" si="15"/>
        <v>0</v>
      </c>
      <c r="Q78" s="262">
        <f t="shared" si="20"/>
        <v>0</v>
      </c>
      <c r="R78" s="262">
        <f t="shared" si="11"/>
        <v>0</v>
      </c>
      <c r="S78" s="266" t="str">
        <f>IF(($L78-$F78)&gt;=0,"",
" - Запросить информацию у КЦ ГосСОПКА по поводу организации взаимодействия с должностными лицами ФСБ России и ее территориальных органов по результатам мониторинга защищенности информационных ресурсов Общества.")</f>
        <v xml:space="preserve"> - Запросить информацию у КЦ ГосСОПКА по поводу организации взаимодействия с должностными лицами ФСБ России и ее территориальных органов по результатам мониторинга защищенности информационных ресурсов Общества.</v>
      </c>
      <c r="T78" s="657" t="s">
        <v>153</v>
      </c>
      <c r="U78" s="265"/>
      <c r="V78" s="265"/>
      <c r="W78" s="265"/>
      <c r="X78" s="265"/>
    </row>
    <row r="79" spans="2:24" ht="72" outlineLevel="1">
      <c r="B79" s="366" t="s">
        <v>692</v>
      </c>
      <c r="C79" s="254" t="s">
        <v>693</v>
      </c>
      <c r="D79" s="256">
        <f t="shared" si="17"/>
        <v>5</v>
      </c>
      <c r="E79" s="257">
        <f t="shared" si="17"/>
        <v>5</v>
      </c>
      <c r="F79" s="258">
        <f t="shared" si="17"/>
        <v>5</v>
      </c>
      <c r="G79" s="128"/>
      <c r="H79" s="128"/>
      <c r="I79" s="128"/>
      <c r="J79" s="259"/>
      <c r="K79" s="260">
        <f t="shared" si="18"/>
        <v>5</v>
      </c>
      <c r="L79" s="128">
        <f t="shared" si="19"/>
        <v>0</v>
      </c>
      <c r="M79">
        <f t="shared" si="9"/>
        <v>-5</v>
      </c>
      <c r="N79" s="187" t="s">
        <v>331</v>
      </c>
      <c r="O79" s="349"/>
      <c r="P79" s="262">
        <f t="shared" si="15"/>
        <v>0</v>
      </c>
      <c r="Q79" s="262">
        <f t="shared" si="20"/>
        <v>0</v>
      </c>
      <c r="R79" s="262">
        <f t="shared" si="11"/>
        <v>0</v>
      </c>
      <c r="S79" s="266" t="str">
        <f>IF(($L79-$F79)&gt;=0,"",
" - Запросить информацию у КЦ ГосСОПКА по поводу соглашения с НКЦКИ"&amp;"
 - Разработать и утвердить план реагирования на компьютерные инциденты и принятия мер по ликвидации последствий компьютерных атак самостоятельно или совместно с НКЦКИ.
 - Направить План на согласование в НКЦКИ")</f>
        <v xml:space="preserve"> - Запросить информацию у КЦ ГосСОПКА по поводу соглашения с НКЦКИ
 - Разработать и утвердить план реагирования на компьютерные инциденты и принятия мер по ликвидации последствий компьютерных атак самостоятельно или совместно с НКЦКИ.
 - Направить План на согласование в НКЦКИ</v>
      </c>
      <c r="T79" s="657" t="s">
        <v>154</v>
      </c>
      <c r="U79" s="265"/>
      <c r="V79" s="265"/>
      <c r="W79" s="265"/>
      <c r="X79" s="265"/>
    </row>
    <row r="80" spans="2:24" ht="57.6" outlineLevel="1">
      <c r="B80" s="366" t="s">
        <v>694</v>
      </c>
      <c r="C80" s="254" t="s">
        <v>695</v>
      </c>
      <c r="D80" s="256">
        <f t="shared" si="17"/>
        <v>5</v>
      </c>
      <c r="E80" s="257">
        <f t="shared" si="17"/>
        <v>5</v>
      </c>
      <c r="F80" s="258">
        <f t="shared" si="17"/>
        <v>5</v>
      </c>
      <c r="G80" s="128"/>
      <c r="H80" s="128"/>
      <c r="I80" s="128"/>
      <c r="J80" s="259"/>
      <c r="K80" s="260">
        <f t="shared" si="18"/>
        <v>5</v>
      </c>
      <c r="L80" s="128">
        <f t="shared" si="19"/>
        <v>0</v>
      </c>
      <c r="M80">
        <f t="shared" si="9"/>
        <v>-5</v>
      </c>
      <c r="N80" s="187" t="s">
        <v>331</v>
      </c>
      <c r="O80" s="349"/>
      <c r="P80" s="262">
        <f t="shared" si="15"/>
        <v>0</v>
      </c>
      <c r="Q80" s="262">
        <f t="shared" si="20"/>
        <v>0</v>
      </c>
      <c r="R80" s="262">
        <f t="shared" si="11"/>
        <v>0</v>
      </c>
      <c r="S80" s="266" t="str">
        <f>IF(($L80-$F80)&gt;=0,"",
" - Запросить информацию у КЦ ГосСОПКА по поводу организации взаимодействия с НКЦКИ
 - Уведомить НКЦКИ о передаче информации по компьютерным инцидентам через  КЦ ГосСОПКА")</f>
        <v xml:space="preserve"> - Запросить информацию у КЦ ГосСОПКА по поводу организации взаимодействия с НКЦКИ
 - Уведомить НКЦКИ о передаче информации по компьютерным инцидентам через  КЦ ГосСОПКА</v>
      </c>
      <c r="T80" s="657" t="s">
        <v>155</v>
      </c>
      <c r="U80" s="265"/>
      <c r="V80" s="265"/>
      <c r="W80" s="265"/>
      <c r="X80" s="265"/>
    </row>
    <row r="81" spans="14:18">
      <c r="N81" s="190"/>
      <c r="O81" s="349"/>
      <c r="P81"/>
      <c r="Q81"/>
      <c r="R81"/>
    </row>
    <row r="82" spans="14:18">
      <c r="N82" s="190"/>
      <c r="O82" s="349"/>
      <c r="P82"/>
      <c r="Q82"/>
      <c r="R82"/>
    </row>
    <row r="83" spans="14:18">
      <c r="N83" s="190"/>
      <c r="O83" s="349"/>
      <c r="P83"/>
      <c r="Q83"/>
      <c r="R83"/>
    </row>
    <row r="84" spans="14:18">
      <c r="N84" s="190"/>
      <c r="O84" s="349"/>
      <c r="P84"/>
      <c r="Q84"/>
      <c r="R84"/>
    </row>
    <row r="85" spans="14:18">
      <c r="N85" s="190"/>
      <c r="O85" s="349"/>
      <c r="P85"/>
      <c r="Q85"/>
      <c r="R85"/>
    </row>
    <row r="86" spans="14:18">
      <c r="N86" s="190"/>
      <c r="O86" s="349"/>
      <c r="P86"/>
      <c r="Q86"/>
      <c r="R86"/>
    </row>
    <row r="87" spans="14:18">
      <c r="N87" s="190"/>
      <c r="O87" s="349"/>
      <c r="P87"/>
      <c r="Q87"/>
      <c r="R87"/>
    </row>
    <row r="88" spans="14:18">
      <c r="N88" s="190"/>
      <c r="O88" s="349"/>
      <c r="P88"/>
      <c r="Q88"/>
      <c r="R88"/>
    </row>
    <row r="89" spans="14:18">
      <c r="N89" s="190"/>
      <c r="O89" s="349"/>
      <c r="P89"/>
      <c r="Q89"/>
      <c r="R89"/>
    </row>
    <row r="90" spans="14:18">
      <c r="N90" s="190"/>
      <c r="O90" s="349"/>
      <c r="P90"/>
      <c r="Q90"/>
      <c r="R90"/>
    </row>
    <row r="91" spans="14:18">
      <c r="N91" s="190"/>
      <c r="O91" s="349"/>
      <c r="P91"/>
      <c r="Q91"/>
      <c r="R91"/>
    </row>
    <row r="92" spans="14:18">
      <c r="N92" s="190"/>
      <c r="O92" s="349"/>
      <c r="P92"/>
      <c r="Q92"/>
      <c r="R92"/>
    </row>
    <row r="93" spans="14:18">
      <c r="N93" s="190"/>
      <c r="O93" s="349"/>
      <c r="P93"/>
      <c r="Q93"/>
      <c r="R93"/>
    </row>
    <row r="94" spans="14:18">
      <c r="N94" s="190"/>
      <c r="O94" s="349"/>
      <c r="P94"/>
      <c r="Q94"/>
      <c r="R94"/>
    </row>
    <row r="95" spans="14:18">
      <c r="N95" s="190"/>
      <c r="O95" s="349"/>
      <c r="P95"/>
      <c r="Q95"/>
      <c r="R95"/>
    </row>
    <row r="96" spans="14:18">
      <c r="N96" s="190"/>
      <c r="O96" s="349"/>
      <c r="P96"/>
      <c r="Q96"/>
      <c r="R96"/>
    </row>
    <row r="97" spans="14:18">
      <c r="N97" s="190"/>
      <c r="O97" s="349"/>
      <c r="P97"/>
      <c r="Q97"/>
      <c r="R97"/>
    </row>
    <row r="98" spans="14:18">
      <c r="N98" s="190"/>
      <c r="O98" s="349"/>
      <c r="P98"/>
      <c r="Q98"/>
      <c r="R98"/>
    </row>
    <row r="99" spans="14:18">
      <c r="N99" s="190"/>
      <c r="O99" s="349"/>
      <c r="P99"/>
      <c r="Q99"/>
      <c r="R99"/>
    </row>
    <row r="100" spans="14:18">
      <c r="N100" s="190"/>
      <c r="O100" s="349"/>
      <c r="P100"/>
      <c r="Q100"/>
      <c r="R100"/>
    </row>
    <row r="101" spans="14:18">
      <c r="N101" s="190"/>
      <c r="O101" s="349"/>
      <c r="P101"/>
      <c r="Q101"/>
      <c r="R101"/>
    </row>
    <row r="102" spans="14:18">
      <c r="N102" s="190"/>
      <c r="O102" s="349"/>
      <c r="P102"/>
      <c r="Q102"/>
      <c r="R102"/>
    </row>
    <row r="103" spans="14:18">
      <c r="N103" s="190"/>
      <c r="O103" s="349"/>
      <c r="P103"/>
      <c r="Q103"/>
      <c r="R103"/>
    </row>
    <row r="104" spans="14:18">
      <c r="N104" s="190"/>
      <c r="O104" s="349"/>
      <c r="P104"/>
      <c r="Q104"/>
      <c r="R104"/>
    </row>
    <row r="105" spans="14:18">
      <c r="N105" s="190"/>
      <c r="O105" s="349"/>
      <c r="P105"/>
      <c r="Q105"/>
      <c r="R105"/>
    </row>
    <row r="106" spans="14:18">
      <c r="N106" s="190"/>
      <c r="O106" s="349"/>
      <c r="P106"/>
      <c r="Q106"/>
      <c r="R106"/>
    </row>
    <row r="107" spans="14:18">
      <c r="N107" s="190"/>
      <c r="O107" s="349"/>
      <c r="P107"/>
      <c r="Q107"/>
      <c r="R107"/>
    </row>
    <row r="108" spans="14:18">
      <c r="N108" s="190"/>
      <c r="O108" s="349"/>
      <c r="P108"/>
      <c r="Q108"/>
      <c r="R108"/>
    </row>
    <row r="109" spans="14:18">
      <c r="N109" s="190"/>
      <c r="O109" s="349"/>
      <c r="P109"/>
      <c r="Q109"/>
      <c r="R109"/>
    </row>
    <row r="110" spans="14:18">
      <c r="N110" s="190"/>
      <c r="O110" s="349"/>
      <c r="P110"/>
      <c r="Q110"/>
      <c r="R110"/>
    </row>
    <row r="111" spans="14:18">
      <c r="N111" s="190"/>
      <c r="O111" s="349"/>
      <c r="P111"/>
      <c r="Q111"/>
      <c r="R111"/>
    </row>
    <row r="112" spans="14:18">
      <c r="N112" s="190"/>
      <c r="O112" s="349"/>
      <c r="P112"/>
      <c r="Q112"/>
      <c r="R112"/>
    </row>
    <row r="113" spans="14:18">
      <c r="N113" s="190"/>
      <c r="O113" s="349"/>
      <c r="P113"/>
      <c r="Q113"/>
      <c r="R113"/>
    </row>
    <row r="114" spans="14:18">
      <c r="N114" s="190"/>
      <c r="O114" s="349"/>
      <c r="P114"/>
      <c r="Q114"/>
      <c r="R114"/>
    </row>
    <row r="115" spans="14:18">
      <c r="N115" s="190"/>
      <c r="O115" s="349"/>
      <c r="P115"/>
      <c r="Q115"/>
      <c r="R115"/>
    </row>
    <row r="116" spans="14:18">
      <c r="N116" s="190"/>
      <c r="O116" s="349"/>
      <c r="P116"/>
      <c r="Q116"/>
      <c r="R116"/>
    </row>
    <row r="117" spans="14:18">
      <c r="N117" s="190"/>
      <c r="O117" s="349"/>
      <c r="P117"/>
      <c r="Q117"/>
      <c r="R117"/>
    </row>
    <row r="118" spans="14:18">
      <c r="N118" s="190"/>
      <c r="O118" s="349"/>
      <c r="P118"/>
      <c r="Q118"/>
      <c r="R118"/>
    </row>
    <row r="119" spans="14:18">
      <c r="N119" s="190"/>
      <c r="O119" s="349"/>
      <c r="P119"/>
      <c r="Q119"/>
      <c r="R119"/>
    </row>
    <row r="120" spans="14:18">
      <c r="N120" s="190"/>
      <c r="O120" s="349"/>
      <c r="P120"/>
      <c r="Q120"/>
      <c r="R120"/>
    </row>
    <row r="121" spans="14:18">
      <c r="N121" s="190"/>
      <c r="O121" s="349"/>
      <c r="P121"/>
      <c r="Q121"/>
      <c r="R121"/>
    </row>
    <row r="122" spans="14:18">
      <c r="N122" s="190"/>
      <c r="O122" s="349"/>
      <c r="P122"/>
      <c r="Q122"/>
      <c r="R122"/>
    </row>
    <row r="123" spans="14:18">
      <c r="N123" s="190"/>
      <c r="O123" s="349"/>
      <c r="P123"/>
      <c r="Q123"/>
      <c r="R123"/>
    </row>
    <row r="124" spans="14:18">
      <c r="N124" s="190"/>
      <c r="O124" s="349"/>
      <c r="P124"/>
      <c r="Q124"/>
      <c r="R124"/>
    </row>
    <row r="125" spans="14:18">
      <c r="N125" s="190"/>
      <c r="O125" s="349"/>
      <c r="P125"/>
      <c r="Q125"/>
      <c r="R125"/>
    </row>
    <row r="126" spans="14:18">
      <c r="N126" s="190"/>
      <c r="O126" s="349"/>
      <c r="P126"/>
      <c r="Q126"/>
      <c r="R126"/>
    </row>
    <row r="127" spans="14:18">
      <c r="N127" s="190"/>
      <c r="O127" s="349"/>
      <c r="P127"/>
      <c r="Q127"/>
      <c r="R127"/>
    </row>
    <row r="128" spans="14:18">
      <c r="N128" s="190"/>
      <c r="O128" s="349"/>
      <c r="P128"/>
      <c r="Q128"/>
      <c r="R128"/>
    </row>
    <row r="129" spans="14:18">
      <c r="N129" s="190"/>
      <c r="O129" s="349"/>
      <c r="P129"/>
      <c r="Q129"/>
      <c r="R129"/>
    </row>
    <row r="130" spans="14:18">
      <c r="N130" s="190"/>
      <c r="O130" s="349"/>
      <c r="P130"/>
      <c r="Q130"/>
      <c r="R130"/>
    </row>
    <row r="131" spans="14:18">
      <c r="N131" s="190"/>
      <c r="O131" s="349"/>
      <c r="P131"/>
      <c r="Q131"/>
      <c r="R131"/>
    </row>
    <row r="132" spans="14:18">
      <c r="N132" s="190"/>
      <c r="O132" s="349"/>
      <c r="P132"/>
      <c r="Q132"/>
      <c r="R132"/>
    </row>
    <row r="133" spans="14:18">
      <c r="N133" s="190"/>
      <c r="O133" s="349"/>
      <c r="P133"/>
      <c r="Q133"/>
      <c r="R133"/>
    </row>
    <row r="134" spans="14:18">
      <c r="N134" s="190"/>
      <c r="O134" s="349"/>
      <c r="P134"/>
      <c r="Q134"/>
      <c r="R134"/>
    </row>
    <row r="135" spans="14:18">
      <c r="N135" s="190"/>
      <c r="O135" s="349"/>
      <c r="P135"/>
      <c r="Q135"/>
      <c r="R135"/>
    </row>
    <row r="136" spans="14:18">
      <c r="N136" s="190"/>
      <c r="O136" s="349"/>
      <c r="P136"/>
      <c r="Q136"/>
      <c r="R136"/>
    </row>
    <row r="137" spans="14:18">
      <c r="N137" s="190"/>
      <c r="O137" s="349"/>
      <c r="P137"/>
      <c r="Q137"/>
      <c r="R137"/>
    </row>
    <row r="138" spans="14:18">
      <c r="N138" s="190"/>
      <c r="O138" s="349"/>
      <c r="P138"/>
      <c r="Q138"/>
      <c r="R138"/>
    </row>
    <row r="139" spans="14:18">
      <c r="N139" s="190"/>
      <c r="O139" s="349"/>
      <c r="P139"/>
      <c r="Q139"/>
      <c r="R139"/>
    </row>
    <row r="140" spans="14:18">
      <c r="N140" s="190"/>
      <c r="O140" s="349"/>
      <c r="P140"/>
      <c r="Q140"/>
      <c r="R140"/>
    </row>
    <row r="141" spans="14:18">
      <c r="N141" s="190"/>
      <c r="O141" s="349"/>
      <c r="P141"/>
      <c r="Q141"/>
      <c r="R141"/>
    </row>
    <row r="142" spans="14:18">
      <c r="N142" s="190"/>
      <c r="O142" s="349"/>
      <c r="P142"/>
      <c r="Q142"/>
      <c r="R142"/>
    </row>
    <row r="143" spans="14:18">
      <c r="N143" s="190"/>
      <c r="O143" s="349"/>
      <c r="P143"/>
      <c r="Q143"/>
      <c r="R143"/>
    </row>
    <row r="144" spans="14:18">
      <c r="N144" s="190"/>
      <c r="O144" s="349"/>
      <c r="P144"/>
      <c r="Q144"/>
      <c r="R144"/>
    </row>
    <row r="145" spans="14:18">
      <c r="N145" s="190"/>
      <c r="O145" s="349"/>
      <c r="P145"/>
      <c r="Q145"/>
      <c r="R145"/>
    </row>
    <row r="146" spans="14:18">
      <c r="N146" s="190"/>
      <c r="O146" s="349"/>
      <c r="P146"/>
      <c r="Q146"/>
      <c r="R146"/>
    </row>
    <row r="147" spans="14:18">
      <c r="N147" s="190"/>
      <c r="O147" s="349"/>
      <c r="P147"/>
      <c r="Q147"/>
      <c r="R147"/>
    </row>
    <row r="148" spans="14:18">
      <c r="N148" s="190"/>
      <c r="O148" s="349"/>
      <c r="P148"/>
      <c r="Q148"/>
      <c r="R148"/>
    </row>
    <row r="149" spans="14:18">
      <c r="N149" s="190"/>
      <c r="O149" s="349"/>
      <c r="P149"/>
      <c r="Q149"/>
      <c r="R149"/>
    </row>
    <row r="150" spans="14:18">
      <c r="N150" s="190"/>
      <c r="O150" s="349"/>
      <c r="P150"/>
      <c r="Q150"/>
      <c r="R150"/>
    </row>
    <row r="151" spans="14:18">
      <c r="N151" s="190"/>
      <c r="O151" s="349"/>
      <c r="P151"/>
      <c r="Q151"/>
      <c r="R151"/>
    </row>
    <row r="152" spans="14:18">
      <c r="N152" s="190"/>
      <c r="O152" s="349"/>
      <c r="P152"/>
      <c r="Q152"/>
      <c r="R152"/>
    </row>
    <row r="153" spans="14:18">
      <c r="N153" s="190"/>
      <c r="O153" s="349"/>
      <c r="P153"/>
      <c r="Q153"/>
      <c r="R153"/>
    </row>
    <row r="154" spans="14:18">
      <c r="N154" s="190"/>
      <c r="O154" s="349"/>
      <c r="P154"/>
      <c r="Q154"/>
      <c r="R154"/>
    </row>
    <row r="155" spans="14:18">
      <c r="N155" s="190"/>
      <c r="O155" s="349"/>
      <c r="P155"/>
      <c r="Q155"/>
      <c r="R155"/>
    </row>
    <row r="156" spans="14:18">
      <c r="N156" s="190"/>
      <c r="O156" s="349"/>
      <c r="P156"/>
      <c r="Q156"/>
      <c r="R156"/>
    </row>
    <row r="157" spans="14:18">
      <c r="N157" s="190"/>
      <c r="O157" s="349"/>
      <c r="P157"/>
      <c r="Q157"/>
      <c r="R157"/>
    </row>
    <row r="158" spans="14:18">
      <c r="N158" s="190"/>
      <c r="O158" s="349"/>
      <c r="P158"/>
      <c r="Q158"/>
      <c r="R158"/>
    </row>
    <row r="159" spans="14:18">
      <c r="N159" s="190"/>
      <c r="O159" s="349"/>
      <c r="P159"/>
      <c r="Q159"/>
      <c r="R159"/>
    </row>
    <row r="160" spans="14:18">
      <c r="N160" s="190"/>
      <c r="O160" s="349"/>
      <c r="P160"/>
      <c r="Q160"/>
      <c r="R160"/>
    </row>
    <row r="161" spans="14:18">
      <c r="N161" s="190"/>
      <c r="O161" s="349"/>
      <c r="P161"/>
      <c r="Q161"/>
      <c r="R161"/>
    </row>
    <row r="162" spans="14:18">
      <c r="N162" s="190"/>
      <c r="O162" s="349"/>
      <c r="P162"/>
      <c r="Q162"/>
      <c r="R162"/>
    </row>
    <row r="163" spans="14:18">
      <c r="N163" s="190"/>
      <c r="O163" s="349"/>
      <c r="P163"/>
      <c r="Q163"/>
      <c r="R163"/>
    </row>
    <row r="164" spans="14:18">
      <c r="N164" s="190"/>
      <c r="O164" s="349"/>
      <c r="P164"/>
      <c r="Q164"/>
      <c r="R164"/>
    </row>
    <row r="165" spans="14:18">
      <c r="N165" s="190"/>
      <c r="O165" s="349"/>
      <c r="P165"/>
      <c r="Q165"/>
      <c r="R165"/>
    </row>
    <row r="166" spans="14:18">
      <c r="N166" s="190"/>
      <c r="O166" s="349"/>
      <c r="P166"/>
      <c r="Q166"/>
      <c r="R166"/>
    </row>
    <row r="167" spans="14:18">
      <c r="N167" s="190"/>
      <c r="O167" s="349"/>
      <c r="P167"/>
      <c r="Q167"/>
      <c r="R167"/>
    </row>
    <row r="168" spans="14:18">
      <c r="N168" s="190"/>
      <c r="O168" s="349"/>
      <c r="P168"/>
      <c r="Q168"/>
      <c r="R168"/>
    </row>
    <row r="169" spans="14:18">
      <c r="N169" s="190"/>
      <c r="O169" s="349"/>
      <c r="P169"/>
      <c r="Q169"/>
      <c r="R169"/>
    </row>
    <row r="170" spans="14:18">
      <c r="N170" s="190"/>
      <c r="O170" s="349"/>
      <c r="P170"/>
      <c r="Q170"/>
      <c r="R170"/>
    </row>
    <row r="171" spans="14:18">
      <c r="N171" s="190"/>
      <c r="O171" s="349"/>
      <c r="P171"/>
      <c r="Q171"/>
      <c r="R171"/>
    </row>
    <row r="172" spans="14:18">
      <c r="N172" s="190"/>
      <c r="O172" s="349"/>
      <c r="P172"/>
      <c r="Q172"/>
      <c r="R172"/>
    </row>
    <row r="173" spans="14:18">
      <c r="N173" s="190"/>
      <c r="O173" s="349"/>
      <c r="P173"/>
      <c r="Q173"/>
      <c r="R173"/>
    </row>
    <row r="174" spans="14:18">
      <c r="N174" s="190"/>
      <c r="O174" s="349"/>
      <c r="P174"/>
      <c r="Q174"/>
      <c r="R174"/>
    </row>
    <row r="175" spans="14:18">
      <c r="N175" s="190"/>
      <c r="O175" s="349"/>
      <c r="P175"/>
      <c r="Q175"/>
      <c r="R175"/>
    </row>
    <row r="176" spans="14:18">
      <c r="N176" s="190"/>
      <c r="O176" s="349"/>
      <c r="P176"/>
      <c r="Q176"/>
      <c r="R176"/>
    </row>
    <row r="177" spans="14:18">
      <c r="N177" s="190"/>
      <c r="O177" s="349"/>
      <c r="P177"/>
      <c r="Q177"/>
      <c r="R177"/>
    </row>
    <row r="178" spans="14:18">
      <c r="N178" s="190"/>
      <c r="O178" s="349"/>
      <c r="P178"/>
      <c r="Q178"/>
      <c r="R178"/>
    </row>
    <row r="179" spans="14:18">
      <c r="N179" s="190"/>
      <c r="O179" s="349"/>
      <c r="P179"/>
      <c r="Q179"/>
      <c r="R179"/>
    </row>
    <row r="180" spans="14:18">
      <c r="N180" s="190"/>
      <c r="O180" s="349"/>
      <c r="P180"/>
      <c r="Q180"/>
      <c r="R180"/>
    </row>
    <row r="181" spans="14:18">
      <c r="N181" s="190"/>
      <c r="O181" s="349"/>
      <c r="P181"/>
      <c r="Q181"/>
      <c r="R181"/>
    </row>
    <row r="182" spans="14:18">
      <c r="N182" s="190"/>
      <c r="O182" s="349"/>
      <c r="P182"/>
      <c r="Q182"/>
      <c r="R182"/>
    </row>
    <row r="183" spans="14:18">
      <c r="N183" s="190"/>
      <c r="O183" s="349"/>
      <c r="P183"/>
      <c r="Q183"/>
      <c r="R183"/>
    </row>
    <row r="184" spans="14:18">
      <c r="N184" s="190"/>
      <c r="O184" s="349"/>
      <c r="P184"/>
      <c r="Q184"/>
      <c r="R184"/>
    </row>
    <row r="185" spans="14:18">
      <c r="N185" s="190"/>
      <c r="O185" s="349"/>
      <c r="P185"/>
      <c r="Q185"/>
      <c r="R185"/>
    </row>
    <row r="186" spans="14:18">
      <c r="N186" s="190"/>
      <c r="O186" s="349"/>
      <c r="P186"/>
      <c r="Q186"/>
      <c r="R186"/>
    </row>
    <row r="187" spans="14:18">
      <c r="N187" s="190"/>
      <c r="O187" s="349"/>
      <c r="P187"/>
      <c r="Q187"/>
      <c r="R187"/>
    </row>
    <row r="188" spans="14:18">
      <c r="N188" s="190"/>
      <c r="O188" s="349"/>
      <c r="P188"/>
      <c r="Q188"/>
      <c r="R188"/>
    </row>
    <row r="189" spans="14:18">
      <c r="N189" s="190"/>
      <c r="O189" s="349"/>
      <c r="P189"/>
      <c r="Q189"/>
      <c r="R189"/>
    </row>
    <row r="190" spans="14:18">
      <c r="N190" s="190"/>
      <c r="O190" s="349"/>
      <c r="P190"/>
      <c r="Q190"/>
      <c r="R190"/>
    </row>
    <row r="191" spans="14:18">
      <c r="N191" s="190"/>
      <c r="O191" s="349"/>
      <c r="P191"/>
      <c r="Q191"/>
      <c r="R191"/>
    </row>
    <row r="192" spans="14:18">
      <c r="N192" s="190"/>
      <c r="O192" s="349"/>
      <c r="P192"/>
      <c r="Q192"/>
      <c r="R192"/>
    </row>
    <row r="193" spans="14:18">
      <c r="N193" s="190"/>
      <c r="O193" s="349"/>
      <c r="P193"/>
      <c r="Q193"/>
      <c r="R193"/>
    </row>
    <row r="194" spans="14:18">
      <c r="N194" s="190"/>
      <c r="O194" s="349"/>
      <c r="P194"/>
      <c r="Q194"/>
      <c r="R194"/>
    </row>
    <row r="195" spans="14:18">
      <c r="N195" s="190"/>
      <c r="O195" s="349"/>
      <c r="P195"/>
      <c r="Q195"/>
      <c r="R195"/>
    </row>
    <row r="196" spans="14:18">
      <c r="N196" s="190"/>
      <c r="O196" s="349"/>
      <c r="P196"/>
      <c r="Q196"/>
      <c r="R196"/>
    </row>
    <row r="197" spans="14:18">
      <c r="N197" s="190"/>
      <c r="O197" s="349"/>
      <c r="P197"/>
      <c r="Q197"/>
      <c r="R197"/>
    </row>
    <row r="198" spans="14:18">
      <c r="N198" s="190"/>
      <c r="O198" s="349"/>
      <c r="P198"/>
      <c r="Q198"/>
      <c r="R198"/>
    </row>
    <row r="199" spans="14:18">
      <c r="N199" s="190"/>
      <c r="O199" s="349"/>
      <c r="P199"/>
      <c r="Q199"/>
      <c r="R199"/>
    </row>
    <row r="200" spans="14:18">
      <c r="N200" s="190"/>
      <c r="O200" s="349"/>
      <c r="P200"/>
      <c r="Q200"/>
      <c r="R200"/>
    </row>
    <row r="201" spans="14:18">
      <c r="N201" s="190"/>
      <c r="O201" s="349"/>
      <c r="P201"/>
      <c r="Q201"/>
      <c r="R201"/>
    </row>
    <row r="202" spans="14:18">
      <c r="N202" s="190"/>
      <c r="O202" s="349"/>
      <c r="P202"/>
      <c r="Q202"/>
      <c r="R202"/>
    </row>
    <row r="203" spans="14:18">
      <c r="N203" s="190"/>
      <c r="O203" s="349"/>
      <c r="P203"/>
      <c r="Q203"/>
      <c r="R203"/>
    </row>
    <row r="204" spans="14:18">
      <c r="N204" s="190"/>
      <c r="O204" s="349"/>
      <c r="P204"/>
      <c r="Q204"/>
      <c r="R204"/>
    </row>
    <row r="205" spans="14:18">
      <c r="N205" s="190"/>
      <c r="O205" s="349"/>
      <c r="P205"/>
      <c r="Q205"/>
      <c r="R205"/>
    </row>
    <row r="206" spans="14:18">
      <c r="N206" s="190"/>
      <c r="O206" s="349"/>
      <c r="P206"/>
      <c r="Q206"/>
      <c r="R206"/>
    </row>
    <row r="207" spans="14:18">
      <c r="N207" s="190"/>
      <c r="O207" s="349"/>
      <c r="P207"/>
      <c r="Q207"/>
      <c r="R207"/>
    </row>
    <row r="208" spans="14:18">
      <c r="N208" s="190"/>
      <c r="O208" s="349"/>
      <c r="P208"/>
      <c r="Q208"/>
      <c r="R208"/>
    </row>
    <row r="209" spans="14:18">
      <c r="N209" s="190"/>
      <c r="O209" s="349"/>
      <c r="P209"/>
      <c r="Q209"/>
      <c r="R209"/>
    </row>
    <row r="210" spans="14:18">
      <c r="N210" s="190"/>
      <c r="O210" s="349"/>
      <c r="P210"/>
      <c r="Q210"/>
      <c r="R210"/>
    </row>
    <row r="211" spans="14:18">
      <c r="N211" s="190"/>
      <c r="O211" s="349"/>
      <c r="P211"/>
      <c r="Q211"/>
      <c r="R211"/>
    </row>
    <row r="212" spans="14:18">
      <c r="N212" s="190"/>
      <c r="O212" s="349"/>
      <c r="P212"/>
      <c r="Q212"/>
      <c r="R212"/>
    </row>
    <row r="213" spans="14:18">
      <c r="N213" s="190"/>
      <c r="O213" s="349"/>
      <c r="P213"/>
      <c r="Q213"/>
      <c r="R213"/>
    </row>
    <row r="214" spans="14:18">
      <c r="N214" s="190"/>
      <c r="O214" s="349"/>
      <c r="P214"/>
      <c r="Q214"/>
      <c r="R214"/>
    </row>
    <row r="215" spans="14:18">
      <c r="N215" s="190"/>
      <c r="O215" s="349"/>
      <c r="P215"/>
      <c r="Q215"/>
      <c r="R215"/>
    </row>
    <row r="216" spans="14:18">
      <c r="N216" s="190"/>
      <c r="O216" s="349"/>
      <c r="P216"/>
      <c r="Q216"/>
      <c r="R216"/>
    </row>
    <row r="217" spans="14:18">
      <c r="N217" s="190"/>
      <c r="O217" s="349"/>
      <c r="P217"/>
      <c r="Q217"/>
      <c r="R217"/>
    </row>
    <row r="218" spans="14:18">
      <c r="N218" s="190"/>
      <c r="O218" s="349"/>
      <c r="P218"/>
      <c r="Q218"/>
      <c r="R218"/>
    </row>
    <row r="219" spans="14:18">
      <c r="N219" s="190"/>
      <c r="O219" s="349"/>
      <c r="P219"/>
      <c r="Q219"/>
      <c r="R219"/>
    </row>
    <row r="220" spans="14:18">
      <c r="N220" s="190"/>
      <c r="O220" s="349"/>
      <c r="P220"/>
      <c r="Q220"/>
      <c r="R220"/>
    </row>
    <row r="221" spans="14:18">
      <c r="N221" s="190"/>
      <c r="O221" s="349"/>
      <c r="P221"/>
      <c r="Q221"/>
      <c r="R221"/>
    </row>
    <row r="222" spans="14:18">
      <c r="N222" s="190"/>
      <c r="O222" s="349"/>
      <c r="P222"/>
      <c r="Q222"/>
      <c r="R222"/>
    </row>
  </sheetData>
  <sheetProtection algorithmName="SHA-512" hashValue="ECguhmvMmGy/iEgkI9NHqeVOf/pOueOxJpiH9AKpz+YBUqyP1BDY/WqTcvIdLmuWmxh2nb7vGXG41B6cwbPDkA==" saltValue="J/NXDzu+KJoxiZWFXyqJGw==" spinCount="100000" sheet="1" sort="0"/>
  <autoFilter ref="B49:N49" xr:uid="{00000000-0009-0000-0000-000006000000}"/>
  <mergeCells count="4">
    <mergeCell ref="D1:H1"/>
    <mergeCell ref="P40:P41"/>
    <mergeCell ref="Q40:Q41"/>
    <mergeCell ref="R40:R41"/>
  </mergeCells>
  <conditionalFormatting sqref="M1:M49 M53:M59 M62:M63 M65:M68 M70:M1048576">
    <cfRule type="cellIs" dxfId="41" priority="44" operator="greaterThan">
      <formula>0</formula>
    </cfRule>
    <cfRule type="cellIs" dxfId="40" priority="45" operator="equal">
      <formula>0</formula>
    </cfRule>
  </conditionalFormatting>
  <conditionalFormatting sqref="M1:M49">
    <cfRule type="cellIs" dxfId="39" priority="47" operator="lessThan">
      <formula>0</formula>
    </cfRule>
  </conditionalFormatting>
  <conditionalFormatting sqref="M53:M59 M62:M63 M65:M68 M70:M11096">
    <cfRule type="cellIs" dxfId="38" priority="49" operator="lessThan">
      <formula>0</formula>
    </cfRule>
  </conditionalFormatting>
  <conditionalFormatting sqref="P42:P46">
    <cfRule type="dataBar" priority="311">
      <dataBar>
        <cfvo type="num" val="0"/>
        <cfvo type="max"/>
        <color rgb="FFAADB1E"/>
      </dataBar>
      <extLst>
        <ext xmlns:x14="http://schemas.microsoft.com/office/spreadsheetml/2009/9/main" uri="{B025F937-C7B1-47D3-B67F-A62EFF666E3E}">
          <x14:id>{00BB0072-008F-4E5B-8C53-00ED00F40054}</x14:id>
        </ext>
      </extLst>
    </cfRule>
  </conditionalFormatting>
  <conditionalFormatting sqref="P52">
    <cfRule type="dataBar" priority="5">
      <dataBar>
        <cfvo type="num" val="0"/>
        <cfvo type="max"/>
        <color rgb="FFAADB1E"/>
      </dataBar>
      <extLst>
        <ext xmlns:x14="http://schemas.microsoft.com/office/spreadsheetml/2009/9/main" uri="{B025F937-C7B1-47D3-B67F-A62EFF666E3E}">
          <x14:id>{005700CE-00D5-480E-9E0C-008E006D00EE}</x14:id>
        </ext>
      </extLst>
    </cfRule>
  </conditionalFormatting>
  <conditionalFormatting sqref="P53:P59">
    <cfRule type="dataBar" priority="8">
      <dataBar>
        <cfvo type="num" val="0"/>
        <cfvo type="max"/>
        <color rgb="FFAADB1E"/>
      </dataBar>
      <extLst>
        <ext xmlns:x14="http://schemas.microsoft.com/office/spreadsheetml/2009/9/main" uri="{B025F937-C7B1-47D3-B67F-A62EFF666E3E}">
          <x14:id>{00840010-003C-4F81-8BD9-002700900048}</x14:id>
        </ext>
      </extLst>
    </cfRule>
  </conditionalFormatting>
  <conditionalFormatting sqref="P61">
    <cfRule type="dataBar" priority="11">
      <dataBar>
        <cfvo type="num" val="0"/>
        <cfvo type="max"/>
        <color rgb="FFAADB1E"/>
      </dataBar>
      <extLst>
        <ext xmlns:x14="http://schemas.microsoft.com/office/spreadsheetml/2009/9/main" uri="{B025F937-C7B1-47D3-B67F-A62EFF666E3E}">
          <x14:id>{00BD0054-0094-4DBC-B5F4-00A4002F0003}</x14:id>
        </ext>
      </extLst>
    </cfRule>
  </conditionalFormatting>
  <conditionalFormatting sqref="P62:P63">
    <cfRule type="dataBar" priority="1">
      <dataBar>
        <cfvo type="num" val="0"/>
        <cfvo type="max"/>
        <color rgb="FFAADB1E"/>
      </dataBar>
      <extLst>
        <ext xmlns:x14="http://schemas.microsoft.com/office/spreadsheetml/2009/9/main" uri="{B025F937-C7B1-47D3-B67F-A62EFF666E3E}">
          <x14:id>{001000CC-0073-48AA-AD66-00A500D40067}</x14:id>
        </ext>
      </extLst>
    </cfRule>
  </conditionalFormatting>
  <conditionalFormatting sqref="P65:P68">
    <cfRule type="dataBar" priority="14">
      <dataBar>
        <cfvo type="num" val="0"/>
        <cfvo type="max"/>
        <color rgb="FFAADB1E"/>
      </dataBar>
      <extLst>
        <ext xmlns:x14="http://schemas.microsoft.com/office/spreadsheetml/2009/9/main" uri="{B025F937-C7B1-47D3-B67F-A62EFF666E3E}">
          <x14:id>{00F2003C-006B-46DB-9425-008F00B90001}</x14:id>
        </ext>
      </extLst>
    </cfRule>
  </conditionalFormatting>
  <conditionalFormatting sqref="P70:P74">
    <cfRule type="dataBar" priority="20">
      <dataBar>
        <cfvo type="num" val="0"/>
        <cfvo type="max"/>
        <color rgb="FFAADB1E"/>
      </dataBar>
      <extLst>
        <ext xmlns:x14="http://schemas.microsoft.com/office/spreadsheetml/2009/9/main" uri="{B025F937-C7B1-47D3-B67F-A62EFF666E3E}">
          <x14:id>{005C0045-0033-4B55-9BDF-002C00800030}</x14:id>
        </ext>
      </extLst>
    </cfRule>
  </conditionalFormatting>
  <conditionalFormatting sqref="P75">
    <cfRule type="dataBar" priority="29">
      <dataBar>
        <cfvo type="num" val="0"/>
        <cfvo type="max"/>
        <color rgb="FFAADB1E"/>
      </dataBar>
      <extLst>
        <ext xmlns:x14="http://schemas.microsoft.com/office/spreadsheetml/2009/9/main" uri="{B025F937-C7B1-47D3-B67F-A62EFF666E3E}">
          <x14:id>{00AF003C-00F3-4A7D-AEE8-00EF00CD007E}</x14:id>
        </ext>
      </extLst>
    </cfRule>
  </conditionalFormatting>
  <conditionalFormatting sqref="P76:P80">
    <cfRule type="dataBar" priority="23">
      <dataBar>
        <cfvo type="num" val="0"/>
        <cfvo type="max"/>
        <color rgb="FFAADB1E"/>
      </dataBar>
      <extLst>
        <ext xmlns:x14="http://schemas.microsoft.com/office/spreadsheetml/2009/9/main" uri="{B025F937-C7B1-47D3-B67F-A62EFF666E3E}">
          <x14:id>{0030003F-0060-42B1-9967-004D005E0007}</x14:id>
        </ext>
      </extLst>
    </cfRule>
  </conditionalFormatting>
  <conditionalFormatting sqref="Q42:Q46">
    <cfRule type="dataBar" priority="313">
      <dataBar>
        <cfvo type="min"/>
        <cfvo type="max"/>
        <color rgb="FFE77119"/>
      </dataBar>
      <extLst>
        <ext xmlns:x14="http://schemas.microsoft.com/office/spreadsheetml/2009/9/main" uri="{B025F937-C7B1-47D3-B67F-A62EFF666E3E}">
          <x14:id>{00C2003A-00A8-4846-97DA-00C400AE0059}</x14:id>
        </ext>
      </extLst>
    </cfRule>
  </conditionalFormatting>
  <conditionalFormatting sqref="Q52">
    <cfRule type="dataBar" priority="6">
      <dataBar>
        <cfvo type="num" val="0"/>
        <cfvo type="max"/>
        <color rgb="FFE87722"/>
      </dataBar>
      <extLst>
        <ext xmlns:x14="http://schemas.microsoft.com/office/spreadsheetml/2009/9/main" uri="{B025F937-C7B1-47D3-B67F-A62EFF666E3E}">
          <x14:id>{0044006C-00DA-4003-9926-00BF0056007C}</x14:id>
        </ext>
      </extLst>
    </cfRule>
  </conditionalFormatting>
  <conditionalFormatting sqref="Q53:Q59">
    <cfRule type="dataBar" priority="9">
      <dataBar>
        <cfvo type="num" val="0"/>
        <cfvo type="max"/>
        <color rgb="FFE87722"/>
      </dataBar>
      <extLst>
        <ext xmlns:x14="http://schemas.microsoft.com/office/spreadsheetml/2009/9/main" uri="{B025F937-C7B1-47D3-B67F-A62EFF666E3E}">
          <x14:id>{00EB0047-00A1-4FF5-ABA7-000100140041}</x14:id>
        </ext>
      </extLst>
    </cfRule>
  </conditionalFormatting>
  <conditionalFormatting sqref="Q61:Q63">
    <cfRule type="dataBar" priority="12">
      <dataBar>
        <cfvo type="num" val="0"/>
        <cfvo type="max"/>
        <color rgb="FFE87722"/>
      </dataBar>
      <extLst>
        <ext xmlns:x14="http://schemas.microsoft.com/office/spreadsheetml/2009/9/main" uri="{B025F937-C7B1-47D3-B67F-A62EFF666E3E}">
          <x14:id>{00D30014-00F0-42F4-AAE7-004900A700F5}</x14:id>
        </ext>
      </extLst>
    </cfRule>
  </conditionalFormatting>
  <conditionalFormatting sqref="Q65:Q68">
    <cfRule type="dataBar" priority="15">
      <dataBar>
        <cfvo type="num" val="0"/>
        <cfvo type="max"/>
        <color rgb="FFE87722"/>
      </dataBar>
      <extLst>
        <ext xmlns:x14="http://schemas.microsoft.com/office/spreadsheetml/2009/9/main" uri="{B025F937-C7B1-47D3-B67F-A62EFF666E3E}">
          <x14:id>{009500F0-008D-46BC-B6CB-001A001200DF}</x14:id>
        </ext>
      </extLst>
    </cfRule>
  </conditionalFormatting>
  <conditionalFormatting sqref="Q70:Q74">
    <cfRule type="dataBar" priority="21">
      <dataBar>
        <cfvo type="num" val="0"/>
        <cfvo type="max"/>
        <color rgb="FFE87722"/>
      </dataBar>
      <extLst>
        <ext xmlns:x14="http://schemas.microsoft.com/office/spreadsheetml/2009/9/main" uri="{B025F937-C7B1-47D3-B67F-A62EFF666E3E}">
          <x14:id>{00E0001D-0027-44F0-AF71-000B00F500D5}</x14:id>
        </ext>
      </extLst>
    </cfRule>
  </conditionalFormatting>
  <conditionalFormatting sqref="Q75">
    <cfRule type="dataBar" priority="30">
      <dataBar>
        <cfvo type="num" val="0"/>
        <cfvo type="max"/>
        <color rgb="FFE87722"/>
      </dataBar>
      <extLst>
        <ext xmlns:x14="http://schemas.microsoft.com/office/spreadsheetml/2009/9/main" uri="{B025F937-C7B1-47D3-B67F-A62EFF666E3E}">
          <x14:id>{00300013-0053-4707-84BE-0057003200E3}</x14:id>
        </ext>
      </extLst>
    </cfRule>
  </conditionalFormatting>
  <conditionalFormatting sqref="Q76:Q80">
    <cfRule type="dataBar" priority="24">
      <dataBar>
        <cfvo type="num" val="0"/>
        <cfvo type="max"/>
        <color rgb="FFE87722"/>
      </dataBar>
      <extLst>
        <ext xmlns:x14="http://schemas.microsoft.com/office/spreadsheetml/2009/9/main" uri="{B025F937-C7B1-47D3-B67F-A62EFF666E3E}">
          <x14:id>{007C0007-00D5-4898-9427-0063000900F0}</x14:id>
        </ext>
      </extLst>
    </cfRule>
  </conditionalFormatting>
  <conditionalFormatting sqref="R42:R46">
    <cfRule type="dataBar" priority="315">
      <dataBar>
        <cfvo type="min"/>
        <cfvo type="max"/>
        <color theme="7" tint="0.39997558519241921"/>
      </dataBar>
      <extLst>
        <ext xmlns:x14="http://schemas.microsoft.com/office/spreadsheetml/2009/9/main" uri="{B025F937-C7B1-47D3-B67F-A62EFF666E3E}">
          <x14:id>{00C10046-00F9-4FD3-B3FA-008D00F900FE}</x14:id>
        </ext>
      </extLst>
    </cfRule>
  </conditionalFormatting>
  <conditionalFormatting sqref="R52">
    <cfRule type="dataBar" priority="4">
      <dataBar>
        <cfvo type="num" val="0"/>
        <cfvo type="max"/>
        <color theme="7" tint="0.39997558519241921"/>
      </dataBar>
      <extLst>
        <ext xmlns:x14="http://schemas.microsoft.com/office/spreadsheetml/2009/9/main" uri="{B025F937-C7B1-47D3-B67F-A62EFF666E3E}">
          <x14:id>{009D006B-00A4-4532-9D13-009400F60066}</x14:id>
        </ext>
      </extLst>
    </cfRule>
  </conditionalFormatting>
  <conditionalFormatting sqref="R53:R59">
    <cfRule type="dataBar" priority="7">
      <dataBar>
        <cfvo type="num" val="0"/>
        <cfvo type="max"/>
        <color theme="7" tint="0.39997558519241921"/>
      </dataBar>
      <extLst>
        <ext xmlns:x14="http://schemas.microsoft.com/office/spreadsheetml/2009/9/main" uri="{B025F937-C7B1-47D3-B67F-A62EFF666E3E}">
          <x14:id>{009700E4-0098-4949-B803-004300B5006B}</x14:id>
        </ext>
      </extLst>
    </cfRule>
  </conditionalFormatting>
  <conditionalFormatting sqref="R61:R63">
    <cfRule type="dataBar" priority="10">
      <dataBar>
        <cfvo type="num" val="0"/>
        <cfvo type="max"/>
        <color theme="7" tint="0.39997558519241921"/>
      </dataBar>
      <extLst>
        <ext xmlns:x14="http://schemas.microsoft.com/office/spreadsheetml/2009/9/main" uri="{B025F937-C7B1-47D3-B67F-A62EFF666E3E}">
          <x14:id>{00A1001A-00AD-414F-BB30-007100E4004D}</x14:id>
        </ext>
      </extLst>
    </cfRule>
  </conditionalFormatting>
  <conditionalFormatting sqref="R65:R68">
    <cfRule type="dataBar" priority="13">
      <dataBar>
        <cfvo type="num" val="0"/>
        <cfvo type="max"/>
        <color theme="7" tint="0.39997558519241921"/>
      </dataBar>
      <extLst>
        <ext xmlns:x14="http://schemas.microsoft.com/office/spreadsheetml/2009/9/main" uri="{B025F937-C7B1-47D3-B67F-A62EFF666E3E}">
          <x14:id>{00FE009F-00E1-4608-BAF7-00F900930052}</x14:id>
        </ext>
      </extLst>
    </cfRule>
  </conditionalFormatting>
  <conditionalFormatting sqref="R70:R74">
    <cfRule type="dataBar" priority="19">
      <dataBar>
        <cfvo type="num" val="0"/>
        <cfvo type="max"/>
        <color theme="7" tint="0.39997558519241921"/>
      </dataBar>
      <extLst>
        <ext xmlns:x14="http://schemas.microsoft.com/office/spreadsheetml/2009/9/main" uri="{B025F937-C7B1-47D3-B67F-A62EFF666E3E}">
          <x14:id>{001F0072-00AA-41F2-917A-006B00920091}</x14:id>
        </ext>
      </extLst>
    </cfRule>
  </conditionalFormatting>
  <conditionalFormatting sqref="R75">
    <cfRule type="dataBar" priority="28">
      <dataBar>
        <cfvo type="num" val="0"/>
        <cfvo type="max"/>
        <color theme="7" tint="0.39997558519241921"/>
      </dataBar>
      <extLst>
        <ext xmlns:x14="http://schemas.microsoft.com/office/spreadsheetml/2009/9/main" uri="{B025F937-C7B1-47D3-B67F-A62EFF666E3E}">
          <x14:id>{004E001C-00FB-4AFA-B6C8-009C009700BF}</x14:id>
        </ext>
      </extLst>
    </cfRule>
  </conditionalFormatting>
  <conditionalFormatting sqref="R76:R80">
    <cfRule type="dataBar" priority="22">
      <dataBar>
        <cfvo type="num" val="0"/>
        <cfvo type="max"/>
        <color theme="7" tint="0.39997558519241921"/>
      </dataBar>
      <extLst>
        <ext xmlns:x14="http://schemas.microsoft.com/office/spreadsheetml/2009/9/main" uri="{B025F937-C7B1-47D3-B67F-A62EFF666E3E}">
          <x14:id>{00E10059-003E-4222-9237-0002002E002D}</x14:id>
        </ext>
      </extLst>
    </cfRule>
  </conditionalFormatting>
  <pageMargins left="0.7" right="0.7"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00BB0072-008F-4E5B-8C53-00ED00F40054}">
            <x14:dataBar minLength="0" maxLength="100" gradient="0">
              <x14:cfvo type="num">
                <xm:f>0</xm:f>
              </x14:cfvo>
              <x14:cfvo type="autoMax"/>
              <x14:negativeFillColor indexed="2"/>
              <x14:axisColor indexed="64"/>
            </x14:dataBar>
          </x14:cfRule>
          <xm:sqref>P42:P46</xm:sqref>
        </x14:conditionalFormatting>
        <x14:conditionalFormatting xmlns:xm="http://schemas.microsoft.com/office/excel/2006/main">
          <x14:cfRule type="dataBar" id="{005700CE-00D5-480E-9E0C-008E006D00EE}">
            <x14:dataBar minLength="0" maxLength="100" gradient="0">
              <x14:cfvo type="num">
                <xm:f>0</xm:f>
              </x14:cfvo>
              <x14:cfvo type="autoMax"/>
              <x14:negativeFillColor indexed="2"/>
              <x14:axisColor indexed="64"/>
            </x14:dataBar>
          </x14:cfRule>
          <xm:sqref>P52</xm:sqref>
        </x14:conditionalFormatting>
        <x14:conditionalFormatting xmlns:xm="http://schemas.microsoft.com/office/excel/2006/main">
          <x14:cfRule type="dataBar" id="{00840010-003C-4F81-8BD9-002700900048}">
            <x14:dataBar minLength="0" maxLength="100" gradient="0">
              <x14:cfvo type="num">
                <xm:f>0</xm:f>
              </x14:cfvo>
              <x14:cfvo type="autoMax"/>
              <x14:negativeFillColor indexed="2"/>
              <x14:axisColor indexed="64"/>
            </x14:dataBar>
          </x14:cfRule>
          <xm:sqref>P53:P59</xm:sqref>
        </x14:conditionalFormatting>
        <x14:conditionalFormatting xmlns:xm="http://schemas.microsoft.com/office/excel/2006/main">
          <x14:cfRule type="dataBar" id="{00BD0054-0094-4DBC-B5F4-00A4002F0003}">
            <x14:dataBar minLength="0" maxLength="100" gradient="0">
              <x14:cfvo type="num">
                <xm:f>0</xm:f>
              </x14:cfvo>
              <x14:cfvo type="autoMax"/>
              <x14:negativeFillColor indexed="2"/>
              <x14:axisColor indexed="64"/>
            </x14:dataBar>
          </x14:cfRule>
          <xm:sqref>P61</xm:sqref>
        </x14:conditionalFormatting>
        <x14:conditionalFormatting xmlns:xm="http://schemas.microsoft.com/office/excel/2006/main">
          <x14:cfRule type="dataBar" id="{001000CC-0073-48AA-AD66-00A500D40067}">
            <x14:dataBar minLength="0" maxLength="100" gradient="0">
              <x14:cfvo type="num">
                <xm:f>0</xm:f>
              </x14:cfvo>
              <x14:cfvo type="autoMax"/>
              <x14:negativeFillColor indexed="2"/>
              <x14:axisColor indexed="64"/>
            </x14:dataBar>
          </x14:cfRule>
          <xm:sqref>P62:P63</xm:sqref>
        </x14:conditionalFormatting>
        <x14:conditionalFormatting xmlns:xm="http://schemas.microsoft.com/office/excel/2006/main">
          <x14:cfRule type="dataBar" id="{00F2003C-006B-46DB-9425-008F00B90001}">
            <x14:dataBar minLength="0" maxLength="100" gradient="0">
              <x14:cfvo type="num">
                <xm:f>0</xm:f>
              </x14:cfvo>
              <x14:cfvo type="autoMax"/>
              <x14:negativeFillColor indexed="2"/>
              <x14:axisColor indexed="64"/>
            </x14:dataBar>
          </x14:cfRule>
          <xm:sqref>P65:P68</xm:sqref>
        </x14:conditionalFormatting>
        <x14:conditionalFormatting xmlns:xm="http://schemas.microsoft.com/office/excel/2006/main">
          <x14:cfRule type="dataBar" id="{005C0045-0033-4B55-9BDF-002C00800030}">
            <x14:dataBar minLength="0" maxLength="100" gradient="0">
              <x14:cfvo type="num">
                <xm:f>0</xm:f>
              </x14:cfvo>
              <x14:cfvo type="autoMax"/>
              <x14:negativeFillColor indexed="2"/>
              <x14:axisColor indexed="64"/>
            </x14:dataBar>
          </x14:cfRule>
          <xm:sqref>P70:P74</xm:sqref>
        </x14:conditionalFormatting>
        <x14:conditionalFormatting xmlns:xm="http://schemas.microsoft.com/office/excel/2006/main">
          <x14:cfRule type="dataBar" id="{00AF003C-00F3-4A7D-AEE8-00EF00CD007E}">
            <x14:dataBar minLength="0" maxLength="100" gradient="0">
              <x14:cfvo type="num">
                <xm:f>0</xm:f>
              </x14:cfvo>
              <x14:cfvo type="autoMax"/>
              <x14:negativeFillColor indexed="2"/>
              <x14:axisColor indexed="64"/>
            </x14:dataBar>
          </x14:cfRule>
          <xm:sqref>P75</xm:sqref>
        </x14:conditionalFormatting>
        <x14:conditionalFormatting xmlns:xm="http://schemas.microsoft.com/office/excel/2006/main">
          <x14:cfRule type="dataBar" id="{0030003F-0060-42B1-9967-004D005E0007}">
            <x14:dataBar minLength="0" maxLength="100" gradient="0">
              <x14:cfvo type="num">
                <xm:f>0</xm:f>
              </x14:cfvo>
              <x14:cfvo type="autoMax"/>
              <x14:negativeFillColor indexed="2"/>
              <x14:axisColor indexed="64"/>
            </x14:dataBar>
          </x14:cfRule>
          <xm:sqref>P76:P80</xm:sqref>
        </x14:conditionalFormatting>
        <x14:conditionalFormatting xmlns:xm="http://schemas.microsoft.com/office/excel/2006/main">
          <x14:cfRule type="dataBar" id="{00C2003A-00A8-4846-97DA-00C400AE0059}">
            <x14:dataBar minLength="0" maxLength="100" gradient="0">
              <x14:cfvo type="autoMin"/>
              <x14:cfvo type="autoMax"/>
              <x14:negativeFillColor indexed="2"/>
              <x14:axisColor indexed="64"/>
            </x14:dataBar>
          </x14:cfRule>
          <xm:sqref>Q42:Q46</xm:sqref>
        </x14:conditionalFormatting>
        <x14:conditionalFormatting xmlns:xm="http://schemas.microsoft.com/office/excel/2006/main">
          <x14:cfRule type="dataBar" id="{0044006C-00DA-4003-9926-00BF0056007C}">
            <x14:dataBar minLength="0" maxLength="100" gradient="0">
              <x14:cfvo type="num">
                <xm:f>0</xm:f>
              </x14:cfvo>
              <x14:cfvo type="autoMax"/>
              <x14:negativeFillColor indexed="2"/>
              <x14:axisColor indexed="64"/>
            </x14:dataBar>
          </x14:cfRule>
          <xm:sqref>Q52</xm:sqref>
        </x14:conditionalFormatting>
        <x14:conditionalFormatting xmlns:xm="http://schemas.microsoft.com/office/excel/2006/main">
          <x14:cfRule type="dataBar" id="{00EB0047-00A1-4FF5-ABA7-000100140041}">
            <x14:dataBar minLength="0" maxLength="100" gradient="0">
              <x14:cfvo type="num">
                <xm:f>0</xm:f>
              </x14:cfvo>
              <x14:cfvo type="autoMax"/>
              <x14:negativeFillColor indexed="2"/>
              <x14:axisColor indexed="64"/>
            </x14:dataBar>
          </x14:cfRule>
          <xm:sqref>Q53:Q59</xm:sqref>
        </x14:conditionalFormatting>
        <x14:conditionalFormatting xmlns:xm="http://schemas.microsoft.com/office/excel/2006/main">
          <x14:cfRule type="dataBar" id="{00D30014-00F0-42F4-AAE7-004900A700F5}">
            <x14:dataBar minLength="0" maxLength="100" gradient="0">
              <x14:cfvo type="num">
                <xm:f>0</xm:f>
              </x14:cfvo>
              <x14:cfvo type="autoMax"/>
              <x14:negativeFillColor indexed="2"/>
              <x14:axisColor indexed="64"/>
            </x14:dataBar>
          </x14:cfRule>
          <xm:sqref>Q61:Q63</xm:sqref>
        </x14:conditionalFormatting>
        <x14:conditionalFormatting xmlns:xm="http://schemas.microsoft.com/office/excel/2006/main">
          <x14:cfRule type="dataBar" id="{009500F0-008D-46BC-B6CB-001A001200DF}">
            <x14:dataBar minLength="0" maxLength="100" gradient="0">
              <x14:cfvo type="num">
                <xm:f>0</xm:f>
              </x14:cfvo>
              <x14:cfvo type="autoMax"/>
              <x14:negativeFillColor indexed="2"/>
              <x14:axisColor indexed="64"/>
            </x14:dataBar>
          </x14:cfRule>
          <xm:sqref>Q65:Q68</xm:sqref>
        </x14:conditionalFormatting>
        <x14:conditionalFormatting xmlns:xm="http://schemas.microsoft.com/office/excel/2006/main">
          <x14:cfRule type="dataBar" id="{00E0001D-0027-44F0-AF71-000B00F500D5}">
            <x14:dataBar minLength="0" maxLength="100" gradient="0">
              <x14:cfvo type="num">
                <xm:f>0</xm:f>
              </x14:cfvo>
              <x14:cfvo type="autoMax"/>
              <x14:negativeFillColor indexed="2"/>
              <x14:axisColor indexed="64"/>
            </x14:dataBar>
          </x14:cfRule>
          <xm:sqref>Q70:Q74</xm:sqref>
        </x14:conditionalFormatting>
        <x14:conditionalFormatting xmlns:xm="http://schemas.microsoft.com/office/excel/2006/main">
          <x14:cfRule type="dataBar" id="{00300013-0053-4707-84BE-0057003200E3}">
            <x14:dataBar minLength="0" maxLength="100" gradient="0">
              <x14:cfvo type="num">
                <xm:f>0</xm:f>
              </x14:cfvo>
              <x14:cfvo type="autoMax"/>
              <x14:negativeFillColor indexed="2"/>
              <x14:axisColor indexed="64"/>
            </x14:dataBar>
          </x14:cfRule>
          <xm:sqref>Q75</xm:sqref>
        </x14:conditionalFormatting>
        <x14:conditionalFormatting xmlns:xm="http://schemas.microsoft.com/office/excel/2006/main">
          <x14:cfRule type="dataBar" id="{007C0007-00D5-4898-9427-0063000900F0}">
            <x14:dataBar minLength="0" maxLength="100" gradient="0">
              <x14:cfvo type="num">
                <xm:f>0</xm:f>
              </x14:cfvo>
              <x14:cfvo type="autoMax"/>
              <x14:negativeFillColor indexed="2"/>
              <x14:axisColor indexed="64"/>
            </x14:dataBar>
          </x14:cfRule>
          <xm:sqref>Q76:Q80</xm:sqref>
        </x14:conditionalFormatting>
        <x14:conditionalFormatting xmlns:xm="http://schemas.microsoft.com/office/excel/2006/main">
          <x14:cfRule type="dataBar" id="{00C10046-00F9-4FD3-B3FA-008D00F900FE}">
            <x14:dataBar minLength="0" maxLength="100" gradient="0">
              <x14:cfvo type="autoMin"/>
              <x14:cfvo type="autoMax"/>
              <x14:negativeFillColor indexed="2"/>
              <x14:axisColor indexed="64"/>
            </x14:dataBar>
          </x14:cfRule>
          <xm:sqref>R42:R46</xm:sqref>
        </x14:conditionalFormatting>
        <x14:conditionalFormatting xmlns:xm="http://schemas.microsoft.com/office/excel/2006/main">
          <x14:cfRule type="dataBar" id="{009D006B-00A4-4532-9D13-009400F60066}">
            <x14:dataBar minLength="0" maxLength="100" gradient="0">
              <x14:cfvo type="num">
                <xm:f>0</xm:f>
              </x14:cfvo>
              <x14:cfvo type="autoMax"/>
              <x14:negativeFillColor indexed="2"/>
              <x14:axisColor indexed="64"/>
            </x14:dataBar>
          </x14:cfRule>
          <xm:sqref>R52</xm:sqref>
        </x14:conditionalFormatting>
        <x14:conditionalFormatting xmlns:xm="http://schemas.microsoft.com/office/excel/2006/main">
          <x14:cfRule type="dataBar" id="{009700E4-0098-4949-B803-004300B5006B}">
            <x14:dataBar minLength="0" maxLength="100" gradient="0">
              <x14:cfvo type="num">
                <xm:f>0</xm:f>
              </x14:cfvo>
              <x14:cfvo type="autoMax"/>
              <x14:negativeFillColor indexed="2"/>
              <x14:axisColor indexed="64"/>
            </x14:dataBar>
          </x14:cfRule>
          <xm:sqref>R53:R59</xm:sqref>
        </x14:conditionalFormatting>
        <x14:conditionalFormatting xmlns:xm="http://schemas.microsoft.com/office/excel/2006/main">
          <x14:cfRule type="dataBar" id="{00A1001A-00AD-414F-BB30-007100E4004D}">
            <x14:dataBar minLength="0" maxLength="100" gradient="0">
              <x14:cfvo type="num">
                <xm:f>0</xm:f>
              </x14:cfvo>
              <x14:cfvo type="autoMax"/>
              <x14:negativeFillColor indexed="2"/>
              <x14:axisColor indexed="64"/>
            </x14:dataBar>
          </x14:cfRule>
          <xm:sqref>R61:R63</xm:sqref>
        </x14:conditionalFormatting>
        <x14:conditionalFormatting xmlns:xm="http://schemas.microsoft.com/office/excel/2006/main">
          <x14:cfRule type="dataBar" id="{00FE009F-00E1-4608-BAF7-00F900930052}">
            <x14:dataBar minLength="0" maxLength="100" gradient="0">
              <x14:cfvo type="num">
                <xm:f>0</xm:f>
              </x14:cfvo>
              <x14:cfvo type="autoMax"/>
              <x14:negativeFillColor indexed="2"/>
              <x14:axisColor indexed="64"/>
            </x14:dataBar>
          </x14:cfRule>
          <xm:sqref>R65:R68</xm:sqref>
        </x14:conditionalFormatting>
        <x14:conditionalFormatting xmlns:xm="http://schemas.microsoft.com/office/excel/2006/main">
          <x14:cfRule type="dataBar" id="{001F0072-00AA-41F2-917A-006B00920091}">
            <x14:dataBar minLength="0" maxLength="100" gradient="0">
              <x14:cfvo type="num">
                <xm:f>0</xm:f>
              </x14:cfvo>
              <x14:cfvo type="autoMax"/>
              <x14:negativeFillColor indexed="2"/>
              <x14:axisColor indexed="64"/>
            </x14:dataBar>
          </x14:cfRule>
          <xm:sqref>R70:R74</xm:sqref>
        </x14:conditionalFormatting>
        <x14:conditionalFormatting xmlns:xm="http://schemas.microsoft.com/office/excel/2006/main">
          <x14:cfRule type="dataBar" id="{004E001C-00FB-4AFA-B6C8-009C009700BF}">
            <x14:dataBar minLength="0" maxLength="100" gradient="0">
              <x14:cfvo type="num">
                <xm:f>0</xm:f>
              </x14:cfvo>
              <x14:cfvo type="autoMax"/>
              <x14:negativeFillColor indexed="2"/>
              <x14:axisColor indexed="64"/>
            </x14:dataBar>
          </x14:cfRule>
          <xm:sqref>R75</xm:sqref>
        </x14:conditionalFormatting>
        <x14:conditionalFormatting xmlns:xm="http://schemas.microsoft.com/office/excel/2006/main">
          <x14:cfRule type="dataBar" id="{00E10059-003E-4222-9237-0002002E002D}">
            <x14:dataBar minLength="0" maxLength="100" gradient="0">
              <x14:cfvo type="num">
                <xm:f>0</xm:f>
              </x14:cfvo>
              <x14:cfvo type="autoMax"/>
              <x14:negativeFillColor indexed="2"/>
              <x14:axisColor indexed="64"/>
            </x14:dataBar>
          </x14:cfRule>
          <xm:sqref>R76:R80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'Условные сокращения'!$M$11:$M$12</xm:f>
          </x14:formula1>
          <xm:sqref>N56:N59 N76:N80 N70:N74 N62:N63 N65:N68 N53:N54</xm:sqref>
        </x14:dataValidation>
        <x14:dataValidation type="list" allowBlank="1" showInputMessage="1" showErrorMessage="1" xr:uid="{00000000-0002-0000-0600-000001000000}">
          <x14:formula1>
            <xm:f>'Условные сокращения'!$B$27:$B$30</xm:f>
          </x14:formula1>
          <xm:sqref>N55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theme="3" tint="0.39997558519241921"/>
    <outlinePr summaryBelow="0" summaryRight="0"/>
  </sheetPr>
  <dimension ref="A1:AA1021"/>
  <sheetViews>
    <sheetView zoomScale="55" zoomScaleNormal="55" workbookViewId="0"/>
  </sheetViews>
  <sheetFormatPr defaultColWidth="11.09765625" defaultRowHeight="15.6" outlineLevelRow="1"/>
  <cols>
    <col min="1" max="1" width="4.59765625" style="300" bestFit="1" customWidth="1"/>
    <col min="2" max="2" width="91.5" style="300" customWidth="1"/>
    <col min="3" max="3" width="21" style="300" customWidth="1"/>
    <col min="4" max="5" width="12.09765625" style="300" customWidth="1"/>
    <col min="6" max="6" width="17.09765625" style="300" customWidth="1"/>
    <col min="7" max="7" width="12.59765625" style="367" hidden="1" customWidth="1"/>
    <col min="8" max="8" width="16.59765625" style="300" hidden="1" customWidth="1"/>
    <col min="9" max="9" width="15.59765625" style="300" hidden="1" customWidth="1"/>
    <col min="10" max="10" width="12.09765625" style="368" hidden="1" customWidth="1"/>
    <col min="11" max="11" width="12.09765625" style="300" customWidth="1"/>
    <col min="12" max="12" width="15.09765625" style="369" customWidth="1"/>
    <col min="13" max="13" width="9.09765625" style="367" customWidth="1"/>
    <col min="14" max="14" width="21.09765625" style="269" customWidth="1"/>
    <col min="15" max="15" width="28" style="370" customWidth="1"/>
    <col min="16" max="17" width="28" style="300" customWidth="1"/>
    <col min="18" max="18" width="39.59765625" style="300" customWidth="1"/>
    <col min="19" max="19" width="25.09765625" style="369" customWidth="1"/>
    <col min="20" max="20" width="42.09765625" style="264" customWidth="1"/>
    <col min="21" max="21" width="42.09765625" style="642" customWidth="1"/>
    <col min="22" max="22" width="13" style="264" customWidth="1"/>
    <col min="23" max="23" width="46.59765625" style="264" customWidth="1"/>
    <col min="24" max="24" width="42.09765625" style="642" customWidth="1"/>
    <col min="25" max="25" width="15.09765625" style="264" customWidth="1"/>
    <col min="26" max="26" width="59" style="264" customWidth="1"/>
    <col min="27" max="27" width="42.09765625" style="642" customWidth="1"/>
    <col min="28" max="16384" width="11.09765625" style="300"/>
  </cols>
  <sheetData>
    <row r="1" spans="1:14">
      <c r="A1" s="371">
        <f>L46-F46</f>
        <v>-5</v>
      </c>
      <c r="B1" s="760" t="s">
        <v>44</v>
      </c>
      <c r="N1" s="372">
        <f>COUNTA(N2:N7006)</f>
        <v>60</v>
      </c>
    </row>
    <row r="2" spans="1:14">
      <c r="B2" s="760"/>
      <c r="N2" s="373"/>
    </row>
    <row r="3" spans="1:14">
      <c r="B3" s="204"/>
      <c r="N3" s="373"/>
    </row>
    <row r="4" spans="1:14">
      <c r="B4" s="204"/>
      <c r="N4" s="373"/>
    </row>
    <row r="5" spans="1:14">
      <c r="B5" s="204"/>
      <c r="N5" s="373"/>
    </row>
    <row r="6" spans="1:14">
      <c r="B6" s="204"/>
      <c r="N6" s="373"/>
    </row>
    <row r="7" spans="1:14">
      <c r="B7" s="204"/>
      <c r="N7" s="373"/>
    </row>
    <row r="8" spans="1:14">
      <c r="B8" s="204"/>
      <c r="N8" s="373"/>
    </row>
    <row r="9" spans="1:14">
      <c r="B9" s="204"/>
      <c r="N9" s="373"/>
    </row>
    <row r="10" spans="1:14">
      <c r="B10" s="204"/>
      <c r="N10" s="373"/>
    </row>
    <row r="11" spans="1:14">
      <c r="B11" s="204"/>
      <c r="N11" s="373"/>
    </row>
    <row r="12" spans="1:14">
      <c r="B12" s="204"/>
      <c r="N12" s="373"/>
    </row>
    <row r="13" spans="1:14">
      <c r="B13" s="204"/>
      <c r="N13" s="373"/>
    </row>
    <row r="14" spans="1:14">
      <c r="B14" s="204"/>
      <c r="N14" s="373"/>
    </row>
    <row r="15" spans="1:14">
      <c r="B15" s="204"/>
      <c r="N15" s="373"/>
    </row>
    <row r="16" spans="1:14">
      <c r="B16" s="204"/>
      <c r="N16" s="373"/>
    </row>
    <row r="17" spans="2:27">
      <c r="B17" s="204"/>
      <c r="N17" s="373"/>
    </row>
    <row r="18" spans="2:27">
      <c r="B18" s="204"/>
      <c r="N18" s="373"/>
    </row>
    <row r="19" spans="2:27">
      <c r="B19" s="204"/>
      <c r="N19" s="373"/>
    </row>
    <row r="20" spans="2:27">
      <c r="B20" s="204"/>
      <c r="N20" s="373"/>
    </row>
    <row r="21" spans="2:27">
      <c r="B21" s="204"/>
      <c r="N21" s="373"/>
    </row>
    <row r="22" spans="2:27">
      <c r="B22" s="204"/>
      <c r="N22" s="373"/>
    </row>
    <row r="23" spans="2:27">
      <c r="B23" s="204"/>
      <c r="N23" s="373"/>
    </row>
    <row r="24" spans="2:27">
      <c r="B24" s="204"/>
      <c r="N24" s="373"/>
    </row>
    <row r="25" spans="2:27">
      <c r="B25" s="204"/>
      <c r="N25" s="373"/>
    </row>
    <row r="26" spans="2:27">
      <c r="B26" s="204"/>
      <c r="N26" s="373"/>
    </row>
    <row r="27" spans="2:27" s="367" customFormat="1">
      <c r="B27" s="300"/>
      <c r="G27" s="28">
        <f>Расчет!$F$2</f>
        <v>45017</v>
      </c>
      <c r="H27" s="28">
        <f>Расчет!$H$2</f>
        <v>45444</v>
      </c>
      <c r="I27" s="28" t="s">
        <v>514</v>
      </c>
      <c r="J27" s="374"/>
      <c r="L27" s="192">
        <f ca="1">TODAY()</f>
        <v>46038</v>
      </c>
      <c r="N27" s="375"/>
      <c r="O27" s="376"/>
      <c r="P27" s="756" t="s">
        <v>36</v>
      </c>
      <c r="Q27" s="757" t="s">
        <v>37</v>
      </c>
      <c r="R27" s="758" t="s">
        <v>38</v>
      </c>
      <c r="S27" s="377"/>
      <c r="T27" s="266"/>
      <c r="U27" s="642"/>
      <c r="V27" s="266"/>
      <c r="W27" s="266"/>
      <c r="X27" s="642"/>
      <c r="Y27" s="266"/>
      <c r="Z27" s="266"/>
      <c r="AA27" s="642"/>
    </row>
    <row r="28" spans="2:27" ht="41.4">
      <c r="B28" s="378" t="s">
        <v>317</v>
      </c>
      <c r="C28" s="378" t="s">
        <v>79</v>
      </c>
      <c r="D28" s="379" t="s">
        <v>11</v>
      </c>
      <c r="E28" s="380" t="s">
        <v>10</v>
      </c>
      <c r="F28" s="381" t="s">
        <v>9</v>
      </c>
      <c r="G28" s="382" t="s">
        <v>318</v>
      </c>
      <c r="H28" s="383" t="s">
        <v>318</v>
      </c>
      <c r="I28" s="383" t="s">
        <v>318</v>
      </c>
      <c r="J28" s="200">
        <v>2026</v>
      </c>
      <c r="K28" s="200" t="s">
        <v>84</v>
      </c>
      <c r="L28" s="201" t="s">
        <v>33</v>
      </c>
      <c r="N28" s="373"/>
      <c r="P28" s="756"/>
      <c r="Q28" s="757"/>
      <c r="R28" s="758"/>
    </row>
    <row r="29" spans="2:27">
      <c r="B29" s="218" t="str">
        <f>B45</f>
        <v>Защита от ВПО</v>
      </c>
      <c r="C29" s="384" t="str">
        <f>C45</f>
        <v>ВПО</v>
      </c>
      <c r="D29" s="315">
        <f>AVERAGE(D46:D53)</f>
        <v>4.59375</v>
      </c>
      <c r="E29" s="316">
        <f>AVERAGE(E46:E53)</f>
        <v>4.1875</v>
      </c>
      <c r="F29" s="317">
        <f>AVERAGE(F46:F53)</f>
        <v>3.0437499999999997</v>
      </c>
      <c r="G29" s="318" t="e">
        <f>(G46/5)*(G47/5)*(0.7*AVERAGE(G51:G53)+0.3*AVERAGE(G48:G50))</f>
        <v>#DIV/0!</v>
      </c>
      <c r="H29" s="318" t="e">
        <f>(H46/5)*(H47/5)*(0.7*AVERAGE(H51:H53)+0.3*AVERAGE(H48:H50))</f>
        <v>#DIV/0!</v>
      </c>
      <c r="I29" s="385" t="e">
        <f>(I46/5)*(I47/5)*(0.7*AVERAGE(I51:I53)+0.3*AVERAGE(I48:I50))</f>
        <v>#DIV/0!</v>
      </c>
      <c r="J29" s="319" t="e">
        <f>(J46/5)*(J47/5)*(0.7*AVERAGE(J51:J53)+0.3*AVERAGE(J48:J50))</f>
        <v>#DIV/0!</v>
      </c>
      <c r="K29" s="386">
        <f>AVERAGE(K46:K53)</f>
        <v>4.59375</v>
      </c>
      <c r="L29" s="318">
        <f>AVERAGE(L46:L53)</f>
        <v>0</v>
      </c>
      <c r="M29" s="214"/>
      <c r="N29" s="373"/>
      <c r="P29" s="387">
        <f>P46*P47*(0.7*AVERAGE(P51:P53)+0.3*AVERAGE(P48:P50))</f>
        <v>0</v>
      </c>
      <c r="Q29" s="387">
        <f>Q46*Q47*(0.7*AVERAGE(Q51:Q53)+0.3*AVERAGE(Q48:Q50))</f>
        <v>0</v>
      </c>
      <c r="R29" s="387">
        <f>R46*R47*(0.7*AVERAGE(R51:R53)+0.3*AVERAGE(R48:R50))</f>
        <v>0</v>
      </c>
    </row>
    <row r="30" spans="2:27">
      <c r="B30" s="218" t="s">
        <v>96</v>
      </c>
      <c r="C30" s="384" t="s">
        <v>45</v>
      </c>
      <c r="D30" s="315">
        <f>AVERAGE(D55:D58)</f>
        <v>5</v>
      </c>
      <c r="E30" s="316">
        <f>AVERAGE(E55:E58)</f>
        <v>5</v>
      </c>
      <c r="F30" s="317">
        <f>AVERAGE(F55:F58)</f>
        <v>5</v>
      </c>
      <c r="G30" s="318">
        <f>G55/5*G56/5*G57/5*G58/5*5</f>
        <v>0</v>
      </c>
      <c r="H30" s="318">
        <f>H55/5*H56/5*H57/5*H58/5*5</f>
        <v>0</v>
      </c>
      <c r="I30" s="318">
        <f>I55/5*I56/5*I57/5*I58/5*5</f>
        <v>0</v>
      </c>
      <c r="J30" s="319">
        <f>J55/5*J56/5*J57/5*J58/5*5</f>
        <v>0</v>
      </c>
      <c r="K30" s="386">
        <f>AVERAGE(K55:K58)</f>
        <v>5</v>
      </c>
      <c r="L30" s="385">
        <f>AVERAGE(L55:L58)</f>
        <v>0</v>
      </c>
      <c r="M30" s="214"/>
      <c r="N30" s="373"/>
      <c r="P30" s="387">
        <f>P55*P56*P57*P58</f>
        <v>0</v>
      </c>
      <c r="Q30" s="387">
        <f>Q55*Q56*Q57*Q58</f>
        <v>0</v>
      </c>
      <c r="R30" s="387">
        <f>R55*R56*R57*R58</f>
        <v>0</v>
      </c>
    </row>
    <row r="31" spans="2:27">
      <c r="B31" s="218" t="s">
        <v>101</v>
      </c>
      <c r="C31" s="388" t="s">
        <v>46</v>
      </c>
      <c r="D31" s="315">
        <f>AVERAGE(D60:D62)</f>
        <v>4.666666666666667</v>
      </c>
      <c r="E31" s="316">
        <f>AVERAGE(E60:E62)</f>
        <v>4.333333333333333</v>
      </c>
      <c r="F31" s="317">
        <f>AVERAGE(F60:F62)</f>
        <v>3.6666666666666665</v>
      </c>
      <c r="G31" s="318">
        <f>G60/5*G61/5*G62/5*5</f>
        <v>0</v>
      </c>
      <c r="H31" s="318">
        <f>H60/5*H61/5*H62/5*5</f>
        <v>0</v>
      </c>
      <c r="I31" s="318">
        <f>I60/5*I61/5*I62/5*5</f>
        <v>0</v>
      </c>
      <c r="J31" s="319">
        <f>J60/5*J61/5*J62/5*5</f>
        <v>0</v>
      </c>
      <c r="K31" s="386">
        <f>AVERAGE(K60:K62)</f>
        <v>4.666666666666667</v>
      </c>
      <c r="L31" s="385">
        <f>AVERAGE(L60:L62)</f>
        <v>0</v>
      </c>
      <c r="M31" s="214"/>
      <c r="N31" s="373"/>
      <c r="P31" s="387">
        <f>P60*P61*P62</f>
        <v>0</v>
      </c>
      <c r="Q31" s="387">
        <f>Q60*Q61*Q62</f>
        <v>0</v>
      </c>
      <c r="R31" s="387">
        <f>R60*R61*R62</f>
        <v>0</v>
      </c>
    </row>
    <row r="32" spans="2:27">
      <c r="B32" s="218" t="s">
        <v>113</v>
      </c>
      <c r="C32" s="384" t="s">
        <v>47</v>
      </c>
      <c r="D32" s="315">
        <f>AVERAGE(D64:D67)</f>
        <v>5</v>
      </c>
      <c r="E32" s="316">
        <f>AVERAGE(E64:E67)</f>
        <v>5</v>
      </c>
      <c r="F32" s="317">
        <f>AVERAGE(F64:F67)</f>
        <v>4.55</v>
      </c>
      <c r="G32" s="318">
        <f>G67/5*G64/5*G65/5*G66/5*5</f>
        <v>0</v>
      </c>
      <c r="H32" s="318">
        <f>H67/5*H64/5*H65/5*H66/5*5</f>
        <v>0</v>
      </c>
      <c r="I32" s="318">
        <f>I67/5*I64/5*I65/5*I66/5*5</f>
        <v>0</v>
      </c>
      <c r="J32" s="319">
        <f>J67/5*J64/5*J65/5*J66/5*5</f>
        <v>0</v>
      </c>
      <c r="K32" s="386">
        <f>AVERAGE(K64:K67)</f>
        <v>5</v>
      </c>
      <c r="L32" s="385">
        <f>AVERAGE(L64:L67)</f>
        <v>0</v>
      </c>
      <c r="M32" s="214"/>
      <c r="N32" s="373"/>
      <c r="P32" s="387">
        <f>P67*P64*P65*P66</f>
        <v>0</v>
      </c>
      <c r="Q32" s="387">
        <f>Q67*Q64*Q65*Q66</f>
        <v>0</v>
      </c>
      <c r="R32" s="387">
        <f>R67*R64*R65*R66</f>
        <v>0</v>
      </c>
    </row>
    <row r="33" spans="2:27">
      <c r="B33" s="218" t="s">
        <v>613</v>
      </c>
      <c r="C33" s="384" t="s">
        <v>208</v>
      </c>
      <c r="D33" s="315">
        <f>AVERAGE(D69:D70,D72)</f>
        <v>5</v>
      </c>
      <c r="E33" s="316">
        <f>AVERAGE(E69:E70,E72)</f>
        <v>5</v>
      </c>
      <c r="F33" s="317">
        <f>AVERAGE(F69:F70,F72)</f>
        <v>4.3999999999999995</v>
      </c>
      <c r="G33" s="318">
        <f>IF(G72=0,0,G69/5*G70/5*5)</f>
        <v>0</v>
      </c>
      <c r="H33" s="318">
        <f>IF(H72=0,0,H69/5*H70/5*5)</f>
        <v>0</v>
      </c>
      <c r="I33" s="318">
        <f>IF(I72=0,0,I69/5*I70/5*5)</f>
        <v>0</v>
      </c>
      <c r="J33" s="319">
        <f>IF(J72=0,0,J69/5*J70/5*5)</f>
        <v>0</v>
      </c>
      <c r="K33" s="386">
        <f>AVERAGE(K69:K70,K72)</f>
        <v>5</v>
      </c>
      <c r="L33" s="385">
        <f>AVERAGE(L69:L70,L72)</f>
        <v>0</v>
      </c>
      <c r="M33" s="214"/>
      <c r="N33" s="373"/>
      <c r="P33" s="387">
        <f>P69*P70*P72</f>
        <v>0</v>
      </c>
      <c r="Q33" s="387">
        <f>Q69*Q70*Q72</f>
        <v>0</v>
      </c>
      <c r="R33" s="387">
        <f>R69*R70*R72</f>
        <v>0</v>
      </c>
    </row>
    <row r="34" spans="2:27">
      <c r="B34" s="218" t="s">
        <v>696</v>
      </c>
      <c r="C34" s="384" t="s">
        <v>239</v>
      </c>
      <c r="D34" s="315">
        <f t="shared" ref="D34:L34" si="0">AVERAGE(D74:D74)</f>
        <v>4.9038461538461542</v>
      </c>
      <c r="E34" s="316">
        <f t="shared" si="0"/>
        <v>3.523076923076923</v>
      </c>
      <c r="F34" s="317">
        <f t="shared" si="0"/>
        <v>0</v>
      </c>
      <c r="G34" s="318" t="e">
        <f>AVERAGE(G74:G74)</f>
        <v>#DIV/0!</v>
      </c>
      <c r="H34" s="318" t="e">
        <f t="shared" si="0"/>
        <v>#DIV/0!</v>
      </c>
      <c r="I34" s="318" t="e">
        <f>AVERAGE(I74:I74)</f>
        <v>#DIV/0!</v>
      </c>
      <c r="J34" s="319" t="e">
        <f>AVERAGE(J74:J74)</f>
        <v>#DIV/0!</v>
      </c>
      <c r="K34" s="386">
        <f t="shared" si="0"/>
        <v>4.9038461538461542</v>
      </c>
      <c r="L34" s="318">
        <f t="shared" si="0"/>
        <v>0</v>
      </c>
      <c r="M34" s="214"/>
      <c r="N34" s="373"/>
      <c r="P34" s="387">
        <f>AVERAGE(P74:P74)</f>
        <v>0</v>
      </c>
      <c r="Q34" s="387">
        <f>AVERAGE(Q74:Q74)</f>
        <v>0</v>
      </c>
      <c r="R34" s="387"/>
    </row>
    <row r="35" spans="2:27">
      <c r="B35" s="218" t="s">
        <v>697</v>
      </c>
      <c r="C35" s="384" t="s">
        <v>698</v>
      </c>
      <c r="D35" s="315">
        <f t="shared" ref="D35:L35" si="1">AVERAGE(D76:D79)</f>
        <v>5</v>
      </c>
      <c r="E35" s="316">
        <f t="shared" si="1"/>
        <v>4.0999999999999996</v>
      </c>
      <c r="F35" s="317">
        <f t="shared" si="1"/>
        <v>0</v>
      </c>
      <c r="G35" s="318" t="e">
        <f t="shared" si="1"/>
        <v>#DIV/0!</v>
      </c>
      <c r="H35" s="318" t="e">
        <f t="shared" si="1"/>
        <v>#DIV/0!</v>
      </c>
      <c r="I35" s="318" t="e">
        <f>AVERAGE(I76:I79)</f>
        <v>#DIV/0!</v>
      </c>
      <c r="J35" s="319" t="e">
        <f>AVERAGE(J76:J79)</f>
        <v>#DIV/0!</v>
      </c>
      <c r="K35" s="386">
        <f t="shared" si="1"/>
        <v>5</v>
      </c>
      <c r="L35" s="385">
        <f t="shared" si="1"/>
        <v>0</v>
      </c>
      <c r="M35" s="214"/>
      <c r="N35" s="373"/>
      <c r="P35" s="387">
        <f>P76*P77*P78*P79</f>
        <v>0</v>
      </c>
      <c r="Q35" s="387">
        <f>Q76*Q77*Q78*Q79</f>
        <v>0</v>
      </c>
      <c r="R35" s="387"/>
    </row>
    <row r="36" spans="2:27">
      <c r="B36" s="218" t="s">
        <v>110</v>
      </c>
      <c r="C36" s="384" t="s">
        <v>699</v>
      </c>
      <c r="D36" s="315">
        <f t="shared" ref="D36:L36" si="2">AVERAGE(D81:D84)</f>
        <v>5</v>
      </c>
      <c r="E36" s="316">
        <f t="shared" si="2"/>
        <v>3.0250000000000004</v>
      </c>
      <c r="F36" s="317">
        <f t="shared" si="2"/>
        <v>0</v>
      </c>
      <c r="G36" s="318" t="e">
        <f t="shared" si="2"/>
        <v>#DIV/0!</v>
      </c>
      <c r="H36" s="318" t="e">
        <f t="shared" si="2"/>
        <v>#DIV/0!</v>
      </c>
      <c r="I36" s="318" t="e">
        <f>AVERAGE(I81:I84)</f>
        <v>#DIV/0!</v>
      </c>
      <c r="J36" s="319" t="e">
        <f>AVERAGE(J81:J84)</f>
        <v>#DIV/0!</v>
      </c>
      <c r="K36" s="386">
        <f t="shared" si="2"/>
        <v>5</v>
      </c>
      <c r="L36" s="385">
        <f t="shared" si="2"/>
        <v>0</v>
      </c>
      <c r="M36" s="214"/>
      <c r="N36" s="373"/>
      <c r="P36" s="387">
        <f>P81*P82*P83*P84</f>
        <v>0</v>
      </c>
      <c r="Q36" s="387">
        <f>Q81*Q82*Q83*Q84</f>
        <v>0</v>
      </c>
      <c r="R36" s="387"/>
    </row>
    <row r="37" spans="2:27">
      <c r="B37" s="218" t="s">
        <v>252</v>
      </c>
      <c r="C37" s="384" t="s">
        <v>700</v>
      </c>
      <c r="D37" s="315">
        <f t="shared" ref="D37:L37" si="3">AVERAGE(D86:D88)</f>
        <v>4.666666666666667</v>
      </c>
      <c r="E37" s="316">
        <f t="shared" si="3"/>
        <v>3.7333333333333329</v>
      </c>
      <c r="F37" s="317">
        <f t="shared" si="3"/>
        <v>0</v>
      </c>
      <c r="G37" s="318" t="e">
        <f t="shared" si="3"/>
        <v>#DIV/0!</v>
      </c>
      <c r="H37" s="318" t="e">
        <f t="shared" si="3"/>
        <v>#DIV/0!</v>
      </c>
      <c r="I37" s="318" t="e">
        <f>AVERAGE(I86:I88)</f>
        <v>#DIV/0!</v>
      </c>
      <c r="J37" s="319" t="e">
        <f>AVERAGE(J86:J88)</f>
        <v>#DIV/0!</v>
      </c>
      <c r="K37" s="386">
        <f t="shared" si="3"/>
        <v>4.666666666666667</v>
      </c>
      <c r="L37" s="385">
        <f t="shared" si="3"/>
        <v>0</v>
      </c>
      <c r="M37" s="214"/>
      <c r="N37" s="373"/>
      <c r="P37" s="387">
        <f>P86*P87*P88</f>
        <v>0</v>
      </c>
      <c r="Q37" s="387">
        <f>Q86*Q87*Q88</f>
        <v>0</v>
      </c>
      <c r="R37" s="387"/>
    </row>
    <row r="38" spans="2:27">
      <c r="B38" s="218" t="s">
        <v>260</v>
      </c>
      <c r="C38" s="384" t="s">
        <v>701</v>
      </c>
      <c r="D38" s="315">
        <f t="shared" ref="D38:L38" si="4">AVERAGE(D90:D92)</f>
        <v>5</v>
      </c>
      <c r="E38" s="316">
        <f t="shared" si="4"/>
        <v>3.7999999999999994</v>
      </c>
      <c r="F38" s="317">
        <f t="shared" si="4"/>
        <v>0</v>
      </c>
      <c r="G38" s="318" t="e">
        <f t="shared" si="4"/>
        <v>#DIV/0!</v>
      </c>
      <c r="H38" s="318" t="e">
        <f t="shared" si="4"/>
        <v>#DIV/0!</v>
      </c>
      <c r="I38" s="318" t="e">
        <f t="shared" si="4"/>
        <v>#DIV/0!</v>
      </c>
      <c r="J38" s="319" t="e">
        <f t="shared" si="4"/>
        <v>#DIV/0!</v>
      </c>
      <c r="K38" s="386">
        <f t="shared" si="4"/>
        <v>5</v>
      </c>
      <c r="L38" s="385">
        <f t="shared" si="4"/>
        <v>0</v>
      </c>
      <c r="M38" s="214"/>
      <c r="N38" s="373"/>
      <c r="P38" s="387">
        <f>P90*P91*P92</f>
        <v>0</v>
      </c>
      <c r="Q38" s="387">
        <f>Q90*Q91*Q92</f>
        <v>0</v>
      </c>
      <c r="R38" s="387"/>
    </row>
    <row r="39" spans="2:27">
      <c r="B39" s="218" t="s">
        <v>119</v>
      </c>
      <c r="C39" s="384" t="s">
        <v>702</v>
      </c>
      <c r="D39" s="315">
        <f t="shared" ref="D39:L39" si="5">AVERAGE(D94:D98)</f>
        <v>5</v>
      </c>
      <c r="E39" s="316">
        <f t="shared" si="5"/>
        <v>5</v>
      </c>
      <c r="F39" s="317">
        <f t="shared" si="5"/>
        <v>0</v>
      </c>
      <c r="G39" s="318" t="e">
        <f t="shared" si="5"/>
        <v>#DIV/0!</v>
      </c>
      <c r="H39" s="318" t="e">
        <f t="shared" si="5"/>
        <v>#DIV/0!</v>
      </c>
      <c r="I39" s="318" t="e">
        <f>AVERAGE(I94:I98)</f>
        <v>#DIV/0!</v>
      </c>
      <c r="J39" s="319" t="e">
        <f>AVERAGE(J94:J98)</f>
        <v>#DIV/0!</v>
      </c>
      <c r="K39" s="386">
        <f t="shared" si="5"/>
        <v>5</v>
      </c>
      <c r="L39" s="385">
        <f t="shared" si="5"/>
        <v>0</v>
      </c>
      <c r="M39" s="214"/>
      <c r="N39" s="373"/>
      <c r="P39" s="387">
        <f>P94*P95*P96*P97*P98</f>
        <v>0</v>
      </c>
      <c r="Q39" s="387">
        <f>Q94*Q95*Q96*Q97*Q98</f>
        <v>0</v>
      </c>
      <c r="R39" s="387"/>
    </row>
    <row r="40" spans="2:27">
      <c r="B40" s="218" t="s">
        <v>234</v>
      </c>
      <c r="C40" s="384" t="s">
        <v>53</v>
      </c>
      <c r="D40" s="315">
        <f t="shared" ref="D40:K40" si="6">AVERAGE(D100,D104)</f>
        <v>5</v>
      </c>
      <c r="E40" s="316">
        <f t="shared" si="6"/>
        <v>0</v>
      </c>
      <c r="F40" s="317">
        <f t="shared" si="6"/>
        <v>0</v>
      </c>
      <c r="G40" s="317" t="e">
        <f t="shared" si="6"/>
        <v>#DIV/0!</v>
      </c>
      <c r="H40" s="317" t="e">
        <f t="shared" si="6"/>
        <v>#DIV/0!</v>
      </c>
      <c r="I40" s="317" t="e">
        <f t="shared" si="6"/>
        <v>#DIV/0!</v>
      </c>
      <c r="J40" s="317" t="e">
        <f t="shared" si="6"/>
        <v>#DIV/0!</v>
      </c>
      <c r="K40" s="386">
        <f t="shared" si="6"/>
        <v>5</v>
      </c>
      <c r="L40" s="385">
        <f>AVERAGE(L100:L104)</f>
        <v>0</v>
      </c>
      <c r="M40" s="214"/>
      <c r="N40" s="373"/>
      <c r="P40" s="387">
        <f>P100*P102*P104*P103*P101</f>
        <v>0</v>
      </c>
      <c r="Q40" s="387"/>
      <c r="R40" s="387"/>
    </row>
    <row r="41" spans="2:27">
      <c r="B41" s="218" t="s">
        <v>305</v>
      </c>
      <c r="C41" s="384" t="s">
        <v>54</v>
      </c>
      <c r="D41" s="315">
        <f t="shared" ref="D41:K41" si="7">AVERAGE(D106:D111)</f>
        <v>5</v>
      </c>
      <c r="E41" s="316">
        <f t="shared" si="7"/>
        <v>0</v>
      </c>
      <c r="F41" s="317">
        <f t="shared" si="7"/>
        <v>0</v>
      </c>
      <c r="G41" s="318">
        <f t="shared" si="7"/>
        <v>0</v>
      </c>
      <c r="H41" s="318">
        <f t="shared" si="7"/>
        <v>0</v>
      </c>
      <c r="I41" s="385">
        <v>1.1599999999999999</v>
      </c>
      <c r="J41" s="319">
        <f>AVERAGE(J106:J111)</f>
        <v>0</v>
      </c>
      <c r="K41" s="386">
        <f t="shared" si="7"/>
        <v>5</v>
      </c>
      <c r="L41" s="318">
        <f>IF(L106&gt;0, IF(L108&gt;0, AVERAGE(L106:L111), AVERAGE(L106:L107)), AVERAGE(L108:L111))</f>
        <v>0</v>
      </c>
      <c r="M41" s="214">
        <f>E41-J41</f>
        <v>0</v>
      </c>
      <c r="N41" s="373"/>
      <c r="P41" s="387">
        <f>IF(P106&gt;0,
       IF(P108&gt;0,
            AVERAGE(P106,P108)*P109*AVERAGE(P107,P110,P111),
            P106*P107
       ),
       P108*P109*AVERAGE(P110:P111)
)</f>
        <v>0</v>
      </c>
      <c r="Q41" s="387"/>
      <c r="R41" s="387"/>
    </row>
    <row r="42" spans="2:27">
      <c r="B42" s="233" t="s">
        <v>307</v>
      </c>
      <c r="C42" s="389" t="s">
        <v>55</v>
      </c>
      <c r="D42" s="321">
        <f t="shared" ref="D42:L42" si="8">AVERAGE(D113:D119)</f>
        <v>4.8571428571428568</v>
      </c>
      <c r="E42" s="322">
        <f t="shared" si="8"/>
        <v>0</v>
      </c>
      <c r="F42" s="323">
        <f t="shared" si="8"/>
        <v>0</v>
      </c>
      <c r="G42" s="324">
        <f t="shared" si="8"/>
        <v>0</v>
      </c>
      <c r="H42" s="324">
        <f t="shared" si="8"/>
        <v>0</v>
      </c>
      <c r="I42" s="324">
        <f t="shared" si="8"/>
        <v>0</v>
      </c>
      <c r="J42" s="325">
        <f t="shared" si="8"/>
        <v>0</v>
      </c>
      <c r="K42" s="390">
        <f t="shared" si="8"/>
        <v>4.8571428571428568</v>
      </c>
      <c r="L42" s="391">
        <f t="shared" si="8"/>
        <v>0</v>
      </c>
      <c r="M42" s="214">
        <f>E42-J42</f>
        <v>0</v>
      </c>
      <c r="N42" s="373"/>
      <c r="P42" s="387">
        <f>P114*P115*P113*P118*AVERAGE(P116,P117,P119)</f>
        <v>0</v>
      </c>
      <c r="Q42" s="387"/>
      <c r="R42" s="387"/>
    </row>
    <row r="43" spans="2:27">
      <c r="B43" s="204"/>
      <c r="D43" s="392"/>
      <c r="E43" s="392"/>
      <c r="F43" s="392"/>
      <c r="H43" s="392"/>
      <c r="I43" s="392"/>
      <c r="J43" s="303"/>
      <c r="K43" s="392"/>
      <c r="L43" s="393"/>
      <c r="N43" s="373"/>
    </row>
    <row r="44" spans="2:27">
      <c r="B44" s="204"/>
      <c r="D44" s="392"/>
      <c r="E44" s="392"/>
      <c r="F44" s="392"/>
      <c r="H44" s="392"/>
      <c r="I44" s="392"/>
      <c r="J44" s="303"/>
      <c r="K44" s="392"/>
      <c r="L44" s="393"/>
      <c r="M44" s="367" t="s">
        <v>515</v>
      </c>
      <c r="N44" s="244" t="s">
        <v>324</v>
      </c>
      <c r="O44" s="394" t="s">
        <v>325</v>
      </c>
      <c r="P44" s="395"/>
      <c r="Q44" s="395"/>
      <c r="R44" s="395"/>
      <c r="S44" s="306" t="s">
        <v>80</v>
      </c>
      <c r="T44" s="21" t="s">
        <v>326</v>
      </c>
      <c r="U44" s="268" t="s">
        <v>1315</v>
      </c>
      <c r="V44" s="21"/>
      <c r="W44" s="21" t="s">
        <v>327</v>
      </c>
      <c r="X44" s="268" t="s">
        <v>1316</v>
      </c>
      <c r="Y44" s="306"/>
      <c r="Z44" s="21" t="s">
        <v>328</v>
      </c>
      <c r="AA44" s="268" t="s">
        <v>1317</v>
      </c>
    </row>
    <row r="45" spans="2:27">
      <c r="B45" s="396" t="s">
        <v>236</v>
      </c>
      <c r="C45" s="397" t="s">
        <v>703</v>
      </c>
      <c r="D45" s="294"/>
      <c r="E45" s="294"/>
      <c r="F45" s="294"/>
      <c r="G45" s="398"/>
      <c r="H45" s="294"/>
      <c r="I45" s="399"/>
      <c r="J45" s="306"/>
      <c r="K45" s="294"/>
      <c r="L45" s="399"/>
      <c r="M45" s="398"/>
      <c r="N45" s="400"/>
      <c r="O45" s="401"/>
      <c r="P45" s="402"/>
      <c r="Q45" s="402"/>
      <c r="R45" s="402"/>
      <c r="S45" s="306">
        <f>VLOOKUP(B45,Приоритет!$G$9:$K$52,5,0)</f>
        <v>1</v>
      </c>
      <c r="T45" s="403" t="str">
        <f>B45</f>
        <v>Защита от ВПО</v>
      </c>
      <c r="U45" s="250"/>
      <c r="V45" s="306">
        <f>S45+200</f>
        <v>201</v>
      </c>
      <c r="W45" s="403" t="str">
        <f>B45</f>
        <v>Защита от ВПО</v>
      </c>
      <c r="X45" s="250"/>
      <c r="Y45" s="306">
        <f>V45+100</f>
        <v>301</v>
      </c>
      <c r="Z45" s="403" t="str">
        <f>B45</f>
        <v>Защита от ВПО</v>
      </c>
      <c r="AA45" s="250"/>
    </row>
    <row r="46" spans="2:27" ht="41.4" outlineLevel="1">
      <c r="B46" s="254" t="s">
        <v>704</v>
      </c>
      <c r="C46" s="300" t="s">
        <v>705</v>
      </c>
      <c r="D46" s="256">
        <v>5</v>
      </c>
      <c r="E46" s="257">
        <v>5</v>
      </c>
      <c r="F46" s="258">
        <v>5</v>
      </c>
      <c r="G46" s="289"/>
      <c r="H46" s="289"/>
      <c r="I46" s="404"/>
      <c r="J46" s="286"/>
      <c r="K46" s="260">
        <f t="shared" ref="K46:K70" si="9">IF(ЦУКБ="КБ 1",F46, IF(ЦУКБ="КБ 2",E46,D46))</f>
        <v>5</v>
      </c>
      <c r="L46" s="405">
        <f>IF((СК="Да"), D46, N46/(100%)*5)</f>
        <v>0</v>
      </c>
      <c r="M46" s="367">
        <f t="shared" ref="M46:M108" si="10">L46-K46</f>
        <v>-5</v>
      </c>
      <c r="N46" s="291">
        <v>0</v>
      </c>
      <c r="O46" s="216" t="str">
        <f t="shared" ref="O46:O52" si="11">IF((СК="Да"),"Зона ответственности Сервисной компании", "")</f>
        <v/>
      </c>
      <c r="P46" s="262">
        <f t="shared" ref="P46:R72" si="12">IFERROR(IF($L46&gt;D46,1,$L46/D46),0)</f>
        <v>0</v>
      </c>
      <c r="Q46" s="262">
        <f t="shared" ref="Q46:Q53" si="13">IFERROR(IF($L46&gt;E46,1,$L46/E46),0)</f>
        <v>0</v>
      </c>
      <c r="R46" s="262">
        <f t="shared" ref="R46:R53" si="14">IFERROR(IF($L46&gt;F46,1,$L46/F46),0)</f>
        <v>0</v>
      </c>
      <c r="S46" s="406">
        <f t="shared" ref="S46:S53" si="15">S45+0.01</f>
        <v>1.01</v>
      </c>
      <c r="T46" s="264" t="str">
        <f>IF(($L46-$F46)&gt;=0,""," - Закупить средства АВЗ в объеме, достаточном для охвата инфраструктуры Общества")</f>
        <v xml:space="preserve"> - Закупить средства АВЗ в объеме, достаточном для охвата инфраструктуры Общества</v>
      </c>
      <c r="U46" s="657" t="s">
        <v>237</v>
      </c>
      <c r="V46" s="406">
        <f t="shared" ref="V46:V53" si="16">V45+0.01</f>
        <v>201.01</v>
      </c>
      <c r="W46" s="264" t="str">
        <f>IF(($L46-$E46)&gt;=0,"","")</f>
        <v/>
      </c>
      <c r="Y46" s="406">
        <f t="shared" ref="Y46:Y53" si="17">Y45+0.01</f>
        <v>301.01</v>
      </c>
      <c r="Z46" s="264" t="str">
        <f>IF(($L46-$D46)&gt;=0,"","")</f>
        <v/>
      </c>
    </row>
    <row r="47" spans="2:27" ht="31.2" outlineLevel="1">
      <c r="B47" s="254" t="s">
        <v>706</v>
      </c>
      <c r="C47" s="300" t="s">
        <v>707</v>
      </c>
      <c r="D47" s="256">
        <v>4.75</v>
      </c>
      <c r="E47" s="257">
        <v>4.5</v>
      </c>
      <c r="F47" s="258">
        <v>3.75</v>
      </c>
      <c r="G47" s="289"/>
      <c r="H47" s="289"/>
      <c r="I47" s="404"/>
      <c r="J47" s="286"/>
      <c r="K47" s="260">
        <f t="shared" si="9"/>
        <v>4.75</v>
      </c>
      <c r="L47" s="405">
        <f>IF((СК="Да"), D47, N47/(100%)*5)</f>
        <v>0</v>
      </c>
      <c r="M47" s="367">
        <f t="shared" si="10"/>
        <v>-4.75</v>
      </c>
      <c r="N47" s="291">
        <v>0</v>
      </c>
      <c r="O47" s="216" t="str">
        <f t="shared" si="11"/>
        <v/>
      </c>
      <c r="P47" s="262">
        <f t="shared" si="12"/>
        <v>0</v>
      </c>
      <c r="Q47" s="262">
        <f t="shared" si="13"/>
        <v>0</v>
      </c>
      <c r="R47" s="262">
        <f t="shared" si="14"/>
        <v>0</v>
      </c>
      <c r="S47" s="406">
        <f t="shared" si="15"/>
        <v>1.02</v>
      </c>
      <c r="T47" s="264" t="str">
        <f>IF(($L47-$F47)&gt;=0,"","- Обеспечить установку средств АВЗ не менее чем на 75% хостов инфраструктуры Общества")</f>
        <v>- Обеспечить установку средств АВЗ не менее чем на 75% хостов инфраструктуры Общества</v>
      </c>
      <c r="U47" s="642" t="s">
        <v>238</v>
      </c>
      <c r="V47" s="406">
        <f t="shared" si="16"/>
        <v>201.01999999999998</v>
      </c>
      <c r="W47" s="264" t="str">
        <f>IF(($L47-$E47)&gt;=0,"","- Обеспечить установку средств АВЗ не менее чем на 90% хостов инфраструктуры Общества")</f>
        <v>- Обеспечить установку средств АВЗ не менее чем на 90% хостов инфраструктуры Общества</v>
      </c>
      <c r="X47" s="642" t="s">
        <v>238</v>
      </c>
      <c r="Y47" s="406">
        <f t="shared" si="17"/>
        <v>301.02</v>
      </c>
      <c r="Z47" s="264" t="str">
        <f>IF(($L47-$D47)&gt;=0,"","- Обеспечить установку средств АВЗ не менее чем на 95% хостов инфраструктуры Общества")</f>
        <v>- Обеспечить установку средств АВЗ не менее чем на 95% хостов инфраструктуры Общества</v>
      </c>
      <c r="AA47" s="642" t="s">
        <v>238</v>
      </c>
    </row>
    <row r="48" spans="2:27" ht="55.2" outlineLevel="1">
      <c r="B48" s="254" t="s">
        <v>708</v>
      </c>
      <c r="C48" s="300" t="s">
        <v>709</v>
      </c>
      <c r="D48" s="256">
        <v>5</v>
      </c>
      <c r="E48" s="257">
        <v>5</v>
      </c>
      <c r="F48" s="258">
        <v>3.2</v>
      </c>
      <c r="G48" s="289"/>
      <c r="H48" s="289"/>
      <c r="I48" s="290"/>
      <c r="J48" s="286"/>
      <c r="K48" s="260">
        <f t="shared" si="9"/>
        <v>5</v>
      </c>
      <c r="L48" s="290">
        <f>IF((СК="Да"),D48,VALUE(LEFT(N48,3)))</f>
        <v>0</v>
      </c>
      <c r="M48" s="367">
        <f t="shared" si="10"/>
        <v>-5</v>
      </c>
      <c r="N48" s="269" t="s">
        <v>349</v>
      </c>
      <c r="O48" s="216" t="str">
        <f t="shared" si="11"/>
        <v/>
      </c>
      <c r="P48" s="262">
        <f t="shared" si="12"/>
        <v>0</v>
      </c>
      <c r="Q48" s="262">
        <f t="shared" si="13"/>
        <v>0</v>
      </c>
      <c r="R48" s="262">
        <f t="shared" si="14"/>
        <v>0</v>
      </c>
      <c r="S48" s="406">
        <f t="shared" si="15"/>
        <v>1.03</v>
      </c>
      <c r="T48" s="264" t="str">
        <f>IF(($L48-$F48)&gt;=0,"","- Создать систему централизованного управления средствами АВЗ и обеспечить подключение к ней основных элементов инфраструктуры")</f>
        <v>- Создать систему централизованного управления средствами АВЗ и обеспечить подключение к ней основных элементов инфраструктуры</v>
      </c>
      <c r="U48" s="642" t="s">
        <v>238</v>
      </c>
      <c r="V48" s="406">
        <f t="shared" si="16"/>
        <v>201.02999999999997</v>
      </c>
      <c r="W48" s="264" t="str">
        <f>IF(($L48-$E48)&gt;=0,"","- Обеспечить подключение к системе централизованного управления средствами АВЗ всех элементов инфраструктуры")</f>
        <v>- Обеспечить подключение к системе централизованного управления средствами АВЗ всех элементов инфраструктуры</v>
      </c>
      <c r="X48" s="642" t="s">
        <v>238</v>
      </c>
      <c r="Y48" s="406">
        <f t="shared" si="17"/>
        <v>301.02999999999997</v>
      </c>
      <c r="Z48" s="264" t="str">
        <f>IF(($L48-$D48)&gt;=0,"","")</f>
        <v/>
      </c>
    </row>
    <row r="49" spans="2:27" ht="193.2" outlineLevel="1">
      <c r="B49" s="254" t="s">
        <v>710</v>
      </c>
      <c r="C49" s="300" t="s">
        <v>711</v>
      </c>
      <c r="D49" s="256">
        <v>5</v>
      </c>
      <c r="E49" s="257">
        <v>5</v>
      </c>
      <c r="F49" s="258">
        <v>3.2</v>
      </c>
      <c r="G49" s="289"/>
      <c r="H49" s="289"/>
      <c r="I49" s="290"/>
      <c r="J49" s="286"/>
      <c r="K49" s="260">
        <f t="shared" si="9"/>
        <v>5</v>
      </c>
      <c r="L49" s="290">
        <f>IF((СК="Да"),D49,VALUE(LEFT(N49,3)))</f>
        <v>0</v>
      </c>
      <c r="M49" s="367">
        <f t="shared" si="10"/>
        <v>-5</v>
      </c>
      <c r="N49" s="269" t="s">
        <v>349</v>
      </c>
      <c r="O49" s="216" t="str">
        <f t="shared" si="11"/>
        <v/>
      </c>
      <c r="P49" s="262">
        <f t="shared" si="12"/>
        <v>0</v>
      </c>
      <c r="Q49" s="262">
        <f t="shared" si="13"/>
        <v>0</v>
      </c>
      <c r="R49" s="262">
        <f t="shared" si="14"/>
        <v>0</v>
      </c>
      <c r="S49" s="406">
        <f t="shared" si="15"/>
        <v>1.04</v>
      </c>
      <c r="T49" s="264" t="str">
        <f>IF(($L49-$F49)&gt;=0,"",
"- Получить в Блоке ИБ ПАО Ростелеком конфигурационные решения (КР) по настройке средств АВЗ"&amp;CHAR(10)&amp;CHAR(13)&amp;
"- Применить настройки средств АВЗ для рабочих станций" &amp;CHAR(10)&amp;CHAR(13)&amp; "- Применить настройки средств АВЗ для серверов"&amp;CHAR(10)&amp;CHAR(13)&amp;
"- Применить настройки средств АВЗ для почтовых серверов"
)</f>
        <v>- Получить в Блоке ИБ ПАО Ростелеком конфигурационные решения (КР) по настройке средств АВЗ
_x000D_- Применить настройки средств АВЗ для рабочих станций
_x000D_- Применить настройки средств АВЗ для серверов
_x000D_- Применить настройки средств АВЗ для почтовых серверов</v>
      </c>
      <c r="U49" s="642" t="s">
        <v>238</v>
      </c>
      <c r="V49" s="406">
        <f t="shared" si="16"/>
        <v>201.03999999999996</v>
      </c>
      <c r="W49" s="264" t="str">
        <f>IF(($L49-$E49)&gt;=0,"",
" Получить в Блоке ИБ ПАО Ростелеком конфигурационные решения (КР) по настройке средств АВЗ"&amp;CHAR(10)&amp;CHAR(13)&amp;
"- Применить настройки средств АВЗ для рабочих станций" &amp;CHAR(10)&amp;CHAR(13)&amp; "- Применить настройки средств АВЗ для серверов"&amp;CHAR(10)&amp;CHAR(13)&amp;
"- Применить настройки средств АВЗ для серверов СУБД" &amp;CHAR(10)&amp;CHAR(13)&amp;
"- Применить настройки средств АВЗ для платформ виртуализации"&amp;CHAR(10)&amp;CHAR(13)&amp;
"- Применить настройки средств АВЗ для прокси-серверов"&amp;CHAR(10)&amp;CHAR(13)&amp;
"- Применить настройки средств АВЗ для почтовых серверов")</f>
        <v xml:space="preserve"> Получить в Блоке ИБ ПАО Ростелеком конфигурационные решения (КР) по настройке средств АВЗ
_x000D_- Применить настройки средств АВЗ для рабочих станций
_x000D_- Применить настройки средств АВЗ для серверов
_x000D_- Применить настройки средств АВЗ для серверов СУБД
_x000D_- Применить настройки средств АВЗ для платформ виртуализации
_x000D_- Применить настройки средств АВЗ для прокси-серверов
_x000D_- Применить настройки средств АВЗ для почтовых серверов</v>
      </c>
      <c r="X49" s="642" t="s">
        <v>238</v>
      </c>
      <c r="Y49" s="406">
        <f t="shared" si="17"/>
        <v>301.03999999999996</v>
      </c>
      <c r="Z49" s="264" t="str">
        <f>IF(($L49-$D49)&gt;=0,"",""
)</f>
        <v/>
      </c>
    </row>
    <row r="50" spans="2:27" ht="82.8" outlineLevel="1">
      <c r="B50" s="254" t="s">
        <v>712</v>
      </c>
      <c r="C50" s="300" t="s">
        <v>713</v>
      </c>
      <c r="D50" s="256">
        <v>5</v>
      </c>
      <c r="E50" s="257">
        <v>5</v>
      </c>
      <c r="F50" s="258">
        <v>3.2</v>
      </c>
      <c r="G50" s="289"/>
      <c r="H50" s="289"/>
      <c r="I50" s="290"/>
      <c r="J50" s="286"/>
      <c r="K50" s="260">
        <f t="shared" si="9"/>
        <v>5</v>
      </c>
      <c r="L50" s="290">
        <f>IF((СК="Да"),D50,VALUE(LEFT(N50,3)))</f>
        <v>0</v>
      </c>
      <c r="M50" s="367">
        <f t="shared" si="10"/>
        <v>-5</v>
      </c>
      <c r="N50" s="269" t="s">
        <v>349</v>
      </c>
      <c r="O50" s="216" t="str">
        <f t="shared" si="11"/>
        <v/>
      </c>
      <c r="P50" s="262">
        <f t="shared" si="12"/>
        <v>0</v>
      </c>
      <c r="Q50" s="262">
        <f t="shared" si="13"/>
        <v>0</v>
      </c>
      <c r="R50" s="262">
        <f t="shared" si="14"/>
        <v>0</v>
      </c>
      <c r="S50" s="406">
        <f t="shared" si="15"/>
        <v>1.05</v>
      </c>
      <c r="T50" s="264" t="str">
        <f>IF(($L50-$F50)&gt;=0,"",
"- Получить в Блоке ИБ ПАО Ростелеком конфигурационные решения (КР) по архитектуре средств АВЗ"&amp;CHAR(10)&amp;CHAR(13)&amp;
"- Настроить средства  АВЗ  для рабочих станций, серверов, почтовых серверов в соответствии с КР"
)</f>
        <v>- Получить в Блоке ИБ ПАО Ростелеком конфигурационные решения (КР) по архитектуре средств АВЗ
_x000D_- Настроить средства  АВЗ  для рабочих станций, серверов, почтовых серверов в соответствии с КР</v>
      </c>
      <c r="U50" s="642" t="s">
        <v>238</v>
      </c>
      <c r="V50" s="406">
        <f t="shared" si="16"/>
        <v>201.04999999999995</v>
      </c>
      <c r="W50" s="264" t="str">
        <f>IF(($L50-$E50)&gt;=0,"","- Получить в Блоке ИБ ПАО Ростелеком конфигурационные решения (КР) по архитектуре средств АВЗ"&amp;CHAR(10)&amp;CHAR(13)&amp;
"- Настроить средства  АВЗ  для всей инфраструктуры в соответствии с КР")</f>
        <v>- Получить в Блоке ИБ ПАО Ростелеком конфигурационные решения (КР) по архитектуре средств АВЗ
_x000D_- Настроить средства  АВЗ  для всей инфраструктуры в соответствии с КР</v>
      </c>
      <c r="X50" s="642" t="s">
        <v>238</v>
      </c>
      <c r="Y50" s="406">
        <f t="shared" si="17"/>
        <v>301.04999999999995</v>
      </c>
      <c r="Z50" s="264" t="str">
        <f>IF(($L50-$D50)&gt;=0,"","")</f>
        <v/>
      </c>
    </row>
    <row r="51" spans="2:27" ht="124.2" outlineLevel="1">
      <c r="B51" s="254" t="s">
        <v>714</v>
      </c>
      <c r="C51" s="300" t="s">
        <v>715</v>
      </c>
      <c r="D51" s="256">
        <v>4</v>
      </c>
      <c r="E51" s="257">
        <v>3</v>
      </c>
      <c r="F51" s="258">
        <v>2</v>
      </c>
      <c r="G51" s="289"/>
      <c r="H51" s="289"/>
      <c r="I51" s="290"/>
      <c r="J51" s="286"/>
      <c r="K51" s="260">
        <f t="shared" si="9"/>
        <v>4</v>
      </c>
      <c r="L51" s="290">
        <f>IF((СК="Да"),D51,VALUE(LEFT(N51,3)))</f>
        <v>0</v>
      </c>
      <c r="M51" s="367">
        <f t="shared" si="10"/>
        <v>-4</v>
      </c>
      <c r="N51" s="269" t="s">
        <v>359</v>
      </c>
      <c r="O51" s="216" t="str">
        <f t="shared" si="11"/>
        <v/>
      </c>
      <c r="P51" s="262">
        <f t="shared" si="12"/>
        <v>0</v>
      </c>
      <c r="Q51" s="262">
        <f t="shared" si="13"/>
        <v>0</v>
      </c>
      <c r="R51" s="262">
        <f t="shared" si="14"/>
        <v>0</v>
      </c>
      <c r="S51" s="406">
        <f t="shared" si="15"/>
        <v>1.06</v>
      </c>
      <c r="T51" s="264" t="str">
        <f>IF(($L51-$F51)&gt;=0,"",
"- Разработать или Получить в Блоке ИБ ПАО Ростелеком типовое описание процесса контроля рабоспособности средств АВЗ"&amp;CHAR(10)&amp;CHAR(13)&amp;
"- Утвердить в Обществе ВНД, описывающий процесс контроля рабоспособности средств АВЗ"
)</f>
        <v>- Разработать или Получить в Блоке ИБ ПАО Ростелеком типовое описание процесса контроля рабоспособности средств АВЗ
_x000D_- Утвердить в Обществе ВНД, описывающий процесс контроля рабоспособности средств АВЗ</v>
      </c>
      <c r="U51" s="642" t="s">
        <v>249</v>
      </c>
      <c r="V51" s="406">
        <f t="shared" si="16"/>
        <v>201.05999999999995</v>
      </c>
      <c r="W51" s="264" t="str">
        <f>IF(($L51-$E51)&gt;=0,"",
"- Реализовать в Обществе процесс контроля рабоспособности средств АВЗ")</f>
        <v>- Реализовать в Обществе процесс контроля рабоспособности средств АВЗ</v>
      </c>
      <c r="X51" s="642" t="s">
        <v>238</v>
      </c>
      <c r="Y51" s="406">
        <f t="shared" si="17"/>
        <v>301.05999999999995</v>
      </c>
      <c r="Z51" s="264" t="str">
        <f>IF(($L51-$D51)&gt;=0,"",
"- Разработать систему метрик для процесса контроля рабоспособности средств АВЗ"&amp;CHAR(10)&amp;CHAR(13)&amp;
"- Создать средство визуального мониторинга параметров процесса контроля работоспособности средств АВЗ "&amp;CHAR(10)&amp;CHAR(13)&amp;
"- Реализовать мониторинг параметров процесса контроля работоспособности средств АВЗ"&amp;CHAR(10)&amp;CHAR(13)&amp;
"- Реализовать реагирование на факты отклонения параметров процесса контроля работоспособности средств АВЗ от определенных показателей"
)</f>
        <v>- Разработать систему метрик для процесса контроля рабоспособности средств АВЗ
_x000D_- Создать средство визуального мониторинга параметров процесса контроля работоспособности средств АВЗ 
_x000D_- Реализовать мониторинг параметров процесса контроля работоспособности средств АВЗ
_x000D_- Реализовать реагирование на факты отклонения параметров процесса контроля работоспособности средств АВЗ от определенных показателей</v>
      </c>
      <c r="AA51" s="642" t="s">
        <v>285</v>
      </c>
    </row>
    <row r="52" spans="2:27" ht="110.4" outlineLevel="1">
      <c r="B52" s="254" t="s">
        <v>716</v>
      </c>
      <c r="C52" s="300" t="s">
        <v>717</v>
      </c>
      <c r="D52" s="256">
        <v>4</v>
      </c>
      <c r="E52" s="257">
        <v>3</v>
      </c>
      <c r="F52" s="258">
        <v>2</v>
      </c>
      <c r="G52" s="289"/>
      <c r="H52" s="289"/>
      <c r="I52" s="290"/>
      <c r="J52" s="286"/>
      <c r="K52" s="260">
        <f t="shared" si="9"/>
        <v>4</v>
      </c>
      <c r="L52" s="290">
        <f>IF((СК="Да"),D52,VALUE(LEFT(N52,3)))</f>
        <v>0</v>
      </c>
      <c r="M52" s="367">
        <f t="shared" si="10"/>
        <v>-4</v>
      </c>
      <c r="N52" s="269" t="s">
        <v>359</v>
      </c>
      <c r="O52" s="216" t="str">
        <f t="shared" si="11"/>
        <v/>
      </c>
      <c r="P52" s="262">
        <f t="shared" si="12"/>
        <v>0</v>
      </c>
      <c r="Q52" s="262">
        <f t="shared" si="13"/>
        <v>0</v>
      </c>
      <c r="R52" s="262">
        <f t="shared" si="14"/>
        <v>0</v>
      </c>
      <c r="S52" s="406">
        <f t="shared" si="15"/>
        <v>1.07</v>
      </c>
      <c r="T52" s="264" t="str">
        <f>IF(($L52-$F52)&gt;=0,"",
"- Разработать или Получить в Блоке ИБ ПАО Ростелеком типовое описание процесса обновления средств АВЗ"&amp;CHAR(10)&amp;CHAR(13)&amp;
"- Утвердить в Обществе ВНД, описывающий процесс обновления средств АВЗ"
)</f>
        <v>- Разработать или Получить в Блоке ИБ ПАО Ростелеком типовое описание процесса обновления средств АВЗ
_x000D_- Утвердить в Обществе ВНД, описывающий процесс обновления средств АВЗ</v>
      </c>
      <c r="U52" s="642" t="s">
        <v>250</v>
      </c>
      <c r="V52" s="406">
        <f t="shared" si="16"/>
        <v>201.06999999999994</v>
      </c>
      <c r="W52" s="264" t="str">
        <f>IF(($L52-$E52)&gt;=0,"",
"- Реализовать в Обществе процесс обновления средств АВЗ")</f>
        <v>- Реализовать в Обществе процесс обновления средств АВЗ</v>
      </c>
      <c r="X52" s="642" t="s">
        <v>238</v>
      </c>
      <c r="Y52" s="406">
        <f t="shared" si="17"/>
        <v>301.06999999999994</v>
      </c>
      <c r="Z52" s="264" t="str">
        <f>IF(($L52-$D52)&gt;=0,"",
"- Разработать систему метрик для процесса обновления средств АВЗ"&amp;CHAR(10)&amp;CHAR(13)&amp;
"- Создать средство визуального мониторинга параметров процесса обновления средств АВЗ "&amp;CHAR(10)&amp;CHAR(13)&amp;
"- Реализовать мониторинг параметров процесса обновления средств АВЗ"&amp;CHAR(10)&amp;CHAR(13)&amp;
"- Реализовать реагирование на факты отклонения параметров процесса обновления средств АВЗ от определенных показателей"
)</f>
        <v>- Разработать систему метрик для процесса обновления средств АВЗ
_x000D_- Создать средство визуального мониторинга параметров процесса обновления средств АВЗ 
_x000D_- Реализовать мониторинг параметров процесса обновления средств АВЗ
_x000D_- Реализовать реагирование на факты отклонения параметров процесса обновления средств АВЗ от определенных показателей</v>
      </c>
      <c r="AA52" s="642" t="s">
        <v>285</v>
      </c>
    </row>
    <row r="53" spans="2:27" ht="124.2" outlineLevel="1">
      <c r="B53" s="254" t="s">
        <v>718</v>
      </c>
      <c r="C53" s="300" t="s">
        <v>719</v>
      </c>
      <c r="D53" s="256">
        <v>4</v>
      </c>
      <c r="E53" s="257">
        <v>3</v>
      </c>
      <c r="F53" s="258">
        <v>2</v>
      </c>
      <c r="G53" s="289"/>
      <c r="H53" s="289"/>
      <c r="I53" s="290"/>
      <c r="J53" s="286"/>
      <c r="K53" s="260">
        <f t="shared" si="9"/>
        <v>4</v>
      </c>
      <c r="L53" s="290">
        <f>IF((СК="Да"),1,VALUE(LEFT(N53,3)))</f>
        <v>0</v>
      </c>
      <c r="M53" s="367">
        <f t="shared" si="10"/>
        <v>-4</v>
      </c>
      <c r="N53" s="269" t="s">
        <v>359</v>
      </c>
      <c r="O53" s="216" t="str">
        <f>IF((СК="Да"),"Совместная зона ответственности ДЗО и Сервисной компании
(1 - при подключении к СК;
3 - после утверждения регламента взаимодействия СК - ДЗО в ДЗО;
4 - нет нарушений метрики ДЗО за оцениваемый период)", "")</f>
        <v/>
      </c>
      <c r="P53" s="262">
        <f t="shared" si="12"/>
        <v>0</v>
      </c>
      <c r="Q53" s="262">
        <f t="shared" si="13"/>
        <v>0</v>
      </c>
      <c r="R53" s="262">
        <f t="shared" si="14"/>
        <v>0</v>
      </c>
      <c r="S53" s="406">
        <f t="shared" si="15"/>
        <v>1.08</v>
      </c>
      <c r="T53" s="264" t="str">
        <f>IF(($L53-$F53)&gt;=0,"","- Разработать или Получить в Блоке ИБ ПАО Ростелеком типовое описание процесса реагирования на события средств АВЗ"&amp;CHAR(10)&amp;CHAR(13)&amp;
"- Утвердить в Обществе ВНД, описывающий процесс реагирования на события средств АВЗ"
)</f>
        <v>- Разработать или Получить в Блоке ИБ ПАО Ростелеком типовое описание процесса реагирования на события средств АВЗ
_x000D_- Утвердить в Обществе ВНД, описывающий процесс реагирования на события средств АВЗ</v>
      </c>
      <c r="U53" s="642" t="s">
        <v>251</v>
      </c>
      <c r="V53" s="406">
        <f t="shared" si="16"/>
        <v>201.07999999999993</v>
      </c>
      <c r="W53" s="264" t="str">
        <f>IF(($L53-$E53)&gt;=0,"",
"- Реализовать в Обществе процесс реагирования на события  средств АВЗ")</f>
        <v>- Реализовать в Обществе процесс реагирования на события  средств АВЗ</v>
      </c>
      <c r="X53" s="642" t="s">
        <v>238</v>
      </c>
      <c r="Y53" s="406">
        <f t="shared" si="17"/>
        <v>301.07999999999993</v>
      </c>
      <c r="Z53" s="264" t="str">
        <f>IF(($L53-$D53)&gt;=0,"",
"- Разработать систему метрик для процесса реагирования на события  средств АВЗ"&amp;CHAR(10)&amp;CHAR(13)&amp;
"- Создать средство визуального мониторинга параметров процесса реагирования на события  средств АВЗ "&amp;CHAR(10)&amp;CHAR(13)&amp;
"- Реализовать мониторинг параметров процесса реагирования на события  средств АВЗ"&amp;CHAR(10)&amp;CHAR(13)&amp;
"- Реализовать реагирование на факты отклонения параметров процесса реагирования на события средств АВЗ от определенных показателей"
)</f>
        <v>- Разработать систему метрик для процесса реагирования на события  средств АВЗ
_x000D_- Создать средство визуального мониторинга параметров процесса реагирования на события  средств АВЗ 
_x000D_- Реализовать мониторинг параметров процесса реагирования на события  средств АВЗ
_x000D_- Реализовать реагирование на факты отклонения параметров процесса реагирования на события средств АВЗ от определенных показателей</v>
      </c>
      <c r="AA53" s="642" t="s">
        <v>285</v>
      </c>
    </row>
    <row r="54" spans="2:27" ht="27.6">
      <c r="B54" s="305" t="s">
        <v>96</v>
      </c>
      <c r="C54" s="397" t="s">
        <v>45</v>
      </c>
      <c r="D54" s="294"/>
      <c r="E54" s="294"/>
      <c r="F54" s="294"/>
      <c r="G54" s="398"/>
      <c r="H54" s="294"/>
      <c r="I54" s="399"/>
      <c r="J54" s="306"/>
      <c r="K54" s="294"/>
      <c r="L54" s="399"/>
      <c r="M54" s="398"/>
      <c r="N54" s="400"/>
      <c r="O54" s="401"/>
      <c r="P54" s="402"/>
      <c r="Q54" s="402"/>
      <c r="R54" s="402"/>
      <c r="S54" s="306">
        <f>VLOOKUP(B54,Приоритет!$G$9:$K$52,5,0)</f>
        <v>2</v>
      </c>
      <c r="T54" s="407" t="str">
        <f>B54</f>
        <v>Двухфакторная аутентификация пользователей (2FA)</v>
      </c>
      <c r="U54" s="658"/>
      <c r="V54" s="306">
        <f t="shared" ref="V54:V112" si="18">S54+200</f>
        <v>202</v>
      </c>
      <c r="W54" s="407" t="str">
        <f>B54</f>
        <v>Двухфакторная аутентификация пользователей (2FA)</v>
      </c>
      <c r="X54" s="658"/>
      <c r="Y54" s="306">
        <f t="shared" ref="Y54:Y112" si="19">V54+100</f>
        <v>302</v>
      </c>
      <c r="Z54" s="407" t="str">
        <f>B54</f>
        <v>Двухфакторная аутентификация пользователей (2FA)</v>
      </c>
      <c r="AA54" s="658"/>
    </row>
    <row r="55" spans="2:27" ht="140.4" outlineLevel="1">
      <c r="B55" s="254" t="s">
        <v>720</v>
      </c>
      <c r="C55" s="300" t="s">
        <v>721</v>
      </c>
      <c r="D55" s="256">
        <v>5</v>
      </c>
      <c r="E55" s="257">
        <v>5</v>
      </c>
      <c r="F55" s="258">
        <v>5</v>
      </c>
      <c r="G55" s="289"/>
      <c r="H55" s="289"/>
      <c r="I55" s="290"/>
      <c r="J55" s="286"/>
      <c r="K55" s="260">
        <f t="shared" si="9"/>
        <v>5</v>
      </c>
      <c r="L55" s="405">
        <f>IF((СК="Да"), D55, N55/(100%)*5)</f>
        <v>0</v>
      </c>
      <c r="M55" s="367">
        <f t="shared" si="10"/>
        <v>-5</v>
      </c>
      <c r="N55" s="291">
        <v>0</v>
      </c>
      <c r="O55" s="216" t="str">
        <f t="shared" ref="O55:O61" si="20">IF((СК="Да"),"Зона ответственности Сервисной компании", "")</f>
        <v/>
      </c>
      <c r="P55" s="262">
        <f t="shared" si="12"/>
        <v>0</v>
      </c>
      <c r="Q55" s="262">
        <f t="shared" si="12"/>
        <v>0</v>
      </c>
      <c r="R55" s="262">
        <f t="shared" si="12"/>
        <v>0</v>
      </c>
      <c r="S55" s="406">
        <f>S54+0.01</f>
        <v>2.0099999999999998</v>
      </c>
      <c r="T55" s="292" t="str">
        <f>IF(($L55-$F55)&gt;=0,"",
" - Выбрать и протестировать OTP решения; 
  - Выполнить проектирование; 
  - Провести закупку и внедрение.
- Автоматизировать процесс выдачи и отзыва средств OTP")</f>
        <v xml:space="preserve"> - Выбрать и протестировать OTP решения; 
  - Выполнить проектирование; 
  - Провести закупку и внедрение.
- Автоматизировать процесс выдачи и отзыва средств OTP</v>
      </c>
      <c r="U55" s="659" t="s">
        <v>98</v>
      </c>
      <c r="V55" s="406">
        <f t="shared" si="18"/>
        <v>202.01</v>
      </c>
      <c r="W55" s="408" t="str">
        <f>IF(($L55-$E55)&gt;=0,"","")</f>
        <v/>
      </c>
      <c r="X55" s="659"/>
      <c r="Y55" s="406">
        <f t="shared" si="19"/>
        <v>302.01</v>
      </c>
      <c r="Z55" s="292" t="str">
        <f>IF(($L55-$D55)&gt;=0,"","")</f>
        <v/>
      </c>
      <c r="AA55" s="659"/>
    </row>
    <row r="56" spans="2:27" ht="109.2" outlineLevel="1">
      <c r="B56" s="254" t="s">
        <v>722</v>
      </c>
      <c r="C56" s="300" t="s">
        <v>723</v>
      </c>
      <c r="D56" s="256">
        <v>5</v>
      </c>
      <c r="E56" s="257">
        <v>5</v>
      </c>
      <c r="F56" s="258">
        <v>5</v>
      </c>
      <c r="G56" s="289"/>
      <c r="H56" s="289"/>
      <c r="I56" s="290"/>
      <c r="J56" s="286"/>
      <c r="K56" s="260">
        <f t="shared" si="9"/>
        <v>5</v>
      </c>
      <c r="L56" s="290">
        <f>IF((СК="Да"),D56,VALUE(LEFT(N56,3)))</f>
        <v>0</v>
      </c>
      <c r="M56" s="367">
        <f t="shared" si="10"/>
        <v>-5</v>
      </c>
      <c r="N56" s="269" t="s">
        <v>349</v>
      </c>
      <c r="O56" s="216" t="str">
        <f t="shared" si="20"/>
        <v/>
      </c>
      <c r="P56" s="262">
        <f t="shared" si="12"/>
        <v>0</v>
      </c>
      <c r="Q56" s="262">
        <f t="shared" si="12"/>
        <v>0</v>
      </c>
      <c r="R56" s="262">
        <f t="shared" si="12"/>
        <v>0</v>
      </c>
      <c r="S56" s="406">
        <f>S55+0.01</f>
        <v>2.0199999999999996</v>
      </c>
      <c r="T56" s="408" t="str">
        <f>IF(($L56-$F56)&gt;=0,""," - Внедрить OTP для системы удаленного доступа")</f>
        <v xml:space="preserve"> - Внедрить OTP для системы удаленного доступа</v>
      </c>
      <c r="U56" s="660" t="s">
        <v>100</v>
      </c>
      <c r="V56" s="406">
        <f t="shared" si="18"/>
        <v>202.02</v>
      </c>
      <c r="W56" s="408" t="str">
        <f>IF(($L56-$E56)&gt;=0,"","")</f>
        <v/>
      </c>
      <c r="X56" s="660"/>
      <c r="Y56" s="406">
        <f t="shared" si="19"/>
        <v>302.02</v>
      </c>
      <c r="Z56" s="292" t="str">
        <f>IF(($L56-$D56)&gt;=0,"","")</f>
        <v/>
      </c>
      <c r="AA56" s="660"/>
    </row>
    <row r="57" spans="2:27" ht="109.2" outlineLevel="1">
      <c r="B57" s="254" t="s">
        <v>724</v>
      </c>
      <c r="C57" s="300" t="s">
        <v>725</v>
      </c>
      <c r="D57" s="256">
        <v>5</v>
      </c>
      <c r="E57" s="257">
        <v>5</v>
      </c>
      <c r="F57" s="258">
        <v>5</v>
      </c>
      <c r="G57" s="289"/>
      <c r="H57" s="289"/>
      <c r="I57" s="290"/>
      <c r="J57" s="286"/>
      <c r="K57" s="260">
        <f t="shared" si="9"/>
        <v>5</v>
      </c>
      <c r="L57" s="290">
        <f>IF((СК="Да"),D57,VALUE(LEFT(N57,3)))</f>
        <v>0</v>
      </c>
      <c r="M57" s="367">
        <f t="shared" si="10"/>
        <v>-5</v>
      </c>
      <c r="N57" s="269" t="s">
        <v>349</v>
      </c>
      <c r="O57" s="216" t="str">
        <f t="shared" si="20"/>
        <v/>
      </c>
      <c r="P57" s="262">
        <f t="shared" si="12"/>
        <v>0</v>
      </c>
      <c r="Q57" s="262">
        <f t="shared" si="12"/>
        <v>0</v>
      </c>
      <c r="R57" s="262">
        <f t="shared" si="12"/>
        <v>0</v>
      </c>
      <c r="S57" s="406">
        <f>S56+0.01</f>
        <v>2.0299999999999994</v>
      </c>
      <c r="T57" s="409" t="str">
        <f>IF(($L57-$F57)&gt;=0,"","  - Внедрить OTP для всех подрядчиков, имеющих доступ в инфраструктуру Общества.")</f>
        <v xml:space="preserve">  - Внедрить OTP для всех подрядчиков, имеющих доступ в инфраструктуру Общества.</v>
      </c>
      <c r="U57" s="661" t="s">
        <v>100</v>
      </c>
      <c r="V57" s="406">
        <f t="shared" si="18"/>
        <v>202.03</v>
      </c>
      <c r="W57" s="409" t="str">
        <f>IF(($L57-$E57)&gt;=0,"","")</f>
        <v/>
      </c>
      <c r="X57" s="661"/>
      <c r="Y57" s="406">
        <f t="shared" si="19"/>
        <v>302.02999999999997</v>
      </c>
      <c r="Z57" s="292" t="str">
        <f>IF(($L57-$D57)&gt;=0,"","")</f>
        <v/>
      </c>
      <c r="AA57" s="661"/>
    </row>
    <row r="58" spans="2:27" ht="109.2" outlineLevel="1">
      <c r="B58" s="287" t="s">
        <v>726</v>
      </c>
      <c r="C58" s="300" t="s">
        <v>727</v>
      </c>
      <c r="D58" s="256">
        <v>5</v>
      </c>
      <c r="E58" s="257">
        <v>5</v>
      </c>
      <c r="F58" s="258">
        <v>5</v>
      </c>
      <c r="G58" s="289"/>
      <c r="H58" s="289"/>
      <c r="I58" s="290"/>
      <c r="J58" s="286"/>
      <c r="K58" s="260">
        <f t="shared" si="9"/>
        <v>5</v>
      </c>
      <c r="L58" s="290">
        <f>IF((СК="Да"),D58,VALUE(LEFT(N58,3)))</f>
        <v>0</v>
      </c>
      <c r="M58" s="367">
        <f t="shared" si="10"/>
        <v>-5</v>
      </c>
      <c r="N58" s="269" t="s">
        <v>349</v>
      </c>
      <c r="O58" s="216" t="str">
        <f t="shared" si="20"/>
        <v/>
      </c>
      <c r="P58" s="262">
        <f t="shared" si="12"/>
        <v>0</v>
      </c>
      <c r="Q58" s="262">
        <f t="shared" si="12"/>
        <v>0</v>
      </c>
      <c r="R58" s="262">
        <f t="shared" si="12"/>
        <v>0</v>
      </c>
      <c r="S58" s="406">
        <f>S57+0.01</f>
        <v>2.0399999999999991</v>
      </c>
      <c r="T58" s="408" t="str">
        <f>IF(($L58-$F58)&gt;=0,""," - Внедрить OTP для административного доступа к серверам ИС
 - Внедрить OTP для административного доступа к сетевому оборудованию.")</f>
        <v xml:space="preserve"> - Внедрить OTP для административного доступа к серверам ИС
 - Внедрить OTP для административного доступа к сетевому оборудованию.</v>
      </c>
      <c r="U58" s="660" t="s">
        <v>100</v>
      </c>
      <c r="V58" s="406">
        <f t="shared" si="18"/>
        <v>202.04</v>
      </c>
      <c r="W58" s="409" t="str">
        <f>IF(($L58-$E58)&gt;=0,"","")</f>
        <v/>
      </c>
      <c r="X58" s="660"/>
      <c r="Y58" s="406">
        <f t="shared" si="19"/>
        <v>302.03999999999996</v>
      </c>
      <c r="Z58" s="292" t="str">
        <f>IF(($L58-$D58)&gt;=0,"","")</f>
        <v/>
      </c>
      <c r="AA58" s="660"/>
    </row>
    <row r="59" spans="2:27" ht="27.6">
      <c r="B59" s="305" t="s">
        <v>101</v>
      </c>
      <c r="C59" s="397" t="s">
        <v>46</v>
      </c>
      <c r="D59" s="294"/>
      <c r="E59" s="294"/>
      <c r="F59" s="294"/>
      <c r="G59" s="398"/>
      <c r="H59" s="294"/>
      <c r="I59" s="399"/>
      <c r="J59" s="306"/>
      <c r="K59" s="294"/>
      <c r="L59" s="399"/>
      <c r="M59" s="398"/>
      <c r="N59" s="400"/>
      <c r="O59" s="401"/>
      <c r="P59" s="402"/>
      <c r="Q59" s="402"/>
      <c r="R59" s="402"/>
      <c r="S59" s="306">
        <f>VLOOKUP(B59,Приоритет!$G$9:$K$52,5,0)</f>
        <v>3</v>
      </c>
      <c r="T59" s="407" t="str">
        <f>B59</f>
        <v>Защита внешнего инфраструктурного периметра (CPT)</v>
      </c>
      <c r="U59" s="658"/>
      <c r="V59" s="306">
        <f t="shared" si="18"/>
        <v>203</v>
      </c>
      <c r="W59" s="407" t="str">
        <f>B59</f>
        <v>Защита внешнего инфраструктурного периметра (CPT)</v>
      </c>
      <c r="X59" s="658"/>
      <c r="Y59" s="306">
        <f t="shared" si="19"/>
        <v>303</v>
      </c>
      <c r="Z59" s="407" t="str">
        <f>B59</f>
        <v>Защита внешнего инфраструктурного периметра (CPT)</v>
      </c>
      <c r="AA59" s="658"/>
    </row>
    <row r="60" spans="2:27" ht="93.6" outlineLevel="1">
      <c r="B60" s="254" t="s">
        <v>728</v>
      </c>
      <c r="C60" s="300" t="s">
        <v>729</v>
      </c>
      <c r="D60" s="256">
        <v>5</v>
      </c>
      <c r="E60" s="257">
        <v>5</v>
      </c>
      <c r="F60" s="258">
        <v>5</v>
      </c>
      <c r="G60" s="289"/>
      <c r="H60" s="289"/>
      <c r="I60" s="404"/>
      <c r="J60" s="286"/>
      <c r="K60" s="260">
        <f t="shared" si="9"/>
        <v>5</v>
      </c>
      <c r="L60" s="405">
        <f>IF((СК="Да"), D60, N60/(100%)*5)</f>
        <v>0</v>
      </c>
      <c r="M60" s="367">
        <f t="shared" si="10"/>
        <v>-5</v>
      </c>
      <c r="N60" s="291">
        <v>0</v>
      </c>
      <c r="O60" s="216" t="str">
        <f t="shared" si="20"/>
        <v/>
      </c>
      <c r="P60" s="262">
        <f t="shared" si="12"/>
        <v>0</v>
      </c>
      <c r="Q60" s="262">
        <f t="shared" si="12"/>
        <v>0</v>
      </c>
      <c r="R60" s="262">
        <f t="shared" si="12"/>
        <v>0</v>
      </c>
      <c r="S60" s="406">
        <f>S59+0.01</f>
        <v>3.01</v>
      </c>
      <c r="T60" s="409" t="str">
        <f>IF(($L60-$F60)&gt;=0,""," - Приобрести средства CPT в достаточном объеме для контроля всех активов, опубликованных на периметре")</f>
        <v xml:space="preserve"> - Приобрести средства CPT в достаточном объеме для контроля всех активов, опубликованных на периметре</v>
      </c>
      <c r="U60" s="661" t="s">
        <v>102</v>
      </c>
      <c r="V60" s="406">
        <f t="shared" si="18"/>
        <v>203.01</v>
      </c>
      <c r="W60" s="408" t="str">
        <f>IF(($L60-$E60)&gt;=0,"","")</f>
        <v/>
      </c>
      <c r="X60" s="661"/>
      <c r="Y60" s="406">
        <f t="shared" si="19"/>
        <v>303.01</v>
      </c>
      <c r="Z60" s="408" t="str">
        <f>IF(($L60-$D60)&gt;=0,"","")</f>
        <v/>
      </c>
      <c r="AA60" s="661"/>
    </row>
    <row r="61" spans="2:27" ht="31.2" outlineLevel="1">
      <c r="B61" s="254" t="s">
        <v>730</v>
      </c>
      <c r="C61" s="300" t="s">
        <v>731</v>
      </c>
      <c r="D61" s="256">
        <v>5</v>
      </c>
      <c r="E61" s="257">
        <v>5</v>
      </c>
      <c r="F61" s="258">
        <v>5</v>
      </c>
      <c r="G61" s="289"/>
      <c r="H61" s="289"/>
      <c r="I61" s="404"/>
      <c r="J61" s="286"/>
      <c r="K61" s="260">
        <f t="shared" si="9"/>
        <v>5</v>
      </c>
      <c r="L61" s="405">
        <f>IF((СК="Да"), D61, N61/(100%)*5)</f>
        <v>0</v>
      </c>
      <c r="M61" s="367">
        <f t="shared" si="10"/>
        <v>-5</v>
      </c>
      <c r="N61" s="410">
        <v>0</v>
      </c>
      <c r="O61" s="216" t="str">
        <f t="shared" si="20"/>
        <v/>
      </c>
      <c r="P61" s="262">
        <f t="shared" si="12"/>
        <v>0</v>
      </c>
      <c r="Q61" s="262">
        <f t="shared" si="12"/>
        <v>0</v>
      </c>
      <c r="R61" s="262">
        <f t="shared" si="12"/>
        <v>0</v>
      </c>
      <c r="S61" s="406">
        <f>S60+0.01</f>
        <v>3.0199999999999996</v>
      </c>
      <c r="T61" s="432" t="str">
        <f>IF(($L61-$F61)&gt;=0,""," - Поставить периметр на контроль CPT")</f>
        <v xml:space="preserve"> - Поставить периметр на контроль CPT</v>
      </c>
      <c r="U61" s="667" t="s">
        <v>103</v>
      </c>
      <c r="V61" s="406">
        <f t="shared" si="18"/>
        <v>203.02</v>
      </c>
      <c r="W61" s="432" t="str">
        <f>IF(($L61-$E61)&gt;=0,"","")</f>
        <v/>
      </c>
      <c r="X61" s="667"/>
      <c r="Y61" s="406">
        <f t="shared" si="19"/>
        <v>303.02</v>
      </c>
      <c r="Z61" s="264" t="str">
        <f>IF(($L61-$D61)&gt;=0,"","")</f>
        <v/>
      </c>
      <c r="AA61" s="667"/>
    </row>
    <row r="62" spans="2:27" ht="110.4" outlineLevel="1">
      <c r="B62" s="254" t="s">
        <v>732</v>
      </c>
      <c r="C62" s="300" t="s">
        <v>733</v>
      </c>
      <c r="D62" s="256">
        <v>4</v>
      </c>
      <c r="E62" s="257">
        <v>3</v>
      </c>
      <c r="F62" s="258">
        <v>1</v>
      </c>
      <c r="G62" s="289"/>
      <c r="H62" s="289"/>
      <c r="I62" s="290"/>
      <c r="J62" s="286"/>
      <c r="K62" s="260">
        <f t="shared" si="9"/>
        <v>4</v>
      </c>
      <c r="L62" s="290">
        <f>IF((СК="Да"),F62,VALUE(LEFT(N62,3)))</f>
        <v>0</v>
      </c>
      <c r="M62" s="367">
        <f t="shared" si="10"/>
        <v>-4</v>
      </c>
      <c r="N62" s="269" t="s">
        <v>359</v>
      </c>
      <c r="O62" s="216" t="str">
        <f>IF((СК="Да"),"Совместная зона ответственности ДЗО и Сервисной компании
(1 - при подключении к СК;
3 - после утверждения регламента взаимодействия СК - ДЗО в ДЗО;
4 - нет нарушений метрики ДЗО за оцениваемый период)", "")</f>
        <v/>
      </c>
      <c r="P62" s="262">
        <f t="shared" si="12"/>
        <v>0</v>
      </c>
      <c r="Q62" s="262">
        <f t="shared" si="12"/>
        <v>0</v>
      </c>
      <c r="R62" s="262">
        <f t="shared" si="12"/>
        <v>0</v>
      </c>
      <c r="S62" s="406">
        <f>S61+0.01</f>
        <v>3.0299999999999994</v>
      </c>
      <c r="T62" s="409" t="str">
        <f>IF(($L62-$F62)&gt;=0,""," - Уязвимости High и Critical устраняются")</f>
        <v xml:space="preserve"> - Уязвимости High и Critical устраняются</v>
      </c>
      <c r="U62" s="661" t="s">
        <v>104</v>
      </c>
      <c r="V62" s="406">
        <f t="shared" si="18"/>
        <v>203.03</v>
      </c>
      <c r="W62" s="408" t="str">
        <f>IF(($L62-$E62)&gt;=0,"","Разработать или Получить в Блоке ИБ ПАО Ростелеком типовое описание процесса контроля уязвимостей"&amp;"
 - Реализовать в Обществе процесс управления уязвимостями на периметре. 
 - Автоматизировать процесс управления выявленными уязвимостями (учет, информирование, контроль устранения).")</f>
        <v>Разработать или Получить в Блоке ИБ ПАО Ростелеком типовое описание процесса контроля уязвимостей
 - Реализовать в Обществе процесс управления уязвимостями на периметре. 
 - Автоматизировать процесс управления выявленными уязвимостями (учет, информирование, контроль устранения).</v>
      </c>
      <c r="X62" s="661" t="s">
        <v>105</v>
      </c>
      <c r="Y62" s="406">
        <f t="shared" si="19"/>
        <v>303.02999999999997</v>
      </c>
      <c r="Z62" s="408" t="str">
        <f>IF(($L62-$D62)&gt;=0,""," - Разработать систему метрик для процесса CPT;
 - Создать средство визуального мониторинга параметров процесса CPT;"&amp;"
 - Реализовать мониторинг параметров процесса CPT;
 - Реализовать реагирование на факты отклонения параметров процесса CPT")</f>
        <v xml:space="preserve"> - Разработать систему метрик для процесса CPT;
 - Создать средство визуального мониторинга параметров процесса CPT;
 - Реализовать мониторинг параметров процесса CPT;
 - Реализовать реагирование на факты отклонения параметров процесса CPT</v>
      </c>
      <c r="AA62" s="661" t="s">
        <v>286</v>
      </c>
    </row>
    <row r="63" spans="2:27">
      <c r="B63" s="305" t="s">
        <v>113</v>
      </c>
      <c r="C63" s="397" t="s">
        <v>734</v>
      </c>
      <c r="D63" s="294"/>
      <c r="E63" s="294"/>
      <c r="F63" s="294"/>
      <c r="G63" s="398"/>
      <c r="H63" s="294"/>
      <c r="I63" s="399"/>
      <c r="J63" s="306"/>
      <c r="K63" s="294"/>
      <c r="L63" s="399"/>
      <c r="M63" s="398"/>
      <c r="N63" s="400"/>
      <c r="O63" s="401"/>
      <c r="P63" s="402"/>
      <c r="Q63" s="402"/>
      <c r="R63" s="402"/>
      <c r="S63" s="306">
        <f>VLOOKUP(B63,Приоритет!$G$9:$K$52,5,0)</f>
        <v>4</v>
      </c>
      <c r="T63" s="407" t="str">
        <f>B63</f>
        <v>Защита удаленного доступа (RA VPN)</v>
      </c>
      <c r="U63" s="658"/>
      <c r="V63" s="306">
        <f t="shared" si="18"/>
        <v>204</v>
      </c>
      <c r="W63" s="407" t="str">
        <f>B63</f>
        <v>Защита удаленного доступа (RA VPN)</v>
      </c>
      <c r="X63" s="658"/>
      <c r="Y63" s="306">
        <f t="shared" si="19"/>
        <v>304</v>
      </c>
      <c r="Z63" s="407" t="str">
        <f>B63</f>
        <v>Защита удаленного доступа (RA VPN)</v>
      </c>
      <c r="AA63" s="658"/>
    </row>
    <row r="64" spans="2:27" ht="41.4" outlineLevel="1">
      <c r="B64" s="254" t="s">
        <v>735</v>
      </c>
      <c r="C64" s="300" t="s">
        <v>736</v>
      </c>
      <c r="D64" s="256">
        <v>5</v>
      </c>
      <c r="E64" s="257">
        <v>5</v>
      </c>
      <c r="F64" s="258">
        <v>5</v>
      </c>
      <c r="G64" s="289"/>
      <c r="H64" s="289"/>
      <c r="I64" s="290"/>
      <c r="J64" s="286"/>
      <c r="K64" s="260">
        <f t="shared" si="9"/>
        <v>5</v>
      </c>
      <c r="L64" s="290">
        <f>IF((СК="Да"),D64,VALUE(LEFT(N64,3)))</f>
        <v>0</v>
      </c>
      <c r="M64" s="367">
        <f t="shared" si="10"/>
        <v>-5</v>
      </c>
      <c r="N64" s="269" t="s">
        <v>331</v>
      </c>
      <c r="O64" s="216" t="str">
        <f t="shared" ref="O64:O72" si="21">IF((СК="Да"),"Зона ответственности Сервисной компании", "")</f>
        <v/>
      </c>
      <c r="P64" s="262">
        <f t="shared" si="12"/>
        <v>0</v>
      </c>
      <c r="Q64" s="262">
        <f t="shared" si="12"/>
        <v>0</v>
      </c>
      <c r="R64" s="262">
        <f t="shared" si="12"/>
        <v>0</v>
      </c>
      <c r="S64" s="406">
        <f>S63+0.01</f>
        <v>4.01</v>
      </c>
      <c r="T64" s="408" t="str">
        <f>IF(($L64-$F64)&gt;=0,""," - Выбрать и протестировать решения RA VPN;
 - Выполнить проектирование;
 - Провести закупку и внедрение.")</f>
        <v xml:space="preserve"> - Выбрать и протестировать решения RA VPN;
 - Выполнить проектирование;
 - Провести закупку и внедрение.</v>
      </c>
      <c r="U64" s="660" t="s">
        <v>114</v>
      </c>
      <c r="V64" s="406">
        <f t="shared" si="18"/>
        <v>204.01</v>
      </c>
      <c r="W64" s="408" t="str">
        <f>IF(($L64-$E64)&gt;=0,"","")</f>
        <v/>
      </c>
      <c r="X64" s="660"/>
      <c r="Y64" s="406">
        <f t="shared" si="19"/>
        <v>304.01</v>
      </c>
      <c r="Z64" s="408" t="str">
        <f>IF(($L64-$D64)&gt;=0,"","")</f>
        <v/>
      </c>
      <c r="AA64" s="660"/>
    </row>
    <row r="65" spans="2:27" ht="193.2" outlineLevel="1">
      <c r="B65" s="254" t="s">
        <v>737</v>
      </c>
      <c r="C65" s="300" t="s">
        <v>738</v>
      </c>
      <c r="D65" s="256">
        <v>5</v>
      </c>
      <c r="E65" s="257">
        <v>5</v>
      </c>
      <c r="F65" s="258">
        <v>5</v>
      </c>
      <c r="G65" s="289"/>
      <c r="H65" s="289"/>
      <c r="I65" s="290"/>
      <c r="J65" s="286"/>
      <c r="K65" s="260">
        <f t="shared" si="9"/>
        <v>5</v>
      </c>
      <c r="L65" s="405">
        <f>IF((СК="Да"), D65, N65/(100%)*5)</f>
        <v>0</v>
      </c>
      <c r="M65" s="367">
        <f t="shared" si="10"/>
        <v>-5</v>
      </c>
      <c r="N65" s="291">
        <v>0</v>
      </c>
      <c r="O65" s="216" t="str">
        <f t="shared" si="21"/>
        <v/>
      </c>
      <c r="P65" s="262">
        <f t="shared" si="12"/>
        <v>0</v>
      </c>
      <c r="Q65" s="262">
        <f t="shared" si="12"/>
        <v>0</v>
      </c>
      <c r="R65" s="262">
        <f t="shared" si="12"/>
        <v>0</v>
      </c>
      <c r="S65" s="406">
        <f>S64+0.01</f>
        <v>4.0199999999999996</v>
      </c>
      <c r="T65" s="408" t="str">
        <f>IF(($L65-$F65)&gt;=0,""," - Обеспечить возможность удаленного подключения к инфраструктуре Общества только с использованием RA VPN;
 - VPN должны требовать двухфакторной аутентификации " &amp;"
- Контролировать и осуществлять мониторинг удаленных подключений;
 - Определить разрешения для удаленных подключений;
 - Определить требования по обеспечению  безопасности удаленных рабочих мест и обеспечить их выполнение;"&amp;"
 - Обеспечить обновление ПО и антивируса на удаленных устройствах.")</f>
        <v xml:space="preserve"> - Обеспечить возможность удаленного подключения к инфраструктуре Общества только с использованием RA VPN;
 - VPN должны требовать двухфакторной аутентификации 
- Контролировать и осуществлять мониторинг удаленных подключений;
 - Определить разрешения для удаленных подключений;
 - Определить требования по обеспечению  безопасности удаленных рабочих мест и обеспечить их выполнение;
 - Обеспечить обновление ПО и антивируса на удаленных устройствах.</v>
      </c>
      <c r="U65" s="660" t="s">
        <v>115</v>
      </c>
      <c r="V65" s="406">
        <f t="shared" si="18"/>
        <v>204.02</v>
      </c>
      <c r="W65" s="408" t="str">
        <f>IF(($L65-$E65)&gt;=0,"","")</f>
        <v/>
      </c>
      <c r="X65" s="660"/>
      <c r="Y65" s="406">
        <f t="shared" si="19"/>
        <v>304.02</v>
      </c>
      <c r="Z65" s="408" t="str">
        <f>IF(($L65-$D65)&gt;=0,"","")</f>
        <v/>
      </c>
      <c r="AA65" s="660"/>
    </row>
    <row r="66" spans="2:27" ht="96.6" outlineLevel="1">
      <c r="B66" s="254" t="s">
        <v>739</v>
      </c>
      <c r="C66" s="300" t="s">
        <v>740</v>
      </c>
      <c r="D66" s="256">
        <v>5</v>
      </c>
      <c r="E66" s="257">
        <v>5</v>
      </c>
      <c r="F66" s="258">
        <v>3.2</v>
      </c>
      <c r="G66" s="289"/>
      <c r="H66" s="289"/>
      <c r="I66" s="290"/>
      <c r="J66" s="286"/>
      <c r="K66" s="260">
        <f t="shared" si="9"/>
        <v>5</v>
      </c>
      <c r="L66" s="290">
        <f>IF((СК="Да"),D66,VALUE(LEFT(N66,3)))</f>
        <v>0</v>
      </c>
      <c r="M66" s="367">
        <f t="shared" si="10"/>
        <v>-5</v>
      </c>
      <c r="N66" s="269" t="s">
        <v>349</v>
      </c>
      <c r="O66" s="216" t="str">
        <f t="shared" si="21"/>
        <v/>
      </c>
      <c r="P66" s="262">
        <f t="shared" si="12"/>
        <v>0</v>
      </c>
      <c r="Q66" s="262">
        <f t="shared" si="12"/>
        <v>0</v>
      </c>
      <c r="R66" s="262">
        <f t="shared" si="12"/>
        <v>0</v>
      </c>
      <c r="S66" s="406">
        <f>S65+0.01</f>
        <v>4.0299999999999994</v>
      </c>
      <c r="T66" s="408" t="str">
        <f>IF(($L66-$F66)&gt;=0,""," - Создать систему централизованного управления средствами VPN и обеспечить подключение к ней всех средств VPN")</f>
        <v xml:space="preserve"> - Создать систему централизованного управления средствами VPN и обеспечить подключение к ней всех средств VPN</v>
      </c>
      <c r="U66" s="660" t="s">
        <v>116</v>
      </c>
      <c r="V66" s="406">
        <f t="shared" si="18"/>
        <v>204.03</v>
      </c>
      <c r="W66" s="408" t="str">
        <f>IF(($L66-$E66)&gt;=0,""," - Создать систему управления удаленными устройствами;
 - Обеспечить централизованное управление антивирусом, средствами защиты, ПО, политиками безопасности удаленных устройств;"&amp;"
 - Обеспечить возможность удаленного стирания конфиденциальных данных.")</f>
        <v xml:space="preserve"> - Создать систему управления удаленными устройствами;
 - Обеспечить централизованное управление антивирусом, средствами защиты, ПО, политиками безопасности удаленных устройств;
 - Обеспечить возможность удаленного стирания конфиденциальных данных.</v>
      </c>
      <c r="X66" s="660" t="s">
        <v>117</v>
      </c>
      <c r="Y66" s="406">
        <f t="shared" si="19"/>
        <v>304.02999999999997</v>
      </c>
      <c r="Z66" s="408" t="str">
        <f>IF(($L66-$D66)&gt;=0,"","")</f>
        <v/>
      </c>
      <c r="AA66" s="660"/>
    </row>
    <row r="67" spans="2:27" ht="27.6" outlineLevel="1">
      <c r="B67" s="254" t="s">
        <v>741</v>
      </c>
      <c r="C67" s="300" t="s">
        <v>742</v>
      </c>
      <c r="D67" s="256">
        <v>5</v>
      </c>
      <c r="E67" s="257">
        <v>5</v>
      </c>
      <c r="F67" s="258">
        <v>5</v>
      </c>
      <c r="G67" s="289"/>
      <c r="H67" s="289"/>
      <c r="I67" s="290"/>
      <c r="J67" s="286"/>
      <c r="K67" s="260">
        <f t="shared" si="9"/>
        <v>5</v>
      </c>
      <c r="L67" s="290">
        <f>IF((СК="Да"),D67,VALUE(LEFT(N67,3)))</f>
        <v>0</v>
      </c>
      <c r="M67" s="367">
        <f t="shared" si="10"/>
        <v>-5</v>
      </c>
      <c r="N67" s="269" t="s">
        <v>331</v>
      </c>
      <c r="O67" s="216" t="str">
        <f t="shared" si="21"/>
        <v/>
      </c>
      <c r="P67" s="262">
        <f t="shared" si="12"/>
        <v>0</v>
      </c>
      <c r="Q67" s="262">
        <f t="shared" si="12"/>
        <v>0</v>
      </c>
      <c r="R67" s="262">
        <f t="shared" si="12"/>
        <v>0</v>
      </c>
      <c r="S67" s="406">
        <f>S66+0.01</f>
        <v>4.0399999999999991</v>
      </c>
      <c r="T67" s="408" t="str">
        <f>IF(($L67-$F67)&gt;=0,""," - Необходимо внедрить и использовать сертифицированные VPN")</f>
        <v xml:space="preserve"> - Необходимо внедрить и использовать сертифицированные VPN</v>
      </c>
      <c r="U67" s="176" t="s">
        <v>118</v>
      </c>
      <c r="V67" s="406">
        <f t="shared" si="18"/>
        <v>204.04</v>
      </c>
      <c r="W67" s="408" t="str">
        <f>IF(($L67-$E67)&gt;=0,"","")</f>
        <v/>
      </c>
      <c r="X67" s="660"/>
      <c r="Y67" s="406">
        <f t="shared" si="19"/>
        <v>304.03999999999996</v>
      </c>
      <c r="Z67" s="408" t="str">
        <f>IF(($L67-$D67)&gt;=0,"","")</f>
        <v/>
      </c>
      <c r="AA67" s="660"/>
    </row>
    <row r="68" spans="2:27" ht="27.6">
      <c r="B68" s="305" t="s">
        <v>613</v>
      </c>
      <c r="C68" s="397" t="s">
        <v>208</v>
      </c>
      <c r="D68" s="294"/>
      <c r="E68" s="294"/>
      <c r="F68" s="294"/>
      <c r="G68" s="398"/>
      <c r="H68" s="294"/>
      <c r="I68" s="399"/>
      <c r="J68" s="306"/>
      <c r="K68" s="294"/>
      <c r="L68" s="399"/>
      <c r="M68" s="398"/>
      <c r="N68" s="400"/>
      <c r="O68" s="401"/>
      <c r="P68" s="402"/>
      <c r="Q68" s="402"/>
      <c r="R68" s="402"/>
      <c r="S68" s="306">
        <f>VLOOKUP(B68,Приоритет!$G$9:$K$52,5,0)</f>
        <v>5</v>
      </c>
      <c r="T68" s="407" t="str">
        <f>B68</f>
        <v>Средства криптографической защиты информации (СКЗИ ГОСТ)</v>
      </c>
      <c r="U68" s="658"/>
      <c r="V68" s="306">
        <f t="shared" si="18"/>
        <v>205</v>
      </c>
      <c r="W68" s="407" t="str">
        <f>B68</f>
        <v>Средства криптографической защиты информации (СКЗИ ГОСТ)</v>
      </c>
      <c r="X68" s="658"/>
      <c r="Y68" s="306">
        <f t="shared" si="19"/>
        <v>305</v>
      </c>
      <c r="Z68" s="407" t="str">
        <f>B68</f>
        <v>Средства криптографической защиты информации (СКЗИ ГОСТ)</v>
      </c>
      <c r="AA68" s="658"/>
    </row>
    <row r="69" spans="2:27" ht="124.8" outlineLevel="1">
      <c r="B69" s="287" t="s">
        <v>743</v>
      </c>
      <c r="C69" s="368" t="s">
        <v>744</v>
      </c>
      <c r="D69" s="256">
        <f>5*IF(СКЗИ="да",1,0)</f>
        <v>5</v>
      </c>
      <c r="E69" s="257">
        <f>5*IF(СКЗИ="да",1,0)</f>
        <v>5</v>
      </c>
      <c r="F69" s="258">
        <f>5*IF(СКЗИ="да",1,0)</f>
        <v>5</v>
      </c>
      <c r="G69" s="289"/>
      <c r="H69" s="289"/>
      <c r="I69" s="290"/>
      <c r="J69" s="286"/>
      <c r="K69" s="260">
        <f t="shared" si="9"/>
        <v>5</v>
      </c>
      <c r="L69" s="290">
        <f>IF((СК="Да"),D69,VALUE(LEFT(N69,3)))</f>
        <v>0</v>
      </c>
      <c r="M69" s="367">
        <f t="shared" si="10"/>
        <v>-5</v>
      </c>
      <c r="N69" s="269" t="s">
        <v>349</v>
      </c>
      <c r="O69" s="216" t="str">
        <f t="shared" si="21"/>
        <v/>
      </c>
      <c r="P69" s="262">
        <f t="shared" si="12"/>
        <v>0</v>
      </c>
      <c r="Q69" s="262">
        <f t="shared" si="12"/>
        <v>0</v>
      </c>
      <c r="R69" s="262">
        <f t="shared" si="12"/>
        <v>0</v>
      </c>
      <c r="S69" s="406">
        <f>S68+0.01</f>
        <v>5.01</v>
      </c>
      <c r="T69" s="409" t="str">
        <f>IF(($L69-$F69)&gt;=0,""," - Инвентаризовать все каналы связи между площадками и ЦОДами;
 - Спроектировать систему защиты каналов связи;"&amp;"
 - Закупить необходимое количество СКЗИ;
 -  Реализовать систему защиты;"&amp;"
 -  Обеспечить управление системой защиты и ее бесперебойную работу. ")</f>
        <v xml:space="preserve"> - Инвентаризовать все каналы связи между площадками и ЦОДами;
 - Спроектировать систему защиты каналов связи;
 - Закупить необходимое количество СКЗИ;
 -  Реализовать систему защиты;
 -  Обеспечить управление системой защиты и ее бесперебойную работу. </v>
      </c>
      <c r="U69" s="661" t="s">
        <v>257</v>
      </c>
      <c r="V69" s="406">
        <f t="shared" si="18"/>
        <v>205.01</v>
      </c>
      <c r="W69" s="408" t="str">
        <f>IF(($L69-$E69)&gt;=0,"","")</f>
        <v/>
      </c>
      <c r="X69" s="661"/>
      <c r="Y69" s="406">
        <f t="shared" si="19"/>
        <v>305.01</v>
      </c>
      <c r="Z69" s="408" t="str">
        <f>IF(($L69-$D69)&gt;=0,"","")</f>
        <v/>
      </c>
      <c r="AA69" s="661"/>
    </row>
    <row r="70" spans="2:27" ht="41.4" outlineLevel="1">
      <c r="B70" s="287" t="s">
        <v>745</v>
      </c>
      <c r="C70" s="368" t="s">
        <v>746</v>
      </c>
      <c r="D70" s="256">
        <f>5*IF(СКЗИ="да",1,0)</f>
        <v>5</v>
      </c>
      <c r="E70" s="257">
        <f>5*IF(СКЗИ="да",1,0)</f>
        <v>5</v>
      </c>
      <c r="F70" s="258">
        <f>3.2*IF(СКЗИ="да",1,0)</f>
        <v>3.2</v>
      </c>
      <c r="G70" s="289"/>
      <c r="H70" s="289"/>
      <c r="I70" s="290"/>
      <c r="J70" s="286"/>
      <c r="K70" s="260">
        <f t="shared" si="9"/>
        <v>5</v>
      </c>
      <c r="L70" s="290">
        <f>IF((СК="Да"),D70,VALUE(LEFT(N70,3)))</f>
        <v>0</v>
      </c>
      <c r="M70" s="367">
        <f t="shared" si="10"/>
        <v>-5</v>
      </c>
      <c r="N70" s="411" t="s">
        <v>349</v>
      </c>
      <c r="O70" s="216" t="str">
        <f t="shared" si="21"/>
        <v/>
      </c>
      <c r="P70" s="262">
        <f t="shared" si="12"/>
        <v>0</v>
      </c>
      <c r="Q70" s="262">
        <f t="shared" si="12"/>
        <v>0</v>
      </c>
      <c r="R70" s="262">
        <f t="shared" si="12"/>
        <v>0</v>
      </c>
      <c r="S70" s="406">
        <f>S69+0.01</f>
        <v>5.0199999999999996</v>
      </c>
      <c r="T70" s="409" t="str">
        <f>IF(($L70-$F70)&gt;=0,""," - Создать систему централизованного управления СКЗИ и обеспечить подключение к ней основных элементов инфраструктуры")</f>
        <v xml:space="preserve"> - Создать систему централизованного управления СКЗИ и обеспечить подключение к ней основных элементов инфраструктуры</v>
      </c>
      <c r="U70" s="661" t="s">
        <v>258</v>
      </c>
      <c r="V70" s="406">
        <f t="shared" si="18"/>
        <v>205.02</v>
      </c>
      <c r="W70" s="409" t="str">
        <f>IF(($L70-$E70)&gt;=0,""," - Обеспечить подключение к централизованному управлению всех СКЗИ.")</f>
        <v xml:space="preserve"> - Обеспечить подключение к централизованному управлению всех СКЗИ.</v>
      </c>
      <c r="X70" s="661" t="s">
        <v>258</v>
      </c>
      <c r="Y70" s="406">
        <f t="shared" si="19"/>
        <v>305.02</v>
      </c>
      <c r="Z70" s="408" t="str">
        <f>IF(($L70-$D70)&gt;=0,"","")</f>
        <v/>
      </c>
      <c r="AA70" s="661"/>
    </row>
    <row r="71" spans="2:27" outlineLevel="1">
      <c r="B71" s="412" t="s">
        <v>747</v>
      </c>
      <c r="C71" s="413" t="s">
        <v>748</v>
      </c>
      <c r="D71" s="414">
        <f>'Нормативное соответствие'!D45</f>
        <v>5</v>
      </c>
      <c r="E71" s="414">
        <f>'Нормативное соответствие'!E45</f>
        <v>5</v>
      </c>
      <c r="F71" s="414">
        <f>'Нормативное соответствие'!F45</f>
        <v>5</v>
      </c>
      <c r="G71" s="415"/>
      <c r="H71" s="415"/>
      <c r="I71" s="416"/>
      <c r="J71" s="417"/>
      <c r="K71" s="414">
        <f>'Нормативное соответствие'!K45</f>
        <v>5</v>
      </c>
      <c r="L71" s="416">
        <f>'Нормативное соответствие'!L45</f>
        <v>0</v>
      </c>
      <c r="M71" s="412"/>
      <c r="N71" s="418"/>
      <c r="O71" s="419"/>
      <c r="P71" s="262">
        <f t="shared" si="12"/>
        <v>0</v>
      </c>
      <c r="Q71" s="262">
        <f t="shared" si="12"/>
        <v>0</v>
      </c>
      <c r="R71" s="262">
        <f t="shared" si="12"/>
        <v>0</v>
      </c>
      <c r="S71" s="420">
        <f>S70+0.01</f>
        <v>5.0299999999999994</v>
      </c>
      <c r="T71" s="421"/>
      <c r="U71" s="662"/>
      <c r="V71" s="420">
        <f t="shared" si="18"/>
        <v>205.03</v>
      </c>
      <c r="W71" s="421"/>
      <c r="X71" s="662"/>
      <c r="Y71" s="420">
        <f t="shared" si="19"/>
        <v>305.02999999999997</v>
      </c>
      <c r="Z71" s="422"/>
      <c r="AA71" s="662"/>
    </row>
    <row r="72" spans="2:27" ht="27.6" outlineLevel="1">
      <c r="B72" s="287" t="s">
        <v>749</v>
      </c>
      <c r="C72" s="368" t="s">
        <v>750</v>
      </c>
      <c r="D72" s="256">
        <f>5*IF(СКЗИ="да",1,0)</f>
        <v>5</v>
      </c>
      <c r="E72" s="257">
        <f>5*IF(СКЗИ="да",1,0)</f>
        <v>5</v>
      </c>
      <c r="F72" s="258">
        <f>5*IF(СКЗИ="да",1,0)</f>
        <v>5</v>
      </c>
      <c r="G72" s="289"/>
      <c r="H72" s="289"/>
      <c r="I72" s="290"/>
      <c r="J72" s="286"/>
      <c r="K72" s="260">
        <f>IF(ЦУКБ="КБ 1",F72, IF(ЦУКБ="КБ 2",E72,D72))</f>
        <v>5</v>
      </c>
      <c r="L72" s="290">
        <f>IF((СК="Да"),D72,VALUE(LEFT(N72,3)))</f>
        <v>0</v>
      </c>
      <c r="M72" s="367">
        <f t="shared" si="10"/>
        <v>-5</v>
      </c>
      <c r="N72" s="423" t="s">
        <v>331</v>
      </c>
      <c r="O72" s="216" t="str">
        <f t="shared" si="21"/>
        <v/>
      </c>
      <c r="P72" s="262">
        <f t="shared" si="12"/>
        <v>0</v>
      </c>
      <c r="Q72" s="262">
        <f t="shared" si="12"/>
        <v>0</v>
      </c>
      <c r="R72" s="262">
        <f t="shared" si="12"/>
        <v>0</v>
      </c>
      <c r="S72" s="406">
        <f>S71+0.01</f>
        <v>5.0399999999999991</v>
      </c>
      <c r="T72" s="293" t="str">
        <f>IF(($L72-$F72)&gt;=0,""," - Необходимо внедрить и использовать сертифицированные СКЗИ")</f>
        <v xml:space="preserve"> - Необходимо внедрить и использовать сертифицированные СКЗИ</v>
      </c>
      <c r="U72" s="663" t="s">
        <v>259</v>
      </c>
      <c r="V72" s="406">
        <f t="shared" si="18"/>
        <v>205.04</v>
      </c>
      <c r="W72" s="292" t="str">
        <f>IF(($L72-$E72)&gt;=0,"","")</f>
        <v/>
      </c>
      <c r="X72" s="663"/>
      <c r="Y72" s="406">
        <f t="shared" si="19"/>
        <v>305.03999999999996</v>
      </c>
      <c r="Z72" s="292" t="str">
        <f>IF(($L72-$D72)&gt;=0,"","")</f>
        <v/>
      </c>
      <c r="AA72" s="663"/>
    </row>
    <row r="73" spans="2:27" ht="28.2">
      <c r="B73" s="305" t="s">
        <v>696</v>
      </c>
      <c r="C73" s="397" t="s">
        <v>239</v>
      </c>
      <c r="D73" s="294"/>
      <c r="E73" s="294"/>
      <c r="F73" s="294"/>
      <c r="G73" s="398"/>
      <c r="H73" s="294"/>
      <c r="I73" s="399"/>
      <c r="J73" s="306"/>
      <c r="K73" s="294"/>
      <c r="L73" s="399"/>
      <c r="M73" s="399"/>
      <c r="N73" s="400"/>
      <c r="O73" s="401"/>
      <c r="P73" s="402"/>
      <c r="Q73" s="402"/>
      <c r="R73" s="402"/>
      <c r="S73" s="306">
        <f>VLOOKUP(B73,Приоритет!$G$9:$K$52,5,0)</f>
        <v>13</v>
      </c>
      <c r="T73" s="407" t="s">
        <v>751</v>
      </c>
      <c r="U73" s="658"/>
      <c r="V73" s="306">
        <f t="shared" si="18"/>
        <v>213</v>
      </c>
      <c r="W73" s="407" t="str">
        <f>B73</f>
        <v>Мониторинг, обнаружение, анализ и реагирование на инциденты в информационных системах (SOC)</v>
      </c>
      <c r="X73" s="658"/>
      <c r="Y73" s="306">
        <f t="shared" si="19"/>
        <v>313</v>
      </c>
      <c r="Z73" s="407" t="str">
        <f>B73</f>
        <v>Мониторинг, обнаружение, анализ и реагирование на инциденты в информационных системах (SOC)</v>
      </c>
      <c r="AA73" s="658"/>
    </row>
    <row r="74" spans="2:27" outlineLevel="1">
      <c r="B74" s="341" t="str">
        <f>Мониторинг!B45</f>
        <v>SIEM (внедрение системы как СЗИ)</v>
      </c>
      <c r="C74" s="424" t="s">
        <v>752</v>
      </c>
      <c r="D74" s="425">
        <f>Мониторинг!D39</f>
        <v>4.9038461538461542</v>
      </c>
      <c r="E74" s="425">
        <f>Мониторинг!E39</f>
        <v>3.523076923076923</v>
      </c>
      <c r="F74" s="425">
        <f>Мониторинг!F39</f>
        <v>0</v>
      </c>
      <c r="G74" s="425" t="e">
        <f>AVERAGE(Мониторинг!G38:G40)</f>
        <v>#DIV/0!</v>
      </c>
      <c r="H74" s="425" t="e">
        <f>AVERAGE(Мониторинг!H38:H40)</f>
        <v>#DIV/0!</v>
      </c>
      <c r="I74" s="425" t="e">
        <f>AVERAGE(Мониторинг!I38:I40)</f>
        <v>#DIV/0!</v>
      </c>
      <c r="J74" s="425" t="e">
        <f>AVERAGE(Мониторинг!J38:J40)</f>
        <v>#DIV/0!</v>
      </c>
      <c r="K74" s="425">
        <f>Мониторинг!K39</f>
        <v>4.9038461538461542</v>
      </c>
      <c r="L74" s="425">
        <f>Мониторинг!L39</f>
        <v>0</v>
      </c>
      <c r="M74" s="367">
        <f>AVERAGE(Мониторинг!M38:M40)</f>
        <v>-4.6346153846153841</v>
      </c>
      <c r="N74" s="426"/>
      <c r="O74" s="427">
        <f>AVERAGE(Мониторинг!L38:L40)</f>
        <v>0</v>
      </c>
      <c r="P74" s="428">
        <f>Мониторинг!P39</f>
        <v>0</v>
      </c>
      <c r="Q74" s="428">
        <f>Мониторинг!Q39</f>
        <v>0</v>
      </c>
      <c r="R74" s="428"/>
      <c r="V74" s="429">
        <f t="shared" si="18"/>
        <v>200</v>
      </c>
      <c r="Y74" s="429">
        <f t="shared" si="19"/>
        <v>300</v>
      </c>
    </row>
    <row r="75" spans="2:27">
      <c r="B75" s="305" t="s">
        <v>753</v>
      </c>
      <c r="C75" s="397" t="s">
        <v>698</v>
      </c>
      <c r="D75" s="294"/>
      <c r="E75" s="294"/>
      <c r="F75" s="294"/>
      <c r="G75" s="398"/>
      <c r="H75" s="294"/>
      <c r="I75" s="399"/>
      <c r="J75" s="306"/>
      <c r="K75" s="294"/>
      <c r="L75" s="399"/>
      <c r="M75" s="398"/>
      <c r="N75" s="400"/>
      <c r="O75" s="401"/>
      <c r="P75" s="402"/>
      <c r="Q75" s="402"/>
      <c r="R75" s="402"/>
      <c r="S75" s="306">
        <f>VLOOKUP(B75,Приоритет!$G$9:$K$52,5,0)</f>
        <v>11</v>
      </c>
      <c r="T75" s="407" t="str">
        <f>B75</f>
        <v>Сетевая безопасность (МСЭ/NGFW)</v>
      </c>
      <c r="U75" s="658"/>
      <c r="V75" s="306">
        <f t="shared" si="18"/>
        <v>211</v>
      </c>
      <c r="W75" s="407" t="str">
        <f>B75</f>
        <v>Сетевая безопасность (МСЭ/NGFW)</v>
      </c>
      <c r="X75" s="658"/>
      <c r="Y75" s="306">
        <f t="shared" si="19"/>
        <v>311</v>
      </c>
      <c r="Z75" s="407" t="str">
        <f>B75</f>
        <v>Сетевая безопасность (МСЭ/NGFW)</v>
      </c>
      <c r="AA75" s="658"/>
    </row>
    <row r="76" spans="2:27" ht="124.2" outlineLevel="1">
      <c r="B76" s="287" t="s">
        <v>754</v>
      </c>
      <c r="C76" s="368" t="s">
        <v>755</v>
      </c>
      <c r="D76" s="256">
        <v>5</v>
      </c>
      <c r="E76" s="257">
        <v>5</v>
      </c>
      <c r="F76" s="258">
        <v>0</v>
      </c>
      <c r="G76" s="289"/>
      <c r="H76" s="289"/>
      <c r="I76" s="290"/>
      <c r="J76" s="286"/>
      <c r="K76" s="260">
        <f t="shared" ref="K76:K90" si="22">IF(ЦУКБ="КБ 1",F76, IF(ЦУКБ="КБ 2",E76,D76))</f>
        <v>5</v>
      </c>
      <c r="L76" s="290">
        <f t="shared" ref="L76:L84" si="23">IF((СК="Да"),D76,VALUE(LEFT(N76,3)))</f>
        <v>0</v>
      </c>
      <c r="M76" s="367">
        <f t="shared" si="10"/>
        <v>-5</v>
      </c>
      <c r="N76" s="269" t="s">
        <v>349</v>
      </c>
      <c r="O76" s="216" t="str">
        <f t="shared" ref="O76:O100" si="24">IF((СК="Да"),"Зона ответственности Сервисной компании", "")</f>
        <v/>
      </c>
      <c r="P76" s="262">
        <f t="shared" ref="P76:Q98" si="25">IFERROR(IF($L76&gt;D76,1,$L76/D76),0)</f>
        <v>0</v>
      </c>
      <c r="Q76" s="262">
        <f>IFERROR(IF($L76&gt;=E76,1,$L76/E76),0)</f>
        <v>0</v>
      </c>
      <c r="R76" s="262"/>
      <c r="S76" s="406">
        <f>S75+0.01</f>
        <v>11.01</v>
      </c>
      <c r="T76" s="292" t="str">
        <f>IF(($L76-$F76)&gt;=0,"",)</f>
        <v/>
      </c>
      <c r="U76" s="659"/>
      <c r="V76" s="406">
        <f t="shared" si="18"/>
        <v>211.01</v>
      </c>
      <c r="W76" s="292" t="str">
        <f>IF(($L76-$E76)&gt;=0,""," - Провести инвентаризацию периметральных устройств и каналов связи;
 - Сократить до минимума точки взаимодействия с внешними сетями;
 - Организовать сегменты DMZ и разместить в них серверы, взаимодействующие с внешними сетями;"&amp;"
 -  Спроектировать систему защиты с использованием NGFW. Закупить и внедрить NGFW. ")</f>
        <v xml:space="preserve"> - Провести инвентаризацию периметральных устройств и каналов связи;
 - Сократить до минимума точки взаимодействия с внешними сетями;
 - Организовать сегменты DMZ и разместить в них серверы, взаимодействующие с внешними сетями;
 -  Спроектировать систему защиты с использованием NGFW. Закупить и внедрить NGFW. </v>
      </c>
      <c r="X76" s="659" t="s">
        <v>107</v>
      </c>
      <c r="Y76" s="406">
        <f t="shared" si="19"/>
        <v>311.01</v>
      </c>
      <c r="Z76" s="292" t="str">
        <f>IF(($L76-$D76)&gt;=0,"","")</f>
        <v/>
      </c>
      <c r="AA76" s="659"/>
    </row>
    <row r="77" spans="2:27" ht="82.8" outlineLevel="1">
      <c r="B77" s="254" t="s">
        <v>756</v>
      </c>
      <c r="C77" s="368" t="s">
        <v>757</v>
      </c>
      <c r="D77" s="256">
        <v>5</v>
      </c>
      <c r="E77" s="257">
        <v>5</v>
      </c>
      <c r="F77" s="258">
        <v>0</v>
      </c>
      <c r="G77" s="289"/>
      <c r="H77" s="289"/>
      <c r="I77" s="290"/>
      <c r="J77" s="286"/>
      <c r="K77" s="260">
        <f t="shared" si="22"/>
        <v>5</v>
      </c>
      <c r="L77" s="290">
        <f t="shared" si="23"/>
        <v>0</v>
      </c>
      <c r="M77" s="367">
        <f t="shared" si="10"/>
        <v>-5</v>
      </c>
      <c r="N77" s="269" t="s">
        <v>349</v>
      </c>
      <c r="O77" s="216" t="str">
        <f t="shared" si="24"/>
        <v/>
      </c>
      <c r="P77" s="262">
        <f t="shared" si="25"/>
        <v>0</v>
      </c>
      <c r="Q77" s="262">
        <f>IFERROR(IF($L77&gt;=E77,1,$L77/E77),0)</f>
        <v>0</v>
      </c>
      <c r="R77" s="262"/>
      <c r="S77" s="406">
        <f>S76+0.01</f>
        <v>11.02</v>
      </c>
      <c r="T77" s="292" t="str">
        <f>IF(($L77-$F77)&gt;=0,"",)</f>
        <v/>
      </c>
      <c r="U77" s="659"/>
      <c r="V77" s="406">
        <f t="shared" si="18"/>
        <v>211.02</v>
      </c>
      <c r="W77" s="292" t="str">
        <f>IF(($L77-$E77)&gt;=0,""," - Определить уровни критичности и провести классификацию информационных активов;
 -  Организовать сетевые сегменты и разместить в них серверы с учетом уровня критичности;"&amp;"
 -  Реализовать разграничение доступа между сегментами с помощью межсетевых экранов.")</f>
        <v xml:space="preserve"> - Определить уровни критичности и провести классификацию информационных активов;
 -  Организовать сетевые сегменты и разместить в них серверы с учетом уровня критичности;
 -  Реализовать разграничение доступа между сегментами с помощью межсетевых экранов.</v>
      </c>
      <c r="X77" s="659" t="s">
        <v>108</v>
      </c>
      <c r="Y77" s="406">
        <f t="shared" si="19"/>
        <v>311.02</v>
      </c>
      <c r="Z77" s="292" t="str">
        <f>IF(($L77-$D77)&gt;=0,"","")</f>
        <v/>
      </c>
      <c r="AA77" s="659"/>
    </row>
    <row r="78" spans="2:27" ht="55.2" outlineLevel="1">
      <c r="B78" s="254" t="s">
        <v>758</v>
      </c>
      <c r="C78" s="368" t="s">
        <v>759</v>
      </c>
      <c r="D78" s="256">
        <v>5</v>
      </c>
      <c r="E78" s="257">
        <v>3.2</v>
      </c>
      <c r="F78" s="258">
        <v>0</v>
      </c>
      <c r="G78" s="289"/>
      <c r="H78" s="289"/>
      <c r="I78" s="290"/>
      <c r="J78" s="286"/>
      <c r="K78" s="260">
        <f t="shared" si="22"/>
        <v>5</v>
      </c>
      <c r="L78" s="290">
        <f t="shared" si="23"/>
        <v>0</v>
      </c>
      <c r="M78" s="367">
        <f t="shared" si="10"/>
        <v>-5</v>
      </c>
      <c r="N78" s="269" t="s">
        <v>349</v>
      </c>
      <c r="O78" s="216" t="str">
        <f t="shared" si="24"/>
        <v/>
      </c>
      <c r="P78" s="262">
        <f t="shared" si="25"/>
        <v>0</v>
      </c>
      <c r="Q78" s="262">
        <f>IFERROR(IF($L78&gt;=E78,1,$L78/E78),0)</f>
        <v>0</v>
      </c>
      <c r="R78" s="262"/>
      <c r="S78" s="406">
        <f>S77+0.01</f>
        <v>11.03</v>
      </c>
      <c r="T78" s="292" t="str">
        <f>IF(($L78-$F78)&gt;=0,"",)</f>
        <v/>
      </c>
      <c r="U78" s="659"/>
      <c r="V78" s="406">
        <f t="shared" si="18"/>
        <v>211.03</v>
      </c>
      <c r="W78" s="292" t="str">
        <f>IF(($L78-$E78)&gt;=0,""," - Создать систему централизованного управления МСЭ, обеспечить подключение к ней основных МСЭ. ")</f>
        <v xml:space="preserve"> - Создать систему централизованного управления МСЭ, обеспечить подключение к ней основных МСЭ. </v>
      </c>
      <c r="X78" s="659" t="s">
        <v>109</v>
      </c>
      <c r="Y78" s="406">
        <f t="shared" si="19"/>
        <v>311.02999999999997</v>
      </c>
      <c r="Z78" s="292" t="str">
        <f>IF(($L78-$D78)&gt;=0,""," - Подключить все МСЭ к системе централизованного управления. Реализовать процесс инвентаризации, контроля и аудита правил межсетевых экранов. Обеспечить актуальность правил МСЭ.")</f>
        <v xml:space="preserve"> - Подключить все МСЭ к системе централизованного управления. Реализовать процесс инвентаризации, контроля и аудита правил межсетевых экранов. Обеспечить актуальность правил МСЭ.</v>
      </c>
      <c r="AA78" s="659" t="s">
        <v>109</v>
      </c>
    </row>
    <row r="79" spans="2:27" ht="55.2" outlineLevel="1">
      <c r="B79" s="254" t="s">
        <v>760</v>
      </c>
      <c r="C79" s="368" t="s">
        <v>761</v>
      </c>
      <c r="D79" s="256">
        <v>5</v>
      </c>
      <c r="E79" s="257">
        <v>3.2</v>
      </c>
      <c r="F79" s="258">
        <v>0</v>
      </c>
      <c r="G79" s="289"/>
      <c r="H79" s="289"/>
      <c r="I79" s="290"/>
      <c r="J79" s="286"/>
      <c r="K79" s="260">
        <f t="shared" si="22"/>
        <v>5</v>
      </c>
      <c r="L79" s="290">
        <f t="shared" si="23"/>
        <v>0</v>
      </c>
      <c r="M79" s="367">
        <f t="shared" si="10"/>
        <v>-5</v>
      </c>
      <c r="N79" s="269" t="s">
        <v>349</v>
      </c>
      <c r="O79" s="216" t="str">
        <f t="shared" si="24"/>
        <v/>
      </c>
      <c r="P79" s="262">
        <f t="shared" si="25"/>
        <v>0</v>
      </c>
      <c r="Q79" s="262">
        <f>IFERROR(IF($L79&gt;=E79,1,$L79/E79),0)</f>
        <v>0</v>
      </c>
      <c r="R79" s="262"/>
      <c r="S79" s="406">
        <f>S78+0.01</f>
        <v>11.04</v>
      </c>
      <c r="T79" s="292" t="str">
        <f>IF(($L79-$F79)&gt;=0,"",)</f>
        <v/>
      </c>
      <c r="U79" s="659"/>
      <c r="V79" s="406">
        <f t="shared" si="18"/>
        <v>211.04</v>
      </c>
      <c r="W79" s="292" t="str">
        <f>IF(($L79-$E79)&gt;=0,""," - Получить в Блоке ИБ ПАО Ростелеком ТТР и реализовать рекомендуемые решения (в ограниченном объеме с учетом возможностей организации на уровне КБ2)")</f>
        <v xml:space="preserve"> - Получить в Блоке ИБ ПАО Ростелеком ТТР и реализовать рекомендуемые решения (в ограниченном объеме с учетом возможностей организации на уровне КБ2)</v>
      </c>
      <c r="X79" s="659" t="s">
        <v>109</v>
      </c>
      <c r="Y79" s="406">
        <f t="shared" si="19"/>
        <v>311.03999999999996</v>
      </c>
      <c r="Z79" s="292" t="str">
        <f>IF(($L79-$D79)&gt;=0,""," - Получить от Блока ИБ ТТР и реализовать рекомендуемые решения (в полном объеме)")</f>
        <v xml:space="preserve"> - Получить от Блока ИБ ТТР и реализовать рекомендуемые решения (в полном объеме)</v>
      </c>
      <c r="AA79" s="659" t="s">
        <v>109</v>
      </c>
    </row>
    <row r="80" spans="2:27" ht="27.6">
      <c r="B80" s="305" t="s">
        <v>110</v>
      </c>
      <c r="C80" s="397" t="s">
        <v>762</v>
      </c>
      <c r="D80" s="294"/>
      <c r="E80" s="294"/>
      <c r="F80" s="294"/>
      <c r="G80" s="398"/>
      <c r="H80" s="294"/>
      <c r="I80" s="399"/>
      <c r="J80" s="306"/>
      <c r="K80" s="294"/>
      <c r="L80" s="399"/>
      <c r="M80" s="398"/>
      <c r="N80" s="400"/>
      <c r="O80" s="401"/>
      <c r="P80" s="402"/>
      <c r="Q80" s="402"/>
      <c r="R80" s="402"/>
      <c r="S80" s="306">
        <f>VLOOKUP(B80,Приоритет!$G$9:$K$52,5,0)</f>
        <v>12</v>
      </c>
      <c r="T80" s="407" t="str">
        <f>B80</f>
        <v>Защита и фильтрация сетевого трафика (Прокси-сервер)</v>
      </c>
      <c r="U80" s="658"/>
      <c r="V80" s="306">
        <f t="shared" si="18"/>
        <v>212</v>
      </c>
      <c r="W80" s="407" t="str">
        <f>B80</f>
        <v>Защита и фильтрация сетевого трафика (Прокси-сервер)</v>
      </c>
      <c r="X80" s="658"/>
      <c r="Y80" s="306">
        <f t="shared" si="19"/>
        <v>312</v>
      </c>
      <c r="Z80" s="407" t="str">
        <f>B80</f>
        <v>Защита и фильтрация сетевого трафика (Прокси-сервер)</v>
      </c>
      <c r="AA80" s="658"/>
    </row>
    <row r="81" spans="2:27" ht="138" outlineLevel="1">
      <c r="B81" s="254" t="s">
        <v>763</v>
      </c>
      <c r="C81" s="300" t="s">
        <v>764</v>
      </c>
      <c r="D81" s="256">
        <v>5</v>
      </c>
      <c r="E81" s="257">
        <v>3.2</v>
      </c>
      <c r="F81" s="258">
        <v>0</v>
      </c>
      <c r="G81" s="430"/>
      <c r="H81" s="430"/>
      <c r="I81" s="290"/>
      <c r="J81" s="431"/>
      <c r="K81" s="260">
        <f t="shared" si="22"/>
        <v>5</v>
      </c>
      <c r="L81" s="290">
        <f t="shared" si="23"/>
        <v>0</v>
      </c>
      <c r="M81" s="367">
        <f t="shared" si="10"/>
        <v>-5</v>
      </c>
      <c r="N81" s="269" t="s">
        <v>349</v>
      </c>
      <c r="O81" s="216" t="str">
        <f t="shared" si="24"/>
        <v/>
      </c>
      <c r="P81" s="262">
        <f t="shared" si="25"/>
        <v>0</v>
      </c>
      <c r="Q81" s="262">
        <f t="shared" si="25"/>
        <v>0</v>
      </c>
      <c r="R81" s="262"/>
      <c r="S81" s="406">
        <f>S80+0.01</f>
        <v>12.01</v>
      </c>
      <c r="T81" s="292" t="str">
        <f>IF(($L81-$F81)&gt;=0,"",)</f>
        <v/>
      </c>
      <c r="U81" s="659"/>
      <c r="V81" s="406">
        <f t="shared" si="18"/>
        <v>212.01</v>
      </c>
      <c r="W81" s="293" t="str">
        <f>IF(($L81-$E81)&gt;=0,""," - Организовать доступ в интернет через прокси-сервер;
 - Блокировать доступ в интернет в обход прокси-сервера для всех соединений, кроме согласованных исключений;"&amp;"
 - Разработать или Получить в Блоке ИБ ПАО Ростелеком типовое описание организации доступа в интернет;
 - Утвердить в Обществе ВНД, описывающий организацию доступа в интернет.")</f>
        <v xml:space="preserve"> - Организовать доступ в интернет через прокси-сервер;
 - Блокировать доступ в интернет в обход прокси-сервера для всех соединений, кроме согласованных исключений;
 - Разработать или Получить в Блоке ИБ ПАО Ростелеком типовое описание организации доступа в интернет;
 - Утвердить в Обществе ВНД, описывающий организацию доступа в интернет.</v>
      </c>
      <c r="X81" s="659" t="s">
        <v>111</v>
      </c>
      <c r="Y81" s="406">
        <f t="shared" si="19"/>
        <v>312.01</v>
      </c>
      <c r="Z81" s="292" t="str">
        <f>IF(($L81-$D81)&gt;=0,""," - Обеспечить полное покрытие (все АРМ во всех подсетях должны взаимодействовать с интернетом через прокси) ")</f>
        <v xml:space="preserve"> - Обеспечить полное покрытие (все АРМ во всех подсетях должны взаимодействовать с интернетом через прокси) </v>
      </c>
      <c r="AA81" s="659" t="s">
        <v>112</v>
      </c>
    </row>
    <row r="82" spans="2:27" ht="41.4" outlineLevel="1">
      <c r="B82" s="254" t="s">
        <v>765</v>
      </c>
      <c r="C82" s="300" t="s">
        <v>766</v>
      </c>
      <c r="D82" s="256">
        <v>5</v>
      </c>
      <c r="E82" s="257">
        <v>3.2</v>
      </c>
      <c r="F82" s="258">
        <v>0</v>
      </c>
      <c r="G82" s="430"/>
      <c r="H82" s="430"/>
      <c r="I82" s="290"/>
      <c r="J82" s="431"/>
      <c r="K82" s="260">
        <f t="shared" si="22"/>
        <v>5</v>
      </c>
      <c r="L82" s="290">
        <f t="shared" si="23"/>
        <v>0</v>
      </c>
      <c r="M82" s="367">
        <f t="shared" si="10"/>
        <v>-5</v>
      </c>
      <c r="N82" s="269" t="s">
        <v>349</v>
      </c>
      <c r="O82" s="216" t="str">
        <f t="shared" si="24"/>
        <v/>
      </c>
      <c r="P82" s="262">
        <f t="shared" si="25"/>
        <v>0</v>
      </c>
      <c r="Q82" s="262">
        <f t="shared" si="25"/>
        <v>0</v>
      </c>
      <c r="R82" s="262"/>
      <c r="S82" s="406">
        <f>S81+0.01</f>
        <v>12.02</v>
      </c>
      <c r="T82" s="292" t="str">
        <f>IF(($L82-$F82)&gt;=0,"",)</f>
        <v/>
      </c>
      <c r="U82" s="659"/>
      <c r="V82" s="406">
        <f t="shared" si="18"/>
        <v>212.02</v>
      </c>
      <c r="W82" s="292" t="str">
        <f>IF(($L82-$E82)&gt;=0,""," - Определить и реализовать политики разграничения доступа к ресурсам интернета.
 - Блокировать доступ к вредоносным сайтам.")</f>
        <v xml:space="preserve"> - Определить и реализовать политики разграничения доступа к ресурсам интернета.
 - Блокировать доступ к вредоносным сайтам.</v>
      </c>
      <c r="X82" s="659" t="s">
        <v>112</v>
      </c>
      <c r="Y82" s="406">
        <f t="shared" si="19"/>
        <v>312.02</v>
      </c>
      <c r="Z82" s="292" t="str">
        <f>IF(($L82-$D82)&gt;=0,""," - Обеспечить обновление списков вредоносных сайтов")</f>
        <v xml:space="preserve"> - Обеспечить обновление списков вредоносных сайтов</v>
      </c>
      <c r="AA82" s="659" t="s">
        <v>112</v>
      </c>
    </row>
    <row r="83" spans="2:27" ht="55.2" outlineLevel="1">
      <c r="B83" s="254" t="s">
        <v>767</v>
      </c>
      <c r="C83" s="300" t="s">
        <v>768</v>
      </c>
      <c r="D83" s="256">
        <v>5</v>
      </c>
      <c r="E83" s="257">
        <v>2.5</v>
      </c>
      <c r="F83" s="258">
        <v>0</v>
      </c>
      <c r="G83" s="430"/>
      <c r="H83" s="430"/>
      <c r="I83" s="290"/>
      <c r="J83" s="431"/>
      <c r="K83" s="260">
        <f t="shared" si="22"/>
        <v>5</v>
      </c>
      <c r="L83" s="290">
        <f t="shared" si="23"/>
        <v>0</v>
      </c>
      <c r="M83" s="367">
        <f t="shared" si="10"/>
        <v>-5</v>
      </c>
      <c r="N83" s="269" t="s">
        <v>769</v>
      </c>
      <c r="O83" s="216" t="str">
        <f t="shared" si="24"/>
        <v/>
      </c>
      <c r="P83" s="262">
        <f t="shared" si="25"/>
        <v>0</v>
      </c>
      <c r="Q83" s="262">
        <f t="shared" si="25"/>
        <v>0</v>
      </c>
      <c r="R83" s="262"/>
      <c r="S83" s="406">
        <f>S82+0.01</f>
        <v>12.03</v>
      </c>
      <c r="T83" s="292" t="str">
        <f>IF(($L83-$F83)&gt;=0,"",)</f>
        <v/>
      </c>
      <c r="U83" s="659"/>
      <c r="V83" s="406">
        <f t="shared" si="18"/>
        <v>212.03</v>
      </c>
      <c r="W83" s="292" t="str">
        <f>IF(($L83-$E83)&gt;=0,""," - Спроектировать, закупить и внедрить средства анализа трафика на наличие вредоносного содержимого;
 - Контролировать трафик и блокировать ВПО;")</f>
        <v xml:space="preserve"> - Спроектировать, закупить и внедрить средства анализа трафика на наличие вредоносного содержимого;
 - Контролировать трафик и блокировать ВПО;</v>
      </c>
      <c r="X83" s="659" t="s">
        <v>112</v>
      </c>
      <c r="Y83" s="406">
        <f t="shared" si="19"/>
        <v>312.02999999999997</v>
      </c>
      <c r="Z83" s="292" t="str">
        <f>IF(($L83-$D83)&gt;=0,"","- Реализовать интеграцию с AD, применять политики доступа в интернет на основе групп AD")</f>
        <v>- Реализовать интеграцию с AD, применять политики доступа в интернет на основе групп AD</v>
      </c>
      <c r="AA83" s="659" t="s">
        <v>112</v>
      </c>
    </row>
    <row r="84" spans="2:27" ht="55.2" outlineLevel="1">
      <c r="B84" s="254" t="s">
        <v>760</v>
      </c>
      <c r="C84" s="300" t="s">
        <v>770</v>
      </c>
      <c r="D84" s="256">
        <v>5</v>
      </c>
      <c r="E84" s="257">
        <v>3.2</v>
      </c>
      <c r="F84" s="258">
        <v>0</v>
      </c>
      <c r="G84" s="430"/>
      <c r="H84" s="430"/>
      <c r="I84" s="290"/>
      <c r="J84" s="431"/>
      <c r="K84" s="260">
        <f t="shared" si="22"/>
        <v>5</v>
      </c>
      <c r="L84" s="290">
        <f t="shared" si="23"/>
        <v>0</v>
      </c>
      <c r="M84" s="367">
        <f t="shared" si="10"/>
        <v>-5</v>
      </c>
      <c r="N84" s="269" t="s">
        <v>349</v>
      </c>
      <c r="O84" s="216" t="str">
        <f t="shared" si="24"/>
        <v/>
      </c>
      <c r="P84" s="262">
        <f t="shared" si="25"/>
        <v>0</v>
      </c>
      <c r="Q84" s="262">
        <f t="shared" si="25"/>
        <v>0</v>
      </c>
      <c r="R84" s="262"/>
      <c r="S84" s="406">
        <f>S83+0.01</f>
        <v>12.04</v>
      </c>
      <c r="T84" s="292" t="str">
        <f>IF(($L84-$F84)&gt;=0,"",)</f>
        <v/>
      </c>
      <c r="U84" s="659"/>
      <c r="V84" s="406">
        <f t="shared" si="18"/>
        <v>212.04</v>
      </c>
      <c r="W84" s="292" t="str">
        <f>IF(($L84-$E84)&gt;=0,""," - Получить в Блоке ИБ ПАО Ростелеком ТТР и реализовать рекомендуемые решения (в ограниченном объеме с учетом возможностей организации на уровне КБ2)")</f>
        <v xml:space="preserve"> - Получить в Блоке ИБ ПАО Ростелеком ТТР и реализовать рекомендуемые решения (в ограниченном объеме с учетом возможностей организации на уровне КБ2)</v>
      </c>
      <c r="X84" s="659" t="s">
        <v>112</v>
      </c>
      <c r="Y84" s="406">
        <f t="shared" si="19"/>
        <v>312.03999999999996</v>
      </c>
      <c r="Z84" s="292" t="str">
        <f>IF(($L84-$D84)&gt;=0,""," - Получить от Блока ИБ ТТР и реализовать рекомендуемые решения (в полном объеме)")</f>
        <v xml:space="preserve"> - Получить от Блока ИБ ТТР и реализовать рекомендуемые решения (в полном объеме)</v>
      </c>
      <c r="AA84" s="659" t="s">
        <v>112</v>
      </c>
    </row>
    <row r="85" spans="2:27">
      <c r="B85" s="305" t="s">
        <v>252</v>
      </c>
      <c r="C85" s="397" t="s">
        <v>771</v>
      </c>
      <c r="D85" s="294"/>
      <c r="E85" s="294"/>
      <c r="F85" s="294"/>
      <c r="G85" s="398"/>
      <c r="H85" s="294"/>
      <c r="I85" s="399"/>
      <c r="J85" s="306"/>
      <c r="K85" s="294"/>
      <c r="L85" s="399"/>
      <c r="M85" s="398"/>
      <c r="N85" s="401"/>
      <c r="O85" s="401"/>
      <c r="P85" s="402"/>
      <c r="Q85" s="402"/>
      <c r="R85" s="402"/>
      <c r="S85" s="306">
        <f>VLOOKUP(B85,Приоритет!$G$9:$K$52,5,0)</f>
        <v>10</v>
      </c>
      <c r="T85" s="403" t="str">
        <f>B85</f>
        <v>Сканер уязвимостей</v>
      </c>
      <c r="U85" s="250"/>
      <c r="V85" s="306">
        <f t="shared" si="18"/>
        <v>210</v>
      </c>
      <c r="W85" s="403" t="str">
        <f>B85</f>
        <v>Сканер уязвимостей</v>
      </c>
      <c r="X85" s="250"/>
      <c r="Y85" s="306">
        <f t="shared" si="19"/>
        <v>310</v>
      </c>
      <c r="Z85" s="403" t="str">
        <f>B85</f>
        <v>Сканер уязвимостей</v>
      </c>
      <c r="AA85" s="250"/>
    </row>
    <row r="86" spans="2:27" ht="55.2" outlineLevel="1">
      <c r="B86" s="287" t="s">
        <v>772</v>
      </c>
      <c r="C86" s="300" t="s">
        <v>773</v>
      </c>
      <c r="D86" s="256">
        <v>5</v>
      </c>
      <c r="E86" s="257">
        <v>5</v>
      </c>
      <c r="F86" s="258">
        <v>0</v>
      </c>
      <c r="G86" s="289"/>
      <c r="H86" s="289"/>
      <c r="I86" s="404"/>
      <c r="J86" s="286"/>
      <c r="K86" s="260">
        <f t="shared" si="22"/>
        <v>5</v>
      </c>
      <c r="L86" s="405">
        <f>IF((СК="Да"), D86, N86/(100%)*5)</f>
        <v>0</v>
      </c>
      <c r="M86" s="367">
        <f t="shared" si="10"/>
        <v>-5</v>
      </c>
      <c r="N86" s="291">
        <v>0</v>
      </c>
      <c r="O86" s="216" t="str">
        <f t="shared" si="24"/>
        <v/>
      </c>
      <c r="P86" s="262">
        <f t="shared" si="25"/>
        <v>0</v>
      </c>
      <c r="Q86" s="262">
        <f t="shared" si="25"/>
        <v>0</v>
      </c>
      <c r="R86" s="262"/>
      <c r="S86" s="406">
        <f>S85+0.01</f>
        <v>10.01</v>
      </c>
      <c r="T86" s="292" t="str">
        <f>IF(($L86-$F86)&gt;=0,"",)</f>
        <v/>
      </c>
      <c r="U86" s="659"/>
      <c r="V86" s="406">
        <f t="shared" si="18"/>
        <v>210.01</v>
      </c>
      <c r="W86" s="292" t="str">
        <f>IF(($L86-$E86)&gt;=0,""," - Приобрести лицензии сканера уязвимостями в объеме, достаточном для полного покрытия всех видов активов + достаточный запас для текущего развития")</f>
        <v xml:space="preserve"> - Приобрести лицензии сканера уязвимостями в объеме, достаточном для полного покрытия всех видов активов + достаточный запас для текущего развития</v>
      </c>
      <c r="X86" s="659" t="s">
        <v>253</v>
      </c>
      <c r="Y86" s="406">
        <f t="shared" si="19"/>
        <v>310.01</v>
      </c>
      <c r="Z86" s="292" t="str">
        <f>IF(($L86-$D86)&gt;=0,"","")</f>
        <v/>
      </c>
      <c r="AA86" s="659"/>
    </row>
    <row r="87" spans="2:27" ht="55.2" outlineLevel="1">
      <c r="B87" s="287" t="s">
        <v>774</v>
      </c>
      <c r="C87" s="300" t="s">
        <v>775</v>
      </c>
      <c r="D87" s="256">
        <v>5</v>
      </c>
      <c r="E87" s="257">
        <v>3.2</v>
      </c>
      <c r="F87" s="258">
        <v>0</v>
      </c>
      <c r="G87" s="289"/>
      <c r="H87" s="289"/>
      <c r="I87" s="404"/>
      <c r="J87" s="286"/>
      <c r="K87" s="260">
        <f t="shared" si="22"/>
        <v>5</v>
      </c>
      <c r="L87" s="405">
        <f>IF((СК="Да"), D87, N87/(100%)*5)</f>
        <v>0</v>
      </c>
      <c r="M87" s="367">
        <f t="shared" si="10"/>
        <v>-5</v>
      </c>
      <c r="N87" s="410">
        <v>0</v>
      </c>
      <c r="O87" s="216" t="str">
        <f t="shared" si="24"/>
        <v/>
      </c>
      <c r="P87" s="262">
        <f t="shared" si="25"/>
        <v>0</v>
      </c>
      <c r="Q87" s="262">
        <f t="shared" si="25"/>
        <v>0</v>
      </c>
      <c r="R87" s="262"/>
      <c r="S87" s="406">
        <f>S86+0.01</f>
        <v>10.02</v>
      </c>
      <c r="T87" s="292" t="str">
        <f>IF(($L87-$F87)&gt;=0,"",)</f>
        <v/>
      </c>
      <c r="U87" s="659"/>
      <c r="V87" s="406">
        <f t="shared" si="18"/>
        <v>210.02</v>
      </c>
      <c r="W87" s="292" t="str">
        <f>IF(($L87-$E87)&gt;=0,""," - Внедрить сканеры уязвимостей;
 - Реализовать процесс регулярного сканирования не менее 64% активов всех видов (ОС, прикладные средства, сетевые устройства, АРМ)")</f>
        <v xml:space="preserve"> - Внедрить сканеры уязвимостей;
 - Реализовать процесс регулярного сканирования не менее 64% активов всех видов (ОС, прикладные средства, сетевые устройства, АРМ)</v>
      </c>
      <c r="X87" s="659" t="s">
        <v>254</v>
      </c>
      <c r="Y87" s="406">
        <f t="shared" si="19"/>
        <v>310.02</v>
      </c>
      <c r="Z87" s="292" t="str">
        <f>IF(($L87-$D87)&gt;=0,""," - Реализовать процесс регулярного сканирования 100% активов.")</f>
        <v xml:space="preserve"> - Реализовать процесс регулярного сканирования 100% активов.</v>
      </c>
      <c r="AA87" s="659" t="s">
        <v>254</v>
      </c>
    </row>
    <row r="88" spans="2:27" ht="165.6" outlineLevel="1">
      <c r="B88" s="287" t="s">
        <v>776</v>
      </c>
      <c r="C88" s="300" t="s">
        <v>777</v>
      </c>
      <c r="D88" s="256">
        <v>4</v>
      </c>
      <c r="E88" s="257">
        <v>3</v>
      </c>
      <c r="F88" s="258">
        <v>0</v>
      </c>
      <c r="G88" s="290"/>
      <c r="H88" s="289"/>
      <c r="I88" s="290"/>
      <c r="J88" s="259"/>
      <c r="K88" s="260">
        <f t="shared" si="22"/>
        <v>4</v>
      </c>
      <c r="L88" s="290">
        <f>IF((СК="Да"),D88,VALUE(LEFT(N88,3)))</f>
        <v>0</v>
      </c>
      <c r="M88" s="367">
        <f t="shared" si="10"/>
        <v>-4</v>
      </c>
      <c r="N88" s="423" t="s">
        <v>359</v>
      </c>
      <c r="O88" s="216" t="str">
        <f t="shared" si="24"/>
        <v/>
      </c>
      <c r="P88" s="262">
        <f t="shared" si="25"/>
        <v>0</v>
      </c>
      <c r="Q88" s="262">
        <f t="shared" si="25"/>
        <v>0</v>
      </c>
      <c r="R88" s="262"/>
      <c r="S88" s="406">
        <f>S87+0.01</f>
        <v>10.029999999999999</v>
      </c>
      <c r="T88" s="292" t="str">
        <f>IF(($L88-$F88)&gt;=0,"",)</f>
        <v/>
      </c>
      <c r="U88" s="659"/>
      <c r="V88" s="406">
        <f t="shared" si="18"/>
        <v>210.03</v>
      </c>
      <c r="W88" s="292" t="str">
        <f>IF(($L88-$E88)&gt;=0,""," - Разработать или Получить в Блоке ИБ ПАО Ростелеком типовое описание процесса управления уязвимостями;
 -  Реализовать процесс управления уязвимостями;"&amp;" 
 - Обеспечить устранение или митигацию всех выявленных уязвимостей;
 - Обеспечить устранение уязвимостей критичного уровня в срок не более 3 рабочих дней при их обнаружении.")</f>
        <v xml:space="preserve"> - Разработать или Получить в Блоке ИБ ПАО Ростелеком типовое описание процесса управления уязвимостями;
 -  Реализовать процесс управления уязвимостями; 
 - Обеспечить устранение или митигацию всех выявленных уязвимостей;
 - Обеспечить устранение уязвимостей критичного уровня в срок не более 3 рабочих дней при их обнаружении.</v>
      </c>
      <c r="X88" s="659" t="s">
        <v>256</v>
      </c>
      <c r="Y88" s="406">
        <f t="shared" si="19"/>
        <v>310.02999999999997</v>
      </c>
      <c r="Z88" s="292" t="str">
        <f>IF(($L88-$D88)&gt;=0,""," - Автоматизировать процесс управления уязвимостями. Обеспечить устранение уязвимостей критичного уровня в срок не более 24 часов, высокого уровня в срок не более 72 часов;"&amp;"
 - Разработать систему метрик для процесса управления уязвимостями;
 - Создать средство визуального мониторинга параметров процесса управления уязвимостями;
 - Реализовать мониторинг параметров процесса управления уязвимостями;"&amp;"
 - Реализовать реагирование на факты отклонения параметров процесса управления уязвимостями от определенных показателей.")</f>
        <v xml:space="preserve"> - Автоматизировать процесс управления уязвимостями. Обеспечить устранение уязвимостей критичного уровня в срок не более 24 часов, высокого уровня в срок не более 72 часов;
 - Разработать систему метрик для процесса управления уязвимостями;
 - Создать средство визуального мониторинга параметров процесса управления уязвимостями;
 - Реализовать мониторинг параметров процесса управления уязвимостями;
 - Реализовать реагирование на факты отклонения параметров процесса управления уязвимостями от определенных показателей.</v>
      </c>
      <c r="AA88" s="659" t="s">
        <v>291</v>
      </c>
    </row>
    <row r="89" spans="2:27">
      <c r="B89" s="305" t="s">
        <v>260</v>
      </c>
      <c r="C89" s="397" t="s">
        <v>701</v>
      </c>
      <c r="D89" s="294"/>
      <c r="E89" s="294"/>
      <c r="F89" s="294"/>
      <c r="G89" s="398"/>
      <c r="H89" s="294"/>
      <c r="I89" s="399"/>
      <c r="J89" s="306"/>
      <c r="K89" s="294"/>
      <c r="L89" s="399"/>
      <c r="M89" s="398"/>
      <c r="N89" s="401"/>
      <c r="O89" s="401"/>
      <c r="P89" s="402"/>
      <c r="Q89" s="402"/>
      <c r="R89" s="402"/>
      <c r="S89" s="306">
        <f>VLOOKUP(B89,Приоритет!$G$9:$K$52,5,0)</f>
        <v>19</v>
      </c>
      <c r="T89" s="407" t="str">
        <f>B89</f>
        <v>Защита от вредоносного трафика (Anti-DDoS)</v>
      </c>
      <c r="U89" s="658"/>
      <c r="V89" s="306">
        <f t="shared" si="18"/>
        <v>219</v>
      </c>
      <c r="W89" s="407" t="str">
        <f>B89</f>
        <v>Защита от вредоносного трафика (Anti-DDoS)</v>
      </c>
      <c r="X89" s="658"/>
      <c r="Y89" s="306">
        <f t="shared" si="19"/>
        <v>319</v>
      </c>
      <c r="Z89" s="407" t="str">
        <f>B89</f>
        <v>Защита от вредоносного трафика (Anti-DDoS)</v>
      </c>
      <c r="AA89" s="658"/>
    </row>
    <row r="90" spans="2:27" ht="58.5" customHeight="1" outlineLevel="1">
      <c r="B90" s="632" t="s">
        <v>1294</v>
      </c>
      <c r="C90" s="432" t="s">
        <v>778</v>
      </c>
      <c r="D90" s="256">
        <v>5</v>
      </c>
      <c r="E90" s="257">
        <v>3.2</v>
      </c>
      <c r="F90" s="258">
        <v>0</v>
      </c>
      <c r="G90" s="290"/>
      <c r="H90" s="242"/>
      <c r="I90" s="290"/>
      <c r="J90" s="259"/>
      <c r="K90" s="260">
        <f t="shared" si="22"/>
        <v>5</v>
      </c>
      <c r="L90" s="290">
        <f>IF((СК="Да"),D90,VALUE(LEFT(N90,3)))</f>
        <v>0</v>
      </c>
      <c r="M90" s="367">
        <f t="shared" si="10"/>
        <v>-5</v>
      </c>
      <c r="N90" s="261" t="s">
        <v>331</v>
      </c>
      <c r="O90" s="216" t="str">
        <f t="shared" si="24"/>
        <v/>
      </c>
      <c r="P90" s="262">
        <f t="shared" si="25"/>
        <v>0</v>
      </c>
      <c r="Q90" s="262">
        <f t="shared" si="25"/>
        <v>0</v>
      </c>
      <c r="R90" s="262"/>
      <c r="S90" s="406">
        <f>S89+0.01</f>
        <v>19.010000000000002</v>
      </c>
      <c r="T90" s="292" t="str">
        <f>IF(($L90-$F90)&gt;=0,"",)</f>
        <v/>
      </c>
      <c r="U90" s="659"/>
      <c r="V90" s="406">
        <f t="shared" si="18"/>
        <v>219.01</v>
      </c>
      <c r="W90" s="293" t="str">
        <f>IF(($L90-$E90)&gt;=0,""," - Внедрить решение или подключить сервис по защите от DDoS для критичных ИА на сетевом и транспорном уровне")</f>
        <v xml:space="preserve"> - Внедрить решение или подключить сервис по защите от DDoS для критичных ИА на сетевом и транспорном уровне</v>
      </c>
      <c r="X90" s="659" t="s">
        <v>1295</v>
      </c>
      <c r="Y90" s="406">
        <f t="shared" si="19"/>
        <v>319.01</v>
      </c>
      <c r="Z90" s="293" t="str">
        <f>IF(($L90-$D90)&gt;=0,""," - Внедрить решение или подключить сервис по защите от DDoS для критичных ИА на сетевом,  транспорном и прикладном (при необходимости) уровнях")</f>
        <v xml:space="preserve"> - Внедрить решение или подключить сервис по защите от DDoS для критичных ИА на сетевом,  транспорном и прикладном (при необходимости) уровнях</v>
      </c>
      <c r="AA90" s="659" t="s">
        <v>1295</v>
      </c>
    </row>
    <row r="91" spans="2:27" ht="27.6" outlineLevel="1">
      <c r="B91" s="341" t="s">
        <v>780</v>
      </c>
      <c r="C91" s="341" t="s">
        <v>781</v>
      </c>
      <c r="D91" s="433">
        <f>Реагирование!D62</f>
        <v>5</v>
      </c>
      <c r="E91" s="433">
        <f>Реагирование!E62</f>
        <v>5</v>
      </c>
      <c r="F91" s="433">
        <f>Реагирование!F62</f>
        <v>0</v>
      </c>
      <c r="G91" s="433"/>
      <c r="H91" s="433"/>
      <c r="I91" s="433"/>
      <c r="J91" s="433"/>
      <c r="K91" s="433">
        <f>Реагирование!K62</f>
        <v>5</v>
      </c>
      <c r="L91" s="433">
        <f>Реагирование!L62</f>
        <v>0</v>
      </c>
      <c r="M91" s="367">
        <f>Реагирование!M62</f>
        <v>-5</v>
      </c>
      <c r="N91" s="434" t="str">
        <f>Реагирование!N62</f>
        <v>0   - Контроль не выполняется</v>
      </c>
      <c r="O91" s="435"/>
      <c r="P91" s="262">
        <f t="shared" si="25"/>
        <v>0</v>
      </c>
      <c r="Q91" s="262">
        <f t="shared" si="25"/>
        <v>0</v>
      </c>
      <c r="R91" s="262"/>
      <c r="S91" s="406">
        <f>S90+0.01</f>
        <v>19.020000000000003</v>
      </c>
      <c r="T91" s="433" t="str">
        <f>Реагирование!T62</f>
        <v/>
      </c>
      <c r="U91" s="664"/>
      <c r="V91" s="406">
        <f t="shared" si="18"/>
        <v>219.02</v>
      </c>
      <c r="W91" s="433" t="str">
        <f>Реагирование!W62</f>
        <v xml:space="preserve"> - Разработать и простестировать плейбуки по реагированию на сработки Anti-DDoS.</v>
      </c>
      <c r="X91" s="664"/>
      <c r="Y91" s="406">
        <f t="shared" si="19"/>
        <v>319.02</v>
      </c>
      <c r="Z91" s="433" t="str">
        <f>Реагирование!Z62</f>
        <v/>
      </c>
      <c r="AA91" s="664"/>
    </row>
    <row r="92" spans="2:27" ht="46.8" outlineLevel="1">
      <c r="B92" s="632" t="s">
        <v>782</v>
      </c>
      <c r="C92" s="634" t="s">
        <v>779</v>
      </c>
      <c r="D92" s="256">
        <v>5</v>
      </c>
      <c r="E92" s="257">
        <v>3.2</v>
      </c>
      <c r="F92" s="258">
        <v>0</v>
      </c>
      <c r="G92" s="290"/>
      <c r="H92" s="242"/>
      <c r="I92" s="290"/>
      <c r="J92" s="259"/>
      <c r="K92" s="260">
        <f>IF(ЦУКБ="КБ 1",F92, IF(ЦУКБ="КБ 2",E92,D92))</f>
        <v>5</v>
      </c>
      <c r="L92" s="290">
        <f>IF((СК="Да"),D92,VALUE(LEFT(N92,3)))</f>
        <v>0</v>
      </c>
      <c r="M92" s="367">
        <f t="shared" si="10"/>
        <v>-5</v>
      </c>
      <c r="N92" s="261" t="s">
        <v>331</v>
      </c>
      <c r="O92" s="216" t="str">
        <f t="shared" si="24"/>
        <v/>
      </c>
      <c r="P92" s="262">
        <f t="shared" si="25"/>
        <v>0</v>
      </c>
      <c r="Q92" s="262">
        <f t="shared" si="25"/>
        <v>0</v>
      </c>
      <c r="R92" s="262"/>
      <c r="S92" s="406">
        <f>S91+0.01</f>
        <v>19.030000000000005</v>
      </c>
      <c r="T92" s="292" t="str">
        <f>IF(($L92-$F92)&gt;=0,"",)</f>
        <v/>
      </c>
      <c r="U92" s="659"/>
      <c r="V92" s="406">
        <f t="shared" si="18"/>
        <v>219.03</v>
      </c>
      <c r="W92" s="292" t="str">
        <f>IF(($L92-$E92)&gt;=0,""," - Обеспечить актуализацию защищаемых ресурсов и порогов срабатывания защиты от отказа в обслуживании не реже 1 раза в год")</f>
        <v xml:space="preserve"> - Обеспечить актуализацию защищаемых ресурсов и порогов срабатывания защиты от отказа в обслуживании не реже 1 раза в год</v>
      </c>
      <c r="X92" s="659" t="s">
        <v>1296</v>
      </c>
      <c r="Y92" s="406">
        <f t="shared" si="19"/>
        <v>319.02999999999997</v>
      </c>
      <c r="Z92" s="292" t="str">
        <f>IF(($L92-$D92)&gt;=0,""," - Обеспечить актуализацию защищаемых ресурсов и порогов срабатывания защиты от отказа в обслуживании не реже 1 раза в квартал")</f>
        <v xml:space="preserve"> - Обеспечить актуализацию защищаемых ресурсов и порогов срабатывания защиты от отказа в обслуживании не реже 1 раза в квартал</v>
      </c>
      <c r="AA92" s="659" t="s">
        <v>1296</v>
      </c>
    </row>
    <row r="93" spans="2:27" ht="27.6">
      <c r="B93" s="305" t="s">
        <v>119</v>
      </c>
      <c r="C93" s="397" t="s">
        <v>702</v>
      </c>
      <c r="D93" s="294"/>
      <c r="E93" s="294"/>
      <c r="F93" s="294"/>
      <c r="G93" s="398"/>
      <c r="H93" s="294"/>
      <c r="I93" s="399"/>
      <c r="J93" s="306"/>
      <c r="K93" s="294"/>
      <c r="L93" s="399"/>
      <c r="M93" s="398"/>
      <c r="N93" s="401"/>
      <c r="O93" s="401"/>
      <c r="P93" s="402"/>
      <c r="Q93" s="402"/>
      <c r="R93" s="402"/>
      <c r="S93" s="306">
        <f>VLOOKUP(B93,Приоритет!$G$9:$K$52,5,0)</f>
        <v>18</v>
      </c>
      <c r="T93" s="407" t="str">
        <f>B93</f>
        <v>Фильтрация нежелательных и вредоносных сообщений (Антиспам)</v>
      </c>
      <c r="U93" s="658"/>
      <c r="V93" s="306">
        <f t="shared" si="18"/>
        <v>218</v>
      </c>
      <c r="W93" s="407" t="str">
        <f>B93</f>
        <v>Фильтрация нежелательных и вредоносных сообщений (Антиспам)</v>
      </c>
      <c r="X93" s="658"/>
      <c r="Y93" s="306">
        <f t="shared" si="19"/>
        <v>318</v>
      </c>
      <c r="Z93" s="407" t="str">
        <f>B93</f>
        <v>Фильтрация нежелательных и вредоносных сообщений (Антиспам)</v>
      </c>
      <c r="AA93" s="658"/>
    </row>
    <row r="94" spans="2:27" ht="31.2" outlineLevel="1">
      <c r="B94" s="254" t="s">
        <v>784</v>
      </c>
      <c r="C94" s="300" t="s">
        <v>785</v>
      </c>
      <c r="D94" s="256">
        <v>5</v>
      </c>
      <c r="E94" s="257">
        <v>5</v>
      </c>
      <c r="F94" s="258">
        <v>0</v>
      </c>
      <c r="G94" s="430"/>
      <c r="H94" s="430"/>
      <c r="I94" s="290"/>
      <c r="J94" s="431"/>
      <c r="K94" s="260">
        <f>IF(ЦУКБ="КБ 1",F94, IF(ЦУКБ="КБ 2",E94,D94))</f>
        <v>5</v>
      </c>
      <c r="L94" s="290">
        <f>IF((СК="Да"),D94,VALUE(LEFT(N94,3)))</f>
        <v>0</v>
      </c>
      <c r="M94" s="367">
        <f t="shared" si="10"/>
        <v>-5</v>
      </c>
      <c r="N94" s="269" t="s">
        <v>349</v>
      </c>
      <c r="O94" s="216" t="str">
        <f t="shared" si="24"/>
        <v/>
      </c>
      <c r="P94" s="262">
        <f t="shared" si="25"/>
        <v>0</v>
      </c>
      <c r="Q94" s="262">
        <f t="shared" ref="Q94:Q101" si="26">IFERROR(IF($L94&gt;=E94,1,$L94/E94),0)</f>
        <v>0</v>
      </c>
      <c r="R94" s="262"/>
      <c r="S94" s="406">
        <f>S93+0.01</f>
        <v>18.010000000000002</v>
      </c>
      <c r="T94" s="292" t="str">
        <f>IF(($L94-$F94)&gt;=0,"",)</f>
        <v/>
      </c>
      <c r="U94" s="659"/>
      <c r="V94" s="406">
        <f t="shared" si="18"/>
        <v>218.01</v>
      </c>
      <c r="W94" s="292" t="str">
        <f>IF(($L94-$E94)&gt;=0,""," - Выполнить настройку почтового сервера.")</f>
        <v xml:space="preserve"> - Выполнить настройку почтового сервера.</v>
      </c>
      <c r="X94" s="659" t="s">
        <v>120</v>
      </c>
      <c r="Y94" s="406">
        <f t="shared" si="19"/>
        <v>318.01</v>
      </c>
      <c r="Z94" s="292" t="str">
        <f>IF(($L94-$D94)&gt;=0,""," ")</f>
        <v xml:space="preserve"> </v>
      </c>
      <c r="AA94" s="659"/>
    </row>
    <row r="95" spans="2:27" ht="31.2" outlineLevel="1">
      <c r="B95" s="254" t="s">
        <v>786</v>
      </c>
      <c r="C95" s="300" t="s">
        <v>787</v>
      </c>
      <c r="D95" s="256">
        <v>5</v>
      </c>
      <c r="E95" s="257">
        <v>5</v>
      </c>
      <c r="F95" s="258">
        <v>0</v>
      </c>
      <c r="G95" s="430"/>
      <c r="H95" s="430"/>
      <c r="I95" s="290"/>
      <c r="J95" s="431"/>
      <c r="K95" s="260">
        <f>IF(ЦУКБ="КБ 1",F95, IF(ЦУКБ="КБ 2",E95,D95))</f>
        <v>5</v>
      </c>
      <c r="L95" s="290">
        <f>IF((СК="Да"),D95,VALUE(LEFT(N95,3)))</f>
        <v>0</v>
      </c>
      <c r="M95" s="367">
        <f t="shared" si="10"/>
        <v>-5</v>
      </c>
      <c r="N95" s="261" t="s">
        <v>331</v>
      </c>
      <c r="O95" s="216" t="str">
        <f t="shared" si="24"/>
        <v/>
      </c>
      <c r="P95" s="262">
        <f t="shared" si="25"/>
        <v>0</v>
      </c>
      <c r="Q95" s="262">
        <f t="shared" si="26"/>
        <v>0</v>
      </c>
      <c r="R95" s="262"/>
      <c r="S95" s="406">
        <f>S94+0.01</f>
        <v>18.020000000000003</v>
      </c>
      <c r="T95" s="292" t="str">
        <f>IF(($L95-$F95)&gt;=0,"",)</f>
        <v/>
      </c>
      <c r="U95" s="659"/>
      <c r="V95" s="406">
        <f t="shared" si="18"/>
        <v>218.02</v>
      </c>
      <c r="W95" s="292" t="str">
        <f>IF(($L95-$E95)&gt;=0,""," - Внедрить решение по защите от спама")</f>
        <v xml:space="preserve"> - Внедрить решение по защите от спама</v>
      </c>
      <c r="X95" s="659" t="s">
        <v>164</v>
      </c>
      <c r="Y95" s="406">
        <f t="shared" si="19"/>
        <v>318.02</v>
      </c>
      <c r="Z95" s="292" t="str">
        <f>IF(($L95-$D95)&gt;=0,"","")</f>
        <v/>
      </c>
      <c r="AA95" s="659"/>
    </row>
    <row r="96" spans="2:27" ht="31.2" outlineLevel="1">
      <c r="B96" s="254" t="s">
        <v>788</v>
      </c>
      <c r="C96" s="300" t="s">
        <v>789</v>
      </c>
      <c r="D96" s="256">
        <v>5</v>
      </c>
      <c r="E96" s="257">
        <v>5</v>
      </c>
      <c r="F96" s="258">
        <v>0</v>
      </c>
      <c r="G96" s="430"/>
      <c r="H96" s="430"/>
      <c r="I96" s="290"/>
      <c r="J96" s="431"/>
      <c r="K96" s="260">
        <f>IF(ЦУКБ="КБ 1",F96, IF(ЦУКБ="КБ 2",E96,D96))</f>
        <v>5</v>
      </c>
      <c r="L96" s="290">
        <f>IF((СК="Да"),D96,VALUE(LEFT(N96,3)))</f>
        <v>0</v>
      </c>
      <c r="M96" s="367">
        <f t="shared" si="10"/>
        <v>-5</v>
      </c>
      <c r="N96" s="261" t="s">
        <v>331</v>
      </c>
      <c r="O96" s="216" t="str">
        <f t="shared" si="24"/>
        <v/>
      </c>
      <c r="P96" s="262">
        <f t="shared" si="25"/>
        <v>0</v>
      </c>
      <c r="Q96" s="262">
        <f t="shared" si="26"/>
        <v>0</v>
      </c>
      <c r="R96" s="262"/>
      <c r="S96" s="406">
        <f>S95+0.01</f>
        <v>18.030000000000005</v>
      </c>
      <c r="T96" s="292" t="str">
        <f>IF(($L96-$F96)&gt;=0,"",)</f>
        <v/>
      </c>
      <c r="U96" s="659"/>
      <c r="V96" s="406">
        <f t="shared" si="18"/>
        <v>218.03</v>
      </c>
      <c r="W96" s="292" t="str">
        <f>IF(($L96-$E96)&gt;=0,""," - Внедрить решение по антивирусной защите почтового трафика. ")</f>
        <v xml:space="preserve"> - Внедрить решение по антивирусной защите почтового трафика. </v>
      </c>
      <c r="X96" s="659" t="s">
        <v>164</v>
      </c>
      <c r="Y96" s="406">
        <f t="shared" si="19"/>
        <v>318.02999999999997</v>
      </c>
      <c r="Z96" s="292" t="str">
        <f>IF(($L96-$D96)&gt;=0,"","")</f>
        <v/>
      </c>
      <c r="AA96" s="659"/>
    </row>
    <row r="97" spans="2:27" ht="62.4" outlineLevel="1">
      <c r="B97" s="254" t="s">
        <v>790</v>
      </c>
      <c r="C97" s="300" t="s">
        <v>791</v>
      </c>
      <c r="D97" s="256">
        <v>5</v>
      </c>
      <c r="E97" s="257">
        <v>5</v>
      </c>
      <c r="F97" s="258">
        <v>0</v>
      </c>
      <c r="G97" s="430"/>
      <c r="H97" s="430"/>
      <c r="I97" s="290"/>
      <c r="J97" s="431"/>
      <c r="K97" s="260">
        <f>IF(ЦУКБ="КБ 1",F97, IF(ЦУКБ="КБ 2",E97,D97))</f>
        <v>5</v>
      </c>
      <c r="L97" s="290">
        <f>IF((СК="Да"),D97,VALUE(LEFT(N97,3)))</f>
        <v>0</v>
      </c>
      <c r="M97" s="367">
        <f t="shared" si="10"/>
        <v>-5</v>
      </c>
      <c r="N97" s="269" t="s">
        <v>349</v>
      </c>
      <c r="O97" s="216" t="str">
        <f t="shared" si="24"/>
        <v/>
      </c>
      <c r="P97" s="262">
        <f t="shared" si="25"/>
        <v>0</v>
      </c>
      <c r="Q97" s="262">
        <f t="shared" si="26"/>
        <v>0</v>
      </c>
      <c r="R97" s="262"/>
      <c r="S97" s="406">
        <f>S96+0.01</f>
        <v>18.040000000000006</v>
      </c>
      <c r="T97" s="292" t="str">
        <f>IF(($L97-$F97)&gt;=0,"",)</f>
        <v/>
      </c>
      <c r="U97" s="659"/>
      <c r="V97" s="406">
        <f t="shared" si="18"/>
        <v>218.04000000000002</v>
      </c>
      <c r="W97" s="292" t="str">
        <f>IF(($L97-$E97)&gt;=0,""," - Обеспечить проверку всего входящего почтового трафика. Обеспечиь блокирование нежелательных писем. ")</f>
        <v xml:space="preserve"> - Обеспечить проверку всего входящего почтового трафика. Обеспечиь блокирование нежелательных писем. </v>
      </c>
      <c r="X97" s="659" t="s">
        <v>233</v>
      </c>
      <c r="Y97" s="406">
        <f t="shared" si="19"/>
        <v>318.04000000000002</v>
      </c>
      <c r="Z97" s="292" t="str">
        <f>IF(($L97-$D97)&gt;=0,""," ")</f>
        <v xml:space="preserve"> </v>
      </c>
      <c r="AA97" s="659"/>
    </row>
    <row r="98" spans="2:27" ht="27.6" outlineLevel="1">
      <c r="B98" s="341" t="str">
        <f>Реагирование!B63</f>
        <v>Наличие плейбука по реагированию на сработки (Антиспам)</v>
      </c>
      <c r="C98" s="341" t="str">
        <f>Реагирование!C63</f>
        <v>РЕАГ.PB.5.9.3.8</v>
      </c>
      <c r="D98" s="433">
        <f>Реагирование!D63</f>
        <v>5</v>
      </c>
      <c r="E98" s="433">
        <f>Реагирование!E63</f>
        <v>5</v>
      </c>
      <c r="F98" s="433">
        <f>Реагирование!F63</f>
        <v>0</v>
      </c>
      <c r="G98" s="433"/>
      <c r="H98" s="433"/>
      <c r="I98" s="433"/>
      <c r="J98" s="433"/>
      <c r="K98" s="433">
        <f>Реагирование!K63</f>
        <v>5</v>
      </c>
      <c r="L98" s="433">
        <f>Реагирование!L63</f>
        <v>0</v>
      </c>
      <c r="M98" s="367">
        <f>Реагирование!M63</f>
        <v>-5</v>
      </c>
      <c r="N98" s="436" t="str">
        <f>Реагирование!N63</f>
        <v>0   - Контроль не выполняется</v>
      </c>
      <c r="O98" s="216" t="str">
        <f t="shared" si="24"/>
        <v/>
      </c>
      <c r="P98" s="262">
        <f t="shared" si="25"/>
        <v>0</v>
      </c>
      <c r="Q98" s="262">
        <f t="shared" si="26"/>
        <v>0</v>
      </c>
      <c r="R98" s="262"/>
      <c r="S98" s="406">
        <f>S97+0.01</f>
        <v>18.050000000000008</v>
      </c>
      <c r="T98" s="437" t="str">
        <f>Реагирование!T63</f>
        <v/>
      </c>
      <c r="U98" s="665"/>
      <c r="V98" s="406">
        <f t="shared" si="18"/>
        <v>218.05</v>
      </c>
      <c r="W98" s="437" t="str">
        <f>Реагирование!W63</f>
        <v xml:space="preserve"> - Разработать и простестировать плейбуки по реагированию на сработки Антиспам</v>
      </c>
      <c r="X98" s="665"/>
      <c r="Y98" s="406">
        <f t="shared" si="19"/>
        <v>318.05</v>
      </c>
      <c r="Z98" s="437" t="str">
        <f>Реагирование!Z63</f>
        <v/>
      </c>
      <c r="AA98" s="665"/>
    </row>
    <row r="99" spans="2:27" ht="27.6">
      <c r="B99" s="305" t="s">
        <v>234</v>
      </c>
      <c r="C99" s="397" t="s">
        <v>53</v>
      </c>
      <c r="D99" s="294"/>
      <c r="E99" s="294"/>
      <c r="F99" s="294"/>
      <c r="G99" s="398"/>
      <c r="H99" s="294"/>
      <c r="I99" s="399"/>
      <c r="J99" s="306"/>
      <c r="K99" s="294"/>
      <c r="L99" s="399"/>
      <c r="M99" s="398"/>
      <c r="N99" s="401"/>
      <c r="O99" s="401"/>
      <c r="P99" s="402"/>
      <c r="Q99" s="402"/>
      <c r="R99" s="402"/>
      <c r="S99" s="306">
        <f>VLOOKUP(B99,Приоритет!$G$9:$K$52,5,0)</f>
        <v>23</v>
      </c>
      <c r="T99" s="407" t="str">
        <f>B99</f>
        <v>Обнаружение и блокирование сетевых атак на web-приложении (WAF)</v>
      </c>
      <c r="U99" s="658"/>
      <c r="V99" s="306">
        <f t="shared" si="18"/>
        <v>223</v>
      </c>
      <c r="W99" s="407" t="str">
        <f>B99</f>
        <v>Обнаружение и блокирование сетевых атак на web-приложении (WAF)</v>
      </c>
      <c r="X99" s="658"/>
      <c r="Y99" s="306">
        <f t="shared" si="19"/>
        <v>323</v>
      </c>
      <c r="Z99" s="407" t="str">
        <f>B99</f>
        <v>Обнаружение и блокирование сетевых атак на web-приложении (WAF)</v>
      </c>
      <c r="AA99" s="658"/>
    </row>
    <row r="100" spans="2:27" ht="55.2" outlineLevel="1">
      <c r="B100" s="254" t="s">
        <v>792</v>
      </c>
      <c r="C100" s="300" t="s">
        <v>793</v>
      </c>
      <c r="D100" s="256">
        <v>5</v>
      </c>
      <c r="E100" s="257">
        <v>0</v>
      </c>
      <c r="F100" s="258">
        <v>0</v>
      </c>
      <c r="G100" s="430"/>
      <c r="H100" s="430"/>
      <c r="I100" s="405"/>
      <c r="J100" s="431"/>
      <c r="K100" s="260">
        <f>IF(ЦУКБ="КБ 1",F100, IF(ЦУКБ="КБ 2",E100,D100))</f>
        <v>5</v>
      </c>
      <c r="L100" s="405">
        <f>IF((СК="Да"), D100, N100/(100%)*5)</f>
        <v>0</v>
      </c>
      <c r="M100" s="367">
        <f t="shared" si="10"/>
        <v>-5</v>
      </c>
      <c r="N100" s="291">
        <v>0</v>
      </c>
      <c r="O100" s="216" t="str">
        <f t="shared" si="24"/>
        <v/>
      </c>
      <c r="P100" s="262">
        <f>IFERROR(IF($L100&gt;D100,1,$L100/D100),0)</f>
        <v>0</v>
      </c>
      <c r="Q100" s="262"/>
      <c r="R100" s="262"/>
      <c r="S100" s="406">
        <f>S99+0.01</f>
        <v>23.01</v>
      </c>
      <c r="T100" s="292" t="str">
        <f>IF(($L100-$F100)&gt;=0,"",)</f>
        <v/>
      </c>
      <c r="U100" s="659"/>
      <c r="V100" s="406">
        <f t="shared" si="18"/>
        <v>223.01</v>
      </c>
      <c r="W100" s="292" t="str">
        <f>IF(($L100-$E100)&gt;=0,"",)</f>
        <v/>
      </c>
      <c r="X100" s="659"/>
      <c r="Y100" s="406">
        <f t="shared" si="19"/>
        <v>323.01</v>
      </c>
      <c r="Z100" s="293" t="str">
        <f>IF(($L100-$D100)&gt;=0, "", " - Спроектировать, приобрести и внедрить систему защитыweb-приложений;
 - Обеспечить достаточное количество лицензий, услуг и оборудования для покрытия всех опубликованных сервисов.")</f>
        <v xml:space="preserve"> - Спроектировать, приобрести и внедрить систему защитыweb-приложений;
 - Обеспечить достаточное количество лицензий, услуг и оборудования для покрытия всех опубликованных сервисов.</v>
      </c>
      <c r="AA100" s="659" t="s">
        <v>303</v>
      </c>
    </row>
    <row r="101" spans="2:27" ht="27.6" outlineLevel="1">
      <c r="B101" s="438" t="str">
        <f>'Управление ИБ'!B117</f>
        <v>Ведется учет опубликованных на внешнем периметре информационные систем, доменов</v>
      </c>
      <c r="C101" s="439" t="str">
        <f>'Управление ИБ'!C117</f>
        <v>УИБ.ИН.7</v>
      </c>
      <c r="D101" s="440">
        <f>'Управление ИБ'!D117</f>
        <v>5</v>
      </c>
      <c r="E101" s="440">
        <f>'Управление ИБ'!E117</f>
        <v>3.2</v>
      </c>
      <c r="F101" s="440">
        <f>'Управление ИБ'!F117</f>
        <v>3.2</v>
      </c>
      <c r="G101" s="440">
        <f>'Управление ИБ'!G117</f>
        <v>0</v>
      </c>
      <c r="H101" s="440">
        <f>'Управление ИБ'!H117</f>
        <v>0</v>
      </c>
      <c r="I101" s="440">
        <f>'Управление ИБ'!I117</f>
        <v>0</v>
      </c>
      <c r="J101" s="440"/>
      <c r="K101" s="441">
        <f>'Управление ИБ'!K117</f>
        <v>5</v>
      </c>
      <c r="L101" s="441">
        <f>'Управление ИБ'!L117</f>
        <v>0</v>
      </c>
      <c r="M101" s="442">
        <f>'Управление ИБ'!M117</f>
        <v>-5</v>
      </c>
      <c r="N101" s="443" t="str">
        <f>'Управление ИБ'!N117</f>
        <v>0      - Контроль не выполняется</v>
      </c>
      <c r="O101" s="444"/>
      <c r="P101" s="445">
        <f>IFERROR(IF($L101&gt;D101,1,$L101/D101),0)</f>
        <v>0</v>
      </c>
      <c r="Q101" s="262">
        <f t="shared" si="26"/>
        <v>0</v>
      </c>
      <c r="R101" s="445">
        <f>IFERROR(IF($L101&gt;=F101,1,$L101/F101),0)</f>
        <v>0</v>
      </c>
      <c r="S101" s="406">
        <f>S100+0.01</f>
        <v>23.020000000000003</v>
      </c>
      <c r="T101" s="292" t="str">
        <f>IF(($L101-$F101)&gt;=0,"УИБ.ИН.7", "")</f>
        <v/>
      </c>
      <c r="U101" s="659"/>
      <c r="V101" s="406">
        <f t="shared" si="18"/>
        <v>223.02</v>
      </c>
      <c r="W101" s="292" t="str">
        <f>IF(($L101-$E101)&gt;=0,"УИБ.ИН.7","")</f>
        <v/>
      </c>
      <c r="X101" s="659"/>
      <c r="Y101" s="406">
        <f t="shared" si="19"/>
        <v>323.02</v>
      </c>
      <c r="Z101" s="293" t="str">
        <f>IF(($L101-$D101)&gt;=0,"","")</f>
        <v/>
      </c>
      <c r="AA101" s="659"/>
    </row>
    <row r="102" spans="2:27" outlineLevel="1">
      <c r="B102" s="438" t="s">
        <v>391</v>
      </c>
      <c r="C102" s="439" t="str">
        <f>'Управление ИБ'!C116</f>
        <v>СЗИ.WAF.2</v>
      </c>
      <c r="D102" s="668">
        <f>'Управление ИБ'!D116</f>
        <v>4</v>
      </c>
      <c r="E102" s="668">
        <f>'Управление ИБ'!E116</f>
        <v>3</v>
      </c>
      <c r="F102" s="668">
        <f>'Управление ИБ'!F116</f>
        <v>1</v>
      </c>
      <c r="G102" s="668">
        <f>'Управление ИБ'!G116</f>
        <v>0</v>
      </c>
      <c r="H102" s="668">
        <f>'Управление ИБ'!H116</f>
        <v>0</v>
      </c>
      <c r="I102" s="668">
        <f>'Управление ИБ'!I116</f>
        <v>0</v>
      </c>
      <c r="J102" s="668">
        <f>'Управление ИБ'!J116</f>
        <v>0</v>
      </c>
      <c r="K102" s="668">
        <f>'Управление ИБ'!K116</f>
        <v>4</v>
      </c>
      <c r="L102" s="668">
        <f>'Управление ИБ'!L116</f>
        <v>0</v>
      </c>
      <c r="M102" s="367">
        <f>'Управление ИБ'!M116</f>
        <v>-4</v>
      </c>
      <c r="N102" s="446" t="str">
        <f>'Управление ИБ'!N116</f>
        <v>0   - Процесс отсутствует</v>
      </c>
      <c r="O102" s="447" t="str">
        <f>'Управление ИБ'!O116</f>
        <v/>
      </c>
      <c r="P102" s="448">
        <f>'Управление ИБ'!P116</f>
        <v>0</v>
      </c>
      <c r="Q102" s="448">
        <f>'Управление ИБ'!Q116</f>
        <v>0</v>
      </c>
      <c r="R102" s="448">
        <f>'Управление ИБ'!R116</f>
        <v>0</v>
      </c>
      <c r="S102" s="406">
        <f>S101+0.01</f>
        <v>23.030000000000005</v>
      </c>
      <c r="T102" s="292" t="str">
        <f>IF(($L102-$F102)&gt;=0,"","")</f>
        <v/>
      </c>
      <c r="U102" s="659"/>
      <c r="V102" s="406">
        <f t="shared" si="18"/>
        <v>223.03</v>
      </c>
      <c r="W102" s="292" t="str">
        <f>IF(($L102-$E102)&gt;=0,"","")</f>
        <v/>
      </c>
      <c r="X102" s="659"/>
      <c r="Y102" s="406">
        <f t="shared" si="19"/>
        <v>323.02999999999997</v>
      </c>
      <c r="Z102" s="293" t="str">
        <f>IF(($L102-$D102)&gt;=0,"","")</f>
        <v/>
      </c>
      <c r="AA102" s="659"/>
    </row>
    <row r="103" spans="2:27" ht="27.6" outlineLevel="1">
      <c r="B103" s="449" t="s">
        <v>794</v>
      </c>
      <c r="C103" s="450" t="str">
        <f>Реагирование!C66</f>
        <v>РЕАГ.PB.5.9.3.11</v>
      </c>
      <c r="D103" s="669">
        <f>Реагирование!D66</f>
        <v>5</v>
      </c>
      <c r="E103" s="669">
        <f>Реагирование!E66</f>
        <v>0</v>
      </c>
      <c r="F103" s="669">
        <f>Реагирование!F66</f>
        <v>0</v>
      </c>
      <c r="G103" s="669">
        <f>Реагирование!G66</f>
        <v>0</v>
      </c>
      <c r="H103" s="669">
        <f>Реагирование!H66</f>
        <v>0</v>
      </c>
      <c r="I103" s="669">
        <f>Реагирование!I66</f>
        <v>0</v>
      </c>
      <c r="J103" s="669"/>
      <c r="K103" s="669">
        <f>Реагирование!K66</f>
        <v>5</v>
      </c>
      <c r="L103" s="670">
        <f>Реагирование!L66</f>
        <v>0</v>
      </c>
      <c r="M103" s="442">
        <f>Реагирование!M66</f>
        <v>-5</v>
      </c>
      <c r="N103" s="443" t="str">
        <f>Реагирование!N66</f>
        <v>0   - Контроль не выполняется</v>
      </c>
      <c r="O103" s="444"/>
      <c r="P103" s="445">
        <f t="shared" ref="P103:P119" si="27">IFERROR(IF($L103&gt;D103,1,$L103/D103),0)</f>
        <v>0</v>
      </c>
      <c r="Q103" s="262"/>
      <c r="R103" s="445"/>
      <c r="S103" s="406">
        <f>S102+0.01</f>
        <v>23.040000000000006</v>
      </c>
      <c r="T103" s="292" t="str">
        <f>IF(($L103-$F103)&gt;=0,"",)</f>
        <v/>
      </c>
      <c r="U103" s="659"/>
      <c r="V103" s="406">
        <f t="shared" si="18"/>
        <v>223.04000000000002</v>
      </c>
      <c r="W103" s="292" t="str">
        <f>IF(($L103-$E103)&gt;=0,"",)</f>
        <v/>
      </c>
      <c r="X103" s="659"/>
      <c r="Y103" s="406">
        <f t="shared" si="19"/>
        <v>323.04000000000002</v>
      </c>
      <c r="Z103" s="293" t="str">
        <f>IF(($L103-$D103)&gt;=0,"","")</f>
        <v/>
      </c>
      <c r="AA103" s="659"/>
    </row>
    <row r="104" spans="2:27" ht="31.2" outlineLevel="1">
      <c r="B104" s="254" t="s">
        <v>795</v>
      </c>
      <c r="C104" s="300" t="s">
        <v>796</v>
      </c>
      <c r="D104" s="256">
        <v>5</v>
      </c>
      <c r="E104" s="257">
        <v>0</v>
      </c>
      <c r="F104" s="258">
        <v>0</v>
      </c>
      <c r="G104" s="290"/>
      <c r="H104" s="242"/>
      <c r="I104" s="290"/>
      <c r="J104" s="259"/>
      <c r="K104" s="260">
        <f>IF(ЦУКБ="КБ 1",F104, IF(ЦУКБ="КБ 2",E104,D104))</f>
        <v>5</v>
      </c>
      <c r="L104" s="290">
        <f>IF((СК="Да"),D104,VALUE(LEFT(N104,3)))</f>
        <v>0</v>
      </c>
      <c r="M104" s="367">
        <f t="shared" si="10"/>
        <v>-5</v>
      </c>
      <c r="N104" s="261" t="s">
        <v>783</v>
      </c>
      <c r="O104" s="216" t="str">
        <f>IF((СК="Да"),"Зона ответственности Сервисной компании", "")</f>
        <v/>
      </c>
      <c r="P104" s="262">
        <f t="shared" si="27"/>
        <v>0</v>
      </c>
      <c r="Q104" s="262"/>
      <c r="R104" s="262"/>
      <c r="S104" s="406">
        <f>S103+0.01</f>
        <v>23.050000000000008</v>
      </c>
      <c r="T104" s="292" t="str">
        <f>IF(($L104-$F104)&gt;=0,"",)</f>
        <v/>
      </c>
      <c r="U104" s="659"/>
      <c r="V104" s="406">
        <f t="shared" si="18"/>
        <v>223.05</v>
      </c>
      <c r="W104" s="292" t="str">
        <f>IF(($L104-$E104)&gt;=0,"",)</f>
        <v/>
      </c>
      <c r="X104" s="659"/>
      <c r="Y104" s="406">
        <f t="shared" si="19"/>
        <v>323.05</v>
      </c>
      <c r="Z104" s="293" t="str">
        <f>IF(($L104-$D104)&gt;=0,""," - Реализовать процесс непрерывного обновления сигнатур WAF.")</f>
        <v xml:space="preserve"> - Реализовать процесс непрерывного обновления сигнатур WAF.</v>
      </c>
      <c r="AA104" s="659" t="s">
        <v>304</v>
      </c>
    </row>
    <row r="105" spans="2:27">
      <c r="B105" s="305" t="s">
        <v>305</v>
      </c>
      <c r="C105" s="397" t="s">
        <v>54</v>
      </c>
      <c r="D105" s="294"/>
      <c r="E105" s="294"/>
      <c r="F105" s="294"/>
      <c r="G105" s="398"/>
      <c r="H105" s="294"/>
      <c r="I105" s="399"/>
      <c r="J105" s="306"/>
      <c r="K105" s="294"/>
      <c r="L105" s="399"/>
      <c r="M105" s="398"/>
      <c r="N105" s="401"/>
      <c r="O105" s="401"/>
      <c r="P105" s="402"/>
      <c r="Q105" s="402"/>
      <c r="R105" s="402"/>
      <c r="S105" s="306">
        <f>VLOOKUP(B105,Приоритет!$G$9:$K$52,5,0)</f>
        <v>24</v>
      </c>
      <c r="T105" s="407" t="str">
        <f>B105</f>
        <v>Контроль учетных записей (PAM)</v>
      </c>
      <c r="U105" s="658"/>
      <c r="V105" s="306">
        <f t="shared" si="18"/>
        <v>224</v>
      </c>
      <c r="W105" s="407" t="str">
        <f>B105</f>
        <v>Контроль учетных записей (PAM)</v>
      </c>
      <c r="X105" s="658"/>
      <c r="Y105" s="306">
        <f t="shared" si="19"/>
        <v>324</v>
      </c>
      <c r="Z105" s="407" t="str">
        <f>B105</f>
        <v>Контроль учетных записей (PAM)</v>
      </c>
      <c r="AA105" s="658"/>
    </row>
    <row r="106" spans="2:27" ht="55.2" outlineLevel="1">
      <c r="B106" s="254" t="s">
        <v>797</v>
      </c>
      <c r="C106" s="368" t="s">
        <v>798</v>
      </c>
      <c r="D106" s="256">
        <v>5</v>
      </c>
      <c r="E106" s="257">
        <v>0</v>
      </c>
      <c r="F106" s="258">
        <v>0</v>
      </c>
      <c r="G106" s="430"/>
      <c r="H106" s="430"/>
      <c r="I106" s="451"/>
      <c r="J106" s="431"/>
      <c r="K106" s="260">
        <f>IF(ЦУКБ="КБ 1",F106, IF(ЦУКБ="КБ 2",E106,D106))</f>
        <v>5</v>
      </c>
      <c r="L106" s="405">
        <f>IF((СК="Да"), D106, N106/(100%)*5)</f>
        <v>0</v>
      </c>
      <c r="M106" s="367">
        <f t="shared" si="10"/>
        <v>-5</v>
      </c>
      <c r="N106" s="452">
        <v>0</v>
      </c>
      <c r="O106" s="216" t="str">
        <f t="shared" ref="O106:O117" si="28">IF((СК="Да"),"Зона ответственности Сервисной компании", "")</f>
        <v/>
      </c>
      <c r="P106" s="262">
        <f t="shared" si="27"/>
        <v>0</v>
      </c>
      <c r="Q106" s="262"/>
      <c r="R106" s="262"/>
      <c r="S106" s="406">
        <f t="shared" ref="S106:S111" si="29">S105+0.01</f>
        <v>24.01</v>
      </c>
      <c r="T106" s="292" t="str">
        <f>IF(($L106-$F106)&gt;=0,"",)</f>
        <v/>
      </c>
      <c r="U106" s="659"/>
      <c r="V106" s="406">
        <f t="shared" si="18"/>
        <v>224.01</v>
      </c>
      <c r="W106" s="292" t="str">
        <f>IF(($L106-$E106)&gt;=0,"",)</f>
        <v/>
      </c>
      <c r="X106" s="659"/>
      <c r="Y106" s="406">
        <f t="shared" si="19"/>
        <v>324.01</v>
      </c>
      <c r="Z106" s="293" t="str">
        <f>IF(($L106-$D106)&gt;=0,""," - Обеспечить достаточное количество Jump-хостов для администрирования всех ИС
(опционально при наличии PAM решения)")</f>
        <v xml:space="preserve"> - Обеспечить достаточное количество Jump-хостов для администрирования всех ИС
(опционально при наличии PAM решения)</v>
      </c>
      <c r="AA106" s="659" t="s">
        <v>306</v>
      </c>
    </row>
    <row r="107" spans="2:27" ht="41.4" outlineLevel="1">
      <c r="B107" s="254" t="s">
        <v>799</v>
      </c>
      <c r="C107" s="368" t="s">
        <v>800</v>
      </c>
      <c r="D107" s="256">
        <v>5</v>
      </c>
      <c r="E107" s="257">
        <v>0</v>
      </c>
      <c r="F107" s="258">
        <v>0</v>
      </c>
      <c r="G107" s="430"/>
      <c r="H107" s="430"/>
      <c r="I107" s="290"/>
      <c r="J107" s="431"/>
      <c r="K107" s="260">
        <f>IF(ЦУКБ="КБ 1",F107, IF(ЦУКБ="КБ 2",E107,D107))</f>
        <v>5</v>
      </c>
      <c r="L107" s="290">
        <f>IF((СК="Да"),D107,VALUE(LEFT(N107,3)))</f>
        <v>0</v>
      </c>
      <c r="M107" s="367">
        <f t="shared" si="10"/>
        <v>-5</v>
      </c>
      <c r="N107" s="423" t="s">
        <v>349</v>
      </c>
      <c r="O107" s="216" t="str">
        <f t="shared" si="28"/>
        <v/>
      </c>
      <c r="P107" s="262">
        <f t="shared" si="27"/>
        <v>0</v>
      </c>
      <c r="Q107" s="262"/>
      <c r="R107" s="262"/>
      <c r="S107" s="406">
        <f t="shared" si="29"/>
        <v>24.020000000000003</v>
      </c>
      <c r="T107" s="292" t="str">
        <f>IF(($L107-$F107)&gt;=0,"",)</f>
        <v/>
      </c>
      <c r="U107" s="659"/>
      <c r="V107" s="406">
        <f t="shared" si="18"/>
        <v>224.02</v>
      </c>
      <c r="W107" s="292" t="str">
        <f>IF(($L107-$E107)&gt;=0,"",)</f>
        <v/>
      </c>
      <c r="X107" s="659"/>
      <c r="Y107" s="406">
        <f t="shared" si="19"/>
        <v>324.02</v>
      </c>
      <c r="Z107" s="293" t="str">
        <f>IF(($L107-$D107)&gt;=0,""," - Получить от Блока ИБ ТТР по организации и настройке JH и реализовать рекомендуемые решения
(опционально при наличии PAM решения)")</f>
        <v xml:space="preserve"> - Получить от Блока ИБ ТТР по организации и настройке JH и реализовать рекомендуемые решения
(опционально при наличии PAM решения)</v>
      </c>
      <c r="AA107" s="659" t="s">
        <v>306</v>
      </c>
    </row>
    <row r="108" spans="2:27" ht="41.4" outlineLevel="1">
      <c r="B108" s="254" t="s">
        <v>801</v>
      </c>
      <c r="C108" s="368" t="s">
        <v>802</v>
      </c>
      <c r="D108" s="256">
        <v>5</v>
      </c>
      <c r="E108" s="257">
        <v>0</v>
      </c>
      <c r="F108" s="258">
        <v>0</v>
      </c>
      <c r="G108" s="430"/>
      <c r="H108" s="430"/>
      <c r="I108" s="453"/>
      <c r="J108" s="431"/>
      <c r="K108" s="260">
        <f>IF(ЦУКБ="КБ 1",F108, IF(ЦУКБ="КБ 2",E108,D108))</f>
        <v>5</v>
      </c>
      <c r="L108" s="405">
        <f>IF((СК="Да"), D108, N108/(100%)*5)</f>
        <v>0</v>
      </c>
      <c r="M108" s="367">
        <f t="shared" si="10"/>
        <v>-5</v>
      </c>
      <c r="N108" s="452">
        <v>0</v>
      </c>
      <c r="O108" s="216" t="str">
        <f t="shared" si="28"/>
        <v/>
      </c>
      <c r="P108" s="262">
        <f t="shared" si="27"/>
        <v>0</v>
      </c>
      <c r="Q108" s="262"/>
      <c r="R108" s="262"/>
      <c r="S108" s="406">
        <f t="shared" si="29"/>
        <v>24.030000000000005</v>
      </c>
      <c r="T108" s="292" t="str">
        <f>IF(($L108-$F108)&gt;=0,"",)</f>
        <v/>
      </c>
      <c r="U108" s="659"/>
      <c r="V108" s="406">
        <f t="shared" si="18"/>
        <v>224.03</v>
      </c>
      <c r="W108" s="292" t="str">
        <f>IF(($L108-$E108)&gt;=0,"",)</f>
        <v/>
      </c>
      <c r="X108" s="659"/>
      <c r="Y108" s="406">
        <f t="shared" si="19"/>
        <v>324.02999999999997</v>
      </c>
      <c r="Z108" s="293" t="str">
        <f>IF(($L108-$D108)&gt;=0,""," - Приобрести лицензии на PAM в объеме, достаточном для покрытия 100 % инфраструктуры
(опционально при покрытии инфраструктуры JH)")</f>
        <v xml:space="preserve"> - Приобрести лицензии на PAM в объеме, достаточном для покрытия 100 % инфраструктуры
(опционально при покрытии инфраструктуры JH)</v>
      </c>
      <c r="AA108" s="659" t="s">
        <v>253</v>
      </c>
    </row>
    <row r="109" spans="2:27" ht="41.4" outlineLevel="1">
      <c r="B109" s="254" t="s">
        <v>803</v>
      </c>
      <c r="C109" s="368" t="s">
        <v>804</v>
      </c>
      <c r="D109" s="256">
        <v>5</v>
      </c>
      <c r="E109" s="257">
        <v>0</v>
      </c>
      <c r="F109" s="258">
        <v>0</v>
      </c>
      <c r="G109" s="430"/>
      <c r="H109" s="430"/>
      <c r="I109" s="290"/>
      <c r="J109" s="431"/>
      <c r="K109" s="260">
        <f>IF(ЦУКБ="КБ 1",F109, IF(ЦУКБ="КБ 2",E109,D109))</f>
        <v>5</v>
      </c>
      <c r="L109" s="405">
        <f>IF((СК="Да"), D109, N109/(100%)*5)</f>
        <v>0</v>
      </c>
      <c r="M109" s="367">
        <f t="shared" ref="M109:M118" si="30">L109-K109</f>
        <v>-5</v>
      </c>
      <c r="N109" s="452">
        <v>0</v>
      </c>
      <c r="O109" s="216" t="str">
        <f t="shared" si="28"/>
        <v/>
      </c>
      <c r="P109" s="262">
        <f t="shared" si="27"/>
        <v>0</v>
      </c>
      <c r="Q109" s="262"/>
      <c r="R109" s="262"/>
      <c r="S109" s="406">
        <f t="shared" si="29"/>
        <v>24.040000000000006</v>
      </c>
      <c r="T109" s="292" t="str">
        <f>IF(($L109-$F109)&gt;=0,"",)</f>
        <v/>
      </c>
      <c r="U109" s="659"/>
      <c r="V109" s="406">
        <f t="shared" si="18"/>
        <v>224.04000000000002</v>
      </c>
      <c r="W109" s="292" t="str">
        <f>IF(($L109-$E109)&gt;=0,"",)</f>
        <v/>
      </c>
      <c r="X109" s="659"/>
      <c r="Y109" s="406">
        <f t="shared" si="19"/>
        <v>324.04000000000002</v>
      </c>
      <c r="Z109" s="293" t="str">
        <f>IF(($L109-$D109)&gt;=0,""," - Реализовать процесс администрирования 100% информационных активов исключительно через PAM.
(опционально при покрытии инфраструктуры JH)")</f>
        <v xml:space="preserve"> - Реализовать процесс администрирования 100% информационных активов исключительно через PAM.
(опционально при покрытии инфраструктуры JH)</v>
      </c>
      <c r="AA109" s="659" t="s">
        <v>306</v>
      </c>
    </row>
    <row r="110" spans="2:27" ht="41.4" outlineLevel="1">
      <c r="B110" s="254" t="s">
        <v>760</v>
      </c>
      <c r="C110" s="368" t="s">
        <v>805</v>
      </c>
      <c r="D110" s="256">
        <v>5</v>
      </c>
      <c r="E110" s="257">
        <v>0</v>
      </c>
      <c r="F110" s="258">
        <v>0</v>
      </c>
      <c r="G110" s="430"/>
      <c r="H110" s="430"/>
      <c r="I110" s="290"/>
      <c r="J110" s="431"/>
      <c r="K110" s="260">
        <f>IF(ЦУКБ="КБ 1",F110, IF(ЦУКБ="КБ 2",E110,D110))</f>
        <v>5</v>
      </c>
      <c r="L110" s="290">
        <f>IF((СК="Да"),D110,VALUE(LEFT(N110,3)))</f>
        <v>0</v>
      </c>
      <c r="M110" s="367">
        <f t="shared" si="30"/>
        <v>-5</v>
      </c>
      <c r="N110" s="423" t="s">
        <v>349</v>
      </c>
      <c r="O110" s="216" t="str">
        <f t="shared" si="28"/>
        <v/>
      </c>
      <c r="P110" s="262">
        <f t="shared" si="27"/>
        <v>0</v>
      </c>
      <c r="Q110" s="262"/>
      <c r="R110" s="262"/>
      <c r="S110" s="406">
        <f t="shared" si="29"/>
        <v>24.050000000000008</v>
      </c>
      <c r="T110" s="292" t="str">
        <f>IF(($L110-$F110)&gt;=0,"",)</f>
        <v/>
      </c>
      <c r="U110" s="659"/>
      <c r="V110" s="406">
        <f t="shared" si="18"/>
        <v>224.05</v>
      </c>
      <c r="W110" s="292" t="str">
        <f>IF(($L110-$E110)&gt;=0,"",)</f>
        <v/>
      </c>
      <c r="X110" s="659"/>
      <c r="Y110" s="406">
        <f t="shared" si="19"/>
        <v>324.05</v>
      </c>
      <c r="Z110" s="293" t="str">
        <f>IF(($L110-$D110)&gt;=0,""," - Получить от Блока ИБ ТТР по применению PAM и реализовать рекомендуемые решения
(опционально при покрытии инфраструктуры JH)")</f>
        <v xml:space="preserve"> - Получить от Блока ИБ ТТР по применению PAM и реализовать рекомендуемые решения
(опционально при покрытии инфраструктуры JH)</v>
      </c>
      <c r="AA110" s="659" t="s">
        <v>306</v>
      </c>
    </row>
    <row r="111" spans="2:27" ht="43.2" outlineLevel="1">
      <c r="B111" s="341" t="str">
        <f>Реагирование!B64</f>
        <v>Наличие плейбука по реагированию на сработки PAM</v>
      </c>
      <c r="C111" s="454" t="str">
        <f>Реагирование!C64</f>
        <v>РЕАГ.PB.5.9.3.9</v>
      </c>
      <c r="D111" s="455">
        <f>Реагирование!D64</f>
        <v>5</v>
      </c>
      <c r="E111" s="455">
        <f>Реагирование!E64</f>
        <v>0</v>
      </c>
      <c r="F111" s="455">
        <f>Реагирование!F64</f>
        <v>0</v>
      </c>
      <c r="G111" s="455">
        <f>Реагирование!G64</f>
        <v>0</v>
      </c>
      <c r="H111" s="455">
        <f>Реагирование!H64</f>
        <v>0</v>
      </c>
      <c r="I111" s="455">
        <f>Реагирование!I64</f>
        <v>0</v>
      </c>
      <c r="J111" s="455">
        <f>Реагирование!J64</f>
        <v>0</v>
      </c>
      <c r="K111" s="455">
        <f>Реагирование!K64</f>
        <v>5</v>
      </c>
      <c r="L111" s="455">
        <f>Реагирование!L64</f>
        <v>0</v>
      </c>
      <c r="M111" s="456">
        <f>Реагирование!M64</f>
        <v>-5</v>
      </c>
      <c r="N111" s="457" t="str">
        <f>Реагирование!N64</f>
        <v>0   - Контроль не выполняется</v>
      </c>
      <c r="O111" s="458"/>
      <c r="P111" s="262">
        <f t="shared" si="27"/>
        <v>0</v>
      </c>
      <c r="Q111" s="262"/>
      <c r="R111" s="262"/>
      <c r="S111" s="406">
        <f t="shared" si="29"/>
        <v>24.060000000000009</v>
      </c>
      <c r="T111" s="458" t="str">
        <f>Реагирование!T64</f>
        <v/>
      </c>
      <c r="U111" s="458"/>
      <c r="V111" s="672">
        <f t="shared" si="18"/>
        <v>224.06</v>
      </c>
      <c r="W111" s="458" t="str">
        <f>Реагирование!W64</f>
        <v/>
      </c>
      <c r="X111" s="458"/>
      <c r="Y111" s="672">
        <f t="shared" si="19"/>
        <v>324.06</v>
      </c>
      <c r="Z111" s="671" t="str">
        <f>Реагирование!Z64</f>
        <v xml:space="preserve"> - Разработать и простестировать плейбуки по реагированию на сработки PAM
(опционально при покрытии инфраструктуры JH)</v>
      </c>
      <c r="AA111" s="458"/>
    </row>
    <row r="112" spans="2:27" ht="27.6">
      <c r="B112" s="305" t="s">
        <v>307</v>
      </c>
      <c r="C112" s="397" t="s">
        <v>55</v>
      </c>
      <c r="D112" s="294"/>
      <c r="E112" s="294"/>
      <c r="F112" s="294"/>
      <c r="G112" s="398"/>
      <c r="H112" s="294"/>
      <c r="I112" s="399"/>
      <c r="J112" s="306"/>
      <c r="K112" s="294"/>
      <c r="L112" s="399"/>
      <c r="M112" s="398"/>
      <c r="N112" s="401"/>
      <c r="O112" s="401"/>
      <c r="P112" s="402"/>
      <c r="Q112" s="402"/>
      <c r="R112" s="402"/>
      <c r="S112" s="306">
        <f>VLOOKUP(B112,Приоритет!$G$9:$K$52,5,0)</f>
        <v>25</v>
      </c>
      <c r="T112" s="407" t="str">
        <f>B112</f>
        <v>Предотвращение утечки данных (Data Loss Prevention (DLP)</v>
      </c>
      <c r="U112" s="658"/>
      <c r="V112" s="306">
        <f t="shared" si="18"/>
        <v>225</v>
      </c>
      <c r="W112" s="407" t="str">
        <f>B112</f>
        <v>Предотвращение утечки данных (Data Loss Prevention (DLP)</v>
      </c>
      <c r="X112" s="658"/>
      <c r="Y112" s="306">
        <f t="shared" si="19"/>
        <v>325</v>
      </c>
      <c r="Z112" s="407" t="str">
        <f>B112</f>
        <v>Предотвращение утечки данных (Data Loss Prevention (DLP)</v>
      </c>
      <c r="AA112" s="658"/>
    </row>
    <row r="113" spans="2:27" ht="31.2" outlineLevel="1">
      <c r="B113" s="459" t="s">
        <v>806</v>
      </c>
      <c r="C113" s="300" t="s">
        <v>807</v>
      </c>
      <c r="D113" s="460">
        <v>5</v>
      </c>
      <c r="E113" s="461">
        <v>0</v>
      </c>
      <c r="F113" s="462">
        <v>0</v>
      </c>
      <c r="G113" s="463"/>
      <c r="H113" s="463"/>
      <c r="I113" s="464"/>
      <c r="J113" s="431"/>
      <c r="K113" s="260">
        <f t="shared" ref="K113:K118" si="31">IF(ЦУКБ="КБ 1",F113, IF(ЦУКБ="КБ 2",E113,D113))</f>
        <v>5</v>
      </c>
      <c r="L113" s="290">
        <f>IF((СК="Да"),D113,VALUE(LEFT(N113,3)))</f>
        <v>0</v>
      </c>
      <c r="M113" s="367">
        <f t="shared" si="30"/>
        <v>-5</v>
      </c>
      <c r="N113" s="269" t="s">
        <v>349</v>
      </c>
      <c r="O113" s="216" t="str">
        <f t="shared" si="28"/>
        <v/>
      </c>
      <c r="P113" s="262">
        <f t="shared" si="27"/>
        <v>0</v>
      </c>
      <c r="Q113" s="262"/>
      <c r="R113" s="262"/>
      <c r="S113" s="406">
        <f t="shared" ref="S113:S119" si="32">S112+0.01</f>
        <v>25.01</v>
      </c>
      <c r="T113" s="465" t="str">
        <f t="shared" ref="T113:T119" si="33">IF(($L113-$F113)&gt;=0,"",)</f>
        <v/>
      </c>
      <c r="U113" s="666"/>
      <c r="V113" s="406">
        <f t="shared" ref="V113:V119" si="34">V112+0.01</f>
        <v>225.01</v>
      </c>
      <c r="W113" s="292" t="str">
        <f t="shared" ref="W113:W119" si="35">IF(($L113-$E113)&gt;=0,"",)</f>
        <v/>
      </c>
      <c r="X113" s="666"/>
      <c r="Y113" s="406">
        <f t="shared" ref="Y113:Y119" si="36">Y112+0.01</f>
        <v>325.01</v>
      </c>
      <c r="Z113" s="292" t="str">
        <f>IF(($L113-$D113)&gt;=0,""," - Обеспечить контроль актуальных технических каналов утечки информации средствами DLP")</f>
        <v xml:space="preserve"> - Обеспечить контроль актуальных технических каналов утечки информации средствами DLP</v>
      </c>
      <c r="AA113" s="666" t="s">
        <v>308</v>
      </c>
    </row>
    <row r="114" spans="2:27" ht="27.6" outlineLevel="1">
      <c r="B114" s="459" t="s">
        <v>808</v>
      </c>
      <c r="C114" s="300" t="s">
        <v>809</v>
      </c>
      <c r="D114" s="460">
        <v>5</v>
      </c>
      <c r="E114" s="461">
        <v>0</v>
      </c>
      <c r="F114" s="462">
        <v>0</v>
      </c>
      <c r="G114" s="463"/>
      <c r="H114" s="463"/>
      <c r="I114" s="404"/>
      <c r="J114" s="431"/>
      <c r="K114" s="260">
        <f t="shared" si="31"/>
        <v>5</v>
      </c>
      <c r="L114" s="405">
        <f>IF((СК="Да"), D114, N114/(100%)*5)</f>
        <v>0</v>
      </c>
      <c r="M114" s="367">
        <f t="shared" si="30"/>
        <v>-5</v>
      </c>
      <c r="N114" s="410">
        <v>0</v>
      </c>
      <c r="O114" s="216" t="str">
        <f t="shared" si="28"/>
        <v/>
      </c>
      <c r="P114" s="262">
        <f t="shared" si="27"/>
        <v>0</v>
      </c>
      <c r="Q114" s="262"/>
      <c r="R114" s="262"/>
      <c r="S114" s="406">
        <f t="shared" si="32"/>
        <v>25.020000000000003</v>
      </c>
      <c r="T114" s="465" t="str">
        <f t="shared" si="33"/>
        <v/>
      </c>
      <c r="U114" s="666"/>
      <c r="V114" s="406">
        <f t="shared" si="34"/>
        <v>225.01999999999998</v>
      </c>
      <c r="W114" s="465" t="str">
        <f t="shared" si="35"/>
        <v/>
      </c>
      <c r="X114" s="666"/>
      <c r="Y114" s="406">
        <f t="shared" si="36"/>
        <v>325.02</v>
      </c>
      <c r="Z114" s="292" t="str">
        <f>IF(($L114-$D114)&gt;=0,""," - Приобрести лицензии на DLP в объеме, достаточном для покрытия 100 % необходимой инфраструктуры")</f>
        <v xml:space="preserve"> - Приобрести лицензии на DLP в объеме, достаточном для покрытия 100 % необходимой инфраструктуры</v>
      </c>
      <c r="AA114" s="666" t="s">
        <v>253</v>
      </c>
    </row>
    <row r="115" spans="2:27" ht="31.2" outlineLevel="1">
      <c r="B115" s="459" t="s">
        <v>810</v>
      </c>
      <c r="C115" s="300" t="s">
        <v>811</v>
      </c>
      <c r="D115" s="460">
        <v>5</v>
      </c>
      <c r="E115" s="461">
        <v>0</v>
      </c>
      <c r="F115" s="462">
        <v>0</v>
      </c>
      <c r="G115" s="463"/>
      <c r="H115" s="463"/>
      <c r="I115" s="404"/>
      <c r="J115" s="431"/>
      <c r="K115" s="260">
        <f t="shared" si="31"/>
        <v>5</v>
      </c>
      <c r="L115" s="405">
        <f>IF((СК="Да"), D115, N115/(100%)*5)</f>
        <v>0</v>
      </c>
      <c r="M115" s="367">
        <f t="shared" si="30"/>
        <v>-5</v>
      </c>
      <c r="N115" s="410">
        <v>0</v>
      </c>
      <c r="O115" s="216" t="str">
        <f t="shared" si="28"/>
        <v/>
      </c>
      <c r="P115" s="262">
        <f t="shared" si="27"/>
        <v>0</v>
      </c>
      <c r="Q115" s="262"/>
      <c r="R115" s="262"/>
      <c r="S115" s="406">
        <f t="shared" si="32"/>
        <v>25.030000000000005</v>
      </c>
      <c r="T115" s="465" t="str">
        <f t="shared" si="33"/>
        <v/>
      </c>
      <c r="U115" s="666"/>
      <c r="V115" s="406">
        <f t="shared" si="34"/>
        <v>225.02999999999997</v>
      </c>
      <c r="W115" s="465" t="str">
        <f t="shared" si="35"/>
        <v/>
      </c>
      <c r="X115" s="666"/>
      <c r="Y115" s="406">
        <f t="shared" si="36"/>
        <v>325.02999999999997</v>
      </c>
      <c r="Z115" s="292" t="str">
        <f>IF(($L115-$D115)&gt;=0,""," - Обеспечить установку DLP на 100% необходимой инфраструктуры")</f>
        <v xml:space="preserve"> - Обеспечить установку DLP на 100% необходимой инфраструктуры</v>
      </c>
      <c r="AA115" s="666" t="s">
        <v>308</v>
      </c>
    </row>
    <row r="116" spans="2:27" ht="41.4" outlineLevel="1">
      <c r="B116" s="459" t="s">
        <v>812</v>
      </c>
      <c r="C116" s="300" t="s">
        <v>813</v>
      </c>
      <c r="D116" s="460">
        <v>5</v>
      </c>
      <c r="E116" s="461">
        <v>0</v>
      </c>
      <c r="F116" s="462">
        <v>0</v>
      </c>
      <c r="G116" s="463"/>
      <c r="H116" s="463"/>
      <c r="I116" s="464"/>
      <c r="J116" s="431"/>
      <c r="K116" s="260">
        <f t="shared" si="31"/>
        <v>5</v>
      </c>
      <c r="L116" s="290">
        <f>IF((СК="Да"),D116,VALUE(LEFT(N116,3)))</f>
        <v>0</v>
      </c>
      <c r="M116" s="367">
        <f t="shared" si="30"/>
        <v>-5</v>
      </c>
      <c r="N116" s="269" t="s">
        <v>349</v>
      </c>
      <c r="O116" s="216" t="str">
        <f t="shared" si="28"/>
        <v/>
      </c>
      <c r="P116" s="262">
        <f t="shared" si="27"/>
        <v>0</v>
      </c>
      <c r="Q116" s="262"/>
      <c r="R116" s="262"/>
      <c r="S116" s="406">
        <f t="shared" si="32"/>
        <v>25.040000000000006</v>
      </c>
      <c r="T116" s="465" t="str">
        <f t="shared" si="33"/>
        <v/>
      </c>
      <c r="U116" s="666"/>
      <c r="V116" s="406">
        <f t="shared" si="34"/>
        <v>225.03999999999996</v>
      </c>
      <c r="W116" s="465" t="str">
        <f t="shared" si="35"/>
        <v/>
      </c>
      <c r="X116" s="666"/>
      <c r="Y116" s="406">
        <f t="shared" si="36"/>
        <v>325.03999999999996</v>
      </c>
      <c r="Z116" s="292" t="str">
        <f>IF(($L116-$D116)&gt;=0,""," - Создать систему централизованного управления средствами DLP и обеспечить подключение к ней всех элементов инфраструктуры")</f>
        <v xml:space="preserve"> - Создать систему централизованного управления средствами DLP и обеспечить подключение к ней всех элементов инфраструктуры</v>
      </c>
      <c r="AA116" s="666" t="s">
        <v>308</v>
      </c>
    </row>
    <row r="117" spans="2:27" ht="31.2" outlineLevel="1">
      <c r="B117" s="459" t="s">
        <v>760</v>
      </c>
      <c r="C117" s="300" t="s">
        <v>814</v>
      </c>
      <c r="D117" s="460">
        <v>5</v>
      </c>
      <c r="E117" s="461">
        <v>0</v>
      </c>
      <c r="F117" s="462">
        <v>0</v>
      </c>
      <c r="G117" s="463"/>
      <c r="H117" s="463"/>
      <c r="I117" s="464"/>
      <c r="J117" s="431"/>
      <c r="K117" s="260">
        <f t="shared" si="31"/>
        <v>5</v>
      </c>
      <c r="L117" s="290">
        <f>IF((СК="Да"),D117,VALUE(LEFT(N117,3)))</f>
        <v>0</v>
      </c>
      <c r="M117" s="367">
        <f t="shared" si="30"/>
        <v>-5</v>
      </c>
      <c r="N117" s="269" t="s">
        <v>349</v>
      </c>
      <c r="O117" s="216" t="str">
        <f t="shared" si="28"/>
        <v/>
      </c>
      <c r="P117" s="262">
        <f t="shared" si="27"/>
        <v>0</v>
      </c>
      <c r="Q117" s="262"/>
      <c r="R117" s="262"/>
      <c r="S117" s="406">
        <f t="shared" si="32"/>
        <v>25.050000000000008</v>
      </c>
      <c r="T117" s="465" t="str">
        <f t="shared" si="33"/>
        <v/>
      </c>
      <c r="U117" s="666"/>
      <c r="V117" s="406">
        <f t="shared" si="34"/>
        <v>225.04999999999995</v>
      </c>
      <c r="W117" s="465" t="str">
        <f t="shared" si="35"/>
        <v/>
      </c>
      <c r="X117" s="666"/>
      <c r="Y117" s="406">
        <f t="shared" si="36"/>
        <v>325.04999999999995</v>
      </c>
      <c r="Z117" s="292" t="str">
        <f>IF(($L117-$D117)&gt;=0,""," - Получить от Блока ИБ ТТР по применению DLP и реализовать рекомендуемые решения")</f>
        <v xml:space="preserve"> - Получить от Блока ИБ ТТР по применению DLP и реализовать рекомендуемые решения</v>
      </c>
      <c r="AA117" s="666" t="s">
        <v>308</v>
      </c>
    </row>
    <row r="118" spans="2:27" ht="179.4" outlineLevel="1">
      <c r="B118" s="459" t="s">
        <v>815</v>
      </c>
      <c r="C118" s="300" t="s">
        <v>816</v>
      </c>
      <c r="D118" s="256">
        <v>4</v>
      </c>
      <c r="E118" s="257">
        <v>0</v>
      </c>
      <c r="F118" s="258">
        <v>0</v>
      </c>
      <c r="G118" s="430"/>
      <c r="H118" s="430"/>
      <c r="I118" s="290"/>
      <c r="J118" s="431"/>
      <c r="K118" s="260">
        <f t="shared" si="31"/>
        <v>4</v>
      </c>
      <c r="L118" s="290">
        <f>IF((СК="Да"),1,VALUE(LEFT(N118,3)))</f>
        <v>0</v>
      </c>
      <c r="M118" s="367">
        <f t="shared" si="30"/>
        <v>-4</v>
      </c>
      <c r="N118" s="269" t="s">
        <v>359</v>
      </c>
      <c r="O118" s="216" t="str">
        <f>IF((СК="Да"),"Совместная зона ответственности ДЗО и Сервисной компании
(1 - при подключении к СК;
3 - после утверждения регламента взаимодействия СК - ДЗО в ДЗО;
4 - нет нарушений метрики ДЗО за оцениваемый период)", "")</f>
        <v/>
      </c>
      <c r="P118" s="262">
        <f t="shared" si="27"/>
        <v>0</v>
      </c>
      <c r="Q118" s="262"/>
      <c r="R118" s="262"/>
      <c r="S118" s="406">
        <f t="shared" si="32"/>
        <v>25.060000000000009</v>
      </c>
      <c r="T118" s="465" t="str">
        <f t="shared" si="33"/>
        <v/>
      </c>
      <c r="U118" s="666"/>
      <c r="V118" s="406">
        <f t="shared" si="34"/>
        <v>225.05999999999995</v>
      </c>
      <c r="W118" s="465" t="str">
        <f t="shared" si="35"/>
        <v/>
      </c>
      <c r="X118" s="666"/>
      <c r="Y118" s="406">
        <f t="shared" si="36"/>
        <v>325.05999999999995</v>
      </c>
      <c r="Z118" s="292" t="str">
        <f>IF(($L118-$D118)&gt;=0,""," - Разработать процесс контроля  утечек информации по техническим каналам средствами DLP;
 - Утвердить в Обществе ВНД, описывающий процесс контроля  утечек информации по техническим каналам средствами DLP;"&amp;"
 - Реализовать в Обществе процесс контроля контроля  утечек информации по техническим каналам средствами DLP;
 - Разработать систему метрик для процесса контроля  утечек информации по техническим каналам средствами DLP;"&amp;"
  - Реализовать мониторинг параметров процесса контроля  утечек информации по техническим каналам средствами DLP;"&amp;"
 - Реализовать реагирование на факты отклонения параметров процесса контроля  утечек информации по техническим каналам средствами DLP")</f>
        <v xml:space="preserve"> - Разработать процесс контроля  утечек информации по техническим каналам средствами DLP;
 - Утвердить в Обществе ВНД, описывающий процесс контроля  утечек информации по техническим каналам средствами DLP;
 - Реализовать в Обществе процесс контроля контроля  утечек информации по техническим каналам средствами DLP;
 - Разработать систему метрик для процесса контроля  утечек информации по техническим каналам средствами DLP;
  - Реализовать мониторинг параметров процесса контроля  утечек информации по техническим каналам средствами DLP;
 - Реализовать реагирование на факты отклонения параметров процесса контроля  утечек информации по техническим каналам средствами DLP</v>
      </c>
      <c r="AA118" s="666" t="s">
        <v>309</v>
      </c>
    </row>
    <row r="119" spans="2:27" ht="28.2" outlineLevel="1">
      <c r="B119" s="466" t="s">
        <v>817</v>
      </c>
      <c r="C119" s="424" t="str">
        <f>Реагирование!C65</f>
        <v>РЕАГ.PB.5.9.3.10</v>
      </c>
      <c r="D119" s="467">
        <f>Реагирование!D65</f>
        <v>5</v>
      </c>
      <c r="E119" s="467">
        <f>Реагирование!E65</f>
        <v>0</v>
      </c>
      <c r="F119" s="467">
        <f>Реагирование!F65</f>
        <v>0</v>
      </c>
      <c r="G119" s="467">
        <f>Реагирование!G65</f>
        <v>0</v>
      </c>
      <c r="H119" s="467">
        <f>Реагирование!H65</f>
        <v>0</v>
      </c>
      <c r="I119" s="467">
        <f>Реагирование!I65</f>
        <v>0</v>
      </c>
      <c r="J119" s="468">
        <f>Реагирование!J65</f>
        <v>0</v>
      </c>
      <c r="K119" s="467">
        <f>Реагирование!K65</f>
        <v>5</v>
      </c>
      <c r="L119" s="467">
        <f>Реагирование!L65</f>
        <v>0</v>
      </c>
      <c r="M119" s="367">
        <f>Реагирование!M65</f>
        <v>-5</v>
      </c>
      <c r="N119" s="469" t="str">
        <f>Реагирование!N65</f>
        <v>0   - Контроль не выполняется</v>
      </c>
      <c r="P119" s="262">
        <f t="shared" si="27"/>
        <v>0</v>
      </c>
      <c r="Q119" s="262"/>
      <c r="R119" s="262"/>
      <c r="S119" s="406">
        <f t="shared" si="32"/>
        <v>25.070000000000011</v>
      </c>
      <c r="T119" s="465" t="str">
        <f t="shared" si="33"/>
        <v/>
      </c>
      <c r="U119" s="666"/>
      <c r="V119" s="406">
        <f t="shared" si="34"/>
        <v>225.06999999999994</v>
      </c>
      <c r="W119" s="465" t="str">
        <f t="shared" si="35"/>
        <v/>
      </c>
      <c r="X119" s="666"/>
      <c r="Y119" s="406">
        <f t="shared" si="36"/>
        <v>325.06999999999994</v>
      </c>
      <c r="Z119" s="292" t="str">
        <f>IF(($L119-$D119)&gt;=0,"","")</f>
        <v/>
      </c>
      <c r="AA119" s="666"/>
    </row>
    <row r="120" spans="2:27">
      <c r="B120" s="204"/>
      <c r="N120" s="373"/>
    </row>
    <row r="121" spans="2:27">
      <c r="B121" s="204"/>
      <c r="N121" s="373"/>
    </row>
    <row r="122" spans="2:27">
      <c r="B122" s="204"/>
      <c r="N122" s="373"/>
    </row>
    <row r="123" spans="2:27">
      <c r="B123" s="204"/>
      <c r="N123" s="373"/>
    </row>
    <row r="124" spans="2:27">
      <c r="B124" s="204"/>
      <c r="N124" s="373"/>
    </row>
    <row r="125" spans="2:27">
      <c r="B125" s="204"/>
      <c r="N125" s="373"/>
    </row>
    <row r="126" spans="2:27">
      <c r="B126" s="204"/>
      <c r="N126" s="373"/>
    </row>
    <row r="127" spans="2:27">
      <c r="B127" s="204"/>
      <c r="N127" s="373"/>
    </row>
    <row r="128" spans="2:27">
      <c r="B128" s="204"/>
      <c r="N128" s="373"/>
    </row>
    <row r="129" spans="2:14">
      <c r="B129" s="204"/>
      <c r="N129" s="373"/>
    </row>
    <row r="130" spans="2:14">
      <c r="B130" s="204"/>
      <c r="N130" s="373"/>
    </row>
    <row r="131" spans="2:14">
      <c r="B131" s="204"/>
      <c r="N131" s="373"/>
    </row>
    <row r="132" spans="2:14">
      <c r="B132" s="204"/>
      <c r="N132" s="373"/>
    </row>
    <row r="133" spans="2:14">
      <c r="B133" s="204"/>
      <c r="N133" s="373"/>
    </row>
    <row r="134" spans="2:14">
      <c r="B134" s="204"/>
      <c r="N134" s="373"/>
    </row>
    <row r="135" spans="2:14">
      <c r="B135" s="204"/>
      <c r="N135" s="373"/>
    </row>
    <row r="136" spans="2:14">
      <c r="B136" s="204"/>
      <c r="N136" s="373"/>
    </row>
    <row r="137" spans="2:14">
      <c r="B137" s="204"/>
      <c r="N137" s="373"/>
    </row>
    <row r="138" spans="2:14">
      <c r="B138" s="204"/>
      <c r="N138" s="373"/>
    </row>
    <row r="139" spans="2:14">
      <c r="B139" s="204"/>
      <c r="N139" s="373"/>
    </row>
    <row r="140" spans="2:14">
      <c r="B140" s="204"/>
      <c r="N140" s="373"/>
    </row>
    <row r="141" spans="2:14">
      <c r="B141" s="204"/>
      <c r="N141" s="373"/>
    </row>
    <row r="142" spans="2:14">
      <c r="B142" s="204"/>
      <c r="N142" s="373"/>
    </row>
    <row r="143" spans="2:14">
      <c r="B143" s="204"/>
      <c r="N143" s="373"/>
    </row>
    <row r="144" spans="2:14">
      <c r="B144" s="204"/>
      <c r="N144" s="373"/>
    </row>
    <row r="145" spans="2:14">
      <c r="B145" s="204"/>
      <c r="N145" s="373"/>
    </row>
    <row r="146" spans="2:14">
      <c r="B146" s="204"/>
      <c r="N146" s="373"/>
    </row>
    <row r="147" spans="2:14">
      <c r="B147" s="204"/>
      <c r="N147" s="373"/>
    </row>
    <row r="148" spans="2:14">
      <c r="B148" s="204"/>
      <c r="N148" s="373"/>
    </row>
    <row r="149" spans="2:14">
      <c r="B149" s="204"/>
      <c r="N149" s="373"/>
    </row>
    <row r="150" spans="2:14">
      <c r="B150" s="204"/>
      <c r="N150" s="373"/>
    </row>
    <row r="151" spans="2:14">
      <c r="B151" s="204"/>
      <c r="N151" s="373"/>
    </row>
    <row r="152" spans="2:14">
      <c r="B152" s="204"/>
      <c r="N152" s="373"/>
    </row>
    <row r="153" spans="2:14">
      <c r="B153" s="204"/>
      <c r="N153" s="373"/>
    </row>
    <row r="154" spans="2:14">
      <c r="B154" s="204"/>
      <c r="N154" s="373"/>
    </row>
    <row r="155" spans="2:14">
      <c r="B155" s="204"/>
      <c r="N155" s="373"/>
    </row>
    <row r="156" spans="2:14">
      <c r="B156" s="204"/>
      <c r="N156" s="373"/>
    </row>
    <row r="157" spans="2:14">
      <c r="B157" s="204"/>
      <c r="N157" s="373"/>
    </row>
    <row r="158" spans="2:14">
      <c r="B158" s="204"/>
      <c r="N158" s="373"/>
    </row>
    <row r="159" spans="2:14">
      <c r="B159" s="204"/>
      <c r="N159" s="373"/>
    </row>
    <row r="160" spans="2:14">
      <c r="B160" s="204"/>
      <c r="N160" s="373"/>
    </row>
    <row r="161" spans="2:14">
      <c r="B161" s="204"/>
      <c r="N161" s="373"/>
    </row>
    <row r="162" spans="2:14">
      <c r="B162" s="204"/>
      <c r="N162" s="373"/>
    </row>
    <row r="163" spans="2:14">
      <c r="B163" s="204"/>
      <c r="N163" s="373"/>
    </row>
    <row r="164" spans="2:14">
      <c r="B164" s="204"/>
      <c r="N164" s="373"/>
    </row>
    <row r="165" spans="2:14">
      <c r="B165" s="204"/>
      <c r="N165" s="373"/>
    </row>
    <row r="166" spans="2:14">
      <c r="B166" s="204"/>
      <c r="N166" s="373"/>
    </row>
    <row r="167" spans="2:14">
      <c r="B167" s="204"/>
      <c r="N167" s="373"/>
    </row>
    <row r="168" spans="2:14">
      <c r="B168" s="204"/>
      <c r="N168" s="373"/>
    </row>
    <row r="169" spans="2:14">
      <c r="B169" s="204"/>
      <c r="N169" s="373"/>
    </row>
    <row r="170" spans="2:14">
      <c r="B170" s="204"/>
      <c r="N170" s="373"/>
    </row>
    <row r="171" spans="2:14">
      <c r="B171" s="204"/>
      <c r="N171" s="373"/>
    </row>
    <row r="172" spans="2:14">
      <c r="B172" s="204"/>
      <c r="N172" s="373"/>
    </row>
    <row r="173" spans="2:14">
      <c r="B173" s="204"/>
      <c r="N173" s="373"/>
    </row>
    <row r="174" spans="2:14">
      <c r="B174" s="204"/>
      <c r="N174" s="373"/>
    </row>
    <row r="175" spans="2:14">
      <c r="B175" s="204"/>
      <c r="N175" s="373"/>
    </row>
    <row r="176" spans="2:14">
      <c r="B176" s="204"/>
      <c r="N176" s="373"/>
    </row>
    <row r="177" spans="2:14">
      <c r="B177" s="204"/>
      <c r="N177" s="373"/>
    </row>
    <row r="178" spans="2:14">
      <c r="B178" s="204"/>
      <c r="N178" s="373"/>
    </row>
    <row r="179" spans="2:14">
      <c r="B179" s="204"/>
      <c r="N179" s="373"/>
    </row>
    <row r="180" spans="2:14">
      <c r="B180" s="204"/>
      <c r="N180" s="373"/>
    </row>
    <row r="181" spans="2:14">
      <c r="B181" s="204"/>
      <c r="N181" s="373"/>
    </row>
    <row r="182" spans="2:14">
      <c r="B182" s="204"/>
      <c r="N182" s="373"/>
    </row>
    <row r="183" spans="2:14">
      <c r="B183" s="204"/>
      <c r="N183" s="373"/>
    </row>
    <row r="184" spans="2:14">
      <c r="B184" s="204"/>
      <c r="N184" s="373"/>
    </row>
    <row r="185" spans="2:14">
      <c r="B185" s="204"/>
      <c r="N185" s="373"/>
    </row>
    <row r="186" spans="2:14">
      <c r="B186" s="204"/>
      <c r="N186" s="373"/>
    </row>
    <row r="187" spans="2:14">
      <c r="B187" s="204"/>
      <c r="N187" s="373"/>
    </row>
    <row r="188" spans="2:14">
      <c r="B188" s="204"/>
      <c r="N188" s="373"/>
    </row>
    <row r="189" spans="2:14">
      <c r="B189" s="204"/>
      <c r="N189" s="373"/>
    </row>
    <row r="190" spans="2:14">
      <c r="B190" s="204"/>
      <c r="N190" s="373"/>
    </row>
    <row r="191" spans="2:14">
      <c r="B191" s="204"/>
      <c r="N191" s="373"/>
    </row>
    <row r="192" spans="2:14">
      <c r="B192" s="204"/>
      <c r="N192" s="373"/>
    </row>
    <row r="193" spans="2:14">
      <c r="B193" s="204"/>
      <c r="N193" s="373"/>
    </row>
    <row r="194" spans="2:14">
      <c r="B194" s="204"/>
      <c r="N194" s="373"/>
    </row>
    <row r="195" spans="2:14">
      <c r="B195" s="204"/>
      <c r="N195" s="373"/>
    </row>
    <row r="196" spans="2:14">
      <c r="B196" s="204"/>
      <c r="N196" s="373"/>
    </row>
    <row r="197" spans="2:14">
      <c r="B197" s="204"/>
      <c r="N197" s="373"/>
    </row>
    <row r="198" spans="2:14">
      <c r="B198" s="204"/>
      <c r="N198" s="373"/>
    </row>
    <row r="199" spans="2:14">
      <c r="B199" s="204"/>
      <c r="N199" s="373"/>
    </row>
    <row r="200" spans="2:14">
      <c r="B200" s="204"/>
      <c r="N200" s="373"/>
    </row>
    <row r="201" spans="2:14">
      <c r="B201" s="204"/>
      <c r="N201" s="373"/>
    </row>
    <row r="202" spans="2:14">
      <c r="B202" s="204"/>
      <c r="N202" s="373"/>
    </row>
    <row r="203" spans="2:14">
      <c r="B203" s="204"/>
      <c r="N203" s="373"/>
    </row>
    <row r="204" spans="2:14">
      <c r="B204" s="204"/>
      <c r="N204" s="373"/>
    </row>
    <row r="205" spans="2:14">
      <c r="B205" s="204"/>
      <c r="N205" s="373"/>
    </row>
    <row r="206" spans="2:14">
      <c r="B206" s="204"/>
      <c r="N206" s="373"/>
    </row>
    <row r="207" spans="2:14">
      <c r="B207" s="204"/>
      <c r="N207" s="373"/>
    </row>
    <row r="208" spans="2:14">
      <c r="B208" s="204"/>
      <c r="N208" s="373"/>
    </row>
    <row r="209" spans="2:14">
      <c r="B209" s="204"/>
      <c r="N209" s="373"/>
    </row>
    <row r="210" spans="2:14">
      <c r="B210" s="204"/>
      <c r="N210" s="373"/>
    </row>
    <row r="211" spans="2:14">
      <c r="B211" s="204"/>
      <c r="N211" s="373"/>
    </row>
    <row r="212" spans="2:14">
      <c r="B212" s="204"/>
      <c r="N212" s="373"/>
    </row>
    <row r="213" spans="2:14">
      <c r="B213" s="204"/>
      <c r="N213" s="373"/>
    </row>
    <row r="214" spans="2:14">
      <c r="B214" s="204"/>
      <c r="N214" s="373"/>
    </row>
    <row r="215" spans="2:14">
      <c r="B215" s="204"/>
      <c r="N215" s="373"/>
    </row>
    <row r="216" spans="2:14">
      <c r="B216" s="204"/>
      <c r="N216" s="373"/>
    </row>
    <row r="217" spans="2:14">
      <c r="B217" s="204"/>
      <c r="N217" s="373"/>
    </row>
    <row r="218" spans="2:14">
      <c r="B218" s="204"/>
      <c r="N218" s="373"/>
    </row>
    <row r="219" spans="2:14">
      <c r="B219" s="204"/>
      <c r="N219" s="373"/>
    </row>
    <row r="220" spans="2:14">
      <c r="B220" s="204"/>
      <c r="N220" s="373"/>
    </row>
    <row r="221" spans="2:14">
      <c r="B221" s="204"/>
      <c r="N221" s="373"/>
    </row>
    <row r="222" spans="2:14">
      <c r="B222" s="204"/>
      <c r="N222" s="373"/>
    </row>
    <row r="223" spans="2:14">
      <c r="B223" s="204"/>
      <c r="N223" s="373"/>
    </row>
    <row r="224" spans="2:14">
      <c r="B224" s="204"/>
      <c r="N224" s="373"/>
    </row>
    <row r="225" spans="2:14">
      <c r="B225" s="204"/>
      <c r="N225" s="373"/>
    </row>
    <row r="226" spans="2:14">
      <c r="B226" s="204"/>
      <c r="N226" s="373"/>
    </row>
    <row r="227" spans="2:14">
      <c r="B227" s="204"/>
      <c r="N227" s="373"/>
    </row>
    <row r="228" spans="2:14">
      <c r="B228" s="204"/>
      <c r="N228" s="373"/>
    </row>
    <row r="229" spans="2:14">
      <c r="B229" s="204"/>
      <c r="N229" s="373"/>
    </row>
    <row r="230" spans="2:14">
      <c r="B230" s="204"/>
      <c r="N230" s="373"/>
    </row>
    <row r="231" spans="2:14">
      <c r="B231" s="204"/>
      <c r="N231" s="373"/>
    </row>
    <row r="232" spans="2:14">
      <c r="B232" s="204"/>
      <c r="N232" s="373"/>
    </row>
    <row r="233" spans="2:14">
      <c r="B233" s="204"/>
      <c r="N233" s="373"/>
    </row>
    <row r="234" spans="2:14">
      <c r="B234" s="204"/>
      <c r="N234" s="373"/>
    </row>
    <row r="235" spans="2:14">
      <c r="B235" s="204"/>
      <c r="N235" s="373"/>
    </row>
    <row r="236" spans="2:14">
      <c r="B236" s="204"/>
      <c r="N236" s="373"/>
    </row>
    <row r="237" spans="2:14">
      <c r="B237" s="204"/>
      <c r="N237" s="373"/>
    </row>
    <row r="238" spans="2:14">
      <c r="B238" s="204"/>
      <c r="N238" s="373"/>
    </row>
    <row r="239" spans="2:14">
      <c r="B239" s="204"/>
      <c r="N239" s="373"/>
    </row>
    <row r="240" spans="2:14">
      <c r="B240" s="204"/>
      <c r="N240" s="373"/>
    </row>
    <row r="241" spans="2:14">
      <c r="B241" s="204"/>
      <c r="N241" s="373"/>
    </row>
    <row r="242" spans="2:14">
      <c r="B242" s="204"/>
      <c r="N242" s="373"/>
    </row>
    <row r="243" spans="2:14">
      <c r="B243" s="204"/>
      <c r="N243" s="373"/>
    </row>
    <row r="244" spans="2:14">
      <c r="B244" s="204"/>
      <c r="N244" s="373"/>
    </row>
    <row r="245" spans="2:14">
      <c r="B245" s="204"/>
      <c r="N245" s="373"/>
    </row>
    <row r="246" spans="2:14">
      <c r="B246" s="204"/>
      <c r="N246" s="373"/>
    </row>
    <row r="247" spans="2:14">
      <c r="B247" s="204"/>
      <c r="N247" s="373"/>
    </row>
    <row r="248" spans="2:14">
      <c r="B248" s="204"/>
      <c r="N248" s="373"/>
    </row>
    <row r="249" spans="2:14">
      <c r="B249" s="204"/>
      <c r="N249" s="373"/>
    </row>
    <row r="250" spans="2:14">
      <c r="B250" s="204"/>
      <c r="N250" s="373"/>
    </row>
    <row r="251" spans="2:14">
      <c r="B251" s="204"/>
      <c r="N251" s="373"/>
    </row>
    <row r="252" spans="2:14">
      <c r="B252" s="204"/>
      <c r="N252" s="373"/>
    </row>
    <row r="253" spans="2:14">
      <c r="B253" s="204"/>
      <c r="N253" s="373"/>
    </row>
    <row r="254" spans="2:14">
      <c r="B254" s="204"/>
    </row>
    <row r="255" spans="2:14">
      <c r="B255" s="204"/>
    </row>
    <row r="256" spans="2:14">
      <c r="B256" s="204"/>
    </row>
    <row r="257" spans="2:2">
      <c r="B257" s="204"/>
    </row>
    <row r="258" spans="2:2">
      <c r="B258" s="204"/>
    </row>
    <row r="259" spans="2:2">
      <c r="B259" s="204"/>
    </row>
    <row r="260" spans="2:2">
      <c r="B260" s="204"/>
    </row>
    <row r="261" spans="2:2">
      <c r="B261" s="204"/>
    </row>
    <row r="262" spans="2:2">
      <c r="B262" s="204"/>
    </row>
    <row r="263" spans="2:2">
      <c r="B263" s="204"/>
    </row>
    <row r="264" spans="2:2">
      <c r="B264" s="204"/>
    </row>
    <row r="265" spans="2:2">
      <c r="B265" s="204"/>
    </row>
    <row r="266" spans="2:2">
      <c r="B266" s="204"/>
    </row>
    <row r="267" spans="2:2">
      <c r="B267" s="204"/>
    </row>
    <row r="268" spans="2:2">
      <c r="B268" s="204"/>
    </row>
    <row r="269" spans="2:2">
      <c r="B269" s="204"/>
    </row>
    <row r="270" spans="2:2">
      <c r="B270" s="204"/>
    </row>
    <row r="271" spans="2:2">
      <c r="B271" s="204"/>
    </row>
    <row r="272" spans="2:2">
      <c r="B272" s="204"/>
    </row>
    <row r="273" spans="2:2">
      <c r="B273" s="204"/>
    </row>
    <row r="274" spans="2:2">
      <c r="B274" s="204"/>
    </row>
    <row r="275" spans="2:2">
      <c r="B275" s="204"/>
    </row>
    <row r="276" spans="2:2">
      <c r="B276" s="204"/>
    </row>
    <row r="277" spans="2:2">
      <c r="B277" s="204"/>
    </row>
    <row r="278" spans="2:2">
      <c r="B278" s="204"/>
    </row>
    <row r="279" spans="2:2">
      <c r="B279" s="204"/>
    </row>
    <row r="280" spans="2:2">
      <c r="B280" s="204"/>
    </row>
    <row r="281" spans="2:2">
      <c r="B281" s="204"/>
    </row>
    <row r="282" spans="2:2">
      <c r="B282" s="204"/>
    </row>
    <row r="283" spans="2:2">
      <c r="B283" s="204"/>
    </row>
    <row r="284" spans="2:2">
      <c r="B284" s="204"/>
    </row>
    <row r="285" spans="2:2">
      <c r="B285" s="204"/>
    </row>
    <row r="286" spans="2:2">
      <c r="B286" s="204"/>
    </row>
    <row r="287" spans="2:2">
      <c r="B287" s="204"/>
    </row>
    <row r="288" spans="2:2">
      <c r="B288" s="204"/>
    </row>
    <row r="289" spans="2:2">
      <c r="B289" s="204"/>
    </row>
    <row r="290" spans="2:2">
      <c r="B290" s="204"/>
    </row>
    <row r="291" spans="2:2">
      <c r="B291" s="204"/>
    </row>
    <row r="292" spans="2:2">
      <c r="B292" s="204"/>
    </row>
    <row r="293" spans="2:2">
      <c r="B293" s="204"/>
    </row>
    <row r="294" spans="2:2">
      <c r="B294" s="204"/>
    </row>
    <row r="295" spans="2:2">
      <c r="B295" s="204"/>
    </row>
    <row r="296" spans="2:2">
      <c r="B296" s="204"/>
    </row>
    <row r="297" spans="2:2">
      <c r="B297" s="204"/>
    </row>
    <row r="298" spans="2:2">
      <c r="B298" s="204"/>
    </row>
    <row r="299" spans="2:2">
      <c r="B299" s="204"/>
    </row>
    <row r="300" spans="2:2">
      <c r="B300" s="204"/>
    </row>
    <row r="301" spans="2:2">
      <c r="B301" s="204"/>
    </row>
    <row r="302" spans="2:2">
      <c r="B302" s="204"/>
    </row>
    <row r="303" spans="2:2">
      <c r="B303" s="204"/>
    </row>
    <row r="304" spans="2:2">
      <c r="B304" s="204"/>
    </row>
    <row r="305" spans="2:2">
      <c r="B305" s="204"/>
    </row>
    <row r="306" spans="2:2">
      <c r="B306" s="204"/>
    </row>
    <row r="307" spans="2:2">
      <c r="B307" s="204"/>
    </row>
    <row r="308" spans="2:2">
      <c r="B308" s="204"/>
    </row>
    <row r="309" spans="2:2">
      <c r="B309" s="204"/>
    </row>
    <row r="310" spans="2:2">
      <c r="B310" s="204"/>
    </row>
    <row r="311" spans="2:2">
      <c r="B311" s="204"/>
    </row>
    <row r="312" spans="2:2">
      <c r="B312" s="204"/>
    </row>
    <row r="313" spans="2:2">
      <c r="B313" s="204"/>
    </row>
    <row r="314" spans="2:2">
      <c r="B314" s="204"/>
    </row>
    <row r="315" spans="2:2">
      <c r="B315" s="204"/>
    </row>
    <row r="316" spans="2:2">
      <c r="B316" s="204"/>
    </row>
    <row r="317" spans="2:2">
      <c r="B317" s="204"/>
    </row>
    <row r="318" spans="2:2">
      <c r="B318" s="204"/>
    </row>
    <row r="319" spans="2:2">
      <c r="B319" s="204"/>
    </row>
    <row r="320" spans="2:2">
      <c r="B320" s="204"/>
    </row>
    <row r="321" spans="2:2">
      <c r="B321" s="204"/>
    </row>
    <row r="322" spans="2:2">
      <c r="B322" s="204"/>
    </row>
    <row r="323" spans="2:2">
      <c r="B323" s="204"/>
    </row>
    <row r="324" spans="2:2">
      <c r="B324" s="204"/>
    </row>
    <row r="325" spans="2:2">
      <c r="B325" s="204"/>
    </row>
    <row r="326" spans="2:2">
      <c r="B326" s="204"/>
    </row>
    <row r="327" spans="2:2">
      <c r="B327" s="204"/>
    </row>
    <row r="328" spans="2:2">
      <c r="B328" s="204"/>
    </row>
    <row r="329" spans="2:2">
      <c r="B329" s="204"/>
    </row>
    <row r="330" spans="2:2">
      <c r="B330" s="204"/>
    </row>
    <row r="331" spans="2:2">
      <c r="B331" s="204"/>
    </row>
    <row r="332" spans="2:2">
      <c r="B332" s="204"/>
    </row>
    <row r="333" spans="2:2">
      <c r="B333" s="204"/>
    </row>
    <row r="334" spans="2:2">
      <c r="B334" s="204"/>
    </row>
    <row r="335" spans="2:2">
      <c r="B335" s="204"/>
    </row>
    <row r="336" spans="2:2">
      <c r="B336" s="204"/>
    </row>
    <row r="337" spans="2:2">
      <c r="B337" s="204"/>
    </row>
    <row r="338" spans="2:2">
      <c r="B338" s="204"/>
    </row>
    <row r="339" spans="2:2">
      <c r="B339" s="204"/>
    </row>
    <row r="340" spans="2:2">
      <c r="B340" s="204"/>
    </row>
    <row r="341" spans="2:2">
      <c r="B341" s="204"/>
    </row>
    <row r="342" spans="2:2">
      <c r="B342" s="204"/>
    </row>
    <row r="343" spans="2:2">
      <c r="B343" s="204"/>
    </row>
    <row r="344" spans="2:2">
      <c r="B344" s="204"/>
    </row>
    <row r="345" spans="2:2">
      <c r="B345" s="204"/>
    </row>
    <row r="346" spans="2:2">
      <c r="B346" s="204"/>
    </row>
    <row r="347" spans="2:2">
      <c r="B347" s="204"/>
    </row>
    <row r="348" spans="2:2">
      <c r="B348" s="204"/>
    </row>
    <row r="349" spans="2:2">
      <c r="B349" s="204"/>
    </row>
    <row r="350" spans="2:2">
      <c r="B350" s="204"/>
    </row>
    <row r="351" spans="2:2">
      <c r="B351" s="204"/>
    </row>
    <row r="352" spans="2:2">
      <c r="B352" s="204"/>
    </row>
    <row r="353" spans="2:2">
      <c r="B353" s="204"/>
    </row>
    <row r="354" spans="2:2">
      <c r="B354" s="204"/>
    </row>
    <row r="355" spans="2:2">
      <c r="B355" s="204"/>
    </row>
    <row r="356" spans="2:2">
      <c r="B356" s="204"/>
    </row>
    <row r="357" spans="2:2">
      <c r="B357" s="204"/>
    </row>
    <row r="358" spans="2:2">
      <c r="B358" s="204"/>
    </row>
    <row r="359" spans="2:2">
      <c r="B359" s="204"/>
    </row>
    <row r="360" spans="2:2">
      <c r="B360" s="204"/>
    </row>
    <row r="361" spans="2:2">
      <c r="B361" s="204"/>
    </row>
    <row r="362" spans="2:2">
      <c r="B362" s="204"/>
    </row>
    <row r="363" spans="2:2">
      <c r="B363" s="204"/>
    </row>
    <row r="364" spans="2:2">
      <c r="B364" s="204"/>
    </row>
    <row r="365" spans="2:2">
      <c r="B365" s="204"/>
    </row>
    <row r="366" spans="2:2">
      <c r="B366" s="204"/>
    </row>
    <row r="367" spans="2:2">
      <c r="B367" s="204"/>
    </row>
    <row r="368" spans="2:2">
      <c r="B368" s="204"/>
    </row>
    <row r="369" spans="2:2">
      <c r="B369" s="204"/>
    </row>
    <row r="370" spans="2:2">
      <c r="B370" s="204"/>
    </row>
    <row r="371" spans="2:2">
      <c r="B371" s="204"/>
    </row>
    <row r="372" spans="2:2">
      <c r="B372" s="204"/>
    </row>
    <row r="373" spans="2:2">
      <c r="B373" s="204"/>
    </row>
    <row r="374" spans="2:2">
      <c r="B374" s="204"/>
    </row>
    <row r="375" spans="2:2">
      <c r="B375" s="204"/>
    </row>
    <row r="376" spans="2:2">
      <c r="B376" s="204"/>
    </row>
    <row r="377" spans="2:2">
      <c r="B377" s="204"/>
    </row>
    <row r="378" spans="2:2">
      <c r="B378" s="204"/>
    </row>
    <row r="379" spans="2:2">
      <c r="B379" s="204"/>
    </row>
    <row r="380" spans="2:2">
      <c r="B380" s="204"/>
    </row>
    <row r="381" spans="2:2">
      <c r="B381" s="204"/>
    </row>
    <row r="382" spans="2:2">
      <c r="B382" s="204"/>
    </row>
    <row r="383" spans="2:2">
      <c r="B383" s="204"/>
    </row>
    <row r="384" spans="2:2">
      <c r="B384" s="204"/>
    </row>
    <row r="385" spans="2:2">
      <c r="B385" s="204"/>
    </row>
    <row r="386" spans="2:2">
      <c r="B386" s="204"/>
    </row>
    <row r="387" spans="2:2">
      <c r="B387" s="204"/>
    </row>
    <row r="388" spans="2:2">
      <c r="B388" s="204"/>
    </row>
    <row r="389" spans="2:2">
      <c r="B389" s="204"/>
    </row>
    <row r="390" spans="2:2">
      <c r="B390" s="204"/>
    </row>
    <row r="391" spans="2:2">
      <c r="B391" s="204"/>
    </row>
    <row r="392" spans="2:2">
      <c r="B392" s="204"/>
    </row>
    <row r="393" spans="2:2">
      <c r="B393" s="204"/>
    </row>
    <row r="394" spans="2:2">
      <c r="B394" s="204"/>
    </row>
    <row r="395" spans="2:2">
      <c r="B395" s="204"/>
    </row>
    <row r="396" spans="2:2">
      <c r="B396" s="204"/>
    </row>
    <row r="397" spans="2:2">
      <c r="B397" s="204"/>
    </row>
    <row r="398" spans="2:2">
      <c r="B398" s="204"/>
    </row>
    <row r="399" spans="2:2">
      <c r="B399" s="204"/>
    </row>
    <row r="400" spans="2:2">
      <c r="B400" s="204"/>
    </row>
    <row r="401" spans="2:2">
      <c r="B401" s="204"/>
    </row>
    <row r="402" spans="2:2">
      <c r="B402" s="204"/>
    </row>
    <row r="403" spans="2:2">
      <c r="B403" s="204"/>
    </row>
    <row r="404" spans="2:2">
      <c r="B404" s="204"/>
    </row>
    <row r="405" spans="2:2">
      <c r="B405" s="204"/>
    </row>
    <row r="406" spans="2:2">
      <c r="B406" s="204"/>
    </row>
    <row r="407" spans="2:2">
      <c r="B407" s="204"/>
    </row>
    <row r="408" spans="2:2">
      <c r="B408" s="204"/>
    </row>
    <row r="409" spans="2:2">
      <c r="B409" s="204"/>
    </row>
    <row r="410" spans="2:2">
      <c r="B410" s="204"/>
    </row>
    <row r="411" spans="2:2">
      <c r="B411" s="204"/>
    </row>
    <row r="412" spans="2:2">
      <c r="B412" s="204"/>
    </row>
    <row r="413" spans="2:2">
      <c r="B413" s="204"/>
    </row>
    <row r="414" spans="2:2">
      <c r="B414" s="204"/>
    </row>
    <row r="415" spans="2:2">
      <c r="B415" s="204"/>
    </row>
    <row r="416" spans="2:2">
      <c r="B416" s="204"/>
    </row>
    <row r="417" spans="2:2">
      <c r="B417" s="204"/>
    </row>
    <row r="418" spans="2:2">
      <c r="B418" s="204"/>
    </row>
    <row r="419" spans="2:2">
      <c r="B419" s="204"/>
    </row>
    <row r="420" spans="2:2">
      <c r="B420" s="204"/>
    </row>
    <row r="421" spans="2:2">
      <c r="B421" s="204"/>
    </row>
    <row r="422" spans="2:2">
      <c r="B422" s="204"/>
    </row>
    <row r="423" spans="2:2">
      <c r="B423" s="204"/>
    </row>
    <row r="424" spans="2:2">
      <c r="B424" s="204"/>
    </row>
    <row r="425" spans="2:2">
      <c r="B425" s="204"/>
    </row>
    <row r="426" spans="2:2">
      <c r="B426" s="204"/>
    </row>
    <row r="427" spans="2:2">
      <c r="B427" s="204"/>
    </row>
    <row r="428" spans="2:2">
      <c r="B428" s="204"/>
    </row>
    <row r="429" spans="2:2">
      <c r="B429" s="204"/>
    </row>
    <row r="430" spans="2:2">
      <c r="B430" s="204"/>
    </row>
    <row r="431" spans="2:2">
      <c r="B431" s="204"/>
    </row>
    <row r="432" spans="2:2">
      <c r="B432" s="204"/>
    </row>
    <row r="433" spans="2:2">
      <c r="B433" s="204"/>
    </row>
    <row r="434" spans="2:2">
      <c r="B434" s="204"/>
    </row>
    <row r="435" spans="2:2">
      <c r="B435" s="204"/>
    </row>
    <row r="436" spans="2:2">
      <c r="B436" s="204"/>
    </row>
    <row r="437" spans="2:2">
      <c r="B437" s="204"/>
    </row>
    <row r="438" spans="2:2">
      <c r="B438" s="204"/>
    </row>
    <row r="439" spans="2:2">
      <c r="B439" s="204"/>
    </row>
    <row r="440" spans="2:2">
      <c r="B440" s="204"/>
    </row>
    <row r="441" spans="2:2">
      <c r="B441" s="204"/>
    </row>
    <row r="442" spans="2:2">
      <c r="B442" s="204"/>
    </row>
    <row r="443" spans="2:2">
      <c r="B443" s="204"/>
    </row>
    <row r="444" spans="2:2">
      <c r="B444" s="204"/>
    </row>
    <row r="445" spans="2:2">
      <c r="B445" s="204"/>
    </row>
    <row r="446" spans="2:2">
      <c r="B446" s="204"/>
    </row>
    <row r="447" spans="2:2">
      <c r="B447" s="204"/>
    </row>
    <row r="448" spans="2:2">
      <c r="B448" s="204"/>
    </row>
    <row r="449" spans="2:2">
      <c r="B449" s="204"/>
    </row>
    <row r="450" spans="2:2">
      <c r="B450" s="204"/>
    </row>
    <row r="451" spans="2:2">
      <c r="B451" s="204"/>
    </row>
    <row r="452" spans="2:2">
      <c r="B452" s="204"/>
    </row>
    <row r="453" spans="2:2">
      <c r="B453" s="204"/>
    </row>
    <row r="454" spans="2:2">
      <c r="B454" s="204"/>
    </row>
    <row r="455" spans="2:2">
      <c r="B455" s="204"/>
    </row>
    <row r="456" spans="2:2">
      <c r="B456" s="204"/>
    </row>
    <row r="457" spans="2:2">
      <c r="B457" s="204"/>
    </row>
    <row r="458" spans="2:2">
      <c r="B458" s="204"/>
    </row>
    <row r="459" spans="2:2">
      <c r="B459" s="204"/>
    </row>
    <row r="460" spans="2:2">
      <c r="B460" s="204"/>
    </row>
    <row r="461" spans="2:2">
      <c r="B461" s="204"/>
    </row>
    <row r="462" spans="2:2">
      <c r="B462" s="204"/>
    </row>
    <row r="463" spans="2:2">
      <c r="B463" s="204"/>
    </row>
    <row r="464" spans="2:2">
      <c r="B464" s="204"/>
    </row>
    <row r="465" spans="2:2">
      <c r="B465" s="204"/>
    </row>
    <row r="466" spans="2:2">
      <c r="B466" s="204"/>
    </row>
    <row r="467" spans="2:2">
      <c r="B467" s="204"/>
    </row>
    <row r="468" spans="2:2">
      <c r="B468" s="204"/>
    </row>
    <row r="469" spans="2:2">
      <c r="B469" s="204"/>
    </row>
    <row r="470" spans="2:2">
      <c r="B470" s="204"/>
    </row>
    <row r="471" spans="2:2">
      <c r="B471" s="204"/>
    </row>
    <row r="472" spans="2:2">
      <c r="B472" s="204"/>
    </row>
    <row r="473" spans="2:2">
      <c r="B473" s="204"/>
    </row>
    <row r="474" spans="2:2">
      <c r="B474" s="204"/>
    </row>
    <row r="475" spans="2:2">
      <c r="B475" s="204"/>
    </row>
    <row r="476" spans="2:2">
      <c r="B476" s="204"/>
    </row>
    <row r="477" spans="2:2">
      <c r="B477" s="204"/>
    </row>
    <row r="478" spans="2:2">
      <c r="B478" s="204"/>
    </row>
    <row r="479" spans="2:2">
      <c r="B479" s="204"/>
    </row>
    <row r="480" spans="2:2">
      <c r="B480" s="204"/>
    </row>
    <row r="481" spans="2:2">
      <c r="B481" s="204"/>
    </row>
    <row r="482" spans="2:2">
      <c r="B482" s="204"/>
    </row>
    <row r="483" spans="2:2">
      <c r="B483" s="204"/>
    </row>
    <row r="484" spans="2:2">
      <c r="B484" s="204"/>
    </row>
    <row r="485" spans="2:2">
      <c r="B485" s="204"/>
    </row>
    <row r="486" spans="2:2">
      <c r="B486" s="204"/>
    </row>
    <row r="487" spans="2:2">
      <c r="B487" s="204"/>
    </row>
    <row r="488" spans="2:2">
      <c r="B488" s="204"/>
    </row>
    <row r="489" spans="2:2">
      <c r="B489" s="204"/>
    </row>
    <row r="490" spans="2:2">
      <c r="B490" s="204"/>
    </row>
    <row r="491" spans="2:2">
      <c r="B491" s="204"/>
    </row>
    <row r="492" spans="2:2">
      <c r="B492" s="204"/>
    </row>
    <row r="493" spans="2:2">
      <c r="B493" s="204"/>
    </row>
    <row r="494" spans="2:2">
      <c r="B494" s="204"/>
    </row>
    <row r="495" spans="2:2">
      <c r="B495" s="204"/>
    </row>
    <row r="496" spans="2:2">
      <c r="B496" s="204"/>
    </row>
    <row r="497" spans="2:2">
      <c r="B497" s="204"/>
    </row>
    <row r="498" spans="2:2">
      <c r="B498" s="204"/>
    </row>
    <row r="499" spans="2:2">
      <c r="B499" s="204"/>
    </row>
    <row r="500" spans="2:2">
      <c r="B500" s="204"/>
    </row>
    <row r="501" spans="2:2">
      <c r="B501" s="204"/>
    </row>
    <row r="502" spans="2:2">
      <c r="B502" s="204"/>
    </row>
    <row r="503" spans="2:2">
      <c r="B503" s="204"/>
    </row>
    <row r="504" spans="2:2">
      <c r="B504" s="204"/>
    </row>
    <row r="505" spans="2:2">
      <c r="B505" s="204"/>
    </row>
    <row r="506" spans="2:2">
      <c r="B506" s="204"/>
    </row>
    <row r="507" spans="2:2">
      <c r="B507" s="204"/>
    </row>
    <row r="508" spans="2:2">
      <c r="B508" s="204"/>
    </row>
    <row r="509" spans="2:2">
      <c r="B509" s="204"/>
    </row>
    <row r="510" spans="2:2">
      <c r="B510" s="204"/>
    </row>
    <row r="511" spans="2:2">
      <c r="B511" s="204"/>
    </row>
    <row r="512" spans="2:2">
      <c r="B512" s="204"/>
    </row>
    <row r="513" spans="2:2">
      <c r="B513" s="204"/>
    </row>
    <row r="514" spans="2:2">
      <c r="B514" s="204"/>
    </row>
    <row r="515" spans="2:2">
      <c r="B515" s="204"/>
    </row>
    <row r="516" spans="2:2">
      <c r="B516" s="204"/>
    </row>
    <row r="517" spans="2:2">
      <c r="B517" s="204"/>
    </row>
    <row r="518" spans="2:2">
      <c r="B518" s="204"/>
    </row>
    <row r="519" spans="2:2">
      <c r="B519" s="204"/>
    </row>
    <row r="520" spans="2:2">
      <c r="B520" s="204"/>
    </row>
    <row r="521" spans="2:2">
      <c r="B521" s="204"/>
    </row>
    <row r="522" spans="2:2">
      <c r="B522" s="204"/>
    </row>
    <row r="523" spans="2:2">
      <c r="B523" s="204"/>
    </row>
    <row r="524" spans="2:2">
      <c r="B524" s="204"/>
    </row>
    <row r="525" spans="2:2">
      <c r="B525" s="204"/>
    </row>
    <row r="526" spans="2:2">
      <c r="B526" s="204"/>
    </row>
    <row r="527" spans="2:2">
      <c r="B527" s="204"/>
    </row>
    <row r="528" spans="2:2">
      <c r="B528" s="204"/>
    </row>
    <row r="529" spans="2:2">
      <c r="B529" s="204"/>
    </row>
    <row r="530" spans="2:2">
      <c r="B530" s="204"/>
    </row>
    <row r="531" spans="2:2">
      <c r="B531" s="204"/>
    </row>
    <row r="532" spans="2:2">
      <c r="B532" s="204"/>
    </row>
    <row r="533" spans="2:2">
      <c r="B533" s="204"/>
    </row>
    <row r="534" spans="2:2">
      <c r="B534" s="204"/>
    </row>
    <row r="535" spans="2:2">
      <c r="B535" s="204"/>
    </row>
    <row r="536" spans="2:2">
      <c r="B536" s="204"/>
    </row>
    <row r="537" spans="2:2">
      <c r="B537" s="204"/>
    </row>
    <row r="538" spans="2:2">
      <c r="B538" s="204"/>
    </row>
    <row r="539" spans="2:2">
      <c r="B539" s="204"/>
    </row>
    <row r="540" spans="2:2">
      <c r="B540" s="204"/>
    </row>
    <row r="541" spans="2:2">
      <c r="B541" s="204"/>
    </row>
    <row r="542" spans="2:2">
      <c r="B542" s="204"/>
    </row>
    <row r="543" spans="2:2">
      <c r="B543" s="204"/>
    </row>
    <row r="544" spans="2:2">
      <c r="B544" s="204"/>
    </row>
    <row r="545" spans="2:2">
      <c r="B545" s="204"/>
    </row>
    <row r="546" spans="2:2">
      <c r="B546" s="204"/>
    </row>
    <row r="547" spans="2:2">
      <c r="B547" s="204"/>
    </row>
    <row r="548" spans="2:2">
      <c r="B548" s="204"/>
    </row>
    <row r="549" spans="2:2">
      <c r="B549" s="204"/>
    </row>
    <row r="550" spans="2:2">
      <c r="B550" s="204"/>
    </row>
    <row r="551" spans="2:2">
      <c r="B551" s="204"/>
    </row>
    <row r="552" spans="2:2">
      <c r="B552" s="204"/>
    </row>
    <row r="553" spans="2:2">
      <c r="B553" s="204"/>
    </row>
    <row r="554" spans="2:2">
      <c r="B554" s="204"/>
    </row>
    <row r="555" spans="2:2">
      <c r="B555" s="204"/>
    </row>
    <row r="556" spans="2:2">
      <c r="B556" s="204"/>
    </row>
    <row r="557" spans="2:2">
      <c r="B557" s="204"/>
    </row>
    <row r="558" spans="2:2">
      <c r="B558" s="204"/>
    </row>
    <row r="559" spans="2:2">
      <c r="B559" s="204"/>
    </row>
    <row r="560" spans="2:2">
      <c r="B560" s="204"/>
    </row>
    <row r="561" spans="2:2">
      <c r="B561" s="204"/>
    </row>
    <row r="562" spans="2:2">
      <c r="B562" s="204"/>
    </row>
    <row r="563" spans="2:2">
      <c r="B563" s="204"/>
    </row>
    <row r="564" spans="2:2">
      <c r="B564" s="204"/>
    </row>
    <row r="565" spans="2:2">
      <c r="B565" s="204"/>
    </row>
    <row r="566" spans="2:2">
      <c r="B566" s="204"/>
    </row>
    <row r="567" spans="2:2">
      <c r="B567" s="204"/>
    </row>
    <row r="568" spans="2:2">
      <c r="B568" s="204"/>
    </row>
    <row r="569" spans="2:2">
      <c r="B569" s="204"/>
    </row>
    <row r="570" spans="2:2">
      <c r="B570" s="204"/>
    </row>
    <row r="571" spans="2:2">
      <c r="B571" s="204"/>
    </row>
    <row r="572" spans="2:2">
      <c r="B572" s="204"/>
    </row>
    <row r="573" spans="2:2">
      <c r="B573" s="204"/>
    </row>
    <row r="574" spans="2:2">
      <c r="B574" s="204"/>
    </row>
    <row r="575" spans="2:2">
      <c r="B575" s="204"/>
    </row>
    <row r="576" spans="2:2">
      <c r="B576" s="204"/>
    </row>
    <row r="577" spans="2:2">
      <c r="B577" s="204"/>
    </row>
    <row r="578" spans="2:2">
      <c r="B578" s="204"/>
    </row>
    <row r="579" spans="2:2">
      <c r="B579" s="204"/>
    </row>
    <row r="580" spans="2:2">
      <c r="B580" s="204"/>
    </row>
    <row r="581" spans="2:2">
      <c r="B581" s="204"/>
    </row>
    <row r="582" spans="2:2">
      <c r="B582" s="204"/>
    </row>
    <row r="583" spans="2:2">
      <c r="B583" s="204"/>
    </row>
    <row r="584" spans="2:2">
      <c r="B584" s="204"/>
    </row>
    <row r="585" spans="2:2">
      <c r="B585" s="204"/>
    </row>
    <row r="586" spans="2:2">
      <c r="B586" s="204"/>
    </row>
    <row r="587" spans="2:2">
      <c r="B587" s="204"/>
    </row>
    <row r="588" spans="2:2">
      <c r="B588" s="204"/>
    </row>
    <row r="589" spans="2:2">
      <c r="B589" s="204"/>
    </row>
    <row r="590" spans="2:2">
      <c r="B590" s="204"/>
    </row>
    <row r="591" spans="2:2">
      <c r="B591" s="204"/>
    </row>
    <row r="592" spans="2:2">
      <c r="B592" s="204"/>
    </row>
    <row r="593" spans="2:2">
      <c r="B593" s="204"/>
    </row>
    <row r="594" spans="2:2">
      <c r="B594" s="204"/>
    </row>
    <row r="595" spans="2:2">
      <c r="B595" s="204"/>
    </row>
    <row r="596" spans="2:2">
      <c r="B596" s="204"/>
    </row>
    <row r="597" spans="2:2">
      <c r="B597" s="204"/>
    </row>
    <row r="598" spans="2:2">
      <c r="B598" s="204"/>
    </row>
    <row r="599" spans="2:2">
      <c r="B599" s="204"/>
    </row>
    <row r="600" spans="2:2">
      <c r="B600" s="204"/>
    </row>
    <row r="601" spans="2:2">
      <c r="B601" s="204"/>
    </row>
    <row r="602" spans="2:2">
      <c r="B602" s="204"/>
    </row>
    <row r="603" spans="2:2">
      <c r="B603" s="204"/>
    </row>
    <row r="604" spans="2:2">
      <c r="B604" s="204"/>
    </row>
    <row r="605" spans="2:2">
      <c r="B605" s="204"/>
    </row>
    <row r="606" spans="2:2">
      <c r="B606" s="204"/>
    </row>
    <row r="607" spans="2:2">
      <c r="B607" s="204"/>
    </row>
    <row r="608" spans="2:2">
      <c r="B608" s="204"/>
    </row>
    <row r="609" spans="2:2">
      <c r="B609" s="204"/>
    </row>
    <row r="610" spans="2:2">
      <c r="B610" s="204"/>
    </row>
    <row r="611" spans="2:2">
      <c r="B611" s="204"/>
    </row>
    <row r="612" spans="2:2">
      <c r="B612" s="204"/>
    </row>
    <row r="613" spans="2:2">
      <c r="B613" s="204"/>
    </row>
    <row r="614" spans="2:2">
      <c r="B614" s="204"/>
    </row>
    <row r="615" spans="2:2">
      <c r="B615" s="204"/>
    </row>
    <row r="616" spans="2:2">
      <c r="B616" s="204"/>
    </row>
    <row r="617" spans="2:2">
      <c r="B617" s="204"/>
    </row>
    <row r="618" spans="2:2">
      <c r="B618" s="204"/>
    </row>
    <row r="619" spans="2:2">
      <c r="B619" s="204"/>
    </row>
    <row r="620" spans="2:2">
      <c r="B620" s="204"/>
    </row>
    <row r="621" spans="2:2">
      <c r="B621" s="204"/>
    </row>
    <row r="622" spans="2:2">
      <c r="B622" s="204"/>
    </row>
    <row r="623" spans="2:2">
      <c r="B623" s="204"/>
    </row>
    <row r="624" spans="2:2">
      <c r="B624" s="204"/>
    </row>
    <row r="625" spans="2:2">
      <c r="B625" s="204"/>
    </row>
    <row r="626" spans="2:2">
      <c r="B626" s="204"/>
    </row>
    <row r="627" spans="2:2">
      <c r="B627" s="204"/>
    </row>
    <row r="628" spans="2:2">
      <c r="B628" s="204"/>
    </row>
    <row r="629" spans="2:2">
      <c r="B629" s="204"/>
    </row>
    <row r="630" spans="2:2">
      <c r="B630" s="204"/>
    </row>
    <row r="631" spans="2:2">
      <c r="B631" s="204"/>
    </row>
    <row r="632" spans="2:2">
      <c r="B632" s="204"/>
    </row>
    <row r="633" spans="2:2">
      <c r="B633" s="204"/>
    </row>
    <row r="634" spans="2:2">
      <c r="B634" s="204"/>
    </row>
    <row r="635" spans="2:2">
      <c r="B635" s="204"/>
    </row>
    <row r="636" spans="2:2">
      <c r="B636" s="204"/>
    </row>
    <row r="637" spans="2:2">
      <c r="B637" s="204"/>
    </row>
    <row r="638" spans="2:2">
      <c r="B638" s="204"/>
    </row>
    <row r="639" spans="2:2">
      <c r="B639" s="204"/>
    </row>
    <row r="640" spans="2:2">
      <c r="B640" s="204"/>
    </row>
    <row r="641" spans="2:2">
      <c r="B641" s="204"/>
    </row>
    <row r="642" spans="2:2">
      <c r="B642" s="204"/>
    </row>
    <row r="643" spans="2:2">
      <c r="B643" s="204"/>
    </row>
    <row r="644" spans="2:2">
      <c r="B644" s="204"/>
    </row>
    <row r="645" spans="2:2">
      <c r="B645" s="204"/>
    </row>
    <row r="646" spans="2:2">
      <c r="B646" s="204"/>
    </row>
    <row r="647" spans="2:2">
      <c r="B647" s="204"/>
    </row>
    <row r="648" spans="2:2">
      <c r="B648" s="204"/>
    </row>
    <row r="649" spans="2:2">
      <c r="B649" s="204"/>
    </row>
    <row r="650" spans="2:2">
      <c r="B650" s="204"/>
    </row>
    <row r="651" spans="2:2">
      <c r="B651" s="204"/>
    </row>
    <row r="652" spans="2:2">
      <c r="B652" s="204"/>
    </row>
    <row r="653" spans="2:2">
      <c r="B653" s="204"/>
    </row>
    <row r="654" spans="2:2">
      <c r="B654" s="204"/>
    </row>
    <row r="655" spans="2:2">
      <c r="B655" s="204"/>
    </row>
    <row r="656" spans="2:2">
      <c r="B656" s="204"/>
    </row>
    <row r="657" spans="2:2">
      <c r="B657" s="204"/>
    </row>
    <row r="658" spans="2:2">
      <c r="B658" s="204"/>
    </row>
    <row r="659" spans="2:2">
      <c r="B659" s="204"/>
    </row>
    <row r="660" spans="2:2">
      <c r="B660" s="204"/>
    </row>
    <row r="661" spans="2:2">
      <c r="B661" s="204"/>
    </row>
    <row r="662" spans="2:2">
      <c r="B662" s="204"/>
    </row>
    <row r="663" spans="2:2">
      <c r="B663" s="204"/>
    </row>
    <row r="664" spans="2:2">
      <c r="B664" s="204"/>
    </row>
    <row r="665" spans="2:2">
      <c r="B665" s="204"/>
    </row>
    <row r="666" spans="2:2">
      <c r="B666" s="204"/>
    </row>
    <row r="667" spans="2:2">
      <c r="B667" s="204"/>
    </row>
    <row r="668" spans="2:2">
      <c r="B668" s="204"/>
    </row>
    <row r="669" spans="2:2">
      <c r="B669" s="204"/>
    </row>
    <row r="670" spans="2:2">
      <c r="B670" s="204"/>
    </row>
    <row r="671" spans="2:2">
      <c r="B671" s="204"/>
    </row>
    <row r="672" spans="2:2">
      <c r="B672" s="204"/>
    </row>
    <row r="673" spans="2:2">
      <c r="B673" s="204"/>
    </row>
    <row r="674" spans="2:2">
      <c r="B674" s="204"/>
    </row>
    <row r="675" spans="2:2">
      <c r="B675" s="204"/>
    </row>
    <row r="676" spans="2:2">
      <c r="B676" s="204"/>
    </row>
    <row r="677" spans="2:2">
      <c r="B677" s="204"/>
    </row>
    <row r="678" spans="2:2">
      <c r="B678" s="204"/>
    </row>
    <row r="679" spans="2:2">
      <c r="B679" s="204"/>
    </row>
    <row r="680" spans="2:2">
      <c r="B680" s="204"/>
    </row>
    <row r="681" spans="2:2">
      <c r="B681" s="204"/>
    </row>
    <row r="682" spans="2:2">
      <c r="B682" s="204"/>
    </row>
    <row r="683" spans="2:2">
      <c r="B683" s="204"/>
    </row>
    <row r="684" spans="2:2">
      <c r="B684" s="204"/>
    </row>
    <row r="685" spans="2:2">
      <c r="B685" s="204"/>
    </row>
    <row r="686" spans="2:2">
      <c r="B686" s="204"/>
    </row>
    <row r="687" spans="2:2">
      <c r="B687" s="204"/>
    </row>
    <row r="688" spans="2:2">
      <c r="B688" s="204"/>
    </row>
    <row r="689" spans="2:2">
      <c r="B689" s="204"/>
    </row>
    <row r="690" spans="2:2">
      <c r="B690" s="204"/>
    </row>
    <row r="691" spans="2:2">
      <c r="B691" s="204"/>
    </row>
    <row r="692" spans="2:2">
      <c r="B692" s="204"/>
    </row>
    <row r="693" spans="2:2">
      <c r="B693" s="204"/>
    </row>
    <row r="694" spans="2:2">
      <c r="B694" s="204"/>
    </row>
    <row r="695" spans="2:2">
      <c r="B695" s="204"/>
    </row>
    <row r="696" spans="2:2">
      <c r="B696" s="204"/>
    </row>
    <row r="697" spans="2:2">
      <c r="B697" s="204"/>
    </row>
    <row r="698" spans="2:2">
      <c r="B698" s="204"/>
    </row>
    <row r="699" spans="2:2">
      <c r="B699" s="204"/>
    </row>
    <row r="700" spans="2:2">
      <c r="B700" s="204"/>
    </row>
    <row r="701" spans="2:2">
      <c r="B701" s="204"/>
    </row>
    <row r="702" spans="2:2">
      <c r="B702" s="204"/>
    </row>
    <row r="703" spans="2:2">
      <c r="B703" s="204"/>
    </row>
    <row r="704" spans="2:2">
      <c r="B704" s="204"/>
    </row>
    <row r="705" spans="2:2">
      <c r="B705" s="204"/>
    </row>
    <row r="706" spans="2:2">
      <c r="B706" s="204"/>
    </row>
    <row r="707" spans="2:2">
      <c r="B707" s="204"/>
    </row>
    <row r="708" spans="2:2">
      <c r="B708" s="204"/>
    </row>
    <row r="709" spans="2:2">
      <c r="B709" s="204"/>
    </row>
    <row r="710" spans="2:2">
      <c r="B710" s="204"/>
    </row>
    <row r="711" spans="2:2">
      <c r="B711" s="204"/>
    </row>
    <row r="712" spans="2:2">
      <c r="B712" s="204"/>
    </row>
    <row r="713" spans="2:2">
      <c r="B713" s="204"/>
    </row>
    <row r="714" spans="2:2">
      <c r="B714" s="204"/>
    </row>
    <row r="715" spans="2:2">
      <c r="B715" s="204"/>
    </row>
    <row r="716" spans="2:2">
      <c r="B716" s="204"/>
    </row>
    <row r="717" spans="2:2">
      <c r="B717" s="204"/>
    </row>
    <row r="718" spans="2:2">
      <c r="B718" s="204"/>
    </row>
    <row r="719" spans="2:2">
      <c r="B719" s="204"/>
    </row>
    <row r="720" spans="2:2">
      <c r="B720" s="204"/>
    </row>
    <row r="721" spans="2:2">
      <c r="B721" s="204"/>
    </row>
    <row r="722" spans="2:2">
      <c r="B722" s="204"/>
    </row>
    <row r="723" spans="2:2">
      <c r="B723" s="204"/>
    </row>
    <row r="724" spans="2:2">
      <c r="B724" s="204"/>
    </row>
    <row r="725" spans="2:2">
      <c r="B725" s="204"/>
    </row>
    <row r="726" spans="2:2">
      <c r="B726" s="204"/>
    </row>
    <row r="727" spans="2:2">
      <c r="B727" s="204"/>
    </row>
    <row r="728" spans="2:2">
      <c r="B728" s="204"/>
    </row>
    <row r="729" spans="2:2">
      <c r="B729" s="204"/>
    </row>
    <row r="730" spans="2:2">
      <c r="B730" s="204"/>
    </row>
    <row r="731" spans="2:2">
      <c r="B731" s="204"/>
    </row>
    <row r="732" spans="2:2">
      <c r="B732" s="204"/>
    </row>
    <row r="733" spans="2:2">
      <c r="B733" s="204"/>
    </row>
    <row r="734" spans="2:2">
      <c r="B734" s="204"/>
    </row>
    <row r="735" spans="2:2">
      <c r="B735" s="204"/>
    </row>
    <row r="736" spans="2:2">
      <c r="B736" s="204"/>
    </row>
    <row r="737" spans="2:2">
      <c r="B737" s="204"/>
    </row>
    <row r="738" spans="2:2">
      <c r="B738" s="204"/>
    </row>
    <row r="739" spans="2:2">
      <c r="B739" s="204"/>
    </row>
    <row r="740" spans="2:2">
      <c r="B740" s="204"/>
    </row>
    <row r="741" spans="2:2">
      <c r="B741" s="204"/>
    </row>
    <row r="742" spans="2:2">
      <c r="B742" s="204"/>
    </row>
    <row r="743" spans="2:2">
      <c r="B743" s="204"/>
    </row>
    <row r="744" spans="2:2">
      <c r="B744" s="204"/>
    </row>
    <row r="745" spans="2:2">
      <c r="B745" s="204"/>
    </row>
    <row r="746" spans="2:2">
      <c r="B746" s="204"/>
    </row>
    <row r="747" spans="2:2">
      <c r="B747" s="204"/>
    </row>
    <row r="748" spans="2:2">
      <c r="B748" s="204"/>
    </row>
    <row r="749" spans="2:2">
      <c r="B749" s="204"/>
    </row>
    <row r="750" spans="2:2">
      <c r="B750" s="204"/>
    </row>
    <row r="751" spans="2:2">
      <c r="B751" s="204"/>
    </row>
    <row r="752" spans="2:2">
      <c r="B752" s="204"/>
    </row>
    <row r="753" spans="2:2">
      <c r="B753" s="204"/>
    </row>
    <row r="754" spans="2:2">
      <c r="B754" s="204"/>
    </row>
    <row r="755" spans="2:2">
      <c r="B755" s="204"/>
    </row>
    <row r="756" spans="2:2">
      <c r="B756" s="204"/>
    </row>
    <row r="757" spans="2:2">
      <c r="B757" s="204"/>
    </row>
    <row r="758" spans="2:2">
      <c r="B758" s="204"/>
    </row>
    <row r="759" spans="2:2">
      <c r="B759" s="204"/>
    </row>
    <row r="760" spans="2:2">
      <c r="B760" s="204"/>
    </row>
    <row r="761" spans="2:2">
      <c r="B761" s="204"/>
    </row>
    <row r="762" spans="2:2">
      <c r="B762" s="204"/>
    </row>
    <row r="763" spans="2:2">
      <c r="B763" s="204"/>
    </row>
    <row r="764" spans="2:2">
      <c r="B764" s="204"/>
    </row>
    <row r="765" spans="2:2">
      <c r="B765" s="204"/>
    </row>
    <row r="766" spans="2:2">
      <c r="B766" s="204"/>
    </row>
    <row r="767" spans="2:2">
      <c r="B767" s="204"/>
    </row>
    <row r="768" spans="2:2">
      <c r="B768" s="204"/>
    </row>
    <row r="769" spans="2:2">
      <c r="B769" s="204"/>
    </row>
    <row r="770" spans="2:2">
      <c r="B770" s="204"/>
    </row>
    <row r="771" spans="2:2">
      <c r="B771" s="204"/>
    </row>
    <row r="772" spans="2:2">
      <c r="B772" s="204"/>
    </row>
    <row r="773" spans="2:2">
      <c r="B773" s="204"/>
    </row>
    <row r="774" spans="2:2">
      <c r="B774" s="204"/>
    </row>
    <row r="775" spans="2:2">
      <c r="B775" s="204"/>
    </row>
    <row r="776" spans="2:2">
      <c r="B776" s="204"/>
    </row>
    <row r="777" spans="2:2">
      <c r="B777" s="204"/>
    </row>
    <row r="778" spans="2:2">
      <c r="B778" s="204"/>
    </row>
    <row r="779" spans="2:2">
      <c r="B779" s="204"/>
    </row>
    <row r="780" spans="2:2">
      <c r="B780" s="204"/>
    </row>
    <row r="781" spans="2:2">
      <c r="B781" s="204"/>
    </row>
    <row r="782" spans="2:2">
      <c r="B782" s="204"/>
    </row>
    <row r="783" spans="2:2">
      <c r="B783" s="204"/>
    </row>
    <row r="784" spans="2:2">
      <c r="B784" s="204"/>
    </row>
    <row r="785" spans="2:2">
      <c r="B785" s="204"/>
    </row>
    <row r="786" spans="2:2">
      <c r="B786" s="204"/>
    </row>
    <row r="787" spans="2:2">
      <c r="B787" s="204"/>
    </row>
    <row r="788" spans="2:2">
      <c r="B788" s="204"/>
    </row>
    <row r="789" spans="2:2">
      <c r="B789" s="204"/>
    </row>
    <row r="790" spans="2:2">
      <c r="B790" s="204"/>
    </row>
    <row r="791" spans="2:2">
      <c r="B791" s="204"/>
    </row>
    <row r="792" spans="2:2">
      <c r="B792" s="204"/>
    </row>
    <row r="793" spans="2:2">
      <c r="B793" s="204"/>
    </row>
    <row r="794" spans="2:2">
      <c r="B794" s="204"/>
    </row>
    <row r="795" spans="2:2">
      <c r="B795" s="204"/>
    </row>
    <row r="796" spans="2:2">
      <c r="B796" s="204"/>
    </row>
    <row r="797" spans="2:2">
      <c r="B797" s="204"/>
    </row>
    <row r="798" spans="2:2">
      <c r="B798" s="204"/>
    </row>
    <row r="799" spans="2:2">
      <c r="B799" s="204"/>
    </row>
    <row r="800" spans="2:2">
      <c r="B800" s="204"/>
    </row>
    <row r="801" spans="2:2">
      <c r="B801" s="204"/>
    </row>
    <row r="802" spans="2:2">
      <c r="B802" s="204"/>
    </row>
    <row r="803" spans="2:2">
      <c r="B803" s="204"/>
    </row>
    <row r="804" spans="2:2">
      <c r="B804" s="204"/>
    </row>
    <row r="805" spans="2:2">
      <c r="B805" s="204"/>
    </row>
    <row r="806" spans="2:2">
      <c r="B806" s="204"/>
    </row>
    <row r="807" spans="2:2">
      <c r="B807" s="204"/>
    </row>
    <row r="808" spans="2:2">
      <c r="B808" s="204"/>
    </row>
    <row r="809" spans="2:2">
      <c r="B809" s="204"/>
    </row>
    <row r="810" spans="2:2">
      <c r="B810" s="204"/>
    </row>
    <row r="811" spans="2:2">
      <c r="B811" s="204"/>
    </row>
    <row r="812" spans="2:2">
      <c r="B812" s="204"/>
    </row>
    <row r="813" spans="2:2">
      <c r="B813" s="204"/>
    </row>
    <row r="814" spans="2:2">
      <c r="B814" s="204"/>
    </row>
    <row r="815" spans="2:2">
      <c r="B815" s="204"/>
    </row>
    <row r="816" spans="2:2">
      <c r="B816" s="204"/>
    </row>
    <row r="817" spans="2:2">
      <c r="B817" s="204"/>
    </row>
    <row r="818" spans="2:2">
      <c r="B818" s="204"/>
    </row>
    <row r="819" spans="2:2">
      <c r="B819" s="204"/>
    </row>
    <row r="820" spans="2:2">
      <c r="B820" s="204"/>
    </row>
    <row r="821" spans="2:2">
      <c r="B821" s="204"/>
    </row>
    <row r="822" spans="2:2">
      <c r="B822" s="204"/>
    </row>
    <row r="823" spans="2:2">
      <c r="B823" s="204"/>
    </row>
    <row r="824" spans="2:2">
      <c r="B824" s="204"/>
    </row>
    <row r="825" spans="2:2">
      <c r="B825" s="204"/>
    </row>
    <row r="826" spans="2:2">
      <c r="B826" s="204"/>
    </row>
    <row r="827" spans="2:2">
      <c r="B827" s="204"/>
    </row>
    <row r="828" spans="2:2">
      <c r="B828" s="204"/>
    </row>
    <row r="829" spans="2:2">
      <c r="B829" s="204"/>
    </row>
    <row r="830" spans="2:2">
      <c r="B830" s="204"/>
    </row>
    <row r="831" spans="2:2">
      <c r="B831" s="204"/>
    </row>
    <row r="832" spans="2:2">
      <c r="B832" s="204"/>
    </row>
    <row r="833" spans="2:2">
      <c r="B833" s="204"/>
    </row>
    <row r="834" spans="2:2">
      <c r="B834" s="204"/>
    </row>
    <row r="835" spans="2:2">
      <c r="B835" s="204"/>
    </row>
    <row r="836" spans="2:2">
      <c r="B836" s="204"/>
    </row>
    <row r="837" spans="2:2">
      <c r="B837" s="204"/>
    </row>
    <row r="838" spans="2:2">
      <c r="B838" s="204"/>
    </row>
    <row r="839" spans="2:2">
      <c r="B839" s="204"/>
    </row>
    <row r="840" spans="2:2">
      <c r="B840" s="204"/>
    </row>
    <row r="841" spans="2:2">
      <c r="B841" s="204"/>
    </row>
    <row r="842" spans="2:2">
      <c r="B842" s="204"/>
    </row>
    <row r="843" spans="2:2">
      <c r="B843" s="204"/>
    </row>
    <row r="844" spans="2:2">
      <c r="B844" s="204"/>
    </row>
    <row r="845" spans="2:2">
      <c r="B845" s="204"/>
    </row>
    <row r="846" spans="2:2">
      <c r="B846" s="204"/>
    </row>
    <row r="847" spans="2:2">
      <c r="B847" s="204"/>
    </row>
    <row r="848" spans="2:2">
      <c r="B848" s="204"/>
    </row>
    <row r="849" spans="2:2">
      <c r="B849" s="204"/>
    </row>
    <row r="850" spans="2:2">
      <c r="B850" s="204"/>
    </row>
    <row r="851" spans="2:2">
      <c r="B851" s="204"/>
    </row>
    <row r="852" spans="2:2">
      <c r="B852" s="204"/>
    </row>
    <row r="853" spans="2:2">
      <c r="B853" s="204"/>
    </row>
    <row r="854" spans="2:2">
      <c r="B854" s="204"/>
    </row>
    <row r="855" spans="2:2">
      <c r="B855" s="204"/>
    </row>
    <row r="856" spans="2:2">
      <c r="B856" s="204"/>
    </row>
    <row r="857" spans="2:2">
      <c r="B857" s="204"/>
    </row>
    <row r="858" spans="2:2">
      <c r="B858" s="204"/>
    </row>
    <row r="859" spans="2:2">
      <c r="B859" s="204"/>
    </row>
    <row r="860" spans="2:2">
      <c r="B860" s="204"/>
    </row>
    <row r="861" spans="2:2">
      <c r="B861" s="204"/>
    </row>
    <row r="862" spans="2:2">
      <c r="B862" s="204"/>
    </row>
    <row r="863" spans="2:2">
      <c r="B863" s="204"/>
    </row>
    <row r="864" spans="2:2">
      <c r="B864" s="204"/>
    </row>
    <row r="865" spans="2:2">
      <c r="B865" s="204"/>
    </row>
    <row r="866" spans="2:2">
      <c r="B866" s="204"/>
    </row>
    <row r="867" spans="2:2">
      <c r="B867" s="204"/>
    </row>
    <row r="868" spans="2:2">
      <c r="B868" s="204"/>
    </row>
    <row r="869" spans="2:2">
      <c r="B869" s="204"/>
    </row>
    <row r="870" spans="2:2">
      <c r="B870" s="204"/>
    </row>
    <row r="871" spans="2:2">
      <c r="B871" s="204"/>
    </row>
    <row r="872" spans="2:2">
      <c r="B872" s="204"/>
    </row>
    <row r="873" spans="2:2">
      <c r="B873" s="204"/>
    </row>
    <row r="874" spans="2:2">
      <c r="B874" s="204"/>
    </row>
    <row r="875" spans="2:2">
      <c r="B875" s="204"/>
    </row>
    <row r="876" spans="2:2">
      <c r="B876" s="204"/>
    </row>
    <row r="877" spans="2:2">
      <c r="B877" s="204"/>
    </row>
    <row r="878" spans="2:2">
      <c r="B878" s="204"/>
    </row>
    <row r="879" spans="2:2">
      <c r="B879" s="204"/>
    </row>
    <row r="880" spans="2:2">
      <c r="B880" s="204"/>
    </row>
    <row r="881" spans="2:2">
      <c r="B881" s="204"/>
    </row>
    <row r="882" spans="2:2">
      <c r="B882" s="204"/>
    </row>
    <row r="883" spans="2:2">
      <c r="B883" s="204"/>
    </row>
    <row r="884" spans="2:2">
      <c r="B884" s="204"/>
    </row>
    <row r="885" spans="2:2">
      <c r="B885" s="204"/>
    </row>
    <row r="886" spans="2:2">
      <c r="B886" s="204"/>
    </row>
    <row r="887" spans="2:2">
      <c r="B887" s="204"/>
    </row>
    <row r="888" spans="2:2">
      <c r="B888" s="204"/>
    </row>
    <row r="889" spans="2:2">
      <c r="B889" s="204"/>
    </row>
    <row r="890" spans="2:2">
      <c r="B890" s="204"/>
    </row>
    <row r="891" spans="2:2">
      <c r="B891" s="204"/>
    </row>
    <row r="892" spans="2:2">
      <c r="B892" s="204"/>
    </row>
    <row r="893" spans="2:2">
      <c r="B893" s="204"/>
    </row>
    <row r="894" spans="2:2">
      <c r="B894" s="204"/>
    </row>
    <row r="895" spans="2:2">
      <c r="B895" s="204"/>
    </row>
    <row r="896" spans="2:2">
      <c r="B896" s="204"/>
    </row>
    <row r="897" spans="2:2">
      <c r="B897" s="204"/>
    </row>
    <row r="898" spans="2:2">
      <c r="B898" s="204"/>
    </row>
    <row r="899" spans="2:2">
      <c r="B899" s="204"/>
    </row>
    <row r="900" spans="2:2">
      <c r="B900" s="204"/>
    </row>
    <row r="901" spans="2:2">
      <c r="B901" s="204"/>
    </row>
    <row r="902" spans="2:2">
      <c r="B902" s="204"/>
    </row>
    <row r="903" spans="2:2">
      <c r="B903" s="204"/>
    </row>
    <row r="904" spans="2:2">
      <c r="B904" s="204"/>
    </row>
    <row r="905" spans="2:2">
      <c r="B905" s="204"/>
    </row>
    <row r="906" spans="2:2">
      <c r="B906" s="204"/>
    </row>
    <row r="907" spans="2:2">
      <c r="B907" s="204"/>
    </row>
    <row r="908" spans="2:2">
      <c r="B908" s="204"/>
    </row>
    <row r="909" spans="2:2">
      <c r="B909" s="204"/>
    </row>
    <row r="910" spans="2:2">
      <c r="B910" s="204"/>
    </row>
    <row r="911" spans="2:2">
      <c r="B911" s="204"/>
    </row>
    <row r="912" spans="2:2">
      <c r="B912" s="204"/>
    </row>
    <row r="913" spans="2:2">
      <c r="B913" s="204"/>
    </row>
    <row r="914" spans="2:2">
      <c r="B914" s="204"/>
    </row>
    <row r="915" spans="2:2">
      <c r="B915" s="204"/>
    </row>
    <row r="916" spans="2:2">
      <c r="B916" s="204"/>
    </row>
    <row r="917" spans="2:2">
      <c r="B917" s="204"/>
    </row>
    <row r="918" spans="2:2">
      <c r="B918" s="204"/>
    </row>
    <row r="919" spans="2:2">
      <c r="B919" s="204"/>
    </row>
    <row r="920" spans="2:2">
      <c r="B920" s="204"/>
    </row>
    <row r="921" spans="2:2">
      <c r="B921" s="204"/>
    </row>
    <row r="922" spans="2:2">
      <c r="B922" s="204"/>
    </row>
    <row r="923" spans="2:2">
      <c r="B923" s="204"/>
    </row>
    <row r="924" spans="2:2">
      <c r="B924" s="204"/>
    </row>
    <row r="925" spans="2:2">
      <c r="B925" s="204"/>
    </row>
    <row r="926" spans="2:2">
      <c r="B926" s="204"/>
    </row>
    <row r="927" spans="2:2">
      <c r="B927" s="204"/>
    </row>
    <row r="928" spans="2:2">
      <c r="B928" s="204"/>
    </row>
    <row r="929" spans="2:2">
      <c r="B929" s="204"/>
    </row>
    <row r="930" spans="2:2">
      <c r="B930" s="204"/>
    </row>
    <row r="931" spans="2:2">
      <c r="B931" s="204"/>
    </row>
    <row r="932" spans="2:2">
      <c r="B932" s="204"/>
    </row>
    <row r="933" spans="2:2">
      <c r="B933" s="204"/>
    </row>
    <row r="934" spans="2:2">
      <c r="B934" s="204"/>
    </row>
    <row r="935" spans="2:2">
      <c r="B935" s="204"/>
    </row>
    <row r="936" spans="2:2">
      <c r="B936" s="204"/>
    </row>
    <row r="937" spans="2:2">
      <c r="B937" s="204"/>
    </row>
    <row r="938" spans="2:2">
      <c r="B938" s="204"/>
    </row>
    <row r="939" spans="2:2">
      <c r="B939" s="204"/>
    </row>
    <row r="940" spans="2:2">
      <c r="B940" s="204"/>
    </row>
    <row r="941" spans="2:2">
      <c r="B941" s="204"/>
    </row>
    <row r="942" spans="2:2">
      <c r="B942" s="204"/>
    </row>
    <row r="943" spans="2:2">
      <c r="B943" s="204"/>
    </row>
    <row r="944" spans="2:2">
      <c r="B944" s="204"/>
    </row>
    <row r="945" spans="2:2">
      <c r="B945" s="204"/>
    </row>
    <row r="946" spans="2:2">
      <c r="B946" s="204"/>
    </row>
    <row r="947" spans="2:2">
      <c r="B947" s="204"/>
    </row>
    <row r="948" spans="2:2">
      <c r="B948" s="204"/>
    </row>
    <row r="949" spans="2:2">
      <c r="B949" s="204"/>
    </row>
    <row r="950" spans="2:2">
      <c r="B950" s="204"/>
    </row>
    <row r="951" spans="2:2">
      <c r="B951" s="204"/>
    </row>
    <row r="952" spans="2:2">
      <c r="B952" s="204"/>
    </row>
    <row r="953" spans="2:2">
      <c r="B953" s="204"/>
    </row>
    <row r="954" spans="2:2">
      <c r="B954" s="204"/>
    </row>
    <row r="955" spans="2:2">
      <c r="B955" s="204"/>
    </row>
    <row r="956" spans="2:2">
      <c r="B956" s="204"/>
    </row>
    <row r="957" spans="2:2">
      <c r="B957" s="204"/>
    </row>
    <row r="958" spans="2:2">
      <c r="B958" s="204"/>
    </row>
    <row r="959" spans="2:2">
      <c r="B959" s="204"/>
    </row>
    <row r="960" spans="2:2">
      <c r="B960" s="204"/>
    </row>
    <row r="961" spans="2:2">
      <c r="B961" s="204"/>
    </row>
    <row r="962" spans="2:2">
      <c r="B962" s="204"/>
    </row>
    <row r="963" spans="2:2">
      <c r="B963" s="204"/>
    </row>
    <row r="964" spans="2:2">
      <c r="B964" s="204"/>
    </row>
    <row r="965" spans="2:2">
      <c r="B965" s="204"/>
    </row>
    <row r="966" spans="2:2">
      <c r="B966" s="204"/>
    </row>
    <row r="967" spans="2:2">
      <c r="B967" s="204"/>
    </row>
    <row r="968" spans="2:2">
      <c r="B968" s="204"/>
    </row>
    <row r="969" spans="2:2">
      <c r="B969" s="204"/>
    </row>
    <row r="970" spans="2:2">
      <c r="B970" s="204"/>
    </row>
    <row r="971" spans="2:2">
      <c r="B971" s="204"/>
    </row>
    <row r="972" spans="2:2">
      <c r="B972" s="204"/>
    </row>
    <row r="973" spans="2:2">
      <c r="B973" s="204"/>
    </row>
    <row r="974" spans="2:2">
      <c r="B974" s="204"/>
    </row>
    <row r="975" spans="2:2">
      <c r="B975" s="204"/>
    </row>
    <row r="976" spans="2:2">
      <c r="B976" s="204"/>
    </row>
    <row r="977" spans="2:2">
      <c r="B977" s="204"/>
    </row>
    <row r="978" spans="2:2">
      <c r="B978" s="204"/>
    </row>
    <row r="979" spans="2:2">
      <c r="B979" s="204"/>
    </row>
    <row r="980" spans="2:2">
      <c r="B980" s="204"/>
    </row>
    <row r="981" spans="2:2">
      <c r="B981" s="204"/>
    </row>
    <row r="982" spans="2:2">
      <c r="B982" s="204"/>
    </row>
    <row r="983" spans="2:2">
      <c r="B983" s="204"/>
    </row>
    <row r="984" spans="2:2">
      <c r="B984" s="204"/>
    </row>
    <row r="985" spans="2:2">
      <c r="B985" s="204"/>
    </row>
    <row r="986" spans="2:2">
      <c r="B986" s="204"/>
    </row>
    <row r="987" spans="2:2">
      <c r="B987" s="204"/>
    </row>
    <row r="988" spans="2:2">
      <c r="B988" s="204"/>
    </row>
    <row r="989" spans="2:2">
      <c r="B989" s="204"/>
    </row>
    <row r="990" spans="2:2">
      <c r="B990" s="204"/>
    </row>
    <row r="991" spans="2:2">
      <c r="B991" s="204"/>
    </row>
    <row r="992" spans="2:2">
      <c r="B992" s="204"/>
    </row>
    <row r="993" spans="2:2">
      <c r="B993" s="204"/>
    </row>
    <row r="994" spans="2:2">
      <c r="B994" s="204"/>
    </row>
    <row r="995" spans="2:2">
      <c r="B995" s="204"/>
    </row>
    <row r="996" spans="2:2">
      <c r="B996" s="204"/>
    </row>
    <row r="997" spans="2:2">
      <c r="B997" s="204"/>
    </row>
    <row r="998" spans="2:2">
      <c r="B998" s="204"/>
    </row>
    <row r="999" spans="2:2">
      <c r="B999" s="204"/>
    </row>
    <row r="1000" spans="2:2">
      <c r="B1000" s="204"/>
    </row>
    <row r="1001" spans="2:2">
      <c r="B1001" s="204"/>
    </row>
    <row r="1002" spans="2:2">
      <c r="B1002" s="204"/>
    </row>
    <row r="1003" spans="2:2">
      <c r="B1003" s="204"/>
    </row>
    <row r="1004" spans="2:2">
      <c r="B1004" s="204"/>
    </row>
    <row r="1005" spans="2:2">
      <c r="B1005" s="204"/>
    </row>
    <row r="1006" spans="2:2">
      <c r="B1006" s="204"/>
    </row>
    <row r="1007" spans="2:2">
      <c r="B1007" s="204"/>
    </row>
    <row r="1008" spans="2:2">
      <c r="B1008" s="204"/>
    </row>
    <row r="1009" spans="2:2">
      <c r="B1009" s="204"/>
    </row>
    <row r="1010" spans="2:2">
      <c r="B1010" s="204"/>
    </row>
    <row r="1011" spans="2:2">
      <c r="B1011" s="204"/>
    </row>
    <row r="1012" spans="2:2">
      <c r="B1012" s="204"/>
    </row>
    <row r="1013" spans="2:2">
      <c r="B1013" s="204"/>
    </row>
    <row r="1014" spans="2:2">
      <c r="B1014" s="204"/>
    </row>
    <row r="1015" spans="2:2">
      <c r="B1015" s="204"/>
    </row>
    <row r="1016" spans="2:2">
      <c r="B1016" s="204"/>
    </row>
    <row r="1017" spans="2:2">
      <c r="B1017" s="204"/>
    </row>
    <row r="1018" spans="2:2">
      <c r="B1018" s="204"/>
    </row>
    <row r="1019" spans="2:2">
      <c r="B1019" s="204"/>
    </row>
    <row r="1020" spans="2:2">
      <c r="B1020" s="204"/>
    </row>
    <row r="1021" spans="2:2">
      <c r="B1021" s="204"/>
    </row>
  </sheetData>
  <sheetProtection algorithmName="SHA-512" hashValue="KTkzKAAdf/dpqq8FtQ7WG/aD+u7L6XEMLsco95aTNOU/QOKpWEqJTa0mDNbRqv/Aaedn9eqOaMOdAcy9o/3X0g==" saltValue="CdlsR2kGnN/YZ/7HR40obA==" spinCount="100000" sheet="1" sort="0"/>
  <autoFilter ref="A44:AA119" xr:uid="{00000000-0009-0000-0000-000007000000}"/>
  <mergeCells count="4">
    <mergeCell ref="B1:B2"/>
    <mergeCell ref="P27:P28"/>
    <mergeCell ref="Q27:Q28"/>
    <mergeCell ref="R27:R28"/>
  </mergeCells>
  <conditionalFormatting sqref="M29:M42">
    <cfRule type="cellIs" dxfId="37" priority="195" operator="equal">
      <formula>0</formula>
    </cfRule>
    <cfRule type="cellIs" dxfId="36" priority="196" operator="lessThan">
      <formula>0</formula>
    </cfRule>
    <cfRule type="cellIs" dxfId="35" priority="194" operator="greaterThan">
      <formula>0</formula>
    </cfRule>
  </conditionalFormatting>
  <conditionalFormatting sqref="M44">
    <cfRule type="cellIs" dxfId="34" priority="278" operator="lessThan">
      <formula>0</formula>
    </cfRule>
  </conditionalFormatting>
  <conditionalFormatting sqref="M46:M70">
    <cfRule type="cellIs" dxfId="33" priority="41" operator="greaterThan">
      <formula>0</formula>
    </cfRule>
    <cfRule type="cellIs" dxfId="32" priority="42" operator="equal">
      <formula>0</formula>
    </cfRule>
    <cfRule type="cellIs" dxfId="31" priority="43" operator="lessThan">
      <formula>0</formula>
    </cfRule>
  </conditionalFormatting>
  <conditionalFormatting sqref="M72">
    <cfRule type="cellIs" dxfId="30" priority="39" operator="equal">
      <formula>0</formula>
    </cfRule>
    <cfRule type="cellIs" dxfId="29" priority="38" operator="greaterThan">
      <formula>0</formula>
    </cfRule>
    <cfRule type="cellIs" dxfId="28" priority="40" operator="lessThan">
      <formula>0</formula>
    </cfRule>
  </conditionalFormatting>
  <conditionalFormatting sqref="M74:M119">
    <cfRule type="cellIs" dxfId="27" priority="5" operator="greaterThan">
      <formula>0</formula>
    </cfRule>
    <cfRule type="cellIs" dxfId="26" priority="6" operator="equal">
      <formula>0</formula>
    </cfRule>
    <cfRule type="cellIs" dxfId="25" priority="7" operator="lessThan">
      <formula>0</formula>
    </cfRule>
  </conditionalFormatting>
  <conditionalFormatting sqref="O44:R44">
    <cfRule type="cellIs" dxfId="24" priority="277" operator="lessThan">
      <formula>0</formula>
    </cfRule>
  </conditionalFormatting>
  <conditionalFormatting sqref="P29:P42">
    <cfRule type="dataBar" priority="54">
      <dataBar>
        <cfvo type="min"/>
        <cfvo type="max"/>
        <color rgb="FFAADB1E"/>
      </dataBar>
      <extLst>
        <ext xmlns:x14="http://schemas.microsoft.com/office/spreadsheetml/2009/9/main" uri="{B025F937-C7B1-47D3-B67F-A62EFF666E3E}">
          <x14:id>{00C3005D-0087-43D2-8F36-009700D300C7}</x14:id>
        </ext>
      </extLst>
    </cfRule>
  </conditionalFormatting>
  <conditionalFormatting sqref="P46">
    <cfRule type="dataBar" priority="160">
      <dataBar>
        <cfvo type="num" val="0"/>
        <cfvo type="max"/>
        <color rgb="FFAADB1E"/>
      </dataBar>
      <extLst>
        <ext xmlns:x14="http://schemas.microsoft.com/office/spreadsheetml/2009/9/main" uri="{B025F937-C7B1-47D3-B67F-A62EFF666E3E}">
          <x14:id>{009100C8-00FB-4371-9B97-0065001900BB}</x14:id>
        </ext>
      </extLst>
    </cfRule>
  </conditionalFormatting>
  <conditionalFormatting sqref="P47:P53">
    <cfRule type="dataBar" priority="114">
      <dataBar>
        <cfvo type="num" val="0"/>
        <cfvo type="max"/>
        <color rgb="FFAADB1E"/>
      </dataBar>
      <extLst>
        <ext xmlns:x14="http://schemas.microsoft.com/office/spreadsheetml/2009/9/main" uri="{B025F937-C7B1-47D3-B67F-A62EFF666E3E}">
          <x14:id>{00A80065-0018-4EED-8EF2-008A00AF0015}</x14:id>
        </ext>
      </extLst>
    </cfRule>
  </conditionalFormatting>
  <conditionalFormatting sqref="P55:P58">
    <cfRule type="dataBar" priority="108">
      <dataBar>
        <cfvo type="num" val="0"/>
        <cfvo type="max"/>
        <color rgb="FFAADB1E"/>
      </dataBar>
      <extLst>
        <ext xmlns:x14="http://schemas.microsoft.com/office/spreadsheetml/2009/9/main" uri="{B025F937-C7B1-47D3-B67F-A62EFF666E3E}">
          <x14:id>{00D10031-0071-4BBB-9611-00B5003100D4}</x14:id>
        </ext>
      </extLst>
    </cfRule>
  </conditionalFormatting>
  <conditionalFormatting sqref="P60:P62">
    <cfRule type="dataBar" priority="105">
      <dataBar>
        <cfvo type="num" val="0"/>
        <cfvo type="max"/>
        <color rgb="FFAADB1E"/>
      </dataBar>
      <extLst>
        <ext xmlns:x14="http://schemas.microsoft.com/office/spreadsheetml/2009/9/main" uri="{B025F937-C7B1-47D3-B67F-A62EFF666E3E}">
          <x14:id>{00960026-00EB-4FC2-B111-009200EA0056}</x14:id>
        </ext>
      </extLst>
    </cfRule>
  </conditionalFormatting>
  <conditionalFormatting sqref="P64:P67">
    <cfRule type="dataBar" priority="102">
      <dataBar>
        <cfvo type="num" val="0"/>
        <cfvo type="max"/>
        <color rgb="FFAADB1E"/>
      </dataBar>
      <extLst>
        <ext xmlns:x14="http://schemas.microsoft.com/office/spreadsheetml/2009/9/main" uri="{B025F937-C7B1-47D3-B67F-A62EFF666E3E}">
          <x14:id>{004C0087-003F-4DF5-A3AA-00D700180071}</x14:id>
        </ext>
      </extLst>
    </cfRule>
  </conditionalFormatting>
  <conditionalFormatting sqref="P69:P72">
    <cfRule type="dataBar" priority="99">
      <dataBar>
        <cfvo type="num" val="0"/>
        <cfvo type="max"/>
        <color rgb="FFAADB1E"/>
      </dataBar>
      <extLst>
        <ext xmlns:x14="http://schemas.microsoft.com/office/spreadsheetml/2009/9/main" uri="{B025F937-C7B1-47D3-B67F-A62EFF666E3E}">
          <x14:id>{002D0008-0074-4DBB-B6AE-000400890031}</x14:id>
        </ext>
      </extLst>
    </cfRule>
  </conditionalFormatting>
  <conditionalFormatting sqref="P76:P79">
    <cfRule type="dataBar" priority="96">
      <dataBar>
        <cfvo type="num" val="0"/>
        <cfvo type="max"/>
        <color rgb="FFAADB1E"/>
      </dataBar>
      <extLst>
        <ext xmlns:x14="http://schemas.microsoft.com/office/spreadsheetml/2009/9/main" uri="{B025F937-C7B1-47D3-B67F-A62EFF666E3E}">
          <x14:id>{00EA00F3-00B7-4C96-913C-0034001F00CF}</x14:id>
        </ext>
      </extLst>
    </cfRule>
  </conditionalFormatting>
  <conditionalFormatting sqref="P81:P84">
    <cfRule type="dataBar" priority="93">
      <dataBar>
        <cfvo type="num" val="0"/>
        <cfvo type="max"/>
        <color rgb="FFAADB1E"/>
      </dataBar>
      <extLst>
        <ext xmlns:x14="http://schemas.microsoft.com/office/spreadsheetml/2009/9/main" uri="{B025F937-C7B1-47D3-B67F-A62EFF666E3E}">
          <x14:id>{0088000A-00D3-49FB-9FE2-00CB00870022}</x14:id>
        </ext>
      </extLst>
    </cfRule>
  </conditionalFormatting>
  <conditionalFormatting sqref="P86:P88">
    <cfRule type="dataBar" priority="90">
      <dataBar>
        <cfvo type="num" val="0"/>
        <cfvo type="max"/>
        <color rgb="FFAADB1E"/>
      </dataBar>
      <extLst>
        <ext xmlns:x14="http://schemas.microsoft.com/office/spreadsheetml/2009/9/main" uri="{B025F937-C7B1-47D3-B67F-A62EFF666E3E}">
          <x14:id>{00E80077-0084-4606-8DA1-0091004F00F7}</x14:id>
        </ext>
      </extLst>
    </cfRule>
  </conditionalFormatting>
  <conditionalFormatting sqref="P90:P92">
    <cfRule type="dataBar" priority="342">
      <dataBar>
        <cfvo type="num" val="0"/>
        <cfvo type="max"/>
        <color rgb="FFAADB1E"/>
      </dataBar>
      <extLst>
        <ext xmlns:x14="http://schemas.microsoft.com/office/spreadsheetml/2009/9/main" uri="{B025F937-C7B1-47D3-B67F-A62EFF666E3E}">
          <x14:id>{0007005E-00A4-4654-8414-009A008000DB}</x14:id>
        </ext>
      </extLst>
    </cfRule>
  </conditionalFormatting>
  <conditionalFormatting sqref="P94:P98">
    <cfRule type="dataBar" priority="84">
      <dataBar>
        <cfvo type="num" val="0"/>
        <cfvo type="max"/>
        <color rgb="FFAADB1E"/>
      </dataBar>
      <extLst>
        <ext xmlns:x14="http://schemas.microsoft.com/office/spreadsheetml/2009/9/main" uri="{B025F937-C7B1-47D3-B67F-A62EFF666E3E}">
          <x14:id>{00110031-003C-4FA2-9E11-00C5001D0042}</x14:id>
        </ext>
      </extLst>
    </cfRule>
  </conditionalFormatting>
  <conditionalFormatting sqref="P100:P101 P103:P104">
    <cfRule type="dataBar" priority="78">
      <dataBar>
        <cfvo type="num" val="0"/>
        <cfvo type="max"/>
        <color rgb="FFAADB1E"/>
      </dataBar>
      <extLst>
        <ext xmlns:x14="http://schemas.microsoft.com/office/spreadsheetml/2009/9/main" uri="{B025F937-C7B1-47D3-B67F-A62EFF666E3E}">
          <x14:id>{00B2009B-0065-40D4-81AC-0006002F0040}</x14:id>
        </ext>
      </extLst>
    </cfRule>
  </conditionalFormatting>
  <conditionalFormatting sqref="P102">
    <cfRule type="dataBar" priority="4">
      <dataBar>
        <cfvo type="num" val="0"/>
        <cfvo type="max"/>
        <color rgb="FFAADB1E"/>
      </dataBar>
      <extLst>
        <ext xmlns:x14="http://schemas.microsoft.com/office/spreadsheetml/2009/9/main" uri="{B025F937-C7B1-47D3-B67F-A62EFF666E3E}">
          <x14:id>{00E40062-0064-473E-96B8-009100CA00D4}</x14:id>
        </ext>
      </extLst>
    </cfRule>
  </conditionalFormatting>
  <conditionalFormatting sqref="P106:P111">
    <cfRule type="dataBar" priority="81">
      <dataBar>
        <cfvo type="num" val="0"/>
        <cfvo type="max"/>
        <color rgb="FFAADB1E"/>
      </dataBar>
      <extLst>
        <ext xmlns:x14="http://schemas.microsoft.com/office/spreadsheetml/2009/9/main" uri="{B025F937-C7B1-47D3-B67F-A62EFF666E3E}">
          <x14:id>{00300095-00BF-4255-B733-000A0001003E}</x14:id>
        </ext>
      </extLst>
    </cfRule>
  </conditionalFormatting>
  <conditionalFormatting sqref="P113:P119">
    <cfRule type="dataBar" priority="75">
      <dataBar>
        <cfvo type="num" val="0"/>
        <cfvo type="max"/>
        <color rgb="FFAADB1E"/>
      </dataBar>
      <extLst>
        <ext xmlns:x14="http://schemas.microsoft.com/office/spreadsheetml/2009/9/main" uri="{B025F937-C7B1-47D3-B67F-A62EFF666E3E}">
          <x14:id>{00AA0045-000B-4B67-9C87-007F007400CD}</x14:id>
        </ext>
      </extLst>
    </cfRule>
  </conditionalFormatting>
  <conditionalFormatting sqref="Q29:Q38">
    <cfRule type="dataBar" priority="55">
      <dataBar>
        <cfvo type="min"/>
        <cfvo type="max"/>
        <color rgb="FFE77119"/>
      </dataBar>
      <extLst>
        <ext xmlns:x14="http://schemas.microsoft.com/office/spreadsheetml/2009/9/main" uri="{B025F937-C7B1-47D3-B67F-A62EFF666E3E}">
          <x14:id>{002A004A-004A-491E-A6EE-001D007D0046}</x14:id>
        </ext>
      </extLst>
    </cfRule>
  </conditionalFormatting>
  <conditionalFormatting sqref="Q39">
    <cfRule type="dataBar" priority="53">
      <dataBar>
        <cfvo type="min"/>
        <cfvo type="max"/>
        <color rgb="FFAADB1E"/>
      </dataBar>
      <extLst>
        <ext xmlns:x14="http://schemas.microsoft.com/office/spreadsheetml/2009/9/main" uri="{B025F937-C7B1-47D3-B67F-A62EFF666E3E}">
          <x14:id>{00D4005E-003F-4BBE-AFFC-00B9003C00F2}</x14:id>
        </ext>
      </extLst>
    </cfRule>
  </conditionalFormatting>
  <conditionalFormatting sqref="Q46">
    <cfRule type="dataBar" priority="161">
      <dataBar>
        <cfvo type="num" val="0"/>
        <cfvo type="max"/>
        <color rgb="FFE87722"/>
      </dataBar>
      <extLst>
        <ext xmlns:x14="http://schemas.microsoft.com/office/spreadsheetml/2009/9/main" uri="{B025F937-C7B1-47D3-B67F-A62EFF666E3E}">
          <x14:id>{004E008E-003E-4002-A826-00F4008B00E0}</x14:id>
        </ext>
      </extLst>
    </cfRule>
  </conditionalFormatting>
  <conditionalFormatting sqref="Q47:Q53">
    <cfRule type="dataBar" priority="115">
      <dataBar>
        <cfvo type="num" val="0"/>
        <cfvo type="max"/>
        <color rgb="FFE87722"/>
      </dataBar>
      <extLst>
        <ext xmlns:x14="http://schemas.microsoft.com/office/spreadsheetml/2009/9/main" uri="{B025F937-C7B1-47D3-B67F-A62EFF666E3E}">
          <x14:id>{001E00BB-008A-443E-B161-00D800FB0073}</x14:id>
        </ext>
      </extLst>
    </cfRule>
  </conditionalFormatting>
  <conditionalFormatting sqref="Q55:Q58">
    <cfRule type="dataBar" priority="109">
      <dataBar>
        <cfvo type="num" val="0"/>
        <cfvo type="max"/>
        <color rgb="FFE87722"/>
      </dataBar>
      <extLst>
        <ext xmlns:x14="http://schemas.microsoft.com/office/spreadsheetml/2009/9/main" uri="{B025F937-C7B1-47D3-B67F-A62EFF666E3E}">
          <x14:id>{00210059-00D8-42AE-8BA7-0082007900F4}</x14:id>
        </ext>
      </extLst>
    </cfRule>
  </conditionalFormatting>
  <conditionalFormatting sqref="Q60:Q62">
    <cfRule type="dataBar" priority="106">
      <dataBar>
        <cfvo type="num" val="0"/>
        <cfvo type="max"/>
        <color rgb="FFE87722"/>
      </dataBar>
      <extLst>
        <ext xmlns:x14="http://schemas.microsoft.com/office/spreadsheetml/2009/9/main" uri="{B025F937-C7B1-47D3-B67F-A62EFF666E3E}">
          <x14:id>{00850068-00DD-4690-92B5-00A9003F0019}</x14:id>
        </ext>
      </extLst>
    </cfRule>
  </conditionalFormatting>
  <conditionalFormatting sqref="Q64:Q67">
    <cfRule type="dataBar" priority="103">
      <dataBar>
        <cfvo type="num" val="0"/>
        <cfvo type="max"/>
        <color rgb="FFE87722"/>
      </dataBar>
      <extLst>
        <ext xmlns:x14="http://schemas.microsoft.com/office/spreadsheetml/2009/9/main" uri="{B025F937-C7B1-47D3-B67F-A62EFF666E3E}">
          <x14:id>{00F8006F-0032-49DF-87BB-007B00910095}</x14:id>
        </ext>
      </extLst>
    </cfRule>
  </conditionalFormatting>
  <conditionalFormatting sqref="Q69:Q72">
    <cfRule type="dataBar" priority="100">
      <dataBar>
        <cfvo type="num" val="0"/>
        <cfvo type="max"/>
        <color rgb="FFE87722"/>
      </dataBar>
      <extLst>
        <ext xmlns:x14="http://schemas.microsoft.com/office/spreadsheetml/2009/9/main" uri="{B025F937-C7B1-47D3-B67F-A62EFF666E3E}">
          <x14:id>{009B000E-00A0-4505-96CE-00F7002B0053}</x14:id>
        </ext>
      </extLst>
    </cfRule>
  </conditionalFormatting>
  <conditionalFormatting sqref="Q76:Q79">
    <cfRule type="dataBar" priority="60">
      <dataBar>
        <cfvo type="num" val="0"/>
        <cfvo type="max"/>
        <color rgb="FFE87722"/>
      </dataBar>
      <extLst>
        <ext xmlns:x14="http://schemas.microsoft.com/office/spreadsheetml/2009/9/main" uri="{B025F937-C7B1-47D3-B67F-A62EFF666E3E}">
          <x14:id>{000B00DF-001A-43CA-BB11-007F0093004D}</x14:id>
        </ext>
      </extLst>
    </cfRule>
  </conditionalFormatting>
  <conditionalFormatting sqref="Q81:Q84">
    <cfRule type="dataBar" priority="94">
      <dataBar>
        <cfvo type="num" val="0"/>
        <cfvo type="max"/>
        <color rgb="FFE87722"/>
      </dataBar>
      <extLst>
        <ext xmlns:x14="http://schemas.microsoft.com/office/spreadsheetml/2009/9/main" uri="{B025F937-C7B1-47D3-B67F-A62EFF666E3E}">
          <x14:id>{00BB0083-0098-4B8A-9D27-008A00EA00E2}</x14:id>
        </ext>
      </extLst>
    </cfRule>
  </conditionalFormatting>
  <conditionalFormatting sqref="Q86:Q88">
    <cfRule type="dataBar" priority="91">
      <dataBar>
        <cfvo type="num" val="0"/>
        <cfvo type="max"/>
        <color rgb="FFE87722"/>
      </dataBar>
      <extLst>
        <ext xmlns:x14="http://schemas.microsoft.com/office/spreadsheetml/2009/9/main" uri="{B025F937-C7B1-47D3-B67F-A62EFF666E3E}">
          <x14:id>{00BE001A-00D8-46EF-B92F-000A003900B3}</x14:id>
        </ext>
      </extLst>
    </cfRule>
  </conditionalFormatting>
  <conditionalFormatting sqref="Q90:Q92">
    <cfRule type="dataBar" priority="340">
      <dataBar>
        <cfvo type="num" val="0"/>
        <cfvo type="max"/>
        <color rgb="FFE87722"/>
      </dataBar>
      <extLst>
        <ext xmlns:x14="http://schemas.microsoft.com/office/spreadsheetml/2009/9/main" uri="{B025F937-C7B1-47D3-B67F-A62EFF666E3E}">
          <x14:id>{00BC00B5-0053-499A-A66A-00D00002006F}</x14:id>
        </ext>
      </extLst>
    </cfRule>
  </conditionalFormatting>
  <conditionalFormatting sqref="Q94:Q98">
    <cfRule type="dataBar" priority="85">
      <dataBar>
        <cfvo type="num" val="0"/>
        <cfvo type="max"/>
        <color rgb="FFE87722"/>
      </dataBar>
      <extLst>
        <ext xmlns:x14="http://schemas.microsoft.com/office/spreadsheetml/2009/9/main" uri="{B025F937-C7B1-47D3-B67F-A62EFF666E3E}">
          <x14:id>{0037008C-00F3-4840-8E2E-00D9006800DE}</x14:id>
        </ext>
      </extLst>
    </cfRule>
  </conditionalFormatting>
  <conditionalFormatting sqref="Q100:Q101 Q103:Q104">
    <cfRule type="dataBar" priority="59">
      <dataBar>
        <cfvo type="num" val="0"/>
        <cfvo type="max"/>
        <color rgb="FFE87722"/>
      </dataBar>
      <extLst>
        <ext xmlns:x14="http://schemas.microsoft.com/office/spreadsheetml/2009/9/main" uri="{B025F937-C7B1-47D3-B67F-A62EFF666E3E}">
          <x14:id>{00F7002D-00A0-480C-9691-0093000800A7}</x14:id>
        </ext>
      </extLst>
    </cfRule>
  </conditionalFormatting>
  <conditionalFormatting sqref="Q102">
    <cfRule type="dataBar" priority="2">
      <dataBar>
        <cfvo type="num" val="0"/>
        <cfvo type="max"/>
        <color rgb="FFE87722"/>
      </dataBar>
      <extLst>
        <ext xmlns:x14="http://schemas.microsoft.com/office/spreadsheetml/2009/9/main" uri="{B025F937-C7B1-47D3-B67F-A62EFF666E3E}">
          <x14:id>{00A700C5-0080-49F4-AB1A-00390076009F}</x14:id>
        </ext>
      </extLst>
    </cfRule>
  </conditionalFormatting>
  <conditionalFormatting sqref="Q106:Q111">
    <cfRule type="dataBar" priority="58">
      <dataBar>
        <cfvo type="num" val="0"/>
        <cfvo type="max"/>
        <color rgb="FFE87722"/>
      </dataBar>
      <extLst>
        <ext xmlns:x14="http://schemas.microsoft.com/office/spreadsheetml/2009/9/main" uri="{B025F937-C7B1-47D3-B67F-A62EFF666E3E}">
          <x14:id>{002000F0-00FF-4C76-8A97-0088007C000C}</x14:id>
        </ext>
      </extLst>
    </cfRule>
  </conditionalFormatting>
  <conditionalFormatting sqref="Q113:Q119">
    <cfRule type="dataBar" priority="57">
      <dataBar>
        <cfvo type="num" val="0"/>
        <cfvo type="max"/>
        <color rgb="FFE87722"/>
      </dataBar>
      <extLst>
        <ext xmlns:x14="http://schemas.microsoft.com/office/spreadsheetml/2009/9/main" uri="{B025F937-C7B1-47D3-B67F-A62EFF666E3E}">
          <x14:id>{00DD0085-0082-4D8F-B928-00DF006B00F0}</x14:id>
        </ext>
      </extLst>
    </cfRule>
  </conditionalFormatting>
  <conditionalFormatting sqref="R29:R34">
    <cfRule type="dataBar" priority="56">
      <dataBar>
        <cfvo type="min"/>
        <cfvo type="max"/>
        <color theme="7" tint="0.39997558519241921"/>
      </dataBar>
      <extLst>
        <ext xmlns:x14="http://schemas.microsoft.com/office/spreadsheetml/2009/9/main" uri="{B025F937-C7B1-47D3-B67F-A62EFF666E3E}">
          <x14:id>{00C600EA-003E-421F-A973-005F00050015}</x14:id>
        </ext>
      </extLst>
    </cfRule>
  </conditionalFormatting>
  <conditionalFormatting sqref="R46">
    <cfRule type="dataBar" priority="166">
      <dataBar>
        <cfvo type="num" val="0"/>
        <cfvo type="max"/>
        <color theme="7" tint="0.39997558519241921"/>
      </dataBar>
      <extLst>
        <ext xmlns:x14="http://schemas.microsoft.com/office/spreadsheetml/2009/9/main" uri="{B025F937-C7B1-47D3-B67F-A62EFF666E3E}">
          <x14:id>{002700B2-0043-4E21-A276-00A5003E0033}</x14:id>
        </ext>
      </extLst>
    </cfRule>
  </conditionalFormatting>
  <conditionalFormatting sqref="R47:R53">
    <cfRule type="dataBar" priority="116">
      <dataBar>
        <cfvo type="num" val="0"/>
        <cfvo type="max"/>
        <color theme="7" tint="0.39997558519241921"/>
      </dataBar>
      <extLst>
        <ext xmlns:x14="http://schemas.microsoft.com/office/spreadsheetml/2009/9/main" uri="{B025F937-C7B1-47D3-B67F-A62EFF666E3E}">
          <x14:id>{004C0056-0035-4818-947A-004500A300C2}</x14:id>
        </ext>
      </extLst>
    </cfRule>
  </conditionalFormatting>
  <conditionalFormatting sqref="R55:R58">
    <cfRule type="dataBar" priority="110">
      <dataBar>
        <cfvo type="num" val="0"/>
        <cfvo type="max"/>
        <color theme="7" tint="0.39997558519241921"/>
      </dataBar>
      <extLst>
        <ext xmlns:x14="http://schemas.microsoft.com/office/spreadsheetml/2009/9/main" uri="{B025F937-C7B1-47D3-B67F-A62EFF666E3E}">
          <x14:id>{00880034-0051-43C6-AD38-008900CB0032}</x14:id>
        </ext>
      </extLst>
    </cfRule>
  </conditionalFormatting>
  <conditionalFormatting sqref="R60:R62">
    <cfRule type="dataBar" priority="107">
      <dataBar>
        <cfvo type="num" val="0"/>
        <cfvo type="max"/>
        <color theme="7" tint="0.39997558519241921"/>
      </dataBar>
      <extLst>
        <ext xmlns:x14="http://schemas.microsoft.com/office/spreadsheetml/2009/9/main" uri="{B025F937-C7B1-47D3-B67F-A62EFF666E3E}">
          <x14:id>{000600B6-004E-46D4-8878-00E800BB0020}</x14:id>
        </ext>
      </extLst>
    </cfRule>
  </conditionalFormatting>
  <conditionalFormatting sqref="R64:R67">
    <cfRule type="dataBar" priority="104">
      <dataBar>
        <cfvo type="num" val="0"/>
        <cfvo type="max"/>
        <color theme="7" tint="0.39997558519241921"/>
      </dataBar>
      <extLst>
        <ext xmlns:x14="http://schemas.microsoft.com/office/spreadsheetml/2009/9/main" uri="{B025F937-C7B1-47D3-B67F-A62EFF666E3E}">
          <x14:id>{006D00A8-00DA-4D4D-91D8-00A900DC001C}</x14:id>
        </ext>
      </extLst>
    </cfRule>
  </conditionalFormatting>
  <conditionalFormatting sqref="R69:R72">
    <cfRule type="dataBar" priority="101">
      <dataBar>
        <cfvo type="num" val="0"/>
        <cfvo type="max"/>
        <color theme="7" tint="0.39997558519241921"/>
      </dataBar>
      <extLst>
        <ext xmlns:x14="http://schemas.microsoft.com/office/spreadsheetml/2009/9/main" uri="{B025F937-C7B1-47D3-B67F-A62EFF666E3E}">
          <x14:id>{00200082-0077-4604-B318-005100190029}</x14:id>
        </ext>
      </extLst>
    </cfRule>
  </conditionalFormatting>
  <conditionalFormatting sqref="R76:R79">
    <cfRule type="dataBar" priority="98">
      <dataBar>
        <cfvo type="num" val="0"/>
        <cfvo type="max"/>
        <color theme="7" tint="0.39997558519241921"/>
      </dataBar>
      <extLst>
        <ext xmlns:x14="http://schemas.microsoft.com/office/spreadsheetml/2009/9/main" uri="{B025F937-C7B1-47D3-B67F-A62EFF666E3E}">
          <x14:id>{004800CE-00B6-4C1F-9F16-002F00DF008C}</x14:id>
        </ext>
      </extLst>
    </cfRule>
  </conditionalFormatting>
  <conditionalFormatting sqref="R81:R84">
    <cfRule type="dataBar" priority="67">
      <dataBar>
        <cfvo type="num" val="0"/>
        <cfvo type="max"/>
        <color theme="7" tint="0.39997558519241921"/>
      </dataBar>
      <extLst>
        <ext xmlns:x14="http://schemas.microsoft.com/office/spreadsheetml/2009/9/main" uri="{B025F937-C7B1-47D3-B67F-A62EFF666E3E}">
          <x14:id>{008500DC-0023-4847-BCC8-00F2000A0029}</x14:id>
        </ext>
      </extLst>
    </cfRule>
  </conditionalFormatting>
  <conditionalFormatting sqref="R86:R88">
    <cfRule type="dataBar" priority="66">
      <dataBar>
        <cfvo type="num" val="0"/>
        <cfvo type="max"/>
        <color theme="7" tint="0.39997558519241921"/>
      </dataBar>
      <extLst>
        <ext xmlns:x14="http://schemas.microsoft.com/office/spreadsheetml/2009/9/main" uri="{B025F937-C7B1-47D3-B67F-A62EFF666E3E}">
          <x14:id>{00E600AA-00F4-43A6-B8FB-005E00E60025}</x14:id>
        </ext>
      </extLst>
    </cfRule>
  </conditionalFormatting>
  <conditionalFormatting sqref="R90:R92">
    <cfRule type="dataBar" priority="345">
      <dataBar>
        <cfvo type="num" val="0"/>
        <cfvo type="max"/>
        <color theme="7" tint="0.39997558519241921"/>
      </dataBar>
      <extLst>
        <ext xmlns:x14="http://schemas.microsoft.com/office/spreadsheetml/2009/9/main" uri="{B025F937-C7B1-47D3-B67F-A62EFF666E3E}">
          <x14:id>{00E300A9-0015-4C15-A117-007A00B00023}</x14:id>
        </ext>
      </extLst>
    </cfRule>
  </conditionalFormatting>
  <conditionalFormatting sqref="R94:R98">
    <cfRule type="dataBar" priority="64">
      <dataBar>
        <cfvo type="num" val="0"/>
        <cfvo type="max"/>
        <color theme="7" tint="0.39997558519241921"/>
      </dataBar>
      <extLst>
        <ext xmlns:x14="http://schemas.microsoft.com/office/spreadsheetml/2009/9/main" uri="{B025F937-C7B1-47D3-B67F-A62EFF666E3E}">
          <x14:id>{005D009A-0036-4034-8B68-00F100290089}</x14:id>
        </ext>
      </extLst>
    </cfRule>
  </conditionalFormatting>
  <conditionalFormatting sqref="R100:R101 R103:R104">
    <cfRule type="dataBar" priority="63">
      <dataBar>
        <cfvo type="num" val="0"/>
        <cfvo type="max"/>
        <color theme="7" tint="0.39997558519241921"/>
      </dataBar>
      <extLst>
        <ext xmlns:x14="http://schemas.microsoft.com/office/spreadsheetml/2009/9/main" uri="{B025F937-C7B1-47D3-B67F-A62EFF666E3E}">
          <x14:id>{00D5000D-0004-43B0-A174-0028008D0041}</x14:id>
        </ext>
      </extLst>
    </cfRule>
  </conditionalFormatting>
  <conditionalFormatting sqref="R102">
    <cfRule type="dataBar" priority="1">
      <dataBar>
        <cfvo type="num" val="0"/>
        <cfvo type="max"/>
        <color theme="7" tint="0.39997558519241921"/>
      </dataBar>
      <extLst>
        <ext xmlns:x14="http://schemas.microsoft.com/office/spreadsheetml/2009/9/main" uri="{B025F937-C7B1-47D3-B67F-A62EFF666E3E}">
          <x14:id>{00170099-0029-4161-BA3C-004800860069}</x14:id>
        </ext>
      </extLst>
    </cfRule>
  </conditionalFormatting>
  <conditionalFormatting sqref="R106:R111">
    <cfRule type="dataBar" priority="62">
      <dataBar>
        <cfvo type="num" val="0"/>
        <cfvo type="max"/>
        <color theme="7" tint="0.39997558519241921"/>
      </dataBar>
      <extLst>
        <ext xmlns:x14="http://schemas.microsoft.com/office/spreadsheetml/2009/9/main" uri="{B025F937-C7B1-47D3-B67F-A62EFF666E3E}">
          <x14:id>{00830077-00F9-4F60-B0AE-004F006C00EB}</x14:id>
        </ext>
      </extLst>
    </cfRule>
  </conditionalFormatting>
  <conditionalFormatting sqref="R113:R119">
    <cfRule type="dataBar" priority="61">
      <dataBar>
        <cfvo type="num" val="0"/>
        <cfvo type="max"/>
        <color theme="7" tint="0.39997558519241921"/>
      </dataBar>
      <extLst>
        <ext xmlns:x14="http://schemas.microsoft.com/office/spreadsheetml/2009/9/main" uri="{B025F937-C7B1-47D3-B67F-A62EFF666E3E}">
          <x14:id>{008F00A2-0024-4306-B8B2-007B00F100AA}</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00C3005D-0087-43D2-8F36-009700D300C7}">
            <x14:dataBar minLength="0" maxLength="100" gradient="0">
              <x14:cfvo type="autoMin"/>
              <x14:cfvo type="autoMax"/>
              <x14:negativeFillColor indexed="2"/>
              <x14:axisColor indexed="64"/>
            </x14:dataBar>
          </x14:cfRule>
          <xm:sqref>P29:P42</xm:sqref>
        </x14:conditionalFormatting>
        <x14:conditionalFormatting xmlns:xm="http://schemas.microsoft.com/office/excel/2006/main">
          <x14:cfRule type="dataBar" id="{009100C8-00FB-4371-9B97-0065001900BB}">
            <x14:dataBar minLength="0" maxLength="100" gradient="0">
              <x14:cfvo type="num">
                <xm:f>0</xm:f>
              </x14:cfvo>
              <x14:cfvo type="autoMax"/>
              <x14:negativeFillColor indexed="2"/>
              <x14:axisColor indexed="64"/>
            </x14:dataBar>
          </x14:cfRule>
          <xm:sqref>P46</xm:sqref>
        </x14:conditionalFormatting>
        <x14:conditionalFormatting xmlns:xm="http://schemas.microsoft.com/office/excel/2006/main">
          <x14:cfRule type="dataBar" id="{00A80065-0018-4EED-8EF2-008A00AF0015}">
            <x14:dataBar minLength="0" maxLength="100" gradient="0">
              <x14:cfvo type="num">
                <xm:f>0</xm:f>
              </x14:cfvo>
              <x14:cfvo type="autoMax"/>
              <x14:negativeFillColor indexed="2"/>
              <x14:axisColor indexed="64"/>
            </x14:dataBar>
          </x14:cfRule>
          <xm:sqref>P47:P53</xm:sqref>
        </x14:conditionalFormatting>
        <x14:conditionalFormatting xmlns:xm="http://schemas.microsoft.com/office/excel/2006/main">
          <x14:cfRule type="dataBar" id="{00D10031-0071-4BBB-9611-00B5003100D4}">
            <x14:dataBar minLength="0" maxLength="100" gradient="0">
              <x14:cfvo type="num">
                <xm:f>0</xm:f>
              </x14:cfvo>
              <x14:cfvo type="autoMax"/>
              <x14:negativeFillColor indexed="2"/>
              <x14:axisColor indexed="64"/>
            </x14:dataBar>
          </x14:cfRule>
          <xm:sqref>P55:P58</xm:sqref>
        </x14:conditionalFormatting>
        <x14:conditionalFormatting xmlns:xm="http://schemas.microsoft.com/office/excel/2006/main">
          <x14:cfRule type="dataBar" id="{00960026-00EB-4FC2-B111-009200EA0056}">
            <x14:dataBar minLength="0" maxLength="100" gradient="0">
              <x14:cfvo type="num">
                <xm:f>0</xm:f>
              </x14:cfvo>
              <x14:cfvo type="autoMax"/>
              <x14:negativeFillColor indexed="2"/>
              <x14:axisColor indexed="64"/>
            </x14:dataBar>
          </x14:cfRule>
          <xm:sqref>P60:P62</xm:sqref>
        </x14:conditionalFormatting>
        <x14:conditionalFormatting xmlns:xm="http://schemas.microsoft.com/office/excel/2006/main">
          <x14:cfRule type="dataBar" id="{004C0087-003F-4DF5-A3AA-00D700180071}">
            <x14:dataBar minLength="0" maxLength="100" gradient="0">
              <x14:cfvo type="num">
                <xm:f>0</xm:f>
              </x14:cfvo>
              <x14:cfvo type="autoMax"/>
              <x14:negativeFillColor indexed="2"/>
              <x14:axisColor indexed="64"/>
            </x14:dataBar>
          </x14:cfRule>
          <xm:sqref>P64:P67</xm:sqref>
        </x14:conditionalFormatting>
        <x14:conditionalFormatting xmlns:xm="http://schemas.microsoft.com/office/excel/2006/main">
          <x14:cfRule type="dataBar" id="{002D0008-0074-4DBB-B6AE-000400890031}">
            <x14:dataBar minLength="0" maxLength="100" gradient="0">
              <x14:cfvo type="num">
                <xm:f>0</xm:f>
              </x14:cfvo>
              <x14:cfvo type="autoMax"/>
              <x14:negativeFillColor indexed="2"/>
              <x14:axisColor indexed="64"/>
            </x14:dataBar>
          </x14:cfRule>
          <xm:sqref>P69:P72</xm:sqref>
        </x14:conditionalFormatting>
        <x14:conditionalFormatting xmlns:xm="http://schemas.microsoft.com/office/excel/2006/main">
          <x14:cfRule type="dataBar" id="{00EA00F3-00B7-4C96-913C-0034001F00CF}">
            <x14:dataBar minLength="0" maxLength="100" gradient="0">
              <x14:cfvo type="num">
                <xm:f>0</xm:f>
              </x14:cfvo>
              <x14:cfvo type="autoMax"/>
              <x14:negativeFillColor indexed="2"/>
              <x14:axisColor indexed="64"/>
            </x14:dataBar>
          </x14:cfRule>
          <xm:sqref>P76:P79</xm:sqref>
        </x14:conditionalFormatting>
        <x14:conditionalFormatting xmlns:xm="http://schemas.microsoft.com/office/excel/2006/main">
          <x14:cfRule type="dataBar" id="{0088000A-00D3-49FB-9FE2-00CB00870022}">
            <x14:dataBar minLength="0" maxLength="100" gradient="0">
              <x14:cfvo type="num">
                <xm:f>0</xm:f>
              </x14:cfvo>
              <x14:cfvo type="autoMax"/>
              <x14:negativeFillColor indexed="2"/>
              <x14:axisColor indexed="64"/>
            </x14:dataBar>
          </x14:cfRule>
          <xm:sqref>P81:P84</xm:sqref>
        </x14:conditionalFormatting>
        <x14:conditionalFormatting xmlns:xm="http://schemas.microsoft.com/office/excel/2006/main">
          <x14:cfRule type="dataBar" id="{00E80077-0084-4606-8DA1-0091004F00F7}">
            <x14:dataBar minLength="0" maxLength="100" gradient="0">
              <x14:cfvo type="num">
                <xm:f>0</xm:f>
              </x14:cfvo>
              <x14:cfvo type="autoMax"/>
              <x14:negativeFillColor indexed="2"/>
              <x14:axisColor indexed="64"/>
            </x14:dataBar>
          </x14:cfRule>
          <xm:sqref>P86:P88</xm:sqref>
        </x14:conditionalFormatting>
        <x14:conditionalFormatting xmlns:xm="http://schemas.microsoft.com/office/excel/2006/main">
          <x14:cfRule type="dataBar" id="{0007005E-00A4-4654-8414-009A008000DB}">
            <x14:dataBar minLength="0" maxLength="100" gradient="0">
              <x14:cfvo type="num">
                <xm:f>0</xm:f>
              </x14:cfvo>
              <x14:cfvo type="autoMax"/>
              <x14:negativeFillColor indexed="2"/>
              <x14:axisColor indexed="64"/>
            </x14:dataBar>
          </x14:cfRule>
          <xm:sqref>P90:P92</xm:sqref>
        </x14:conditionalFormatting>
        <x14:conditionalFormatting xmlns:xm="http://schemas.microsoft.com/office/excel/2006/main">
          <x14:cfRule type="dataBar" id="{00110031-003C-4FA2-9E11-00C5001D0042}">
            <x14:dataBar minLength="0" maxLength="100" gradient="0">
              <x14:cfvo type="num">
                <xm:f>0</xm:f>
              </x14:cfvo>
              <x14:cfvo type="autoMax"/>
              <x14:negativeFillColor indexed="2"/>
              <x14:axisColor indexed="64"/>
            </x14:dataBar>
          </x14:cfRule>
          <xm:sqref>P94:P98</xm:sqref>
        </x14:conditionalFormatting>
        <x14:conditionalFormatting xmlns:xm="http://schemas.microsoft.com/office/excel/2006/main">
          <x14:cfRule type="dataBar" id="{00B2009B-0065-40D4-81AC-0006002F0040}">
            <x14:dataBar minLength="0" maxLength="100" gradient="0">
              <x14:cfvo type="num">
                <xm:f>0</xm:f>
              </x14:cfvo>
              <x14:cfvo type="autoMax"/>
              <x14:negativeFillColor indexed="2"/>
              <x14:axisColor indexed="64"/>
            </x14:dataBar>
          </x14:cfRule>
          <xm:sqref>P100:P101 P103:P104</xm:sqref>
        </x14:conditionalFormatting>
        <x14:conditionalFormatting xmlns:xm="http://schemas.microsoft.com/office/excel/2006/main">
          <x14:cfRule type="dataBar" id="{00E40062-0064-473E-96B8-009100CA00D4}">
            <x14:dataBar minLength="0" maxLength="100" gradient="0">
              <x14:cfvo type="num">
                <xm:f>0</xm:f>
              </x14:cfvo>
              <x14:cfvo type="autoMax"/>
              <x14:negativeFillColor indexed="2"/>
              <x14:axisColor indexed="64"/>
            </x14:dataBar>
          </x14:cfRule>
          <xm:sqref>P102</xm:sqref>
        </x14:conditionalFormatting>
        <x14:conditionalFormatting xmlns:xm="http://schemas.microsoft.com/office/excel/2006/main">
          <x14:cfRule type="dataBar" id="{00300095-00BF-4255-B733-000A0001003E}">
            <x14:dataBar minLength="0" maxLength="100" gradient="0">
              <x14:cfvo type="num">
                <xm:f>0</xm:f>
              </x14:cfvo>
              <x14:cfvo type="autoMax"/>
              <x14:negativeFillColor indexed="2"/>
              <x14:axisColor indexed="64"/>
            </x14:dataBar>
          </x14:cfRule>
          <xm:sqref>P106:P111</xm:sqref>
        </x14:conditionalFormatting>
        <x14:conditionalFormatting xmlns:xm="http://schemas.microsoft.com/office/excel/2006/main">
          <x14:cfRule type="dataBar" id="{00AA0045-000B-4B67-9C87-007F007400CD}">
            <x14:dataBar minLength="0" maxLength="100" gradient="0">
              <x14:cfvo type="num">
                <xm:f>0</xm:f>
              </x14:cfvo>
              <x14:cfvo type="autoMax"/>
              <x14:negativeFillColor indexed="2"/>
              <x14:axisColor indexed="64"/>
            </x14:dataBar>
          </x14:cfRule>
          <xm:sqref>P113:P119</xm:sqref>
        </x14:conditionalFormatting>
        <x14:conditionalFormatting xmlns:xm="http://schemas.microsoft.com/office/excel/2006/main">
          <x14:cfRule type="dataBar" id="{002A004A-004A-491E-A6EE-001D007D0046}">
            <x14:dataBar minLength="0" maxLength="100" gradient="0">
              <x14:cfvo type="autoMin"/>
              <x14:cfvo type="autoMax"/>
              <x14:negativeFillColor indexed="2"/>
              <x14:axisColor indexed="64"/>
            </x14:dataBar>
          </x14:cfRule>
          <xm:sqref>Q29:Q38</xm:sqref>
        </x14:conditionalFormatting>
        <x14:conditionalFormatting xmlns:xm="http://schemas.microsoft.com/office/excel/2006/main">
          <x14:cfRule type="dataBar" id="{00D4005E-003F-4BBE-AFFC-00B9003C00F2}">
            <x14:dataBar minLength="0" maxLength="100" gradient="0">
              <x14:cfvo type="autoMin"/>
              <x14:cfvo type="autoMax"/>
              <x14:negativeFillColor indexed="2"/>
              <x14:axisColor indexed="64"/>
            </x14:dataBar>
          </x14:cfRule>
          <xm:sqref>Q39</xm:sqref>
        </x14:conditionalFormatting>
        <x14:conditionalFormatting xmlns:xm="http://schemas.microsoft.com/office/excel/2006/main">
          <x14:cfRule type="dataBar" id="{004E008E-003E-4002-A826-00F4008B00E0}">
            <x14:dataBar minLength="0" maxLength="100" gradient="0">
              <x14:cfvo type="num">
                <xm:f>0</xm:f>
              </x14:cfvo>
              <x14:cfvo type="autoMax"/>
              <x14:negativeFillColor indexed="2"/>
              <x14:axisColor indexed="64"/>
            </x14:dataBar>
          </x14:cfRule>
          <xm:sqref>Q46</xm:sqref>
        </x14:conditionalFormatting>
        <x14:conditionalFormatting xmlns:xm="http://schemas.microsoft.com/office/excel/2006/main">
          <x14:cfRule type="dataBar" id="{001E00BB-008A-443E-B161-00D800FB0073}">
            <x14:dataBar minLength="0" maxLength="100" gradient="0">
              <x14:cfvo type="num">
                <xm:f>0</xm:f>
              </x14:cfvo>
              <x14:cfvo type="autoMax"/>
              <x14:negativeFillColor indexed="2"/>
              <x14:axisColor indexed="64"/>
            </x14:dataBar>
          </x14:cfRule>
          <xm:sqref>Q47:Q53</xm:sqref>
        </x14:conditionalFormatting>
        <x14:conditionalFormatting xmlns:xm="http://schemas.microsoft.com/office/excel/2006/main">
          <x14:cfRule type="dataBar" id="{00210059-00D8-42AE-8BA7-0082007900F4}">
            <x14:dataBar minLength="0" maxLength="100" gradient="0">
              <x14:cfvo type="num">
                <xm:f>0</xm:f>
              </x14:cfvo>
              <x14:cfvo type="autoMax"/>
              <x14:negativeFillColor indexed="2"/>
              <x14:axisColor indexed="64"/>
            </x14:dataBar>
          </x14:cfRule>
          <xm:sqref>Q55:Q58</xm:sqref>
        </x14:conditionalFormatting>
        <x14:conditionalFormatting xmlns:xm="http://schemas.microsoft.com/office/excel/2006/main">
          <x14:cfRule type="dataBar" id="{00850068-00DD-4690-92B5-00A9003F0019}">
            <x14:dataBar minLength="0" maxLength="100" gradient="0">
              <x14:cfvo type="num">
                <xm:f>0</xm:f>
              </x14:cfvo>
              <x14:cfvo type="autoMax"/>
              <x14:negativeFillColor indexed="2"/>
              <x14:axisColor indexed="64"/>
            </x14:dataBar>
          </x14:cfRule>
          <xm:sqref>Q60:Q62</xm:sqref>
        </x14:conditionalFormatting>
        <x14:conditionalFormatting xmlns:xm="http://schemas.microsoft.com/office/excel/2006/main">
          <x14:cfRule type="dataBar" id="{00F8006F-0032-49DF-87BB-007B00910095}">
            <x14:dataBar minLength="0" maxLength="100" gradient="0">
              <x14:cfvo type="num">
                <xm:f>0</xm:f>
              </x14:cfvo>
              <x14:cfvo type="autoMax"/>
              <x14:negativeFillColor indexed="2"/>
              <x14:axisColor indexed="64"/>
            </x14:dataBar>
          </x14:cfRule>
          <xm:sqref>Q64:Q67</xm:sqref>
        </x14:conditionalFormatting>
        <x14:conditionalFormatting xmlns:xm="http://schemas.microsoft.com/office/excel/2006/main">
          <x14:cfRule type="dataBar" id="{009B000E-00A0-4505-96CE-00F7002B0053}">
            <x14:dataBar minLength="0" maxLength="100" gradient="0">
              <x14:cfvo type="num">
                <xm:f>0</xm:f>
              </x14:cfvo>
              <x14:cfvo type="autoMax"/>
              <x14:negativeFillColor indexed="2"/>
              <x14:axisColor indexed="64"/>
            </x14:dataBar>
          </x14:cfRule>
          <xm:sqref>Q69:Q72</xm:sqref>
        </x14:conditionalFormatting>
        <x14:conditionalFormatting xmlns:xm="http://schemas.microsoft.com/office/excel/2006/main">
          <x14:cfRule type="dataBar" id="{000B00DF-001A-43CA-BB11-007F0093004D}">
            <x14:dataBar minLength="0" maxLength="100" gradient="0">
              <x14:cfvo type="num">
                <xm:f>0</xm:f>
              </x14:cfvo>
              <x14:cfvo type="autoMax"/>
              <x14:negativeFillColor indexed="2"/>
              <x14:axisColor indexed="64"/>
            </x14:dataBar>
          </x14:cfRule>
          <xm:sqref>Q76:Q79</xm:sqref>
        </x14:conditionalFormatting>
        <x14:conditionalFormatting xmlns:xm="http://schemas.microsoft.com/office/excel/2006/main">
          <x14:cfRule type="dataBar" id="{00BB0083-0098-4B8A-9D27-008A00EA00E2}">
            <x14:dataBar minLength="0" maxLength="100" gradient="0">
              <x14:cfvo type="num">
                <xm:f>0</xm:f>
              </x14:cfvo>
              <x14:cfvo type="autoMax"/>
              <x14:negativeFillColor indexed="2"/>
              <x14:axisColor indexed="64"/>
            </x14:dataBar>
          </x14:cfRule>
          <xm:sqref>Q81:Q84</xm:sqref>
        </x14:conditionalFormatting>
        <x14:conditionalFormatting xmlns:xm="http://schemas.microsoft.com/office/excel/2006/main">
          <x14:cfRule type="dataBar" id="{00BE001A-00D8-46EF-B92F-000A003900B3}">
            <x14:dataBar minLength="0" maxLength="100" gradient="0">
              <x14:cfvo type="num">
                <xm:f>0</xm:f>
              </x14:cfvo>
              <x14:cfvo type="autoMax"/>
              <x14:negativeFillColor indexed="2"/>
              <x14:axisColor indexed="64"/>
            </x14:dataBar>
          </x14:cfRule>
          <xm:sqref>Q86:Q88</xm:sqref>
        </x14:conditionalFormatting>
        <x14:conditionalFormatting xmlns:xm="http://schemas.microsoft.com/office/excel/2006/main">
          <x14:cfRule type="dataBar" id="{00BC00B5-0053-499A-A66A-00D00002006F}">
            <x14:dataBar minLength="0" maxLength="100" gradient="0">
              <x14:cfvo type="num">
                <xm:f>0</xm:f>
              </x14:cfvo>
              <x14:cfvo type="autoMax"/>
              <x14:negativeFillColor indexed="2"/>
              <x14:axisColor indexed="64"/>
            </x14:dataBar>
          </x14:cfRule>
          <xm:sqref>Q90:Q92</xm:sqref>
        </x14:conditionalFormatting>
        <x14:conditionalFormatting xmlns:xm="http://schemas.microsoft.com/office/excel/2006/main">
          <x14:cfRule type="dataBar" id="{0037008C-00F3-4840-8E2E-00D9006800DE}">
            <x14:dataBar minLength="0" maxLength="100" gradient="0">
              <x14:cfvo type="num">
                <xm:f>0</xm:f>
              </x14:cfvo>
              <x14:cfvo type="autoMax"/>
              <x14:negativeFillColor indexed="2"/>
              <x14:axisColor indexed="64"/>
            </x14:dataBar>
          </x14:cfRule>
          <xm:sqref>Q94:Q98</xm:sqref>
        </x14:conditionalFormatting>
        <x14:conditionalFormatting xmlns:xm="http://schemas.microsoft.com/office/excel/2006/main">
          <x14:cfRule type="dataBar" id="{00F7002D-00A0-480C-9691-0093000800A7}">
            <x14:dataBar minLength="0" maxLength="100" gradient="0">
              <x14:cfvo type="num">
                <xm:f>0</xm:f>
              </x14:cfvo>
              <x14:cfvo type="autoMax"/>
              <x14:negativeFillColor indexed="2"/>
              <x14:axisColor indexed="64"/>
            </x14:dataBar>
          </x14:cfRule>
          <xm:sqref>Q100:Q101 Q103:Q104</xm:sqref>
        </x14:conditionalFormatting>
        <x14:conditionalFormatting xmlns:xm="http://schemas.microsoft.com/office/excel/2006/main">
          <x14:cfRule type="dataBar" id="{00A700C5-0080-49F4-AB1A-00390076009F}">
            <x14:dataBar minLength="0" maxLength="100" gradient="0">
              <x14:cfvo type="num">
                <xm:f>0</xm:f>
              </x14:cfvo>
              <x14:cfvo type="autoMax"/>
              <x14:negativeFillColor indexed="2"/>
              <x14:axisColor indexed="64"/>
            </x14:dataBar>
          </x14:cfRule>
          <xm:sqref>Q102</xm:sqref>
        </x14:conditionalFormatting>
        <x14:conditionalFormatting xmlns:xm="http://schemas.microsoft.com/office/excel/2006/main">
          <x14:cfRule type="dataBar" id="{002000F0-00FF-4C76-8A97-0088007C000C}">
            <x14:dataBar minLength="0" maxLength="100" gradient="0">
              <x14:cfvo type="num">
                <xm:f>0</xm:f>
              </x14:cfvo>
              <x14:cfvo type="autoMax"/>
              <x14:negativeFillColor indexed="2"/>
              <x14:axisColor indexed="64"/>
            </x14:dataBar>
          </x14:cfRule>
          <xm:sqref>Q106:Q111</xm:sqref>
        </x14:conditionalFormatting>
        <x14:conditionalFormatting xmlns:xm="http://schemas.microsoft.com/office/excel/2006/main">
          <x14:cfRule type="dataBar" id="{00DD0085-0082-4D8F-B928-00DF006B00F0}">
            <x14:dataBar minLength="0" maxLength="100" gradient="0">
              <x14:cfvo type="num">
                <xm:f>0</xm:f>
              </x14:cfvo>
              <x14:cfvo type="autoMax"/>
              <x14:negativeFillColor indexed="2"/>
              <x14:axisColor indexed="64"/>
            </x14:dataBar>
          </x14:cfRule>
          <xm:sqref>Q113:Q119</xm:sqref>
        </x14:conditionalFormatting>
        <x14:conditionalFormatting xmlns:xm="http://schemas.microsoft.com/office/excel/2006/main">
          <x14:cfRule type="dataBar" id="{00C600EA-003E-421F-A973-005F00050015}">
            <x14:dataBar minLength="0" maxLength="100" gradient="0">
              <x14:cfvo type="autoMin"/>
              <x14:cfvo type="autoMax"/>
              <x14:negativeFillColor indexed="2"/>
              <x14:axisColor indexed="64"/>
            </x14:dataBar>
          </x14:cfRule>
          <xm:sqref>R29:R34</xm:sqref>
        </x14:conditionalFormatting>
        <x14:conditionalFormatting xmlns:xm="http://schemas.microsoft.com/office/excel/2006/main">
          <x14:cfRule type="dataBar" id="{002700B2-0043-4E21-A276-00A5003E0033}">
            <x14:dataBar minLength="0" maxLength="100" gradient="0">
              <x14:cfvo type="num">
                <xm:f>0</xm:f>
              </x14:cfvo>
              <x14:cfvo type="autoMax"/>
              <x14:negativeFillColor indexed="2"/>
              <x14:axisColor indexed="64"/>
            </x14:dataBar>
          </x14:cfRule>
          <xm:sqref>R46</xm:sqref>
        </x14:conditionalFormatting>
        <x14:conditionalFormatting xmlns:xm="http://schemas.microsoft.com/office/excel/2006/main">
          <x14:cfRule type="dataBar" id="{004C0056-0035-4818-947A-004500A300C2}">
            <x14:dataBar minLength="0" maxLength="100" gradient="0">
              <x14:cfvo type="num">
                <xm:f>0</xm:f>
              </x14:cfvo>
              <x14:cfvo type="autoMax"/>
              <x14:negativeFillColor indexed="2"/>
              <x14:axisColor indexed="64"/>
            </x14:dataBar>
          </x14:cfRule>
          <xm:sqref>R47:R53</xm:sqref>
        </x14:conditionalFormatting>
        <x14:conditionalFormatting xmlns:xm="http://schemas.microsoft.com/office/excel/2006/main">
          <x14:cfRule type="dataBar" id="{00880034-0051-43C6-AD38-008900CB0032}">
            <x14:dataBar minLength="0" maxLength="100" gradient="0">
              <x14:cfvo type="num">
                <xm:f>0</xm:f>
              </x14:cfvo>
              <x14:cfvo type="autoMax"/>
              <x14:negativeFillColor indexed="2"/>
              <x14:axisColor indexed="64"/>
            </x14:dataBar>
          </x14:cfRule>
          <xm:sqref>R55:R58</xm:sqref>
        </x14:conditionalFormatting>
        <x14:conditionalFormatting xmlns:xm="http://schemas.microsoft.com/office/excel/2006/main">
          <x14:cfRule type="dataBar" id="{000600B6-004E-46D4-8878-00E800BB0020}">
            <x14:dataBar minLength="0" maxLength="100" gradient="0">
              <x14:cfvo type="num">
                <xm:f>0</xm:f>
              </x14:cfvo>
              <x14:cfvo type="autoMax"/>
              <x14:negativeFillColor indexed="2"/>
              <x14:axisColor indexed="64"/>
            </x14:dataBar>
          </x14:cfRule>
          <xm:sqref>R60:R62</xm:sqref>
        </x14:conditionalFormatting>
        <x14:conditionalFormatting xmlns:xm="http://schemas.microsoft.com/office/excel/2006/main">
          <x14:cfRule type="dataBar" id="{006D00A8-00DA-4D4D-91D8-00A900DC001C}">
            <x14:dataBar minLength="0" maxLength="100" gradient="0">
              <x14:cfvo type="num">
                <xm:f>0</xm:f>
              </x14:cfvo>
              <x14:cfvo type="autoMax"/>
              <x14:negativeFillColor indexed="2"/>
              <x14:axisColor indexed="64"/>
            </x14:dataBar>
          </x14:cfRule>
          <xm:sqref>R64:R67</xm:sqref>
        </x14:conditionalFormatting>
        <x14:conditionalFormatting xmlns:xm="http://schemas.microsoft.com/office/excel/2006/main">
          <x14:cfRule type="dataBar" id="{00200082-0077-4604-B318-005100190029}">
            <x14:dataBar minLength="0" maxLength="100" gradient="0">
              <x14:cfvo type="num">
                <xm:f>0</xm:f>
              </x14:cfvo>
              <x14:cfvo type="autoMax"/>
              <x14:negativeFillColor indexed="2"/>
              <x14:axisColor indexed="64"/>
            </x14:dataBar>
          </x14:cfRule>
          <xm:sqref>R69:R72</xm:sqref>
        </x14:conditionalFormatting>
        <x14:conditionalFormatting xmlns:xm="http://schemas.microsoft.com/office/excel/2006/main">
          <x14:cfRule type="dataBar" id="{004800CE-00B6-4C1F-9F16-002F00DF008C}">
            <x14:dataBar minLength="0" maxLength="100" gradient="0">
              <x14:cfvo type="num">
                <xm:f>0</xm:f>
              </x14:cfvo>
              <x14:cfvo type="autoMax"/>
              <x14:negativeFillColor indexed="2"/>
              <x14:axisColor indexed="64"/>
            </x14:dataBar>
          </x14:cfRule>
          <xm:sqref>R76:R79</xm:sqref>
        </x14:conditionalFormatting>
        <x14:conditionalFormatting xmlns:xm="http://schemas.microsoft.com/office/excel/2006/main">
          <x14:cfRule type="dataBar" id="{008500DC-0023-4847-BCC8-00F2000A0029}">
            <x14:dataBar minLength="0" maxLength="100" gradient="0">
              <x14:cfvo type="num">
                <xm:f>0</xm:f>
              </x14:cfvo>
              <x14:cfvo type="autoMax"/>
              <x14:negativeFillColor indexed="2"/>
              <x14:axisColor indexed="64"/>
            </x14:dataBar>
          </x14:cfRule>
          <xm:sqref>R81:R84</xm:sqref>
        </x14:conditionalFormatting>
        <x14:conditionalFormatting xmlns:xm="http://schemas.microsoft.com/office/excel/2006/main">
          <x14:cfRule type="dataBar" id="{00E600AA-00F4-43A6-B8FB-005E00E60025}">
            <x14:dataBar minLength="0" maxLength="100" gradient="0">
              <x14:cfvo type="num">
                <xm:f>0</xm:f>
              </x14:cfvo>
              <x14:cfvo type="autoMax"/>
              <x14:negativeFillColor indexed="2"/>
              <x14:axisColor indexed="64"/>
            </x14:dataBar>
          </x14:cfRule>
          <xm:sqref>R86:R88</xm:sqref>
        </x14:conditionalFormatting>
        <x14:conditionalFormatting xmlns:xm="http://schemas.microsoft.com/office/excel/2006/main">
          <x14:cfRule type="dataBar" id="{00E300A9-0015-4C15-A117-007A00B00023}">
            <x14:dataBar minLength="0" maxLength="100" gradient="0">
              <x14:cfvo type="num">
                <xm:f>0</xm:f>
              </x14:cfvo>
              <x14:cfvo type="autoMax"/>
              <x14:negativeFillColor indexed="2"/>
              <x14:axisColor indexed="64"/>
            </x14:dataBar>
          </x14:cfRule>
          <xm:sqref>R90:R92</xm:sqref>
        </x14:conditionalFormatting>
        <x14:conditionalFormatting xmlns:xm="http://schemas.microsoft.com/office/excel/2006/main">
          <x14:cfRule type="dataBar" id="{005D009A-0036-4034-8B68-00F100290089}">
            <x14:dataBar minLength="0" maxLength="100" gradient="0">
              <x14:cfvo type="num">
                <xm:f>0</xm:f>
              </x14:cfvo>
              <x14:cfvo type="autoMax"/>
              <x14:negativeFillColor indexed="2"/>
              <x14:axisColor indexed="64"/>
            </x14:dataBar>
          </x14:cfRule>
          <xm:sqref>R94:R98</xm:sqref>
        </x14:conditionalFormatting>
        <x14:conditionalFormatting xmlns:xm="http://schemas.microsoft.com/office/excel/2006/main">
          <x14:cfRule type="dataBar" id="{00D5000D-0004-43B0-A174-0028008D0041}">
            <x14:dataBar minLength="0" maxLength="100" gradient="0">
              <x14:cfvo type="num">
                <xm:f>0</xm:f>
              </x14:cfvo>
              <x14:cfvo type="autoMax"/>
              <x14:negativeFillColor indexed="2"/>
              <x14:axisColor indexed="64"/>
            </x14:dataBar>
          </x14:cfRule>
          <xm:sqref>R100:R101 R103:R104</xm:sqref>
        </x14:conditionalFormatting>
        <x14:conditionalFormatting xmlns:xm="http://schemas.microsoft.com/office/excel/2006/main">
          <x14:cfRule type="dataBar" id="{00170099-0029-4161-BA3C-004800860069}">
            <x14:dataBar minLength="0" maxLength="100" gradient="0">
              <x14:cfvo type="num">
                <xm:f>0</xm:f>
              </x14:cfvo>
              <x14:cfvo type="autoMax"/>
              <x14:negativeFillColor indexed="2"/>
              <x14:axisColor indexed="64"/>
            </x14:dataBar>
          </x14:cfRule>
          <xm:sqref>R102</xm:sqref>
        </x14:conditionalFormatting>
        <x14:conditionalFormatting xmlns:xm="http://schemas.microsoft.com/office/excel/2006/main">
          <x14:cfRule type="dataBar" id="{00830077-00F9-4F60-B0AE-004F006C00EB}">
            <x14:dataBar minLength="0" maxLength="100" gradient="0">
              <x14:cfvo type="num">
                <xm:f>0</xm:f>
              </x14:cfvo>
              <x14:cfvo type="autoMax"/>
              <x14:negativeFillColor indexed="2"/>
              <x14:axisColor indexed="64"/>
            </x14:dataBar>
          </x14:cfRule>
          <xm:sqref>R106:R111</xm:sqref>
        </x14:conditionalFormatting>
        <x14:conditionalFormatting xmlns:xm="http://schemas.microsoft.com/office/excel/2006/main">
          <x14:cfRule type="dataBar" id="{008F00A2-0024-4306-B8B2-007B00F100AA}">
            <x14:dataBar minLength="0" maxLength="100" gradient="0">
              <x14:cfvo type="num">
                <xm:f>0</xm:f>
              </x14:cfvo>
              <x14:cfvo type="autoMax"/>
              <x14:negativeFillColor indexed="2"/>
              <x14:axisColor indexed="64"/>
            </x14:dataBar>
          </x14:cfRule>
          <xm:sqref>R113:R119</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700-000000000000}">
          <x14:formula1>
            <xm:f>'Условные сокращения'!$B$27:$B$30</xm:f>
          </x14:formula1>
          <xm:sqref>N84 N110 N69:N71 N76:N79 N116:N117 N107 N66 N94 N113 N48:N50 N81:N82 N97 N56:N58 N90 N92</xm:sqref>
        </x14:dataValidation>
        <x14:dataValidation type="list" allowBlank="1" showInputMessage="1" showErrorMessage="1" xr:uid="{00000000-0002-0000-0700-000001000000}">
          <x14:formula1>
            <xm:f>'Условные сокращения'!$N$3:$N$8</xm:f>
          </x14:formula1>
          <xm:sqref>N118 N62 N51:N53 N88</xm:sqref>
        </x14:dataValidation>
        <x14:dataValidation type="list" allowBlank="1" showInputMessage="1" showErrorMessage="1" xr:uid="{00000000-0002-0000-0700-000002000000}">
          <x14:formula1>
            <xm:f>'Условные сокращения'!$M$11:$M$12</xm:f>
          </x14:formula1>
          <xm:sqref>N67 N64 N72 N95:N96</xm:sqref>
        </x14:dataValidation>
        <x14:dataValidation type="list" allowBlank="1" showInputMessage="1" showErrorMessage="1" xr:uid="{00000000-0002-0000-0700-000003000000}">
          <x14:formula1>
            <xm:f>'Условные сокращения'!$M$41:$M$45</xm:f>
          </x14:formula1>
          <xm:sqref>N104</xm:sqref>
        </x14:dataValidation>
        <x14:dataValidation type="list" allowBlank="1" showInputMessage="1" showErrorMessage="1" xr:uid="{00000000-0002-0000-0700-000004000000}">
          <x14:formula1>
            <xm:f>'Условные сокращения'!$B$35:$B$37</xm:f>
          </x14:formula1>
          <xm:sqref>N83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8">
    <tabColor theme="3" tint="0.39997558519241921"/>
    <outlinePr summaryBelow="0" summaryRight="0"/>
  </sheetPr>
  <dimension ref="B1:AA1001"/>
  <sheetViews>
    <sheetView topLeftCell="A37" workbookViewId="0">
      <selection activeCell="A48" sqref="A48"/>
    </sheetView>
  </sheetViews>
  <sheetFormatPr defaultColWidth="11.09765625" defaultRowHeight="15" customHeight="1" outlineLevelRow="1"/>
  <cols>
    <col min="1" max="1" width="3.59765625" style="300" bestFit="1" customWidth="1"/>
    <col min="2" max="2" width="95.59765625" style="300" customWidth="1"/>
    <col min="3" max="3" width="19.59765625" style="300" bestFit="1" customWidth="1"/>
    <col min="4" max="4" width="11.59765625" style="392" customWidth="1"/>
    <col min="5" max="5" width="12.09765625" style="392" customWidth="1"/>
    <col min="6" max="6" width="11.59765625" style="392" customWidth="1"/>
    <col min="7" max="7" width="21.09765625" style="300" hidden="1" customWidth="1"/>
    <col min="8" max="8" width="25" style="392" hidden="1" customWidth="1"/>
    <col min="9" max="9" width="37" style="392" hidden="1" customWidth="1"/>
    <col min="10" max="10" width="12.59765625" style="392" hidden="1" customWidth="1"/>
    <col min="11" max="11" width="14.59765625" style="300" customWidth="1"/>
    <col min="12" max="12" width="12.59765625" style="392" customWidth="1"/>
    <col min="13" max="13" width="22.59765625" customWidth="1"/>
    <col min="14" max="15" width="22.59765625" style="370" customWidth="1"/>
    <col min="16" max="18" width="22.59765625" style="300" customWidth="1"/>
    <col min="19" max="19" width="10.5" style="300" customWidth="1"/>
    <col min="20" max="21" width="47.59765625" style="300" customWidth="1"/>
    <col min="22" max="22" width="10.5" style="300" bestFit="1" customWidth="1"/>
    <col min="23" max="24" width="42.09765625" style="300" customWidth="1"/>
    <col min="25" max="25" width="10.5" style="300" bestFit="1" customWidth="1"/>
    <col min="26" max="26" width="48.59765625" style="300" customWidth="1"/>
    <col min="27" max="27" width="42.09765625" style="300" customWidth="1"/>
    <col min="28" max="36" width="10.5" style="300" bestFit="1" customWidth="1"/>
    <col min="37" max="37" width="11.09765625" style="300" bestFit="1"/>
    <col min="38" max="16384" width="11.09765625" style="300"/>
  </cols>
  <sheetData>
    <row r="1" spans="2:2" ht="63" customHeight="1">
      <c r="B1" s="309" t="s">
        <v>64</v>
      </c>
    </row>
    <row r="3" spans="2:2" ht="15.75" customHeight="1">
      <c r="B3" s="204"/>
    </row>
    <row r="4" spans="2:2" ht="15.75" customHeight="1">
      <c r="B4" s="204"/>
    </row>
    <row r="5" spans="2:2" ht="15.75" customHeight="1">
      <c r="B5" s="204"/>
    </row>
    <row r="6" spans="2:2" ht="15.75" customHeight="1">
      <c r="B6" s="204"/>
    </row>
    <row r="7" spans="2:2" ht="15.75" customHeight="1">
      <c r="B7" s="204"/>
    </row>
    <row r="8" spans="2:2" ht="15.75" customHeight="1">
      <c r="B8" s="204"/>
    </row>
    <row r="9" spans="2:2" ht="15.75" customHeight="1">
      <c r="B9" s="204"/>
    </row>
    <row r="10" spans="2:2" ht="15.75" customHeight="1">
      <c r="B10" s="204"/>
    </row>
    <row r="11" spans="2:2" ht="15.75" customHeight="1">
      <c r="B11" s="204"/>
    </row>
    <row r="12" spans="2:2" ht="15.75" customHeight="1">
      <c r="B12" s="204"/>
    </row>
    <row r="13" spans="2:2" ht="15.75" customHeight="1">
      <c r="B13" s="204"/>
    </row>
    <row r="14" spans="2:2" ht="15.75" customHeight="1">
      <c r="B14" s="204"/>
    </row>
    <row r="15" spans="2:2" ht="15.6" customHeight="1">
      <c r="B15" s="204"/>
    </row>
    <row r="16" spans="2:2" ht="15.6" customHeight="1">
      <c r="B16" s="204"/>
    </row>
    <row r="17" spans="2:14" ht="15.6" customHeight="1">
      <c r="B17" s="204"/>
    </row>
    <row r="18" spans="2:14" ht="15.6" customHeight="1">
      <c r="B18" s="204"/>
    </row>
    <row r="19" spans="2:14" ht="15.6" customHeight="1">
      <c r="B19" s="204"/>
    </row>
    <row r="20" spans="2:14" ht="15.6" customHeight="1">
      <c r="B20" s="204"/>
    </row>
    <row r="21" spans="2:14" ht="15.6" customHeight="1">
      <c r="B21" s="204"/>
    </row>
    <row r="22" spans="2:14" ht="15.6" customHeight="1">
      <c r="B22" s="204"/>
    </row>
    <row r="23" spans="2:14" ht="15.6" customHeight="1">
      <c r="B23" s="204"/>
    </row>
    <row r="24" spans="2:14" ht="15.6" customHeight="1">
      <c r="B24" s="204"/>
    </row>
    <row r="25" spans="2:14" ht="15.75" customHeight="1">
      <c r="B25" s="204"/>
    </row>
    <row r="26" spans="2:14" ht="15.75" customHeight="1">
      <c r="B26" s="204"/>
    </row>
    <row r="27" spans="2:14" ht="15.75" customHeight="1">
      <c r="B27" s="204"/>
    </row>
    <row r="28" spans="2:14" ht="15.75" customHeight="1">
      <c r="B28" s="204"/>
    </row>
    <row r="29" spans="2:14" ht="15.75" customHeight="1">
      <c r="B29" s="204"/>
    </row>
    <row r="30" spans="2:14" ht="15.75" customHeight="1">
      <c r="B30" s="204"/>
    </row>
    <row r="31" spans="2:14" ht="15.75" customHeight="1">
      <c r="B31" s="204"/>
    </row>
    <row r="32" spans="2:14" ht="15.75" customHeight="1">
      <c r="B32" s="204"/>
      <c r="N32" s="190">
        <f>COUNTA(N33:N7032)</f>
        <v>20</v>
      </c>
    </row>
    <row r="33" spans="2:27" ht="15.75" customHeight="1">
      <c r="B33" s="204"/>
    </row>
    <row r="34" spans="2:27" ht="15.75" customHeight="1">
      <c r="B34" s="204"/>
    </row>
    <row r="35" spans="2:27" ht="15.75" customHeight="1">
      <c r="B35" s="204"/>
    </row>
    <row r="36" spans="2:27" ht="17.399999999999999">
      <c r="B36" s="470"/>
      <c r="G36" s="28">
        <f>Расчет!$F$2</f>
        <v>45017</v>
      </c>
      <c r="H36" s="28">
        <f>Расчет!$H$2</f>
        <v>45444</v>
      </c>
      <c r="I36" s="374">
        <v>45657</v>
      </c>
      <c r="J36" s="300"/>
      <c r="L36" s="192">
        <f ca="1">TODAY()</f>
        <v>46038</v>
      </c>
      <c r="P36" s="756" t="s">
        <v>36</v>
      </c>
      <c r="Q36" s="757" t="s">
        <v>37</v>
      </c>
      <c r="R36" s="758" t="s">
        <v>38</v>
      </c>
    </row>
    <row r="37" spans="2:27" ht="41.25" customHeight="1">
      <c r="B37" s="193" t="s">
        <v>317</v>
      </c>
      <c r="C37" s="471" t="s">
        <v>79</v>
      </c>
      <c r="D37" s="472" t="s">
        <v>11</v>
      </c>
      <c r="E37" s="473" t="s">
        <v>10</v>
      </c>
      <c r="F37" s="474" t="s">
        <v>9</v>
      </c>
      <c r="G37" s="313" t="s">
        <v>318</v>
      </c>
      <c r="H37" s="314" t="s">
        <v>318</v>
      </c>
      <c r="I37" s="314" t="s">
        <v>318</v>
      </c>
      <c r="J37" s="200">
        <v>2026</v>
      </c>
      <c r="K37" s="200" t="s">
        <v>84</v>
      </c>
      <c r="L37" s="475" t="s">
        <v>33</v>
      </c>
      <c r="P37" s="756"/>
      <c r="Q37" s="757"/>
      <c r="R37" s="758"/>
    </row>
    <row r="38" spans="2:27" ht="15.75" customHeight="1">
      <c r="B38" s="206" t="str">
        <f>B59</f>
        <v>Аномалии и события (Хранение информации о событиях)</v>
      </c>
      <c r="C38" s="476" t="str">
        <f>C59</f>
        <v>А</v>
      </c>
      <c r="D38" s="208">
        <f t="shared" ref="D38:L38" si="0">AVERAGE(D60:D60)</f>
        <v>5</v>
      </c>
      <c r="E38" s="209">
        <f t="shared" si="0"/>
        <v>5</v>
      </c>
      <c r="F38" s="210">
        <f t="shared" si="0"/>
        <v>0</v>
      </c>
      <c r="G38" s="61" t="e">
        <f t="shared" si="0"/>
        <v>#DIV/0!</v>
      </c>
      <c r="H38" s="61" t="e">
        <f t="shared" si="0"/>
        <v>#DIV/0!</v>
      </c>
      <c r="I38" s="213" t="e">
        <f>AVERAGE(I60:I60)</f>
        <v>#DIV/0!</v>
      </c>
      <c r="J38" s="61" t="e">
        <f>AVERAGE(J60:J60)</f>
        <v>#DIV/0!</v>
      </c>
      <c r="K38" s="61">
        <f t="shared" si="0"/>
        <v>5</v>
      </c>
      <c r="L38" s="213">
        <f t="shared" si="0"/>
        <v>0</v>
      </c>
      <c r="M38">
        <f t="shared" ref="M38:M66" si="1">L38-K38</f>
        <v>-5</v>
      </c>
      <c r="P38" s="477">
        <f>AVERAGE(P60:P60)</f>
        <v>0</v>
      </c>
      <c r="Q38" s="478">
        <f>AVERAGE(Q60:Q60)</f>
        <v>0</v>
      </c>
      <c r="R38" s="479"/>
    </row>
    <row r="39" spans="2:27" ht="15.75" customHeight="1">
      <c r="B39" s="218" t="str">
        <f>B45</f>
        <v>SIEM (внедрение системы как СЗИ)</v>
      </c>
      <c r="C39" s="204" t="str">
        <f>C45</f>
        <v>SIEM</v>
      </c>
      <c r="D39" s="220">
        <f t="shared" ref="D39:L39" si="2">AVERAGE(D46:D58)</f>
        <v>4.9038461538461542</v>
      </c>
      <c r="E39" s="221">
        <f t="shared" si="2"/>
        <v>3.523076923076923</v>
      </c>
      <c r="F39" s="222">
        <f>AVERAGE(F46:F58)</f>
        <v>0</v>
      </c>
      <c r="G39" s="50" t="e">
        <f t="shared" si="2"/>
        <v>#DIV/0!</v>
      </c>
      <c r="H39" s="50" t="e">
        <f t="shared" si="2"/>
        <v>#DIV/0!</v>
      </c>
      <c r="I39" s="225" t="e">
        <f>AVERAGE(I46:I58)</f>
        <v>#DIV/0!</v>
      </c>
      <c r="J39" s="50" t="e">
        <f>AVERAGE(J46:J58)</f>
        <v>#DIV/0!</v>
      </c>
      <c r="K39" s="50">
        <f t="shared" si="2"/>
        <v>4.9038461538461542</v>
      </c>
      <c r="L39" s="225">
        <f t="shared" si="2"/>
        <v>0</v>
      </c>
      <c r="M39">
        <f t="shared" si="1"/>
        <v>-4.9038461538461542</v>
      </c>
      <c r="P39" s="477">
        <f>P46*P47*(AVERAGE(P48,P49,P50,P51,P52,P53,P55,P54,P56,P57,P58))</f>
        <v>0</v>
      </c>
      <c r="Q39" s="478">
        <f>Q46*Q47*(AVERAGE(Q48,Q49,Q50,Q51,Q52,Q53,Q55,Q54,Q56,Q57,Q58))</f>
        <v>0</v>
      </c>
      <c r="R39" s="479"/>
    </row>
    <row r="40" spans="2:27" ht="15.75" customHeight="1">
      <c r="B40" s="480" t="str">
        <f>B61</f>
        <v>Мониторинг - Процессы</v>
      </c>
      <c r="C40" s="481" t="str">
        <f>C61</f>
        <v>ПР</v>
      </c>
      <c r="D40" s="235">
        <f>AVERAGE(D62:D66)</f>
        <v>4</v>
      </c>
      <c r="E40" s="236">
        <f>AVERAGE(E62:E66)</f>
        <v>2.6</v>
      </c>
      <c r="F40" s="237">
        <f>AVERAGE(F62:F66)</f>
        <v>0</v>
      </c>
      <c r="G40" s="238" t="e">
        <f>AVERAGE(G62:G67)</f>
        <v>#DIV/0!</v>
      </c>
      <c r="H40" s="238" t="e">
        <f>AVERAGE(H62:H67)</f>
        <v>#DIV/0!</v>
      </c>
      <c r="I40" s="241" t="e">
        <f>AVERAGE(I62:I67)</f>
        <v>#DIV/0!</v>
      </c>
      <c r="J40" s="238" t="e">
        <f>AVERAGE(J62:J67)</f>
        <v>#DIV/0!</v>
      </c>
      <c r="K40" s="238">
        <f>AVERAGE(K62:K66)</f>
        <v>4</v>
      </c>
      <c r="L40" s="241">
        <f>AVERAGE(L62:L66)</f>
        <v>0</v>
      </c>
      <c r="M40">
        <f t="shared" si="1"/>
        <v>-4</v>
      </c>
      <c r="P40" s="477">
        <f>AVERAGE(P62:P66)</f>
        <v>0</v>
      </c>
      <c r="Q40" s="478">
        <f>AVERAGE(Q62:Q66)</f>
        <v>0</v>
      </c>
      <c r="R40" s="479"/>
    </row>
    <row r="41" spans="2:27" ht="15.75" customHeight="1">
      <c r="D41" s="300"/>
      <c r="E41" s="300"/>
      <c r="F41" s="300"/>
      <c r="H41" s="50"/>
      <c r="I41" s="50"/>
      <c r="J41" s="50"/>
      <c r="K41" s="50"/>
      <c r="L41" s="50"/>
    </row>
    <row r="42" spans="2:27" ht="15.75" customHeight="1">
      <c r="D42" s="300"/>
      <c r="E42" s="300"/>
      <c r="F42" s="300"/>
      <c r="H42" s="50"/>
      <c r="I42" s="50"/>
      <c r="J42" s="50"/>
      <c r="K42" s="50"/>
      <c r="L42" s="50"/>
    </row>
    <row r="43" spans="2:27" ht="15.75" customHeight="1">
      <c r="D43" s="300"/>
      <c r="E43" s="300"/>
      <c r="F43" s="300"/>
      <c r="H43" s="50"/>
      <c r="I43" s="50"/>
      <c r="J43" s="50"/>
      <c r="K43" s="50"/>
      <c r="L43" s="50"/>
    </row>
    <row r="44" spans="2:27" ht="15.75" customHeight="1">
      <c r="B44" s="204"/>
      <c r="K44" s="392"/>
      <c r="M44" s="243" t="s">
        <v>515</v>
      </c>
      <c r="N44" s="482" t="s">
        <v>324</v>
      </c>
      <c r="O44" s="483" t="s">
        <v>325</v>
      </c>
      <c r="P44" s="484"/>
      <c r="Q44" s="484"/>
      <c r="R44" s="484"/>
      <c r="S44" s="243">
        <v>1</v>
      </c>
      <c r="T44" s="294" t="s">
        <v>239</v>
      </c>
      <c r="U44" s="268" t="s">
        <v>1315</v>
      </c>
      <c r="V44" s="485"/>
      <c r="W44" s="294" t="s">
        <v>239</v>
      </c>
      <c r="X44" s="268" t="s">
        <v>1316</v>
      </c>
      <c r="Y44" s="485"/>
      <c r="Z44" s="294" t="s">
        <v>239</v>
      </c>
      <c r="AA44" s="268" t="s">
        <v>1317</v>
      </c>
    </row>
    <row r="45" spans="2:27" ht="15.75" customHeight="1">
      <c r="B45" s="305" t="s">
        <v>818</v>
      </c>
      <c r="C45" s="486" t="s">
        <v>239</v>
      </c>
      <c r="D45" s="294"/>
      <c r="E45" s="294"/>
      <c r="F45" s="294"/>
      <c r="G45" s="486"/>
      <c r="H45" s="294"/>
      <c r="I45" s="294"/>
      <c r="J45" s="294"/>
      <c r="K45" s="294"/>
      <c r="L45" s="294"/>
      <c r="M45" s="294"/>
      <c r="N45" s="295"/>
      <c r="O45" s="295"/>
      <c r="P45" s="294"/>
      <c r="Q45" s="294"/>
      <c r="R45" s="294"/>
      <c r="S45" s="247">
        <f>VLOOKUP(B45,Приоритет!$G$9:$K$52,5,0)</f>
        <v>6</v>
      </c>
      <c r="T45" s="487" t="s">
        <v>326</v>
      </c>
      <c r="U45" s="487"/>
      <c r="V45" s="247">
        <f>S45+200</f>
        <v>206</v>
      </c>
      <c r="W45" s="487" t="s">
        <v>327</v>
      </c>
      <c r="X45" s="487"/>
      <c r="Y45" s="247">
        <f>V45+100</f>
        <v>306</v>
      </c>
      <c r="Z45" s="487" t="s">
        <v>328</v>
      </c>
      <c r="AA45" s="487"/>
    </row>
    <row r="46" spans="2:27" ht="92.85" customHeight="1" outlineLevel="1">
      <c r="B46" s="254" t="s">
        <v>819</v>
      </c>
      <c r="C46" s="368" t="s">
        <v>820</v>
      </c>
      <c r="D46" s="256">
        <v>5</v>
      </c>
      <c r="E46" s="257">
        <v>4.5</v>
      </c>
      <c r="F46" s="258">
        <v>0</v>
      </c>
      <c r="G46" s="128"/>
      <c r="H46" s="128"/>
      <c r="I46" s="405"/>
      <c r="J46" s="259"/>
      <c r="K46" s="260">
        <f t="shared" ref="K46:K66" si="3">IF(ЦУКБ="КБ 1",F46, IF(ЦУКБ="КБ 2",E46,D46))</f>
        <v>5</v>
      </c>
      <c r="L46" s="405">
        <f>IF((СК="Да"), D46, N46/(100%)*5)</f>
        <v>0</v>
      </c>
      <c r="M46">
        <f t="shared" si="1"/>
        <v>-5</v>
      </c>
      <c r="N46" s="291">
        <v>0</v>
      </c>
      <c r="O46" s="216" t="str">
        <f t="shared" ref="O46:O57" si="4">IF((СК="Да"),"Зона ответственности Сервисной компании", "")</f>
        <v/>
      </c>
      <c r="P46" s="262">
        <f t="shared" ref="P46:Q66" si="5">IFERROR(IF($L46&gt;D46,1,$L46/D46),0)</f>
        <v>0</v>
      </c>
      <c r="Q46" s="262">
        <f t="shared" si="5"/>
        <v>0</v>
      </c>
      <c r="R46" s="262"/>
      <c r="S46" s="263">
        <f t="shared" ref="S46:S58" si="6">S45+0.01</f>
        <v>6.01</v>
      </c>
      <c r="T46" s="264" t="str">
        <f>IF(($L46-$F46)&gt;=0,"",
" - Организовать мониторинг событий в журналах ОС и прикладного ПО;"&amp;"
   - Использовать для мониторинга имеющиеся средства (журналы, zabbix и т.п). Определить их состав, возможности, степень утилизации, достаточность для текущих задач ИБ.")</f>
        <v/>
      </c>
      <c r="U46" s="264"/>
      <c r="V46" s="263">
        <f t="shared" ref="V46:V58" si="7">V45+0.01</f>
        <v>206.01</v>
      </c>
      <c r="W46" s="264" t="str">
        <f>IF(($L46-$E46)&gt;=0,"",
" - Создать подразделение мониторинга (SOC);
  - Приобрести лицензии SIEM не менее чем на 50% парка серверов, сетевого оборудования и не менее 10% АРМ;"&amp;"
  - Создать инфраструктуру мониторинга")</f>
        <v xml:space="preserve"> - Создать подразделение мониторинга (SOC);
  - Приобрести лицензии SIEM не менее чем на 50% парка серверов, сетевого оборудования и не менее 10% АРМ;
  - Создать инфраструктуру мониторинга</v>
      </c>
      <c r="X46" s="264" t="s">
        <v>240</v>
      </c>
      <c r="Y46" s="263">
        <f t="shared" ref="Y46:Y58" si="8">Y45+0.01</f>
        <v>306.01</v>
      </c>
      <c r="Z46" s="264" t="str">
        <f>IF(($L46-$D46)&gt;=0,""," - Приобрести лицензии SIEM, достаточные для полного покрытия мониторингом всех ИА.")</f>
        <v xml:space="preserve"> - Приобрести лицензии SIEM, достаточные для полного покрытия мониторингом всех ИА.</v>
      </c>
      <c r="AA46" s="264" t="s">
        <v>287</v>
      </c>
    </row>
    <row r="47" spans="2:27" ht="92.85" customHeight="1" outlineLevel="1">
      <c r="B47" s="287" t="s">
        <v>821</v>
      </c>
      <c r="C47" s="368" t="s">
        <v>822</v>
      </c>
      <c r="D47" s="256">
        <v>4.75</v>
      </c>
      <c r="E47" s="257">
        <v>4.5</v>
      </c>
      <c r="F47" s="258">
        <v>0</v>
      </c>
      <c r="G47" s="128"/>
      <c r="H47" s="128"/>
      <c r="I47" s="405"/>
      <c r="J47" s="259"/>
      <c r="K47" s="260">
        <f t="shared" si="3"/>
        <v>4.75</v>
      </c>
      <c r="L47" s="405">
        <f>IF((СК="Да"), D47, N47/(100%)*5)</f>
        <v>0</v>
      </c>
      <c r="M47">
        <f t="shared" si="1"/>
        <v>-4.75</v>
      </c>
      <c r="N47" s="291">
        <v>0</v>
      </c>
      <c r="O47" s="216" t="str">
        <f t="shared" si="4"/>
        <v/>
      </c>
      <c r="P47" s="262">
        <f t="shared" si="5"/>
        <v>0</v>
      </c>
      <c r="Q47" s="262">
        <f t="shared" si="5"/>
        <v>0</v>
      </c>
      <c r="R47" s="262"/>
      <c r="S47" s="263">
        <f t="shared" si="6"/>
        <v>6.02</v>
      </c>
      <c r="T47" s="264" t="str">
        <f>IF(($L47-$F47)&gt;=0,"",
" - Организовать регулярный мониторинг событий ИБ с использованием имеющихся средств.")</f>
        <v/>
      </c>
      <c r="U47" s="264"/>
      <c r="V47" s="263">
        <f t="shared" si="7"/>
        <v>206.01999999999998</v>
      </c>
      <c r="W47" s="264" t="str">
        <f>IF(($L47-$E47)&gt;=0,"",
" - Подключить к SIEM все критичные ИС, публичные ИС, критичное сетевое оборудование;
   - Подключить к SIEM не менее 50% серверов, сетевого оборудования, не менее 10% АРМ")</f>
        <v xml:space="preserve"> - Подключить к SIEM все критичные ИС, публичные ИС, критичное сетевое оборудование;
   - Подключить к SIEM не менее 50% серверов, сетевого оборудования, не менее 10% АРМ</v>
      </c>
      <c r="X47" s="264" t="s">
        <v>241</v>
      </c>
      <c r="Y47" s="263">
        <f t="shared" si="8"/>
        <v>306.02</v>
      </c>
      <c r="Z47" s="264" t="str">
        <f>IF(($L47-$D47)&gt;=0,""," - Подключить к SIEM 100% серверов, сетевого оборудования, 100% АРМ")</f>
        <v xml:space="preserve"> - Подключить к SIEM 100% серверов, сетевого оборудования, 100% АРМ</v>
      </c>
      <c r="AA47" s="264" t="s">
        <v>241</v>
      </c>
    </row>
    <row r="48" spans="2:27" ht="95.85" customHeight="1" outlineLevel="1">
      <c r="B48" s="254" t="s">
        <v>823</v>
      </c>
      <c r="C48" s="368" t="s">
        <v>824</v>
      </c>
      <c r="D48" s="256">
        <v>5</v>
      </c>
      <c r="E48" s="257">
        <v>3.2</v>
      </c>
      <c r="F48" s="258">
        <v>0</v>
      </c>
      <c r="G48" s="128"/>
      <c r="H48" s="128"/>
      <c r="I48" s="128"/>
      <c r="J48" s="259"/>
      <c r="K48" s="260">
        <f t="shared" si="3"/>
        <v>5</v>
      </c>
      <c r="L48" s="290">
        <f t="shared" ref="L48:L57" si="9">IF((СК="Да"),D48,VALUE(LEFT(N48,3)))</f>
        <v>0</v>
      </c>
      <c r="M48">
        <f t="shared" si="1"/>
        <v>-5</v>
      </c>
      <c r="N48" s="488" t="s">
        <v>331</v>
      </c>
      <c r="O48" s="216"/>
      <c r="P48" s="262">
        <f t="shared" si="5"/>
        <v>0</v>
      </c>
      <c r="Q48" s="262">
        <f t="shared" si="5"/>
        <v>0</v>
      </c>
      <c r="R48" s="262"/>
      <c r="S48" s="263">
        <f t="shared" si="6"/>
        <v>6.0299999999999994</v>
      </c>
      <c r="T48" s="264" t="str">
        <f>IF(($L48-$F48)&gt;=0,"",
" - Организовать мониторинг событий в журналах ОС и прикладного ПО;"&amp;"
   - Использовать для мониторинга имеющиеся средства (журналы, zabbix и т.п). Определить их состав, возможности, степень утилизации, достаточность для текущих задач ИБ.")</f>
        <v/>
      </c>
      <c r="U48" s="264"/>
      <c r="V48" s="263">
        <f t="shared" si="7"/>
        <v>206.02999999999997</v>
      </c>
      <c r="W48" s="264" t="str">
        <f>IF(($L48-$E48)&gt;=0,"",
"  -  Разработать решающие правила, учитывающие особенности инфраструктуры Общества")</f>
        <v xml:space="preserve">  -  Разработать решающие правила, учитывающие особенности инфраструктуры Общества</v>
      </c>
      <c r="X48" s="264" t="s">
        <v>242</v>
      </c>
      <c r="Y48" s="263">
        <f t="shared" si="8"/>
        <v>306.02999999999997</v>
      </c>
      <c r="Z48" s="264" t="str">
        <f>IF(($L48-$D48)&gt;=0,""," - Проводить анализ эффективности решающих правил;
 - Реализовать процесс разработки решающих правил;
 -  Проводить доработку решающих правил с учетом произошедших инцидентов")</f>
        <v xml:space="preserve"> - Проводить анализ эффективности решающих правил;
 - Реализовать процесс разработки решающих правил;
 -  Проводить доработку решающих правил с учетом произошедших инцидентов</v>
      </c>
      <c r="AA48" s="264" t="s">
        <v>288</v>
      </c>
    </row>
    <row r="49" spans="2:27" ht="121.35" customHeight="1" outlineLevel="1">
      <c r="B49" s="254" t="s">
        <v>825</v>
      </c>
      <c r="C49" s="368" t="s">
        <v>826</v>
      </c>
      <c r="D49" s="256">
        <v>5</v>
      </c>
      <c r="E49" s="257">
        <v>3.2</v>
      </c>
      <c r="F49" s="258">
        <v>0</v>
      </c>
      <c r="G49" s="128"/>
      <c r="H49" s="128"/>
      <c r="I49" s="128"/>
      <c r="J49" s="259"/>
      <c r="K49" s="260">
        <f t="shared" si="3"/>
        <v>5</v>
      </c>
      <c r="L49" s="290">
        <f t="shared" si="9"/>
        <v>0</v>
      </c>
      <c r="M49">
        <f t="shared" si="1"/>
        <v>-5</v>
      </c>
      <c r="N49" s="261" t="s">
        <v>349</v>
      </c>
      <c r="O49" s="216" t="str">
        <f t="shared" si="4"/>
        <v/>
      </c>
      <c r="P49" s="262">
        <f t="shared" si="5"/>
        <v>0</v>
      </c>
      <c r="Q49" s="262">
        <f t="shared" si="5"/>
        <v>0</v>
      </c>
      <c r="R49" s="262"/>
      <c r="S49" s="263">
        <f t="shared" si="6"/>
        <v>6.0399999999999991</v>
      </c>
      <c r="T49" s="264" t="str">
        <f t="shared" ref="T49:T55" si="10">IF(($L49-$F49)&gt;=0,"",)</f>
        <v/>
      </c>
      <c r="U49" s="264"/>
      <c r="V49" s="263">
        <f t="shared" si="7"/>
        <v>206.03999999999996</v>
      </c>
      <c r="W49" s="264" t="str">
        <f>IF(($L49-$E49)&gt;=0,"","Определить источники SIEM для систем Mission Critical и Business Critical
Определен состав событий
Система логов подключена к SIEM
Для критичных событий определены правила кореляции"&amp;"
Проведена проверка подключения источников и сбора логов
Определена процедура действий в случае потери связи с источником либо отсутствия событий
Информация актуализируется не реже 1 раза в год")</f>
        <v>Определить источники SIEM для систем Mission Critical и Business Critical
Определен состав событий
Система логов подключена к SIEM
Для критичных событий определены правила кореляции
Проведена проверка подключения источников и сбора логов
Определена процедура действий в случае потери связи с источником либо отсутствия событий
Информация актуализируется не реже 1 раза в год</v>
      </c>
      <c r="X49" s="264" t="s">
        <v>1293</v>
      </c>
      <c r="Y49" s="263">
        <f t="shared" si="8"/>
        <v>306.03999999999996</v>
      </c>
      <c r="Z49" s="264" t="str">
        <f>IF(($L49-$D49)&gt;=0,"","Определить источники SIEM для всех систем
Определен состав событий
Система логов подключена к SIEM
Для критичных событий определены правила кореляции"&amp;"
Проведена проверка подключения источников и сбора логов
Определена процедура действий в случае потери связи с источником либо отсутствия событий
Информация актуализируется не реже 1 раза в год")</f>
        <v>Определить источники SIEM для всех систем
Определен состав событий
Система логов подключена к SIEM
Для критичных событий определены правила кореляции
Проведена проверка подключения источников и сбора логов
Определена процедура действий в случае потери связи с источником либо отсутствия событий
Информация актуализируется не реже 1 раза в год</v>
      </c>
      <c r="AA49" s="264" t="s">
        <v>1293</v>
      </c>
    </row>
    <row r="50" spans="2:27" ht="86.85" customHeight="1" outlineLevel="1">
      <c r="B50" s="254" t="s">
        <v>827</v>
      </c>
      <c r="C50" s="368" t="s">
        <v>828</v>
      </c>
      <c r="D50" s="256">
        <v>5</v>
      </c>
      <c r="E50" s="257">
        <v>3.2</v>
      </c>
      <c r="F50" s="258">
        <v>0</v>
      </c>
      <c r="G50" s="128"/>
      <c r="H50" s="128"/>
      <c r="I50" s="128"/>
      <c r="J50" s="259"/>
      <c r="K50" s="260">
        <f t="shared" si="3"/>
        <v>5</v>
      </c>
      <c r="L50" s="290">
        <f t="shared" si="9"/>
        <v>0</v>
      </c>
      <c r="M50">
        <f t="shared" si="1"/>
        <v>-5</v>
      </c>
      <c r="N50" s="261" t="s">
        <v>349</v>
      </c>
      <c r="O50" s="216" t="str">
        <f t="shared" si="4"/>
        <v/>
      </c>
      <c r="P50" s="262">
        <f t="shared" si="5"/>
        <v>0</v>
      </c>
      <c r="Q50" s="262">
        <f t="shared" si="5"/>
        <v>0</v>
      </c>
      <c r="R50" s="262"/>
      <c r="S50" s="263">
        <f t="shared" si="6"/>
        <v>6.0499999999999989</v>
      </c>
      <c r="T50" s="264" t="str">
        <f t="shared" si="10"/>
        <v/>
      </c>
      <c r="U50" s="264"/>
      <c r="V50" s="263">
        <f t="shared" si="7"/>
        <v>206.04999999999995</v>
      </c>
      <c r="W50" s="264" t="str">
        <f>IF(($L50-$E50)&gt;=0,"",
" - Получить в Блоке ИБ ПАО Ростелеком ТТР и реализовать рекомендуемые решения (в ограниченном объеме с учетом возможностей организации на уровне КБ2)")</f>
        <v xml:space="preserve"> - Получить в Блоке ИБ ПАО Ростелеком ТТР и реализовать рекомендуемые решения (в ограниченном объеме с учетом возможностей организации на уровне КБ2)</v>
      </c>
      <c r="X50" s="264" t="s">
        <v>242</v>
      </c>
      <c r="Y50" s="263">
        <f t="shared" si="8"/>
        <v>306.04999999999995</v>
      </c>
      <c r="Z50" s="264" t="str">
        <f>IF(($L50-$D50)&gt;=0,""," - Получить от Блока ИБ ТТР и реализовать рекомендуемые решения (в полном объеме)")</f>
        <v xml:space="preserve"> - Получить от Блока ИБ ТТР и реализовать рекомендуемые решения (в полном объеме)</v>
      </c>
      <c r="AA50" s="264" t="s">
        <v>242</v>
      </c>
    </row>
    <row r="51" spans="2:27" ht="50.1" customHeight="1" outlineLevel="1">
      <c r="B51" s="287" t="s">
        <v>829</v>
      </c>
      <c r="C51" s="368" t="s">
        <v>830</v>
      </c>
      <c r="D51" s="256">
        <v>5</v>
      </c>
      <c r="E51" s="257">
        <v>3.2</v>
      </c>
      <c r="F51" s="258">
        <v>0</v>
      </c>
      <c r="G51" s="128"/>
      <c r="H51" s="128"/>
      <c r="I51" s="128"/>
      <c r="J51" s="259"/>
      <c r="K51" s="260">
        <f t="shared" si="3"/>
        <v>5</v>
      </c>
      <c r="L51" s="290">
        <f t="shared" si="9"/>
        <v>0</v>
      </c>
      <c r="M51">
        <f t="shared" si="1"/>
        <v>-5</v>
      </c>
      <c r="N51" s="261" t="s">
        <v>349</v>
      </c>
      <c r="O51" s="216" t="str">
        <f t="shared" si="4"/>
        <v/>
      </c>
      <c r="P51" s="262">
        <f t="shared" si="5"/>
        <v>0</v>
      </c>
      <c r="Q51" s="262">
        <f t="shared" si="5"/>
        <v>0</v>
      </c>
      <c r="R51" s="262"/>
      <c r="S51" s="263">
        <f t="shared" si="6"/>
        <v>6.0599999999999987</v>
      </c>
      <c r="T51" s="264" t="str">
        <f t="shared" si="10"/>
        <v/>
      </c>
      <c r="U51" s="264"/>
      <c r="V51" s="263">
        <f t="shared" si="7"/>
        <v>206.05999999999995</v>
      </c>
      <c r="W51" s="264" t="str">
        <f>IF(($L51-$E51)&gt;=0,"",
" - Подключить к SIEM сетевые устройства: не менее 50%. Разработать решающие правила для сетевых событий.")</f>
        <v xml:space="preserve"> - Подключить к SIEM сетевые устройства: не менее 50%. Разработать решающие правила для сетевых событий.</v>
      </c>
      <c r="X51" s="264" t="s">
        <v>242</v>
      </c>
      <c r="Y51" s="263">
        <f t="shared" si="8"/>
        <v>306.05999999999995</v>
      </c>
      <c r="Z51" s="264" t="str">
        <f>IF(($L51-$D51)&gt;=0,""," - Подключить к SIEM сетевые устройства: 100%. Оценивать и дорабатывать решающие правила для сетевых событий.")</f>
        <v xml:space="preserve"> - Подключить к SIEM сетевые устройства: 100%. Оценивать и дорабатывать решающие правила для сетевых событий.</v>
      </c>
      <c r="AA51" s="264" t="s">
        <v>242</v>
      </c>
    </row>
    <row r="52" spans="2:27" ht="51.6" customHeight="1" outlineLevel="1">
      <c r="B52" s="287" t="s">
        <v>831</v>
      </c>
      <c r="C52" s="368" t="s">
        <v>832</v>
      </c>
      <c r="D52" s="256">
        <v>5</v>
      </c>
      <c r="E52" s="257">
        <v>3.2</v>
      </c>
      <c r="F52" s="258">
        <v>0</v>
      </c>
      <c r="G52" s="128"/>
      <c r="H52" s="128"/>
      <c r="I52" s="128"/>
      <c r="J52" s="259"/>
      <c r="K52" s="260">
        <f t="shared" si="3"/>
        <v>5</v>
      </c>
      <c r="L52" s="290">
        <f t="shared" si="9"/>
        <v>0</v>
      </c>
      <c r="M52">
        <f t="shared" si="1"/>
        <v>-5</v>
      </c>
      <c r="N52" s="261" t="s">
        <v>349</v>
      </c>
      <c r="O52" s="216" t="str">
        <f t="shared" si="4"/>
        <v/>
      </c>
      <c r="P52" s="262">
        <f t="shared" si="5"/>
        <v>0</v>
      </c>
      <c r="Q52" s="262">
        <f t="shared" si="5"/>
        <v>0</v>
      </c>
      <c r="R52" s="262"/>
      <c r="S52" s="263">
        <f t="shared" si="6"/>
        <v>6.0699999999999985</v>
      </c>
      <c r="T52" s="264" t="str">
        <f t="shared" si="10"/>
        <v/>
      </c>
      <c r="U52" s="264"/>
      <c r="V52" s="263">
        <f t="shared" si="7"/>
        <v>206.06999999999994</v>
      </c>
      <c r="W52" s="264" t="str">
        <f>IF(($L52-$E52)&gt;=0,"",
" - Подключить к SIEM операц.системы: не менее 50%. Разработать решающие правила для ОС")</f>
        <v xml:space="preserve"> - Подключить к SIEM операц.системы: не менее 50%. Разработать решающие правила для ОС</v>
      </c>
      <c r="X52" s="264" t="s">
        <v>242</v>
      </c>
      <c r="Y52" s="263">
        <f t="shared" si="8"/>
        <v>306.06999999999994</v>
      </c>
      <c r="Z52" s="264" t="str">
        <f>IF(($L52-$D52)&gt;=0,""," - Подключить к SIEM операц.системы: не менее 100%. Разработать решающие правила для ОС")</f>
        <v xml:space="preserve"> - Подключить к SIEM операц.системы: не менее 100%. Разработать решающие правила для ОС</v>
      </c>
      <c r="AA52" s="264" t="s">
        <v>242</v>
      </c>
    </row>
    <row r="53" spans="2:27" ht="36" customHeight="1" outlineLevel="1">
      <c r="B53" s="287" t="s">
        <v>833</v>
      </c>
      <c r="C53" s="368" t="s">
        <v>834</v>
      </c>
      <c r="D53" s="256">
        <v>5</v>
      </c>
      <c r="E53" s="257">
        <v>3.2</v>
      </c>
      <c r="F53" s="258">
        <v>0</v>
      </c>
      <c r="G53" s="128"/>
      <c r="H53" s="128"/>
      <c r="I53" s="128"/>
      <c r="J53" s="259"/>
      <c r="K53" s="260">
        <f t="shared" si="3"/>
        <v>5</v>
      </c>
      <c r="L53" s="290">
        <f t="shared" si="9"/>
        <v>0</v>
      </c>
      <c r="M53">
        <f t="shared" si="1"/>
        <v>-5</v>
      </c>
      <c r="N53" s="261" t="s">
        <v>349</v>
      </c>
      <c r="O53" s="216" t="str">
        <f t="shared" si="4"/>
        <v/>
      </c>
      <c r="P53" s="262">
        <f t="shared" si="5"/>
        <v>0</v>
      </c>
      <c r="Q53" s="262">
        <f t="shared" si="5"/>
        <v>0</v>
      </c>
      <c r="R53" s="262"/>
      <c r="S53" s="263">
        <f t="shared" si="6"/>
        <v>6.0799999999999983</v>
      </c>
      <c r="T53" s="264" t="str">
        <f t="shared" si="10"/>
        <v/>
      </c>
      <c r="U53" s="264"/>
      <c r="V53" s="263">
        <f t="shared" si="7"/>
        <v>206.07999999999993</v>
      </c>
      <c r="W53" s="292" t="str">
        <f>IF(($L53-$E53)&gt;=0,"",
" - Подключить к SIEM СУБД: не менее 50%. Разработать решающие правила для СУБД")</f>
        <v xml:space="preserve"> - Подключить к SIEM СУБД: не менее 50%. Разработать решающие правила для СУБД</v>
      </c>
      <c r="X53" s="264" t="s">
        <v>242</v>
      </c>
      <c r="Y53" s="263">
        <f t="shared" si="8"/>
        <v>306.07999999999993</v>
      </c>
      <c r="Z53" s="292" t="str">
        <f>IF(($L53-$D53)&gt;=0,""," - Подключить к SIEM СУБД: не менее 100%. Разработать решающие правила для СУБД")</f>
        <v xml:space="preserve"> - Подключить к SIEM СУБД: не менее 100%. Разработать решающие правила для СУБД</v>
      </c>
      <c r="AA53" s="264" t="s">
        <v>242</v>
      </c>
    </row>
    <row r="54" spans="2:27" ht="33.6" customHeight="1" outlineLevel="1">
      <c r="B54" s="287" t="s">
        <v>835</v>
      </c>
      <c r="C54" s="368" t="s">
        <v>836</v>
      </c>
      <c r="D54" s="256">
        <v>5</v>
      </c>
      <c r="E54" s="257">
        <v>3.2</v>
      </c>
      <c r="F54" s="258">
        <v>0</v>
      </c>
      <c r="G54" s="128"/>
      <c r="H54" s="128"/>
      <c r="I54" s="128"/>
      <c r="J54" s="259"/>
      <c r="K54" s="260">
        <f t="shared" si="3"/>
        <v>5</v>
      </c>
      <c r="L54" s="290">
        <f t="shared" si="9"/>
        <v>0</v>
      </c>
      <c r="M54">
        <f t="shared" si="1"/>
        <v>-5</v>
      </c>
      <c r="N54" s="261" t="s">
        <v>349</v>
      </c>
      <c r="O54" s="216" t="str">
        <f t="shared" si="4"/>
        <v/>
      </c>
      <c r="P54" s="262">
        <f t="shared" si="5"/>
        <v>0</v>
      </c>
      <c r="Q54" s="262">
        <f t="shared" si="5"/>
        <v>0</v>
      </c>
      <c r="R54" s="262"/>
      <c r="S54" s="263">
        <f t="shared" si="6"/>
        <v>6.0899999999999981</v>
      </c>
      <c r="T54" s="264" t="str">
        <f t="shared" si="10"/>
        <v/>
      </c>
      <c r="U54" s="264"/>
      <c r="V54" s="263">
        <f t="shared" si="7"/>
        <v>206.08999999999992</v>
      </c>
      <c r="W54" s="292" t="str">
        <f>IF(($L54-$E54)&gt;=0,"",
" - Подключить к SIEM прикладные ИС: не менее 50%. Разработать решающие правила для прикладных ИС")</f>
        <v xml:space="preserve"> - Подключить к SIEM прикладные ИС: не менее 50%. Разработать решающие правила для прикладных ИС</v>
      </c>
      <c r="X54" s="264" t="s">
        <v>242</v>
      </c>
      <c r="Y54" s="263">
        <f t="shared" si="8"/>
        <v>306.08999999999992</v>
      </c>
      <c r="Z54" s="292" t="str">
        <f>IF(($L54-$D54)&gt;=0,""," - Подключить к SIEM прикладные ИС: не менее 100%. Разработать решающие правила для прикладных ИС")</f>
        <v xml:space="preserve"> - Подключить к SIEM прикладные ИС: не менее 100%. Разработать решающие правила для прикладных ИС</v>
      </c>
      <c r="AA54" s="264" t="s">
        <v>242</v>
      </c>
    </row>
    <row r="55" spans="2:27" ht="48" customHeight="1" outlineLevel="1">
      <c r="B55" s="287" t="s">
        <v>837</v>
      </c>
      <c r="C55" s="368" t="s">
        <v>838</v>
      </c>
      <c r="D55" s="256">
        <v>5</v>
      </c>
      <c r="E55" s="257">
        <v>3.2</v>
      </c>
      <c r="F55" s="258">
        <v>0</v>
      </c>
      <c r="G55" s="128"/>
      <c r="H55" s="128"/>
      <c r="I55" s="128"/>
      <c r="J55" s="259"/>
      <c r="K55" s="260">
        <f t="shared" si="3"/>
        <v>5</v>
      </c>
      <c r="L55" s="290">
        <f t="shared" si="9"/>
        <v>0</v>
      </c>
      <c r="M55">
        <f t="shared" si="1"/>
        <v>-5</v>
      </c>
      <c r="N55" s="261" t="s">
        <v>349</v>
      </c>
      <c r="O55" s="216" t="str">
        <f t="shared" si="4"/>
        <v/>
      </c>
      <c r="P55" s="262">
        <f t="shared" si="5"/>
        <v>0</v>
      </c>
      <c r="Q55" s="262">
        <f t="shared" si="5"/>
        <v>0</v>
      </c>
      <c r="R55" s="262"/>
      <c r="S55" s="267">
        <f t="shared" si="6"/>
        <v>6.0999999999999979</v>
      </c>
      <c r="T55" s="264" t="str">
        <f t="shared" si="10"/>
        <v/>
      </c>
      <c r="U55" s="264"/>
      <c r="V55" s="267">
        <f t="shared" si="7"/>
        <v>206.09999999999991</v>
      </c>
      <c r="W55" s="292" t="str">
        <f>IF(($L55-$E55)&gt;=0,"",
" - Подключить к SIEM СЗИ: не менее 50%. Разработать решающие правила для СЗИ")</f>
        <v xml:space="preserve"> - Подключить к SIEM СЗИ: не менее 50%. Разработать решающие правила для СЗИ</v>
      </c>
      <c r="X55" s="292" t="s">
        <v>242</v>
      </c>
      <c r="Y55" s="267">
        <f t="shared" si="8"/>
        <v>306.09999999999991</v>
      </c>
      <c r="Z55" s="292" t="str">
        <f>IF(($L55-$D55)&gt;=0,""," - Подключить к SIEM СЗИ: не менее 100%. Разработать решающие правила для СЗИ")</f>
        <v xml:space="preserve"> - Подключить к SIEM СЗИ: не менее 100%. Разработать решающие правила для СЗИ</v>
      </c>
      <c r="AA55" s="292" t="s">
        <v>242</v>
      </c>
    </row>
    <row r="56" spans="2:27" ht="117" customHeight="1" outlineLevel="1">
      <c r="B56" s="254" t="s">
        <v>839</v>
      </c>
      <c r="C56" s="368" t="s">
        <v>840</v>
      </c>
      <c r="D56" s="256">
        <v>5</v>
      </c>
      <c r="E56" s="257">
        <v>3.2</v>
      </c>
      <c r="F56" s="258">
        <v>0</v>
      </c>
      <c r="G56" s="128"/>
      <c r="H56" s="128"/>
      <c r="I56" s="128"/>
      <c r="J56" s="259"/>
      <c r="K56" s="260">
        <f t="shared" si="3"/>
        <v>5</v>
      </c>
      <c r="L56" s="290">
        <f t="shared" si="9"/>
        <v>0</v>
      </c>
      <c r="M56">
        <f t="shared" si="1"/>
        <v>-5</v>
      </c>
      <c r="N56" s="261" t="s">
        <v>349</v>
      </c>
      <c r="O56" s="216" t="str">
        <f t="shared" si="4"/>
        <v/>
      </c>
      <c r="P56" s="262">
        <f t="shared" si="5"/>
        <v>0</v>
      </c>
      <c r="Q56" s="262">
        <f t="shared" si="5"/>
        <v>0</v>
      </c>
      <c r="R56" s="262"/>
      <c r="S56" s="263">
        <f t="shared" si="6"/>
        <v>6.1099999999999977</v>
      </c>
      <c r="T56" s="264" t="str">
        <f>IF(($L56-$F56)&gt;=0,"",
" ")</f>
        <v/>
      </c>
      <c r="U56" s="264"/>
      <c r="V56" s="263">
        <f t="shared" si="7"/>
        <v>206.1099999999999</v>
      </c>
      <c r="W56" s="264" t="str">
        <f>IF(($L56-$E56)&gt;=0,"",
"  - Составить перчень привилегированных пользователей и групп;
  -  Разработать решающие правила SIEM для выявления действий привилегированных пользователей;"&amp;"
  -  Контролировать действия привилегированных пользователей в критичных ИС
")</f>
        <v xml:space="preserve">  - Составить перчень привилегированных пользователей и групп;
  -  Разработать решающие правила SIEM для выявления действий привилегированных пользователей;
  -  Контролировать действия привилегированных пользователей в критичных ИС
</v>
      </c>
      <c r="X56" s="264" t="s">
        <v>242</v>
      </c>
      <c r="Y56" s="263">
        <f t="shared" si="8"/>
        <v>306.1099999999999</v>
      </c>
      <c r="Z56" s="264" t="str">
        <f>IF(($L56-$D56)&gt;=0,""," - Подключить к SIEM в качестве источника СЗИ PAM
")</f>
        <v xml:space="preserve"> - Подключить к SIEM в качестве источника СЗИ PAM
</v>
      </c>
      <c r="AA56" s="264" t="s">
        <v>242</v>
      </c>
    </row>
    <row r="57" spans="2:27" ht="128.1" customHeight="1" outlineLevel="1">
      <c r="B57" s="287" t="s">
        <v>841</v>
      </c>
      <c r="C57" s="368" t="s">
        <v>842</v>
      </c>
      <c r="D57" s="256">
        <v>4</v>
      </c>
      <c r="E57" s="257">
        <v>3</v>
      </c>
      <c r="F57" s="258">
        <v>0</v>
      </c>
      <c r="G57" s="128"/>
      <c r="H57" s="128"/>
      <c r="I57" s="128"/>
      <c r="J57" s="259"/>
      <c r="K57" s="260">
        <f t="shared" si="3"/>
        <v>4</v>
      </c>
      <c r="L57" s="290">
        <f t="shared" si="9"/>
        <v>0</v>
      </c>
      <c r="M57">
        <f t="shared" si="1"/>
        <v>-4</v>
      </c>
      <c r="N57" s="261" t="s">
        <v>359</v>
      </c>
      <c r="O57" s="216" t="str">
        <f t="shared" si="4"/>
        <v/>
      </c>
      <c r="P57" s="262">
        <f t="shared" si="5"/>
        <v>0</v>
      </c>
      <c r="Q57" s="262">
        <f t="shared" si="5"/>
        <v>0</v>
      </c>
      <c r="R57" s="262"/>
      <c r="S57" s="263">
        <f t="shared" si="6"/>
        <v>6.1199999999999974</v>
      </c>
      <c r="T57" s="264" t="str">
        <f>IF(($L57-$F57)&gt;=0,"",)</f>
        <v/>
      </c>
      <c r="U57" s="264"/>
      <c r="V57" s="263">
        <f t="shared" si="7"/>
        <v>206.11999999999989</v>
      </c>
      <c r="W57" s="264" t="str">
        <f>IF(($L57-$E57)&gt;=0,"",
" - Организовать контроль непрерывности мониторинга;
  -  Обеспечить восстановление мониторинга при сбоях в срок не более чем 6 часов;"&amp;"
  -  Обеспечить сохранность данных об инцидентах в случае сбоев;
")</f>
        <v xml:space="preserve"> - Организовать контроль непрерывности мониторинга;
  -  Обеспечить восстановление мониторинга при сбоях в срок не более чем 6 часов;
  -  Обеспечить сохранность данных об инцидентах в случае сбоев;
</v>
      </c>
      <c r="X57" s="264" t="s">
        <v>243</v>
      </c>
      <c r="Y57" s="263">
        <f t="shared" si="8"/>
        <v>306.11999999999989</v>
      </c>
      <c r="Z57" s="264" t="str">
        <f>IF(($L57-$D57)&gt;=0,"","  -  Обеспечить переключение источников событий на резервный SIEM в случае сбоев.
- Обеспечить визуализация мониторинга работоспособности SIEM")</f>
        <v xml:space="preserve">  -  Обеспечить переключение источников событий на резервный SIEM в случае сбоев.
- Обеспечить визуализация мониторинга работоспособности SIEM</v>
      </c>
      <c r="AA57" s="264" t="s">
        <v>289</v>
      </c>
    </row>
    <row r="58" spans="2:27" ht="156" customHeight="1" outlineLevel="1">
      <c r="B58" s="287" t="s">
        <v>843</v>
      </c>
      <c r="C58" s="368" t="s">
        <v>844</v>
      </c>
      <c r="D58" s="256">
        <v>5</v>
      </c>
      <c r="E58" s="257">
        <v>5</v>
      </c>
      <c r="F58" s="258">
        <v>0</v>
      </c>
      <c r="G58" s="128"/>
      <c r="H58" s="128"/>
      <c r="I58" s="128"/>
      <c r="J58" s="259"/>
      <c r="K58" s="260">
        <f t="shared" si="3"/>
        <v>5</v>
      </c>
      <c r="L58" s="290">
        <f>IF((СК="Да"),3.2,VALUE(LEFT(N58,3)))</f>
        <v>0</v>
      </c>
      <c r="M58">
        <f t="shared" si="1"/>
        <v>-5</v>
      </c>
      <c r="N58" s="261" t="s">
        <v>417</v>
      </c>
      <c r="O58" s="216" t="str">
        <f>IF((СК="Да"),"Совместная зона ответственности ДЗО и Сервисной компании
(3,2 - при подключении к СК;
5 - при выполнении в ДЗО)", "")</f>
        <v/>
      </c>
      <c r="P58" s="262">
        <f t="shared" si="5"/>
        <v>0</v>
      </c>
      <c r="Q58" s="262">
        <f t="shared" si="5"/>
        <v>0</v>
      </c>
      <c r="R58" s="262"/>
      <c r="S58" s="263">
        <f t="shared" si="6"/>
        <v>6.1299999999999972</v>
      </c>
      <c r="T58" s="264" t="str">
        <f>IF(($L58-$F58)&gt;=0,"",
"")</f>
        <v/>
      </c>
      <c r="U58" s="264"/>
      <c r="V58" s="263">
        <f t="shared" si="7"/>
        <v>206.12999999999988</v>
      </c>
      <c r="W58" s="264" t="str">
        <f>IF(($L58-$E58)&gt;=0,"", "   -  Определить порядок взаимодействия с поставщиком при мониторинге (если поставщик предоставляет услугу мониторинга или самостоятельно ведет такой мониторинг) и обмена информацией об инцидентах."&amp;"
 - Разработать решающие правила  SIEM для контроля внешних услуг и подрядчиков;
 "&amp;"  -  Поставить на мониторинг SIEM поставщиков, имеющих доступ к внутренней инфраструктуре (например, внешняя техподдержка) и используемые ими средства (удаленный доступ, административные учетные записи, обслуживаемые ИС)")</f>
        <v xml:space="preserve">   -  Определить порядок взаимодействия с поставщиком при мониторинге (если поставщик предоставляет услугу мониторинга или самостоятельно ведет такой мониторинг) и обмена информацией об инцидентах.
 - Разработать решающие правила  SIEM для контроля внешних услуг и подрядчиков;
   -  Поставить на мониторинг SIEM поставщиков, имеющих доступ к внутренней инфраструктуре (например, внешняя техподдержка) и используемые ими средства (удаленный доступ, административные учетные записи, обслуживаемые ИС)</v>
      </c>
      <c r="X58" s="264" t="s">
        <v>244</v>
      </c>
      <c r="Y58" s="263">
        <f t="shared" si="8"/>
        <v>306.12999999999988</v>
      </c>
      <c r="Z58" s="264" t="str">
        <f>IF(($L58-$D58)&gt;=0,"","")</f>
        <v/>
      </c>
      <c r="AA58" s="264"/>
    </row>
    <row r="59" spans="2:27" ht="29.85" customHeight="1">
      <c r="B59" s="305" t="s">
        <v>845</v>
      </c>
      <c r="C59" s="486" t="s">
        <v>846</v>
      </c>
      <c r="D59" s="294"/>
      <c r="E59" s="294"/>
      <c r="F59" s="294"/>
      <c r="G59" s="486"/>
      <c r="H59" s="294"/>
      <c r="I59" s="294"/>
      <c r="J59" s="294"/>
      <c r="K59" s="294"/>
      <c r="L59" s="294"/>
      <c r="M59" s="294"/>
      <c r="N59" s="295"/>
      <c r="O59" s="295"/>
      <c r="P59" s="294"/>
      <c r="Q59" s="294"/>
      <c r="R59" s="294"/>
      <c r="S59" s="247">
        <f>VLOOKUP(B59,Приоритет!$G$9:$K$52,5,0)</f>
        <v>20</v>
      </c>
      <c r="T59" s="21" t="s">
        <v>261</v>
      </c>
      <c r="U59" s="21"/>
      <c r="V59" s="247">
        <f>S59+200</f>
        <v>220</v>
      </c>
      <c r="W59" s="21" t="s">
        <v>261</v>
      </c>
      <c r="X59" s="21"/>
      <c r="Y59" s="247">
        <f>V59+100</f>
        <v>320</v>
      </c>
      <c r="Z59" s="21" t="s">
        <v>261</v>
      </c>
      <c r="AA59" s="21"/>
    </row>
    <row r="60" spans="2:27" ht="69.599999999999994" customHeight="1" outlineLevel="1">
      <c r="B60" s="287" t="s">
        <v>847</v>
      </c>
      <c r="C60" s="300" t="s">
        <v>848</v>
      </c>
      <c r="D60" s="256">
        <v>5</v>
      </c>
      <c r="E60" s="257">
        <v>5</v>
      </c>
      <c r="F60" s="258">
        <v>0</v>
      </c>
      <c r="G60" s="128"/>
      <c r="H60" s="128"/>
      <c r="I60" s="128"/>
      <c r="J60" s="259"/>
      <c r="K60" s="260">
        <f t="shared" si="3"/>
        <v>5</v>
      </c>
      <c r="L60" s="290">
        <f>IF((СК="Да"),D60,VALUE(LEFT(N60,3)))</f>
        <v>0</v>
      </c>
      <c r="M60">
        <f t="shared" si="1"/>
        <v>-5</v>
      </c>
      <c r="N60" s="423" t="s">
        <v>349</v>
      </c>
      <c r="O60" s="216" t="str">
        <f>IF((СК="Да"),"Зона ответственности Сервисной компании", "")</f>
        <v/>
      </c>
      <c r="P60" s="262">
        <f t="shared" si="5"/>
        <v>0</v>
      </c>
      <c r="Q60" s="262">
        <f t="shared" si="5"/>
        <v>0</v>
      </c>
      <c r="R60" s="262"/>
      <c r="S60" s="263">
        <f>S59+0.1</f>
        <v>20.100000000000001</v>
      </c>
      <c r="T60" s="204" t="str">
        <f>IF(($L60-$F60)&gt;=0,"",)</f>
        <v/>
      </c>
      <c r="U60" s="204"/>
      <c r="V60" s="263">
        <f>V59+0.01</f>
        <v>220.01</v>
      </c>
      <c r="W60" s="264" t="str">
        <f>IF(($L60-$E60)&gt;=0,"",
" - Настроить БД SIEM для хранения информации о событиях не менее 6 месяцев. Выделить ресурсы, достаточные для хранения. Проконтролировать хранение событий не менее указанного срока.")</f>
        <v xml:space="preserve"> - Настроить БД SIEM для хранения информации о событиях не менее 6 месяцев. Выделить ресурсы, достаточные для хранения. Проконтролировать хранение событий не менее указанного срока.</v>
      </c>
      <c r="X60" s="264" t="s">
        <v>262</v>
      </c>
      <c r="Y60" s="263">
        <f>Y59+0.01</f>
        <v>320.01</v>
      </c>
      <c r="Z60" s="264" t="str">
        <f>IF(($L60-$D60)&gt;=0,"","")</f>
        <v/>
      </c>
      <c r="AA60" s="264"/>
    </row>
    <row r="61" spans="2:27" ht="29.85" customHeight="1">
      <c r="B61" s="305" t="s">
        <v>263</v>
      </c>
      <c r="C61" s="486" t="s">
        <v>323</v>
      </c>
      <c r="D61" s="294"/>
      <c r="E61" s="294"/>
      <c r="F61" s="294"/>
      <c r="G61" s="486"/>
      <c r="H61" s="294"/>
      <c r="I61" s="294"/>
      <c r="J61" s="294"/>
      <c r="K61" s="294"/>
      <c r="L61" s="294"/>
      <c r="M61" s="294"/>
      <c r="N61" s="295"/>
      <c r="O61" s="295"/>
      <c r="P61" s="294"/>
      <c r="Q61" s="294"/>
      <c r="R61" s="294"/>
      <c r="S61" s="247">
        <f>VLOOKUP(B61,Приоритет!$G$9:$K$52,5,0)</f>
        <v>21</v>
      </c>
      <c r="T61" s="21" t="s">
        <v>263</v>
      </c>
      <c r="U61" s="21"/>
      <c r="V61" s="247">
        <f>S61+200</f>
        <v>221</v>
      </c>
      <c r="W61" s="21" t="s">
        <v>263</v>
      </c>
      <c r="X61" s="21"/>
      <c r="Y61" s="247">
        <f>V61+100</f>
        <v>321</v>
      </c>
      <c r="Z61" s="21" t="s">
        <v>263</v>
      </c>
      <c r="AA61" s="21"/>
    </row>
    <row r="62" spans="2:27" ht="74.099999999999994" customHeight="1" outlineLevel="1">
      <c r="B62" s="254" t="s">
        <v>849</v>
      </c>
      <c r="C62" s="300" t="s">
        <v>850</v>
      </c>
      <c r="D62" s="256">
        <v>4</v>
      </c>
      <c r="E62" s="257">
        <v>1</v>
      </c>
      <c r="F62" s="258">
        <v>0</v>
      </c>
      <c r="G62" s="128"/>
      <c r="H62" s="128"/>
      <c r="I62" s="128"/>
      <c r="J62" s="259"/>
      <c r="K62" s="260">
        <f t="shared" si="3"/>
        <v>4</v>
      </c>
      <c r="L62" s="290">
        <f>IF((СК="Да"),D62,VALUE(LEFT(N62,3)))</f>
        <v>0</v>
      </c>
      <c r="M62">
        <f t="shared" si="1"/>
        <v>-4</v>
      </c>
      <c r="N62" s="261" t="s">
        <v>359</v>
      </c>
      <c r="O62" s="216" t="str">
        <f>IF((СК="Да"),"Зона ответственности Сервисной компании", "")</f>
        <v/>
      </c>
      <c r="P62" s="262">
        <f t="shared" si="5"/>
        <v>0</v>
      </c>
      <c r="Q62" s="262">
        <f t="shared" si="5"/>
        <v>0</v>
      </c>
      <c r="R62" s="262"/>
      <c r="S62" s="263">
        <f>S61+0.01</f>
        <v>21.01</v>
      </c>
      <c r="T62" s="489" t="str">
        <f>IF(($L62-$F62)&gt;=0,"",)</f>
        <v/>
      </c>
      <c r="U62" s="489"/>
      <c r="V62" s="263">
        <f>V61+0.01</f>
        <v>221.01</v>
      </c>
      <c r="W62" s="264" t="str">
        <f>IF(($L62-$E62)&gt;=0,"",
" - Организовать процесс анализа информации об угрозах, направленой РТК, ФСТЭК и НКЦКИ. Выполнять проверку применимости угроз и мер защиты в Обществе. Выполнять рекомендуемые меры.")</f>
        <v xml:space="preserve"> - Организовать процесс анализа информации об угрозах, направленой РТК, ФСТЭК и НКЦКИ. Выполнять проверку применимости угроз и мер защиты в Обществе. Выполнять рекомендуемые меры.</v>
      </c>
      <c r="X62" s="264" t="s">
        <v>264</v>
      </c>
      <c r="Y62" s="263">
        <f>Y61+0.01</f>
        <v>321.01</v>
      </c>
      <c r="Z62" s="264" t="str">
        <f>IF(($L62-$D62)&gt;=0,""," - Организовать получение данных от  поставщиков информации об угрозах и из открытых источников. Реализовать процесс анализа угроз и защиты от релевантных угроз.")</f>
        <v xml:space="preserve"> - Организовать получение данных от  поставщиков информации об угрозах и из открытых источников. Реализовать процесс анализа угроз и защиты от релевантных угроз.</v>
      </c>
      <c r="AA62" s="264" t="s">
        <v>292</v>
      </c>
    </row>
    <row r="63" spans="2:27" ht="67.349999999999994" customHeight="1" outlineLevel="1">
      <c r="B63" s="287" t="s">
        <v>851</v>
      </c>
      <c r="C63" s="300" t="s">
        <v>852</v>
      </c>
      <c r="D63" s="256">
        <v>4</v>
      </c>
      <c r="E63" s="257">
        <v>4</v>
      </c>
      <c r="F63" s="258">
        <v>0</v>
      </c>
      <c r="G63" s="128"/>
      <c r="H63" s="128"/>
      <c r="I63" s="128"/>
      <c r="J63" s="259"/>
      <c r="K63" s="260">
        <f t="shared" si="3"/>
        <v>4</v>
      </c>
      <c r="L63" s="290">
        <f>IF((СК="Да"),D63,VALUE(LEFT(N63,3)))</f>
        <v>0</v>
      </c>
      <c r="M63">
        <f t="shared" si="1"/>
        <v>-4</v>
      </c>
      <c r="N63" s="261" t="s">
        <v>359</v>
      </c>
      <c r="O63" s="216" t="str">
        <f>IF((СК="Да"),"Зона ответственности Сервисной компании", "")</f>
        <v/>
      </c>
      <c r="P63" s="262">
        <f t="shared" si="5"/>
        <v>0</v>
      </c>
      <c r="Q63" s="262">
        <f t="shared" si="5"/>
        <v>0</v>
      </c>
      <c r="R63" s="262"/>
      <c r="S63" s="263">
        <f>S62+0.01</f>
        <v>21.020000000000003</v>
      </c>
      <c r="T63" s="489" t="str">
        <f>IF(($L63-$F63)&gt;=0,"",)</f>
        <v/>
      </c>
      <c r="U63" s="489"/>
      <c r="V63" s="263">
        <f>V62+0.01</f>
        <v>221.01999999999998</v>
      </c>
      <c r="W63" s="264" t="str">
        <f>IF(($L63-$E63)&gt;=0,"",
" - Регламентировать процесс мониторинга событий ИБ, определить критерии определения и классификации инцидентов, Определить порядок инициации реагирования на инцидент.")</f>
        <v xml:space="preserve"> - Регламентировать процесс мониторинга событий ИБ, определить критерии определения и классификации инцидентов, Определить порядок инициации реагирования на инцидент.</v>
      </c>
      <c r="X63" s="264" t="s">
        <v>265</v>
      </c>
      <c r="Y63" s="263">
        <f>Y62+0.01</f>
        <v>321.02</v>
      </c>
      <c r="Z63" s="264" t="str">
        <f>IF(($L63-$D63)&gt;=0,"","")</f>
        <v/>
      </c>
      <c r="AA63" s="264"/>
    </row>
    <row r="64" spans="2:27" ht="138" customHeight="1" outlineLevel="1">
      <c r="B64" s="287" t="s">
        <v>853</v>
      </c>
      <c r="C64" s="300" t="s">
        <v>854</v>
      </c>
      <c r="D64" s="256">
        <v>4</v>
      </c>
      <c r="E64" s="257">
        <v>3</v>
      </c>
      <c r="F64" s="258">
        <v>0</v>
      </c>
      <c r="G64" s="128"/>
      <c r="H64" s="128"/>
      <c r="I64" s="128"/>
      <c r="J64" s="259"/>
      <c r="K64" s="260">
        <f t="shared" si="3"/>
        <v>4</v>
      </c>
      <c r="L64" s="290">
        <f>IF((СК="Да"),D64,VALUE(LEFT(N64,3)))</f>
        <v>0</v>
      </c>
      <c r="M64">
        <f t="shared" si="1"/>
        <v>-4</v>
      </c>
      <c r="N64" s="261" t="s">
        <v>359</v>
      </c>
      <c r="O64" s="216" t="str">
        <f>IF((СК="Да"),"Зона ответственности Сервисной компании", "")</f>
        <v/>
      </c>
      <c r="P64" s="262">
        <f t="shared" si="5"/>
        <v>0</v>
      </c>
      <c r="Q64" s="262">
        <f t="shared" si="5"/>
        <v>0</v>
      </c>
      <c r="R64" s="262"/>
      <c r="S64" s="263">
        <f>S63+0.01</f>
        <v>21.030000000000005</v>
      </c>
      <c r="T64" s="489" t="str">
        <f>IF(($L64-$F64)&gt;=0,"",)</f>
        <v/>
      </c>
      <c r="U64" s="489"/>
      <c r="V64" s="263">
        <f>V63+0.01</f>
        <v>221.02999999999997</v>
      </c>
      <c r="W64" s="264" t="str">
        <f>IF(($L64-$E64)&gt;=0,"",
" - Получить типовые решающие правила SIEM от разработчика SIEM и из других доступных источников. Адаптировать решающие правила для применения в инфрастурктуре организации.")</f>
        <v xml:space="preserve"> - Получить типовые решающие правила SIEM от разработчика SIEM и из других доступных источников. Адаптировать решающие правила для применения в инфрастурктуре организации.</v>
      </c>
      <c r="X64" s="264" t="s">
        <v>242</v>
      </c>
      <c r="Y64" s="263">
        <f>Y63+0.01</f>
        <v>321.02999999999997</v>
      </c>
      <c r="Z64" s="264" t="str">
        <f>IF(($L64-$D64)&gt;=0,""," - Организовать процесс разработки решающих правил;
 - Создать базу знаний или инструкции по разработке решающих правил;"&amp;"
 -  Составить план разработки решающих правил;
 -  Организовать процесс анализа журналов событий для разработки решающих правил SIEM;"&amp;"
 -  Применить результаты расследования инцидентов для разработки решающих правил.")</f>
        <v xml:space="preserve"> - Организовать процесс разработки решающих правил;
 - Создать базу знаний или инструкции по разработке решающих правил;
 -  Составить план разработки решающих правил;
 -  Организовать процесс анализа журналов событий для разработки решающих правил SIEM;
 -  Применить результаты расследования инцидентов для разработки решающих правил.</v>
      </c>
      <c r="AA64" s="264" t="s">
        <v>293</v>
      </c>
    </row>
    <row r="65" spans="2:27" ht="112.35" customHeight="1" outlineLevel="1">
      <c r="B65" s="287" t="s">
        <v>855</v>
      </c>
      <c r="C65" s="300" t="s">
        <v>856</v>
      </c>
      <c r="D65" s="256">
        <v>4</v>
      </c>
      <c r="E65" s="257">
        <v>2</v>
      </c>
      <c r="F65" s="258">
        <v>0</v>
      </c>
      <c r="G65" s="128"/>
      <c r="H65" s="128"/>
      <c r="I65" s="128"/>
      <c r="J65" s="259"/>
      <c r="K65" s="260">
        <f t="shared" si="3"/>
        <v>4</v>
      </c>
      <c r="L65" s="290">
        <f>IF((СК="Да"),3,VALUE(LEFT(N65,3)))</f>
        <v>0</v>
      </c>
      <c r="M65">
        <f t="shared" si="1"/>
        <v>-4</v>
      </c>
      <c r="N65" s="261" t="s">
        <v>359</v>
      </c>
      <c r="O65" s="216" t="str">
        <f>IF((СК="Да"),"Совместная зона ответственности ДЗО и Сервисной компании
(3 - при подключении к СК;
4 - при выполнении в ДЗО)", "")</f>
        <v/>
      </c>
      <c r="P65" s="262">
        <f t="shared" si="5"/>
        <v>0</v>
      </c>
      <c r="Q65" s="262">
        <f t="shared" si="5"/>
        <v>0</v>
      </c>
      <c r="R65" s="262"/>
      <c r="S65" s="263">
        <f>S64+0.01</f>
        <v>21.040000000000006</v>
      </c>
      <c r="T65" s="489" t="str">
        <f>IF(($L65-$F65)&gt;=0,"",)</f>
        <v/>
      </c>
      <c r="U65" s="489"/>
      <c r="V65" s="263">
        <f>V64+0.01</f>
        <v>221.03999999999996</v>
      </c>
      <c r="W65" s="264" t="str">
        <f>IF(($L65-$E65)&gt;=0,"",
" - Провести инвентаризацию источников событий и подключить их к SIEM")</f>
        <v xml:space="preserve"> - Провести инвентаризацию источников событий и подключить их к SIEM</v>
      </c>
      <c r="X65" s="264" t="s">
        <v>266</v>
      </c>
      <c r="Y65" s="263">
        <f>Y64+0.01</f>
        <v>321.03999999999996</v>
      </c>
      <c r="Z65" s="264" t="str">
        <f>IF(($L65-$D65)&gt;=0,""," - Регламентировать порядок подключения источников информации к SIEM;"&amp;"
 -  Определить требования по обязательному подключению;
 -  Реализовать процесс подключения источников, с инвентаризацией и контролем неподключенных источников;"&amp;"
 - Установить SLA по подключению.")</f>
        <v xml:space="preserve"> - Регламентировать порядок подключения источников информации к SIEM;
 -  Определить требования по обязательному подключению;
 -  Реализовать процесс подключения источников, с инвентаризацией и контролем неподключенных источников;
 - Установить SLA по подключению.</v>
      </c>
      <c r="AA65" s="264" t="s">
        <v>294</v>
      </c>
    </row>
    <row r="66" spans="2:27" ht="71.099999999999994" customHeight="1" outlineLevel="1">
      <c r="B66" s="287" t="s">
        <v>857</v>
      </c>
      <c r="C66" s="300" t="s">
        <v>858</v>
      </c>
      <c r="D66" s="256">
        <v>4</v>
      </c>
      <c r="E66" s="257">
        <v>3</v>
      </c>
      <c r="F66" s="258">
        <v>0</v>
      </c>
      <c r="G66" s="128"/>
      <c r="H66" s="128"/>
      <c r="I66" s="128"/>
      <c r="J66" s="259"/>
      <c r="K66" s="260">
        <f t="shared" si="3"/>
        <v>4</v>
      </c>
      <c r="L66" s="290">
        <f>IF((СК="Да"),D66,VALUE(LEFT(N66,3)))</f>
        <v>0</v>
      </c>
      <c r="M66">
        <f t="shared" si="1"/>
        <v>-4</v>
      </c>
      <c r="N66" s="261" t="s">
        <v>359</v>
      </c>
      <c r="O66" s="216" t="str">
        <f>IF((СК="Да"),"Зона ответственности Сервисной компании", "")</f>
        <v/>
      </c>
      <c r="P66" s="262">
        <f t="shared" si="5"/>
        <v>0</v>
      </c>
      <c r="Q66" s="262">
        <f t="shared" si="5"/>
        <v>0</v>
      </c>
      <c r="R66" s="262"/>
      <c r="S66" s="263">
        <f>S65+0.01</f>
        <v>21.050000000000008</v>
      </c>
      <c r="T66" s="489" t="str">
        <f>IF(($L66-$F66)&gt;=0,"",)</f>
        <v/>
      </c>
      <c r="U66" s="489"/>
      <c r="V66" s="263">
        <f>V65+0.01</f>
        <v>221.04999999999995</v>
      </c>
      <c r="W66" s="264" t="str">
        <f>IF(($L66-$E66)&gt;=0,"",
" - Регламентировать процесс контроля источников
")</f>
        <v xml:space="preserve"> - Регламентировать процесс контроля источников
</v>
      </c>
      <c r="X66" s="264" t="s">
        <v>267</v>
      </c>
      <c r="Y66" s="263">
        <f>Y65+0.01</f>
        <v>321.04999999999995</v>
      </c>
      <c r="Z66" s="264" t="str">
        <f>IF(($L66-$D66)&gt;=0,"","- Проводить аудит ИС для выявления неподключенных к SIEM источников;"&amp;"
 - Проверять, что источники подключены и успешно передают события.")</f>
        <v>- Проводить аудит ИС для выявления неподключенных к SIEM источников;
 - Проверять, что источники подключены и успешно передают события.</v>
      </c>
      <c r="AA66" s="264" t="s">
        <v>295</v>
      </c>
    </row>
    <row r="67" spans="2:27" ht="15.75" customHeight="1">
      <c r="D67" s="300"/>
      <c r="E67" s="300"/>
      <c r="F67" s="300"/>
      <c r="H67" s="300"/>
      <c r="I67" s="300"/>
      <c r="J67" s="300"/>
      <c r="L67" s="300"/>
      <c r="M67" s="300"/>
    </row>
    <row r="68" spans="2:27" ht="15.75" customHeight="1">
      <c r="B68" s="204"/>
    </row>
    <row r="69" spans="2:27" ht="15.75" customHeight="1">
      <c r="B69" s="204"/>
    </row>
    <row r="70" spans="2:27" ht="15.75" customHeight="1">
      <c r="B70" s="204"/>
    </row>
    <row r="71" spans="2:27" ht="15.75" customHeight="1">
      <c r="B71" s="204"/>
    </row>
    <row r="72" spans="2:27" ht="15.75" customHeight="1">
      <c r="B72" s="204"/>
    </row>
    <row r="73" spans="2:27" ht="15.75" customHeight="1">
      <c r="B73" s="204"/>
    </row>
    <row r="74" spans="2:27" ht="15.75" customHeight="1">
      <c r="B74" s="204"/>
    </row>
    <row r="75" spans="2:27" ht="15.75" customHeight="1">
      <c r="B75" s="204"/>
    </row>
    <row r="76" spans="2:27" ht="15.75" customHeight="1">
      <c r="B76" s="204"/>
    </row>
    <row r="77" spans="2:27" ht="15.75" customHeight="1">
      <c r="B77" s="204"/>
    </row>
    <row r="78" spans="2:27" ht="15.75" customHeight="1">
      <c r="B78" s="204"/>
    </row>
    <row r="79" spans="2:27" ht="15.75" customHeight="1">
      <c r="B79" s="204"/>
    </row>
    <row r="80" spans="2:27" ht="15.75" customHeight="1">
      <c r="B80" s="204"/>
    </row>
    <row r="81" spans="2:2" ht="15.75" customHeight="1">
      <c r="B81" s="204"/>
    </row>
    <row r="82" spans="2:2" ht="15.75" customHeight="1">
      <c r="B82" s="204"/>
    </row>
    <row r="83" spans="2:2" ht="15.75" customHeight="1">
      <c r="B83" s="204"/>
    </row>
    <row r="84" spans="2:2" ht="15.75" customHeight="1">
      <c r="B84" s="204"/>
    </row>
    <row r="85" spans="2:2" ht="15.75" customHeight="1">
      <c r="B85" s="204"/>
    </row>
    <row r="86" spans="2:2" ht="15.75" customHeight="1">
      <c r="B86" s="204"/>
    </row>
    <row r="87" spans="2:2" ht="15.75" customHeight="1">
      <c r="B87" s="204"/>
    </row>
    <row r="88" spans="2:2" ht="15.75" customHeight="1">
      <c r="B88" s="204"/>
    </row>
    <row r="89" spans="2:2" ht="15.75" customHeight="1">
      <c r="B89" s="204"/>
    </row>
    <row r="90" spans="2:2" ht="15.75" customHeight="1">
      <c r="B90" s="204"/>
    </row>
    <row r="91" spans="2:2" ht="15.75" customHeight="1">
      <c r="B91" s="204"/>
    </row>
    <row r="92" spans="2:2" ht="15.75" customHeight="1">
      <c r="B92" s="204"/>
    </row>
    <row r="93" spans="2:2" ht="15.75" customHeight="1">
      <c r="B93" s="204"/>
    </row>
    <row r="94" spans="2:2" ht="15.75" customHeight="1">
      <c r="B94" s="204"/>
    </row>
    <row r="95" spans="2:2" ht="15.75" customHeight="1">
      <c r="B95" s="204"/>
    </row>
    <row r="96" spans="2:2" ht="15.75" customHeight="1">
      <c r="B96" s="204"/>
    </row>
    <row r="97" spans="2:2" ht="15.75" customHeight="1">
      <c r="B97" s="204"/>
    </row>
    <row r="98" spans="2:2" ht="15.75" customHeight="1">
      <c r="B98" s="204"/>
    </row>
    <row r="99" spans="2:2" ht="15.75" customHeight="1">
      <c r="B99" s="204"/>
    </row>
    <row r="100" spans="2:2" ht="15.75" customHeight="1">
      <c r="B100" s="204"/>
    </row>
    <row r="101" spans="2:2" ht="15.75" customHeight="1">
      <c r="B101" s="204"/>
    </row>
    <row r="102" spans="2:2" ht="15.75" customHeight="1">
      <c r="B102" s="204"/>
    </row>
    <row r="103" spans="2:2" ht="15.75" customHeight="1">
      <c r="B103" s="204"/>
    </row>
    <row r="104" spans="2:2" ht="15.75" customHeight="1">
      <c r="B104" s="204"/>
    </row>
    <row r="105" spans="2:2" ht="15.75" customHeight="1">
      <c r="B105" s="204"/>
    </row>
    <row r="106" spans="2:2" ht="15.75" customHeight="1">
      <c r="B106" s="204"/>
    </row>
    <row r="107" spans="2:2" ht="15.75" customHeight="1">
      <c r="B107" s="204"/>
    </row>
    <row r="108" spans="2:2" ht="15.75" customHeight="1">
      <c r="B108" s="204"/>
    </row>
    <row r="109" spans="2:2" ht="15.75" customHeight="1">
      <c r="B109" s="204"/>
    </row>
    <row r="110" spans="2:2" ht="15.75" customHeight="1">
      <c r="B110" s="204"/>
    </row>
    <row r="111" spans="2:2" ht="15.75" customHeight="1">
      <c r="B111" s="204"/>
    </row>
    <row r="112" spans="2:2" ht="15.75" customHeight="1">
      <c r="B112" s="204"/>
    </row>
    <row r="113" spans="2:2" ht="15.75" customHeight="1">
      <c r="B113" s="204"/>
    </row>
    <row r="114" spans="2:2" ht="15.75" customHeight="1">
      <c r="B114" s="204"/>
    </row>
    <row r="115" spans="2:2" ht="15.75" customHeight="1">
      <c r="B115" s="204"/>
    </row>
    <row r="116" spans="2:2" ht="15.75" customHeight="1">
      <c r="B116" s="204"/>
    </row>
    <row r="117" spans="2:2" ht="15.75" customHeight="1">
      <c r="B117" s="204"/>
    </row>
    <row r="118" spans="2:2" ht="15.75" customHeight="1">
      <c r="B118" s="204"/>
    </row>
    <row r="119" spans="2:2" ht="15.75" customHeight="1">
      <c r="B119" s="204"/>
    </row>
    <row r="120" spans="2:2" ht="15.75" customHeight="1">
      <c r="B120" s="204"/>
    </row>
    <row r="121" spans="2:2" ht="15.75" customHeight="1">
      <c r="B121" s="204"/>
    </row>
    <row r="122" spans="2:2" ht="15.75" customHeight="1">
      <c r="B122" s="204"/>
    </row>
    <row r="123" spans="2:2" ht="15.75" customHeight="1">
      <c r="B123" s="204"/>
    </row>
    <row r="124" spans="2:2" ht="15.75" customHeight="1">
      <c r="B124" s="204"/>
    </row>
    <row r="125" spans="2:2" ht="15.75" customHeight="1">
      <c r="B125" s="204"/>
    </row>
    <row r="126" spans="2:2" ht="15.75" customHeight="1">
      <c r="B126" s="204"/>
    </row>
    <row r="127" spans="2:2" ht="15.75" customHeight="1">
      <c r="B127" s="204"/>
    </row>
    <row r="128" spans="2:2" ht="15.75" customHeight="1">
      <c r="B128" s="204"/>
    </row>
    <row r="129" spans="2:2" ht="15.75" customHeight="1">
      <c r="B129" s="204"/>
    </row>
    <row r="130" spans="2:2" ht="15.75" customHeight="1">
      <c r="B130" s="204"/>
    </row>
    <row r="131" spans="2:2" ht="15.75" customHeight="1">
      <c r="B131" s="204"/>
    </row>
    <row r="132" spans="2:2" ht="15.75" customHeight="1">
      <c r="B132" s="204"/>
    </row>
    <row r="133" spans="2:2" ht="15.75" customHeight="1">
      <c r="B133" s="204"/>
    </row>
    <row r="134" spans="2:2" ht="15.75" customHeight="1">
      <c r="B134" s="204"/>
    </row>
    <row r="135" spans="2:2" ht="15.75" customHeight="1">
      <c r="B135" s="204"/>
    </row>
    <row r="136" spans="2:2" ht="15.75" customHeight="1">
      <c r="B136" s="204"/>
    </row>
    <row r="137" spans="2:2" ht="15.75" customHeight="1">
      <c r="B137" s="204"/>
    </row>
    <row r="138" spans="2:2" ht="15.75" customHeight="1">
      <c r="B138" s="204"/>
    </row>
    <row r="139" spans="2:2" ht="15.75" customHeight="1">
      <c r="B139" s="204"/>
    </row>
    <row r="140" spans="2:2" ht="15.75" customHeight="1">
      <c r="B140" s="204"/>
    </row>
    <row r="141" spans="2:2" ht="15.75" customHeight="1">
      <c r="B141" s="204"/>
    </row>
    <row r="142" spans="2:2" ht="15.75" customHeight="1">
      <c r="B142" s="204"/>
    </row>
    <row r="143" spans="2:2" ht="15.75" customHeight="1">
      <c r="B143" s="204"/>
    </row>
    <row r="144" spans="2:2" ht="15.75" customHeight="1">
      <c r="B144" s="204"/>
    </row>
    <row r="145" spans="2:2" ht="15.75" customHeight="1">
      <c r="B145" s="204"/>
    </row>
    <row r="146" spans="2:2" ht="15.75" customHeight="1">
      <c r="B146" s="204"/>
    </row>
    <row r="147" spans="2:2" ht="15.75" customHeight="1">
      <c r="B147" s="204"/>
    </row>
    <row r="148" spans="2:2" ht="15.75" customHeight="1">
      <c r="B148" s="204"/>
    </row>
    <row r="149" spans="2:2" ht="15.75" customHeight="1">
      <c r="B149" s="204"/>
    </row>
    <row r="150" spans="2:2" ht="15.75" customHeight="1">
      <c r="B150" s="204"/>
    </row>
    <row r="151" spans="2:2" ht="15.75" customHeight="1">
      <c r="B151" s="204"/>
    </row>
    <row r="152" spans="2:2" ht="15.75" customHeight="1">
      <c r="B152" s="204"/>
    </row>
    <row r="153" spans="2:2" ht="15.75" customHeight="1">
      <c r="B153" s="204"/>
    </row>
    <row r="154" spans="2:2" ht="15.75" customHeight="1">
      <c r="B154" s="204"/>
    </row>
    <row r="155" spans="2:2" ht="15.75" customHeight="1">
      <c r="B155" s="204"/>
    </row>
    <row r="156" spans="2:2" ht="15.75" customHeight="1">
      <c r="B156" s="204"/>
    </row>
    <row r="157" spans="2:2" ht="15.75" customHeight="1">
      <c r="B157" s="204"/>
    </row>
    <row r="158" spans="2:2" ht="15.75" customHeight="1">
      <c r="B158" s="204"/>
    </row>
    <row r="159" spans="2:2" ht="15.75" customHeight="1">
      <c r="B159" s="204"/>
    </row>
    <row r="160" spans="2:2" ht="15.75" customHeight="1">
      <c r="B160" s="204"/>
    </row>
    <row r="161" spans="2:2" ht="15.75" customHeight="1">
      <c r="B161" s="204"/>
    </row>
    <row r="162" spans="2:2" ht="15.75" customHeight="1">
      <c r="B162" s="204"/>
    </row>
    <row r="163" spans="2:2" ht="15.75" customHeight="1">
      <c r="B163" s="204"/>
    </row>
    <row r="164" spans="2:2" ht="15.75" customHeight="1">
      <c r="B164" s="204"/>
    </row>
    <row r="165" spans="2:2" ht="15.75" customHeight="1">
      <c r="B165" s="204"/>
    </row>
    <row r="166" spans="2:2" ht="15.75" customHeight="1">
      <c r="B166" s="204"/>
    </row>
    <row r="167" spans="2:2" ht="15.75" customHeight="1">
      <c r="B167" s="204"/>
    </row>
    <row r="168" spans="2:2" ht="15.75" customHeight="1">
      <c r="B168" s="204"/>
    </row>
    <row r="169" spans="2:2" ht="15.75" customHeight="1">
      <c r="B169" s="204"/>
    </row>
    <row r="170" spans="2:2" ht="15.75" customHeight="1">
      <c r="B170" s="204"/>
    </row>
    <row r="171" spans="2:2" ht="15.75" customHeight="1">
      <c r="B171" s="204"/>
    </row>
    <row r="172" spans="2:2" ht="15.75" customHeight="1">
      <c r="B172" s="204"/>
    </row>
    <row r="173" spans="2:2" ht="15.75" customHeight="1">
      <c r="B173" s="204"/>
    </row>
    <row r="174" spans="2:2" ht="15.75" customHeight="1">
      <c r="B174" s="204"/>
    </row>
    <row r="175" spans="2:2" ht="15.75" customHeight="1">
      <c r="B175" s="204"/>
    </row>
    <row r="176" spans="2:2" ht="15.75" customHeight="1">
      <c r="B176" s="204"/>
    </row>
    <row r="177" spans="2:2" ht="15.75" customHeight="1">
      <c r="B177" s="204"/>
    </row>
    <row r="178" spans="2:2" ht="15.75" customHeight="1">
      <c r="B178" s="204"/>
    </row>
    <row r="179" spans="2:2" ht="15.75" customHeight="1">
      <c r="B179" s="204"/>
    </row>
    <row r="180" spans="2:2" ht="15.75" customHeight="1">
      <c r="B180" s="204"/>
    </row>
    <row r="181" spans="2:2" ht="15.75" customHeight="1">
      <c r="B181" s="204"/>
    </row>
    <row r="182" spans="2:2" ht="15.75" customHeight="1">
      <c r="B182" s="204"/>
    </row>
    <row r="183" spans="2:2" ht="15.75" customHeight="1">
      <c r="B183" s="204"/>
    </row>
    <row r="184" spans="2:2" ht="15.75" customHeight="1">
      <c r="B184" s="204"/>
    </row>
    <row r="185" spans="2:2" ht="15.75" customHeight="1">
      <c r="B185" s="204"/>
    </row>
    <row r="186" spans="2:2" ht="15.75" customHeight="1">
      <c r="B186" s="204"/>
    </row>
    <row r="187" spans="2:2" ht="15.75" customHeight="1">
      <c r="B187" s="204"/>
    </row>
    <row r="188" spans="2:2" ht="15.75" customHeight="1">
      <c r="B188" s="204"/>
    </row>
    <row r="189" spans="2:2" ht="15.75" customHeight="1">
      <c r="B189" s="204"/>
    </row>
    <row r="190" spans="2:2" ht="15.75" customHeight="1">
      <c r="B190" s="204"/>
    </row>
    <row r="191" spans="2:2" ht="15.75" customHeight="1">
      <c r="B191" s="204"/>
    </row>
    <row r="192" spans="2:2" ht="15.75" customHeight="1">
      <c r="B192" s="204"/>
    </row>
    <row r="193" spans="2:2" ht="15.75" customHeight="1">
      <c r="B193" s="204"/>
    </row>
    <row r="194" spans="2:2" ht="15.75" customHeight="1">
      <c r="B194" s="204"/>
    </row>
    <row r="195" spans="2:2" ht="15.75" customHeight="1">
      <c r="B195" s="204"/>
    </row>
    <row r="196" spans="2:2" ht="15.75" customHeight="1">
      <c r="B196" s="204"/>
    </row>
    <row r="197" spans="2:2" ht="15.75" customHeight="1">
      <c r="B197" s="204"/>
    </row>
    <row r="198" spans="2:2" ht="15.75" customHeight="1">
      <c r="B198" s="204"/>
    </row>
    <row r="199" spans="2:2" ht="15.75" customHeight="1">
      <c r="B199" s="204"/>
    </row>
    <row r="200" spans="2:2" ht="15.75" customHeight="1">
      <c r="B200" s="204"/>
    </row>
    <row r="201" spans="2:2" ht="15.75" customHeight="1">
      <c r="B201" s="204"/>
    </row>
    <row r="202" spans="2:2" ht="15.75" customHeight="1">
      <c r="B202" s="204"/>
    </row>
    <row r="203" spans="2:2" ht="15.75" customHeight="1">
      <c r="B203" s="204"/>
    </row>
    <row r="204" spans="2:2" ht="15.75" customHeight="1">
      <c r="B204" s="204"/>
    </row>
    <row r="205" spans="2:2" ht="15.75" customHeight="1">
      <c r="B205" s="204"/>
    </row>
    <row r="206" spans="2:2" ht="15.75" customHeight="1">
      <c r="B206" s="204"/>
    </row>
    <row r="207" spans="2:2" ht="15.75" customHeight="1">
      <c r="B207" s="204"/>
    </row>
    <row r="208" spans="2:2" ht="15.75" customHeight="1">
      <c r="B208" s="204"/>
    </row>
    <row r="209" spans="2:2" ht="15.75" customHeight="1">
      <c r="B209" s="204"/>
    </row>
    <row r="210" spans="2:2" ht="15.75" customHeight="1">
      <c r="B210" s="204"/>
    </row>
    <row r="211" spans="2:2" ht="15.75" customHeight="1">
      <c r="B211" s="204"/>
    </row>
    <row r="212" spans="2:2" ht="15.75" customHeight="1">
      <c r="B212" s="204"/>
    </row>
    <row r="213" spans="2:2" ht="15.75" customHeight="1">
      <c r="B213" s="204"/>
    </row>
    <row r="214" spans="2:2" ht="15.75" customHeight="1">
      <c r="B214" s="204"/>
    </row>
    <row r="215" spans="2:2" ht="15.75" customHeight="1">
      <c r="B215" s="204"/>
    </row>
    <row r="216" spans="2:2" ht="15.75" customHeight="1">
      <c r="B216" s="204"/>
    </row>
    <row r="217" spans="2:2" ht="15.75" customHeight="1">
      <c r="B217" s="204"/>
    </row>
    <row r="218" spans="2:2" ht="15.75" customHeight="1">
      <c r="B218" s="204"/>
    </row>
    <row r="219" spans="2:2" ht="15.75" customHeight="1">
      <c r="B219" s="204"/>
    </row>
    <row r="220" spans="2:2" ht="15.75" customHeight="1">
      <c r="B220" s="204"/>
    </row>
    <row r="221" spans="2:2" ht="15.75" customHeight="1">
      <c r="B221" s="204"/>
    </row>
    <row r="222" spans="2:2" ht="15.75" customHeight="1">
      <c r="B222" s="204"/>
    </row>
    <row r="223" spans="2:2" ht="15.75" customHeight="1">
      <c r="B223" s="204"/>
    </row>
    <row r="224" spans="2:2" ht="15.75" customHeight="1">
      <c r="B224" s="204"/>
    </row>
    <row r="225" spans="2:2" ht="15.75" customHeight="1">
      <c r="B225" s="204"/>
    </row>
    <row r="226" spans="2:2" ht="15.75" customHeight="1">
      <c r="B226" s="204"/>
    </row>
    <row r="227" spans="2:2" ht="15.75" customHeight="1">
      <c r="B227" s="204"/>
    </row>
    <row r="228" spans="2:2" ht="15.75" customHeight="1">
      <c r="B228" s="204"/>
    </row>
    <row r="229" spans="2:2" ht="15.75" customHeight="1">
      <c r="B229" s="204"/>
    </row>
    <row r="230" spans="2:2" ht="15.75" customHeight="1">
      <c r="B230" s="204"/>
    </row>
    <row r="231" spans="2:2" ht="15.75" customHeight="1">
      <c r="B231" s="204"/>
    </row>
    <row r="232" spans="2:2" ht="15.75" customHeight="1">
      <c r="B232" s="204"/>
    </row>
    <row r="233" spans="2:2" ht="15.75" customHeight="1">
      <c r="B233" s="204"/>
    </row>
    <row r="234" spans="2:2" ht="15.75" customHeight="1">
      <c r="B234" s="204"/>
    </row>
    <row r="235" spans="2:2" ht="15.75" customHeight="1">
      <c r="B235" s="204"/>
    </row>
    <row r="236" spans="2:2" ht="15.75" customHeight="1">
      <c r="B236" s="204"/>
    </row>
    <row r="237" spans="2:2" ht="15.75" customHeight="1">
      <c r="B237" s="204"/>
    </row>
    <row r="238" spans="2:2" ht="15.75" customHeight="1">
      <c r="B238" s="204"/>
    </row>
    <row r="239" spans="2:2" ht="15.75" customHeight="1">
      <c r="B239" s="204"/>
    </row>
    <row r="240" spans="2:2" ht="15.75" customHeight="1">
      <c r="B240" s="204"/>
    </row>
    <row r="241" spans="2:2" ht="15.75" customHeight="1">
      <c r="B241" s="204"/>
    </row>
    <row r="242" spans="2:2" ht="15.75" customHeight="1">
      <c r="B242" s="204"/>
    </row>
    <row r="243" spans="2:2" ht="15.75" customHeight="1">
      <c r="B243" s="204"/>
    </row>
    <row r="244" spans="2:2" ht="15.75" customHeight="1">
      <c r="B244" s="204"/>
    </row>
    <row r="245" spans="2:2" ht="15.75" customHeight="1">
      <c r="B245" s="204"/>
    </row>
    <row r="246" spans="2:2" ht="15.75" customHeight="1">
      <c r="B246" s="204"/>
    </row>
    <row r="247" spans="2:2" ht="15.75" customHeight="1">
      <c r="B247" s="204"/>
    </row>
    <row r="248" spans="2:2" ht="15.75" customHeight="1">
      <c r="B248" s="204"/>
    </row>
    <row r="249" spans="2:2" ht="15.75" customHeight="1">
      <c r="B249" s="204"/>
    </row>
    <row r="250" spans="2:2" ht="15.75" customHeight="1">
      <c r="B250" s="204"/>
    </row>
    <row r="251" spans="2:2" ht="15.75" customHeight="1">
      <c r="B251" s="204"/>
    </row>
    <row r="252" spans="2:2" ht="15.75" customHeight="1">
      <c r="B252" s="204"/>
    </row>
    <row r="253" spans="2:2" ht="15.75" customHeight="1">
      <c r="B253" s="204"/>
    </row>
    <row r="254" spans="2:2" ht="15.75" customHeight="1">
      <c r="B254" s="204"/>
    </row>
    <row r="255" spans="2:2" ht="15.75" customHeight="1">
      <c r="B255" s="204"/>
    </row>
    <row r="256" spans="2:2" ht="15.75" customHeight="1">
      <c r="B256" s="204"/>
    </row>
    <row r="257" spans="2:2" ht="15.75" customHeight="1">
      <c r="B257" s="204"/>
    </row>
    <row r="258" spans="2:2" ht="15.75" customHeight="1">
      <c r="B258" s="204"/>
    </row>
    <row r="259" spans="2:2" ht="15.75" customHeight="1">
      <c r="B259" s="204"/>
    </row>
    <row r="260" spans="2:2" ht="15.75" customHeight="1">
      <c r="B260" s="204"/>
    </row>
    <row r="261" spans="2:2" ht="15.75" customHeight="1">
      <c r="B261" s="204"/>
    </row>
    <row r="262" spans="2:2" ht="15.75" customHeight="1">
      <c r="B262" s="204"/>
    </row>
    <row r="263" spans="2:2" ht="15.75" customHeight="1">
      <c r="B263" s="204"/>
    </row>
    <row r="264" spans="2:2" ht="15.75" customHeight="1">
      <c r="B264" s="204"/>
    </row>
    <row r="265" spans="2:2" ht="15.75" customHeight="1">
      <c r="B265" s="204"/>
    </row>
    <row r="266" spans="2:2" ht="15.75" customHeight="1">
      <c r="B266" s="204"/>
    </row>
    <row r="267" spans="2:2" ht="15.75" customHeight="1">
      <c r="B267" s="204"/>
    </row>
    <row r="268" spans="2:2" ht="15.75" customHeight="1">
      <c r="B268" s="204"/>
    </row>
    <row r="269" spans="2:2" ht="15.75" customHeight="1">
      <c r="B269" s="204"/>
    </row>
    <row r="270" spans="2:2" ht="15.75" customHeight="1">
      <c r="B270" s="204"/>
    </row>
    <row r="271" spans="2:2" ht="15.75" customHeight="1">
      <c r="B271" s="204"/>
    </row>
    <row r="272" spans="2:2" ht="15.75" customHeight="1">
      <c r="B272" s="204"/>
    </row>
    <row r="273" spans="2:2" ht="15.75" customHeight="1">
      <c r="B273" s="204"/>
    </row>
    <row r="274" spans="2:2" ht="15.75" customHeight="1">
      <c r="B274" s="204"/>
    </row>
    <row r="275" spans="2:2" ht="15.75" customHeight="1">
      <c r="B275" s="204"/>
    </row>
    <row r="276" spans="2:2" ht="15.75" customHeight="1">
      <c r="B276" s="204"/>
    </row>
    <row r="277" spans="2:2" ht="15.75" customHeight="1">
      <c r="B277" s="204"/>
    </row>
    <row r="278" spans="2:2" ht="15.75" customHeight="1">
      <c r="B278" s="204"/>
    </row>
    <row r="279" spans="2:2" ht="15.75" customHeight="1">
      <c r="B279" s="204"/>
    </row>
    <row r="280" spans="2:2" ht="15.75" customHeight="1">
      <c r="B280" s="204"/>
    </row>
    <row r="281" spans="2:2" ht="15.75" customHeight="1">
      <c r="B281" s="204"/>
    </row>
    <row r="282" spans="2:2" ht="15.75" customHeight="1">
      <c r="B282" s="204"/>
    </row>
    <row r="283" spans="2:2" ht="15.75" customHeight="1">
      <c r="B283" s="204"/>
    </row>
    <row r="284" spans="2:2" ht="15.75" customHeight="1">
      <c r="B284" s="204"/>
    </row>
    <row r="285" spans="2:2" ht="15.75" customHeight="1">
      <c r="B285" s="204"/>
    </row>
    <row r="286" spans="2:2" ht="15.75" customHeight="1">
      <c r="B286" s="204"/>
    </row>
    <row r="287" spans="2:2" ht="15.75" customHeight="1">
      <c r="B287" s="204"/>
    </row>
    <row r="288" spans="2:2" ht="15.75" customHeight="1">
      <c r="B288" s="204"/>
    </row>
    <row r="289" spans="2:2" ht="15.75" customHeight="1">
      <c r="B289" s="204"/>
    </row>
    <row r="290" spans="2:2" ht="15.75" customHeight="1">
      <c r="B290" s="204"/>
    </row>
    <row r="291" spans="2:2" ht="15.75" customHeight="1">
      <c r="B291" s="204"/>
    </row>
    <row r="292" spans="2:2" ht="15.75" customHeight="1">
      <c r="B292" s="204"/>
    </row>
    <row r="293" spans="2:2" ht="15.75" customHeight="1">
      <c r="B293" s="204"/>
    </row>
    <row r="294" spans="2:2" ht="15.75" customHeight="1">
      <c r="B294" s="204"/>
    </row>
    <row r="295" spans="2:2" ht="15.75" customHeight="1">
      <c r="B295" s="204"/>
    </row>
    <row r="296" spans="2:2" ht="15.75" customHeight="1">
      <c r="B296" s="204"/>
    </row>
    <row r="297" spans="2:2" ht="15.75" customHeight="1">
      <c r="B297" s="204"/>
    </row>
    <row r="298" spans="2:2" ht="15.75" customHeight="1">
      <c r="B298" s="204"/>
    </row>
    <row r="299" spans="2:2" ht="15.75" customHeight="1">
      <c r="B299" s="204"/>
    </row>
    <row r="300" spans="2:2" ht="15.75" customHeight="1">
      <c r="B300" s="204"/>
    </row>
    <row r="301" spans="2:2" ht="15.75" customHeight="1">
      <c r="B301" s="204"/>
    </row>
    <row r="302" spans="2:2" ht="15.75" customHeight="1">
      <c r="B302" s="204"/>
    </row>
    <row r="303" spans="2:2" ht="15.75" customHeight="1">
      <c r="B303" s="204"/>
    </row>
    <row r="304" spans="2:2" ht="15.75" customHeight="1">
      <c r="B304" s="204"/>
    </row>
    <row r="305" spans="2:2" ht="15.75" customHeight="1">
      <c r="B305" s="204"/>
    </row>
    <row r="306" spans="2:2" ht="15.75" customHeight="1">
      <c r="B306" s="204"/>
    </row>
    <row r="307" spans="2:2" ht="15.75" customHeight="1">
      <c r="B307" s="204"/>
    </row>
    <row r="308" spans="2:2" ht="15.75" customHeight="1">
      <c r="B308" s="204"/>
    </row>
    <row r="309" spans="2:2" ht="15.75" customHeight="1">
      <c r="B309" s="204"/>
    </row>
    <row r="310" spans="2:2" ht="15.75" customHeight="1">
      <c r="B310" s="204"/>
    </row>
    <row r="311" spans="2:2" ht="15.75" customHeight="1">
      <c r="B311" s="204"/>
    </row>
    <row r="312" spans="2:2" ht="15.75" customHeight="1">
      <c r="B312" s="204"/>
    </row>
    <row r="313" spans="2:2" ht="15.75" customHeight="1">
      <c r="B313" s="204"/>
    </row>
    <row r="314" spans="2:2" ht="15.75" customHeight="1">
      <c r="B314" s="204"/>
    </row>
    <row r="315" spans="2:2" ht="15.75" customHeight="1">
      <c r="B315" s="204"/>
    </row>
    <row r="316" spans="2:2" ht="15.75" customHeight="1">
      <c r="B316" s="204"/>
    </row>
    <row r="317" spans="2:2" ht="15.75" customHeight="1">
      <c r="B317" s="204"/>
    </row>
    <row r="318" spans="2:2" ht="15.75" customHeight="1">
      <c r="B318" s="204"/>
    </row>
    <row r="319" spans="2:2" ht="15.75" customHeight="1">
      <c r="B319" s="204"/>
    </row>
    <row r="320" spans="2:2" ht="15.75" customHeight="1">
      <c r="B320" s="204"/>
    </row>
    <row r="321" spans="2:2" ht="15.75" customHeight="1">
      <c r="B321" s="204"/>
    </row>
    <row r="322" spans="2:2" ht="15.75" customHeight="1">
      <c r="B322" s="204"/>
    </row>
    <row r="323" spans="2:2" ht="15.75" customHeight="1">
      <c r="B323" s="204"/>
    </row>
    <row r="324" spans="2:2" ht="15.75" customHeight="1">
      <c r="B324" s="204"/>
    </row>
    <row r="325" spans="2:2" ht="15.75" customHeight="1">
      <c r="B325" s="204"/>
    </row>
    <row r="326" spans="2:2" ht="15.75" customHeight="1">
      <c r="B326" s="204"/>
    </row>
    <row r="327" spans="2:2" ht="15.75" customHeight="1">
      <c r="B327" s="204"/>
    </row>
    <row r="328" spans="2:2" ht="15.75" customHeight="1">
      <c r="B328" s="204"/>
    </row>
    <row r="329" spans="2:2" ht="15.75" customHeight="1">
      <c r="B329" s="204"/>
    </row>
    <row r="330" spans="2:2" ht="15.75" customHeight="1">
      <c r="B330" s="204"/>
    </row>
    <row r="331" spans="2:2" ht="15.75" customHeight="1">
      <c r="B331" s="204"/>
    </row>
    <row r="332" spans="2:2" ht="15.75" customHeight="1">
      <c r="B332" s="204"/>
    </row>
    <row r="333" spans="2:2" ht="15.75" customHeight="1">
      <c r="B333" s="204"/>
    </row>
    <row r="334" spans="2:2" ht="15.75" customHeight="1">
      <c r="B334" s="204"/>
    </row>
    <row r="335" spans="2:2" ht="15.75" customHeight="1">
      <c r="B335" s="204"/>
    </row>
    <row r="336" spans="2:2" ht="15.75" customHeight="1">
      <c r="B336" s="204"/>
    </row>
    <row r="337" spans="2:2" ht="15.75" customHeight="1">
      <c r="B337" s="204"/>
    </row>
    <row r="338" spans="2:2" ht="15.75" customHeight="1">
      <c r="B338" s="204"/>
    </row>
    <row r="339" spans="2:2" ht="15.75" customHeight="1">
      <c r="B339" s="204"/>
    </row>
    <row r="340" spans="2:2" ht="15.75" customHeight="1">
      <c r="B340" s="204"/>
    </row>
    <row r="341" spans="2:2" ht="15.75" customHeight="1">
      <c r="B341" s="204"/>
    </row>
    <row r="342" spans="2:2" ht="15.75" customHeight="1">
      <c r="B342" s="204"/>
    </row>
    <row r="343" spans="2:2" ht="15.75" customHeight="1">
      <c r="B343" s="204"/>
    </row>
    <row r="344" spans="2:2" ht="15.75" customHeight="1">
      <c r="B344" s="204"/>
    </row>
    <row r="345" spans="2:2" ht="15.75" customHeight="1">
      <c r="B345" s="204"/>
    </row>
    <row r="346" spans="2:2" ht="15.75" customHeight="1">
      <c r="B346" s="204"/>
    </row>
    <row r="347" spans="2:2" ht="15.75" customHeight="1">
      <c r="B347" s="204"/>
    </row>
    <row r="348" spans="2:2" ht="15.75" customHeight="1">
      <c r="B348" s="204"/>
    </row>
    <row r="349" spans="2:2" ht="15.75" customHeight="1">
      <c r="B349" s="204"/>
    </row>
    <row r="350" spans="2:2" ht="15.75" customHeight="1">
      <c r="B350" s="204"/>
    </row>
    <row r="351" spans="2:2" ht="15.75" customHeight="1">
      <c r="B351" s="204"/>
    </row>
    <row r="352" spans="2:2" ht="15.75" customHeight="1">
      <c r="B352" s="204"/>
    </row>
    <row r="353" spans="2:2" ht="15.75" customHeight="1">
      <c r="B353" s="204"/>
    </row>
    <row r="354" spans="2:2" ht="15.75" customHeight="1">
      <c r="B354" s="204"/>
    </row>
    <row r="355" spans="2:2" ht="15.75" customHeight="1">
      <c r="B355" s="204"/>
    </row>
    <row r="356" spans="2:2" ht="15.75" customHeight="1">
      <c r="B356" s="204"/>
    </row>
    <row r="357" spans="2:2" ht="15.75" customHeight="1">
      <c r="B357" s="204"/>
    </row>
    <row r="358" spans="2:2" ht="15.75" customHeight="1">
      <c r="B358" s="204"/>
    </row>
    <row r="359" spans="2:2" ht="15.75" customHeight="1">
      <c r="B359" s="204"/>
    </row>
    <row r="360" spans="2:2" ht="15.75" customHeight="1">
      <c r="B360" s="204"/>
    </row>
    <row r="361" spans="2:2" ht="15.75" customHeight="1">
      <c r="B361" s="204"/>
    </row>
    <row r="362" spans="2:2" ht="15.75" customHeight="1">
      <c r="B362" s="204"/>
    </row>
    <row r="363" spans="2:2" ht="15.75" customHeight="1">
      <c r="B363" s="204"/>
    </row>
    <row r="364" spans="2:2" ht="15.75" customHeight="1">
      <c r="B364" s="204"/>
    </row>
    <row r="365" spans="2:2" ht="15.75" customHeight="1">
      <c r="B365" s="204"/>
    </row>
    <row r="366" spans="2:2" ht="15.75" customHeight="1">
      <c r="B366" s="204"/>
    </row>
    <row r="367" spans="2:2" ht="15.75" customHeight="1">
      <c r="B367" s="204"/>
    </row>
    <row r="368" spans="2:2" ht="15.75" customHeight="1">
      <c r="B368" s="204"/>
    </row>
    <row r="369" spans="2:2" ht="15.75" customHeight="1">
      <c r="B369" s="204"/>
    </row>
    <row r="370" spans="2:2" ht="15.75" customHeight="1">
      <c r="B370" s="204"/>
    </row>
    <row r="371" spans="2:2" ht="15.75" customHeight="1">
      <c r="B371" s="204"/>
    </row>
    <row r="372" spans="2:2" ht="15.75" customHeight="1">
      <c r="B372" s="204"/>
    </row>
    <row r="373" spans="2:2" ht="15.75" customHeight="1">
      <c r="B373" s="204"/>
    </row>
    <row r="374" spans="2:2" ht="15.75" customHeight="1">
      <c r="B374" s="204"/>
    </row>
    <row r="375" spans="2:2" ht="15.75" customHeight="1">
      <c r="B375" s="204"/>
    </row>
    <row r="376" spans="2:2" ht="15.75" customHeight="1">
      <c r="B376" s="204"/>
    </row>
    <row r="377" spans="2:2" ht="15.75" customHeight="1">
      <c r="B377" s="204"/>
    </row>
    <row r="378" spans="2:2" ht="15.75" customHeight="1">
      <c r="B378" s="204"/>
    </row>
    <row r="379" spans="2:2" ht="15.75" customHeight="1">
      <c r="B379" s="204"/>
    </row>
    <row r="380" spans="2:2" ht="15.75" customHeight="1">
      <c r="B380" s="204"/>
    </row>
    <row r="381" spans="2:2" ht="15.75" customHeight="1">
      <c r="B381" s="204"/>
    </row>
    <row r="382" spans="2:2" ht="15.75" customHeight="1">
      <c r="B382" s="204"/>
    </row>
    <row r="383" spans="2:2" ht="15.75" customHeight="1">
      <c r="B383" s="204"/>
    </row>
    <row r="384" spans="2:2" ht="15.75" customHeight="1">
      <c r="B384" s="204"/>
    </row>
    <row r="385" spans="2:2" ht="15.75" customHeight="1">
      <c r="B385" s="204"/>
    </row>
    <row r="386" spans="2:2" ht="15.75" customHeight="1">
      <c r="B386" s="204"/>
    </row>
    <row r="387" spans="2:2" ht="15.75" customHeight="1">
      <c r="B387" s="204"/>
    </row>
    <row r="388" spans="2:2" ht="15.75" customHeight="1">
      <c r="B388" s="204"/>
    </row>
    <row r="389" spans="2:2" ht="15.75" customHeight="1">
      <c r="B389" s="204"/>
    </row>
    <row r="390" spans="2:2" ht="15.75" customHeight="1">
      <c r="B390" s="204"/>
    </row>
    <row r="391" spans="2:2" ht="15.75" customHeight="1">
      <c r="B391" s="204"/>
    </row>
    <row r="392" spans="2:2" ht="15.75" customHeight="1">
      <c r="B392" s="204"/>
    </row>
    <row r="393" spans="2:2" ht="15.75" customHeight="1">
      <c r="B393" s="204"/>
    </row>
    <row r="394" spans="2:2" ht="15.75" customHeight="1">
      <c r="B394" s="204"/>
    </row>
    <row r="395" spans="2:2" ht="15.75" customHeight="1">
      <c r="B395" s="204"/>
    </row>
    <row r="396" spans="2:2" ht="15.75" customHeight="1">
      <c r="B396" s="204"/>
    </row>
    <row r="397" spans="2:2" ht="15.75" customHeight="1">
      <c r="B397" s="204"/>
    </row>
    <row r="398" spans="2:2" ht="15.75" customHeight="1">
      <c r="B398" s="204"/>
    </row>
    <row r="399" spans="2:2" ht="15.75" customHeight="1">
      <c r="B399" s="204"/>
    </row>
    <row r="400" spans="2:2" ht="15.75" customHeight="1">
      <c r="B400" s="204"/>
    </row>
    <row r="401" spans="2:2" ht="15.75" customHeight="1">
      <c r="B401" s="204"/>
    </row>
    <row r="402" spans="2:2" ht="15.75" customHeight="1">
      <c r="B402" s="204"/>
    </row>
    <row r="403" spans="2:2" ht="15.75" customHeight="1">
      <c r="B403" s="204"/>
    </row>
    <row r="404" spans="2:2" ht="15.75" customHeight="1">
      <c r="B404" s="204"/>
    </row>
    <row r="405" spans="2:2" ht="15.75" customHeight="1">
      <c r="B405" s="204"/>
    </row>
    <row r="406" spans="2:2" ht="15.75" customHeight="1">
      <c r="B406" s="204"/>
    </row>
    <row r="407" spans="2:2" ht="15.75" customHeight="1">
      <c r="B407" s="204"/>
    </row>
    <row r="408" spans="2:2" ht="15.75" customHeight="1">
      <c r="B408" s="204"/>
    </row>
    <row r="409" spans="2:2" ht="15.75" customHeight="1">
      <c r="B409" s="204"/>
    </row>
    <row r="410" spans="2:2" ht="15.75" customHeight="1">
      <c r="B410" s="204"/>
    </row>
    <row r="411" spans="2:2" ht="15.75" customHeight="1">
      <c r="B411" s="204"/>
    </row>
    <row r="412" spans="2:2" ht="15.75" customHeight="1">
      <c r="B412" s="204"/>
    </row>
    <row r="413" spans="2:2" ht="15.75" customHeight="1">
      <c r="B413" s="204"/>
    </row>
    <row r="414" spans="2:2" ht="15.75" customHeight="1">
      <c r="B414" s="204"/>
    </row>
    <row r="415" spans="2:2" ht="15.75" customHeight="1">
      <c r="B415" s="204"/>
    </row>
    <row r="416" spans="2:2" ht="15.75" customHeight="1">
      <c r="B416" s="204"/>
    </row>
    <row r="417" spans="2:2" ht="15.75" customHeight="1">
      <c r="B417" s="204"/>
    </row>
    <row r="418" spans="2:2" ht="15.75" customHeight="1">
      <c r="B418" s="204"/>
    </row>
    <row r="419" spans="2:2" ht="15.75" customHeight="1">
      <c r="B419" s="204"/>
    </row>
    <row r="420" spans="2:2" ht="15.75" customHeight="1">
      <c r="B420" s="204"/>
    </row>
    <row r="421" spans="2:2" ht="15.75" customHeight="1">
      <c r="B421" s="204"/>
    </row>
    <row r="422" spans="2:2" ht="15.75" customHeight="1">
      <c r="B422" s="204"/>
    </row>
    <row r="423" spans="2:2" ht="15.75" customHeight="1">
      <c r="B423" s="204"/>
    </row>
    <row r="424" spans="2:2" ht="15.75" customHeight="1">
      <c r="B424" s="204"/>
    </row>
    <row r="425" spans="2:2" ht="15.75" customHeight="1">
      <c r="B425" s="204"/>
    </row>
    <row r="426" spans="2:2" ht="15.75" customHeight="1">
      <c r="B426" s="204"/>
    </row>
    <row r="427" spans="2:2" ht="15.75" customHeight="1">
      <c r="B427" s="204"/>
    </row>
    <row r="428" spans="2:2" ht="15.75" customHeight="1">
      <c r="B428" s="204"/>
    </row>
    <row r="429" spans="2:2" ht="15.75" customHeight="1">
      <c r="B429" s="204"/>
    </row>
    <row r="430" spans="2:2" ht="15.75" customHeight="1">
      <c r="B430" s="204"/>
    </row>
    <row r="431" spans="2:2" ht="15.75" customHeight="1">
      <c r="B431" s="204"/>
    </row>
    <row r="432" spans="2:2" ht="15.75" customHeight="1">
      <c r="B432" s="204"/>
    </row>
    <row r="433" spans="2:2" ht="15.75" customHeight="1">
      <c r="B433" s="204"/>
    </row>
    <row r="434" spans="2:2" ht="15.75" customHeight="1">
      <c r="B434" s="204"/>
    </row>
    <row r="435" spans="2:2" ht="15.75" customHeight="1">
      <c r="B435" s="204"/>
    </row>
    <row r="436" spans="2:2" ht="15.75" customHeight="1">
      <c r="B436" s="204"/>
    </row>
    <row r="437" spans="2:2" ht="15.75" customHeight="1">
      <c r="B437" s="204"/>
    </row>
    <row r="438" spans="2:2" ht="15.75" customHeight="1">
      <c r="B438" s="204"/>
    </row>
    <row r="439" spans="2:2" ht="15.75" customHeight="1">
      <c r="B439" s="204"/>
    </row>
    <row r="440" spans="2:2" ht="15.75" customHeight="1">
      <c r="B440" s="204"/>
    </row>
    <row r="441" spans="2:2" ht="15.75" customHeight="1">
      <c r="B441" s="204"/>
    </row>
    <row r="442" spans="2:2" ht="15.75" customHeight="1">
      <c r="B442" s="204"/>
    </row>
    <row r="443" spans="2:2" ht="15.75" customHeight="1">
      <c r="B443" s="204"/>
    </row>
    <row r="444" spans="2:2" ht="15.75" customHeight="1">
      <c r="B444" s="204"/>
    </row>
    <row r="445" spans="2:2" ht="15.75" customHeight="1">
      <c r="B445" s="204"/>
    </row>
    <row r="446" spans="2:2" ht="15.75" customHeight="1">
      <c r="B446" s="204"/>
    </row>
    <row r="447" spans="2:2" ht="15.75" customHeight="1">
      <c r="B447" s="204"/>
    </row>
    <row r="448" spans="2:2" ht="15.75" customHeight="1">
      <c r="B448" s="204"/>
    </row>
    <row r="449" spans="2:2" ht="15.75" customHeight="1">
      <c r="B449" s="204"/>
    </row>
    <row r="450" spans="2:2" ht="15.75" customHeight="1">
      <c r="B450" s="204"/>
    </row>
    <row r="451" spans="2:2" ht="15.75" customHeight="1">
      <c r="B451" s="204"/>
    </row>
    <row r="452" spans="2:2" ht="15.75" customHeight="1">
      <c r="B452" s="204"/>
    </row>
    <row r="453" spans="2:2" ht="15.75" customHeight="1">
      <c r="B453" s="204"/>
    </row>
    <row r="454" spans="2:2" ht="15.75" customHeight="1">
      <c r="B454" s="204"/>
    </row>
    <row r="455" spans="2:2" ht="15.75" customHeight="1">
      <c r="B455" s="204"/>
    </row>
    <row r="456" spans="2:2" ht="15.75" customHeight="1">
      <c r="B456" s="204"/>
    </row>
    <row r="457" spans="2:2" ht="15.75" customHeight="1">
      <c r="B457" s="204"/>
    </row>
    <row r="458" spans="2:2" ht="15.75" customHeight="1">
      <c r="B458" s="204"/>
    </row>
    <row r="459" spans="2:2" ht="15.75" customHeight="1">
      <c r="B459" s="204"/>
    </row>
    <row r="460" spans="2:2" ht="15.75" customHeight="1">
      <c r="B460" s="204"/>
    </row>
    <row r="461" spans="2:2" ht="15.75" customHeight="1">
      <c r="B461" s="204"/>
    </row>
    <row r="462" spans="2:2" ht="15.75" customHeight="1">
      <c r="B462" s="204"/>
    </row>
    <row r="463" spans="2:2" ht="15.75" customHeight="1">
      <c r="B463" s="204"/>
    </row>
    <row r="464" spans="2:2" ht="15.75" customHeight="1">
      <c r="B464" s="204"/>
    </row>
    <row r="465" spans="2:2" ht="15.75" customHeight="1">
      <c r="B465" s="204"/>
    </row>
    <row r="466" spans="2:2" ht="15.75" customHeight="1">
      <c r="B466" s="204"/>
    </row>
    <row r="467" spans="2:2" ht="15.75" customHeight="1">
      <c r="B467" s="204"/>
    </row>
    <row r="468" spans="2:2" ht="15.75" customHeight="1">
      <c r="B468" s="204"/>
    </row>
    <row r="469" spans="2:2" ht="15.75" customHeight="1">
      <c r="B469" s="204"/>
    </row>
    <row r="470" spans="2:2" ht="15.75" customHeight="1">
      <c r="B470" s="204"/>
    </row>
    <row r="471" spans="2:2" ht="15.75" customHeight="1">
      <c r="B471" s="204"/>
    </row>
    <row r="472" spans="2:2" ht="15.75" customHeight="1">
      <c r="B472" s="204"/>
    </row>
    <row r="473" spans="2:2" ht="15.75" customHeight="1">
      <c r="B473" s="204"/>
    </row>
    <row r="474" spans="2:2" ht="15.75" customHeight="1">
      <c r="B474" s="204"/>
    </row>
    <row r="475" spans="2:2" ht="15.75" customHeight="1">
      <c r="B475" s="204"/>
    </row>
    <row r="476" spans="2:2" ht="15.75" customHeight="1">
      <c r="B476" s="204"/>
    </row>
    <row r="477" spans="2:2" ht="15.75" customHeight="1">
      <c r="B477" s="204"/>
    </row>
    <row r="478" spans="2:2" ht="15.75" customHeight="1">
      <c r="B478" s="204"/>
    </row>
    <row r="479" spans="2:2" ht="15.75" customHeight="1">
      <c r="B479" s="204"/>
    </row>
    <row r="480" spans="2:2" ht="15.75" customHeight="1">
      <c r="B480" s="204"/>
    </row>
    <row r="481" spans="2:2" ht="15.75" customHeight="1">
      <c r="B481" s="204"/>
    </row>
    <row r="482" spans="2:2" ht="15.75" customHeight="1">
      <c r="B482" s="204"/>
    </row>
    <row r="483" spans="2:2" ht="15.75" customHeight="1">
      <c r="B483" s="204"/>
    </row>
    <row r="484" spans="2:2" ht="15.75" customHeight="1">
      <c r="B484" s="204"/>
    </row>
    <row r="485" spans="2:2" ht="15.75" customHeight="1">
      <c r="B485" s="204"/>
    </row>
    <row r="486" spans="2:2" ht="15.75" customHeight="1">
      <c r="B486" s="204"/>
    </row>
    <row r="487" spans="2:2" ht="15.75" customHeight="1">
      <c r="B487" s="204"/>
    </row>
    <row r="488" spans="2:2" ht="15.75" customHeight="1">
      <c r="B488" s="204"/>
    </row>
    <row r="489" spans="2:2" ht="15.75" customHeight="1">
      <c r="B489" s="204"/>
    </row>
    <row r="490" spans="2:2" ht="15.75" customHeight="1">
      <c r="B490" s="204"/>
    </row>
    <row r="491" spans="2:2" ht="15.75" customHeight="1">
      <c r="B491" s="204"/>
    </row>
    <row r="492" spans="2:2" ht="15.75" customHeight="1">
      <c r="B492" s="204"/>
    </row>
    <row r="493" spans="2:2" ht="15.75" customHeight="1">
      <c r="B493" s="204"/>
    </row>
    <row r="494" spans="2:2" ht="15.75" customHeight="1">
      <c r="B494" s="204"/>
    </row>
    <row r="495" spans="2:2" ht="15.75" customHeight="1">
      <c r="B495" s="204"/>
    </row>
    <row r="496" spans="2:2" ht="15.75" customHeight="1">
      <c r="B496" s="204"/>
    </row>
    <row r="497" spans="2:2" ht="15.75" customHeight="1">
      <c r="B497" s="204"/>
    </row>
    <row r="498" spans="2:2" ht="15.75" customHeight="1">
      <c r="B498" s="204"/>
    </row>
    <row r="499" spans="2:2" ht="15.75" customHeight="1">
      <c r="B499" s="204"/>
    </row>
    <row r="500" spans="2:2" ht="15.75" customHeight="1">
      <c r="B500" s="204"/>
    </row>
    <row r="501" spans="2:2" ht="15.75" customHeight="1">
      <c r="B501" s="204"/>
    </row>
    <row r="502" spans="2:2" ht="15.75" customHeight="1">
      <c r="B502" s="204"/>
    </row>
    <row r="503" spans="2:2" ht="15.75" customHeight="1">
      <c r="B503" s="204"/>
    </row>
    <row r="504" spans="2:2" ht="15.75" customHeight="1">
      <c r="B504" s="204"/>
    </row>
    <row r="505" spans="2:2" ht="15.75" customHeight="1">
      <c r="B505" s="204"/>
    </row>
    <row r="506" spans="2:2" ht="15.75" customHeight="1">
      <c r="B506" s="204"/>
    </row>
    <row r="507" spans="2:2" ht="15.75" customHeight="1">
      <c r="B507" s="204"/>
    </row>
    <row r="508" spans="2:2" ht="15.75" customHeight="1">
      <c r="B508" s="204"/>
    </row>
    <row r="509" spans="2:2" ht="15.75" customHeight="1">
      <c r="B509" s="204"/>
    </row>
    <row r="510" spans="2:2" ht="15.75" customHeight="1">
      <c r="B510" s="204"/>
    </row>
    <row r="511" spans="2:2" ht="15.75" customHeight="1">
      <c r="B511" s="204"/>
    </row>
    <row r="512" spans="2:2" ht="15.75" customHeight="1">
      <c r="B512" s="204"/>
    </row>
    <row r="513" spans="2:2" ht="15.75" customHeight="1">
      <c r="B513" s="204"/>
    </row>
    <row r="514" spans="2:2" ht="15.75" customHeight="1">
      <c r="B514" s="204"/>
    </row>
    <row r="515" spans="2:2" ht="15.75" customHeight="1">
      <c r="B515" s="204"/>
    </row>
    <row r="516" spans="2:2" ht="15.75" customHeight="1">
      <c r="B516" s="204"/>
    </row>
    <row r="517" spans="2:2" ht="15.75" customHeight="1">
      <c r="B517" s="204"/>
    </row>
    <row r="518" spans="2:2" ht="15.75" customHeight="1">
      <c r="B518" s="204"/>
    </row>
    <row r="519" spans="2:2" ht="15.75" customHeight="1">
      <c r="B519" s="204"/>
    </row>
    <row r="520" spans="2:2" ht="15.75" customHeight="1">
      <c r="B520" s="204"/>
    </row>
    <row r="521" spans="2:2" ht="15.75" customHeight="1">
      <c r="B521" s="204"/>
    </row>
    <row r="522" spans="2:2" ht="15.75" customHeight="1">
      <c r="B522" s="204"/>
    </row>
    <row r="523" spans="2:2" ht="15.75" customHeight="1">
      <c r="B523" s="204"/>
    </row>
    <row r="524" spans="2:2" ht="15.75" customHeight="1">
      <c r="B524" s="204"/>
    </row>
    <row r="525" spans="2:2" ht="15.75" customHeight="1">
      <c r="B525" s="204"/>
    </row>
    <row r="526" spans="2:2" ht="15.75" customHeight="1">
      <c r="B526" s="204"/>
    </row>
    <row r="527" spans="2:2" ht="15.75" customHeight="1">
      <c r="B527" s="204"/>
    </row>
    <row r="528" spans="2:2" ht="15.75" customHeight="1">
      <c r="B528" s="204"/>
    </row>
    <row r="529" spans="2:2" ht="15.75" customHeight="1">
      <c r="B529" s="204"/>
    </row>
    <row r="530" spans="2:2" ht="15.75" customHeight="1">
      <c r="B530" s="204"/>
    </row>
    <row r="531" spans="2:2" ht="15.75" customHeight="1">
      <c r="B531" s="204"/>
    </row>
    <row r="532" spans="2:2" ht="15.75" customHeight="1">
      <c r="B532" s="204"/>
    </row>
    <row r="533" spans="2:2" ht="15.75" customHeight="1">
      <c r="B533" s="204"/>
    </row>
    <row r="534" spans="2:2" ht="15.75" customHeight="1">
      <c r="B534" s="204"/>
    </row>
    <row r="535" spans="2:2" ht="15.75" customHeight="1">
      <c r="B535" s="204"/>
    </row>
    <row r="536" spans="2:2" ht="15.75" customHeight="1">
      <c r="B536" s="204"/>
    </row>
    <row r="537" spans="2:2" ht="15.75" customHeight="1">
      <c r="B537" s="204"/>
    </row>
    <row r="538" spans="2:2" ht="15.75" customHeight="1">
      <c r="B538" s="204"/>
    </row>
    <row r="539" spans="2:2" ht="15.75" customHeight="1">
      <c r="B539" s="204"/>
    </row>
    <row r="540" spans="2:2" ht="15.75" customHeight="1">
      <c r="B540" s="204"/>
    </row>
    <row r="541" spans="2:2" ht="15.75" customHeight="1">
      <c r="B541" s="204"/>
    </row>
    <row r="542" spans="2:2" ht="15.75" customHeight="1">
      <c r="B542" s="204"/>
    </row>
    <row r="543" spans="2:2" ht="15.75" customHeight="1">
      <c r="B543" s="204"/>
    </row>
    <row r="544" spans="2:2" ht="15.75" customHeight="1">
      <c r="B544" s="204"/>
    </row>
    <row r="545" spans="2:2" ht="15.75" customHeight="1">
      <c r="B545" s="204"/>
    </row>
    <row r="546" spans="2:2" ht="15.75" customHeight="1">
      <c r="B546" s="204"/>
    </row>
    <row r="547" spans="2:2" ht="15.75" customHeight="1">
      <c r="B547" s="204"/>
    </row>
    <row r="548" spans="2:2" ht="15.75" customHeight="1">
      <c r="B548" s="204"/>
    </row>
    <row r="549" spans="2:2" ht="15.75" customHeight="1">
      <c r="B549" s="204"/>
    </row>
    <row r="550" spans="2:2" ht="15.75" customHeight="1">
      <c r="B550" s="204"/>
    </row>
    <row r="551" spans="2:2" ht="15.75" customHeight="1">
      <c r="B551" s="204"/>
    </row>
    <row r="552" spans="2:2" ht="15.75" customHeight="1">
      <c r="B552" s="204"/>
    </row>
    <row r="553" spans="2:2" ht="15.75" customHeight="1">
      <c r="B553" s="204"/>
    </row>
    <row r="554" spans="2:2" ht="15.75" customHeight="1">
      <c r="B554" s="204"/>
    </row>
    <row r="555" spans="2:2" ht="15.75" customHeight="1">
      <c r="B555" s="204"/>
    </row>
    <row r="556" spans="2:2" ht="15.75" customHeight="1">
      <c r="B556" s="204"/>
    </row>
    <row r="557" spans="2:2" ht="15.75" customHeight="1">
      <c r="B557" s="204"/>
    </row>
    <row r="558" spans="2:2" ht="15.75" customHeight="1">
      <c r="B558" s="204"/>
    </row>
    <row r="559" spans="2:2" ht="15.75" customHeight="1">
      <c r="B559" s="204"/>
    </row>
    <row r="560" spans="2:2" ht="15.75" customHeight="1">
      <c r="B560" s="204"/>
    </row>
    <row r="561" spans="2:2" ht="15.75" customHeight="1">
      <c r="B561" s="204"/>
    </row>
    <row r="562" spans="2:2" ht="15.75" customHeight="1">
      <c r="B562" s="204"/>
    </row>
    <row r="563" spans="2:2" ht="15.75" customHeight="1">
      <c r="B563" s="204"/>
    </row>
    <row r="564" spans="2:2" ht="15.75" customHeight="1">
      <c r="B564" s="204"/>
    </row>
    <row r="565" spans="2:2" ht="15.75" customHeight="1">
      <c r="B565" s="204"/>
    </row>
    <row r="566" spans="2:2" ht="15.75" customHeight="1">
      <c r="B566" s="204"/>
    </row>
    <row r="567" spans="2:2" ht="15.75" customHeight="1">
      <c r="B567" s="204"/>
    </row>
    <row r="568" spans="2:2" ht="15.75" customHeight="1">
      <c r="B568" s="204"/>
    </row>
    <row r="569" spans="2:2" ht="15.75" customHeight="1">
      <c r="B569" s="204"/>
    </row>
    <row r="570" spans="2:2" ht="15.75" customHeight="1">
      <c r="B570" s="204"/>
    </row>
    <row r="571" spans="2:2" ht="15.75" customHeight="1">
      <c r="B571" s="204"/>
    </row>
    <row r="572" spans="2:2" ht="15.75" customHeight="1">
      <c r="B572" s="204"/>
    </row>
    <row r="573" spans="2:2" ht="15.75" customHeight="1">
      <c r="B573" s="204"/>
    </row>
    <row r="574" spans="2:2" ht="15.75" customHeight="1">
      <c r="B574" s="204"/>
    </row>
    <row r="575" spans="2:2" ht="15.75" customHeight="1">
      <c r="B575" s="204"/>
    </row>
    <row r="576" spans="2:2" ht="15.75" customHeight="1">
      <c r="B576" s="204"/>
    </row>
    <row r="577" spans="2:2" ht="15.75" customHeight="1">
      <c r="B577" s="204"/>
    </row>
    <row r="578" spans="2:2" ht="15.75" customHeight="1">
      <c r="B578" s="204"/>
    </row>
    <row r="579" spans="2:2" ht="15.75" customHeight="1">
      <c r="B579" s="204"/>
    </row>
    <row r="580" spans="2:2" ht="15.75" customHeight="1">
      <c r="B580" s="204"/>
    </row>
    <row r="581" spans="2:2" ht="15.75" customHeight="1">
      <c r="B581" s="204"/>
    </row>
    <row r="582" spans="2:2" ht="15.75" customHeight="1">
      <c r="B582" s="204"/>
    </row>
    <row r="583" spans="2:2" ht="15.75" customHeight="1">
      <c r="B583" s="204"/>
    </row>
    <row r="584" spans="2:2" ht="15.75" customHeight="1">
      <c r="B584" s="204"/>
    </row>
    <row r="585" spans="2:2" ht="15.75" customHeight="1">
      <c r="B585" s="204"/>
    </row>
    <row r="586" spans="2:2" ht="15.75" customHeight="1">
      <c r="B586" s="204"/>
    </row>
    <row r="587" spans="2:2" ht="15.75" customHeight="1">
      <c r="B587" s="204"/>
    </row>
    <row r="588" spans="2:2" ht="15.75" customHeight="1">
      <c r="B588" s="204"/>
    </row>
    <row r="589" spans="2:2" ht="15.75" customHeight="1">
      <c r="B589" s="204"/>
    </row>
    <row r="590" spans="2:2" ht="15.75" customHeight="1">
      <c r="B590" s="204"/>
    </row>
    <row r="591" spans="2:2" ht="15.75" customHeight="1">
      <c r="B591" s="204"/>
    </row>
    <row r="592" spans="2:2" ht="15.75" customHeight="1">
      <c r="B592" s="204"/>
    </row>
    <row r="593" spans="2:2" ht="15.75" customHeight="1">
      <c r="B593" s="204"/>
    </row>
    <row r="594" spans="2:2" ht="15.75" customHeight="1">
      <c r="B594" s="204"/>
    </row>
    <row r="595" spans="2:2" ht="15.75" customHeight="1">
      <c r="B595" s="204"/>
    </row>
    <row r="596" spans="2:2" ht="15.75" customHeight="1">
      <c r="B596" s="204"/>
    </row>
    <row r="597" spans="2:2" ht="15.75" customHeight="1">
      <c r="B597" s="204"/>
    </row>
    <row r="598" spans="2:2" ht="15.75" customHeight="1">
      <c r="B598" s="204"/>
    </row>
    <row r="599" spans="2:2" ht="15.75" customHeight="1">
      <c r="B599" s="204"/>
    </row>
    <row r="600" spans="2:2" ht="15.75" customHeight="1">
      <c r="B600" s="204"/>
    </row>
    <row r="601" spans="2:2" ht="15.75" customHeight="1">
      <c r="B601" s="204"/>
    </row>
    <row r="602" spans="2:2" ht="15.75" customHeight="1">
      <c r="B602" s="204"/>
    </row>
    <row r="603" spans="2:2" ht="15.75" customHeight="1">
      <c r="B603" s="204"/>
    </row>
    <row r="604" spans="2:2" ht="15.75" customHeight="1">
      <c r="B604" s="204"/>
    </row>
    <row r="605" spans="2:2" ht="15.75" customHeight="1">
      <c r="B605" s="204"/>
    </row>
    <row r="606" spans="2:2" ht="15.75" customHeight="1">
      <c r="B606" s="204"/>
    </row>
    <row r="607" spans="2:2" ht="15.75" customHeight="1">
      <c r="B607" s="204"/>
    </row>
    <row r="608" spans="2:2" ht="15.75" customHeight="1">
      <c r="B608" s="204"/>
    </row>
    <row r="609" spans="2:2" ht="15.75" customHeight="1">
      <c r="B609" s="204"/>
    </row>
    <row r="610" spans="2:2" ht="15.75" customHeight="1">
      <c r="B610" s="204"/>
    </row>
    <row r="611" spans="2:2" ht="15.75" customHeight="1">
      <c r="B611" s="204"/>
    </row>
    <row r="612" spans="2:2" ht="15.75" customHeight="1">
      <c r="B612" s="204"/>
    </row>
    <row r="613" spans="2:2" ht="15.75" customHeight="1">
      <c r="B613" s="204"/>
    </row>
    <row r="614" spans="2:2" ht="15.75" customHeight="1">
      <c r="B614" s="204"/>
    </row>
    <row r="615" spans="2:2" ht="15.75" customHeight="1">
      <c r="B615" s="204"/>
    </row>
    <row r="616" spans="2:2" ht="15.75" customHeight="1">
      <c r="B616" s="204"/>
    </row>
    <row r="617" spans="2:2" ht="15.75" customHeight="1">
      <c r="B617" s="204"/>
    </row>
    <row r="618" spans="2:2" ht="15.75" customHeight="1">
      <c r="B618" s="204"/>
    </row>
    <row r="619" spans="2:2" ht="15.75" customHeight="1">
      <c r="B619" s="204"/>
    </row>
    <row r="620" spans="2:2" ht="15.75" customHeight="1">
      <c r="B620" s="204"/>
    </row>
    <row r="621" spans="2:2" ht="15.75" customHeight="1">
      <c r="B621" s="204"/>
    </row>
    <row r="622" spans="2:2" ht="15.75" customHeight="1">
      <c r="B622" s="204"/>
    </row>
    <row r="623" spans="2:2" ht="15.75" customHeight="1">
      <c r="B623" s="204"/>
    </row>
    <row r="624" spans="2:2" ht="15.75" customHeight="1">
      <c r="B624" s="204"/>
    </row>
    <row r="625" spans="2:2" ht="15.75" customHeight="1">
      <c r="B625" s="204"/>
    </row>
    <row r="626" spans="2:2" ht="15.75" customHeight="1">
      <c r="B626" s="204"/>
    </row>
    <row r="627" spans="2:2" ht="15.75" customHeight="1">
      <c r="B627" s="204"/>
    </row>
    <row r="628" spans="2:2" ht="15.75" customHeight="1">
      <c r="B628" s="204"/>
    </row>
    <row r="629" spans="2:2" ht="15.75" customHeight="1">
      <c r="B629" s="204"/>
    </row>
    <row r="630" spans="2:2" ht="15.75" customHeight="1">
      <c r="B630" s="204"/>
    </row>
    <row r="631" spans="2:2" ht="15.75" customHeight="1">
      <c r="B631" s="204"/>
    </row>
    <row r="632" spans="2:2" ht="15.75" customHeight="1">
      <c r="B632" s="204"/>
    </row>
    <row r="633" spans="2:2" ht="15.75" customHeight="1">
      <c r="B633" s="204"/>
    </row>
    <row r="634" spans="2:2" ht="15.75" customHeight="1">
      <c r="B634" s="204"/>
    </row>
    <row r="635" spans="2:2" ht="15.75" customHeight="1">
      <c r="B635" s="204"/>
    </row>
    <row r="636" spans="2:2" ht="15.75" customHeight="1">
      <c r="B636" s="204"/>
    </row>
    <row r="637" spans="2:2" ht="15.75" customHeight="1">
      <c r="B637" s="204"/>
    </row>
    <row r="638" spans="2:2" ht="15.75" customHeight="1">
      <c r="B638" s="204"/>
    </row>
    <row r="639" spans="2:2" ht="15.75" customHeight="1">
      <c r="B639" s="204"/>
    </row>
    <row r="640" spans="2:2" ht="15.75" customHeight="1">
      <c r="B640" s="204"/>
    </row>
    <row r="641" spans="2:2" ht="15.75" customHeight="1">
      <c r="B641" s="204"/>
    </row>
    <row r="642" spans="2:2" ht="15.75" customHeight="1">
      <c r="B642" s="204"/>
    </row>
    <row r="643" spans="2:2" ht="15.75" customHeight="1">
      <c r="B643" s="204"/>
    </row>
    <row r="644" spans="2:2" ht="15.75" customHeight="1">
      <c r="B644" s="204"/>
    </row>
    <row r="645" spans="2:2" ht="15.75" customHeight="1">
      <c r="B645" s="204"/>
    </row>
    <row r="646" spans="2:2" ht="15.75" customHeight="1">
      <c r="B646" s="204"/>
    </row>
    <row r="647" spans="2:2" ht="15.75" customHeight="1">
      <c r="B647" s="204"/>
    </row>
    <row r="648" spans="2:2" ht="15.75" customHeight="1">
      <c r="B648" s="204"/>
    </row>
    <row r="649" spans="2:2" ht="15.75" customHeight="1">
      <c r="B649" s="204"/>
    </row>
    <row r="650" spans="2:2" ht="15.75" customHeight="1">
      <c r="B650" s="204"/>
    </row>
    <row r="651" spans="2:2" ht="15.75" customHeight="1">
      <c r="B651" s="204"/>
    </row>
    <row r="652" spans="2:2" ht="15.75" customHeight="1">
      <c r="B652" s="204"/>
    </row>
    <row r="653" spans="2:2" ht="15.75" customHeight="1">
      <c r="B653" s="204"/>
    </row>
    <row r="654" spans="2:2" ht="15.75" customHeight="1">
      <c r="B654" s="204"/>
    </row>
    <row r="655" spans="2:2" ht="15.75" customHeight="1">
      <c r="B655" s="204"/>
    </row>
    <row r="656" spans="2:2" ht="15.75" customHeight="1">
      <c r="B656" s="204"/>
    </row>
    <row r="657" spans="2:2" ht="15.75" customHeight="1">
      <c r="B657" s="204"/>
    </row>
    <row r="658" spans="2:2" ht="15.75" customHeight="1">
      <c r="B658" s="204"/>
    </row>
    <row r="659" spans="2:2" ht="15.75" customHeight="1">
      <c r="B659" s="204"/>
    </row>
    <row r="660" spans="2:2" ht="15.75" customHeight="1">
      <c r="B660" s="204"/>
    </row>
    <row r="661" spans="2:2" ht="15.75" customHeight="1">
      <c r="B661" s="204"/>
    </row>
    <row r="662" spans="2:2" ht="15.75" customHeight="1">
      <c r="B662" s="204"/>
    </row>
    <row r="663" spans="2:2" ht="15.75" customHeight="1">
      <c r="B663" s="204"/>
    </row>
    <row r="664" spans="2:2" ht="15.75" customHeight="1">
      <c r="B664" s="204"/>
    </row>
    <row r="665" spans="2:2" ht="15.75" customHeight="1">
      <c r="B665" s="204"/>
    </row>
    <row r="666" spans="2:2" ht="15.75" customHeight="1">
      <c r="B666" s="204"/>
    </row>
    <row r="667" spans="2:2" ht="15.75" customHeight="1">
      <c r="B667" s="204"/>
    </row>
    <row r="668" spans="2:2" ht="15.75" customHeight="1">
      <c r="B668" s="204"/>
    </row>
    <row r="669" spans="2:2" ht="15.75" customHeight="1">
      <c r="B669" s="204"/>
    </row>
    <row r="670" spans="2:2" ht="15.75" customHeight="1">
      <c r="B670" s="204"/>
    </row>
    <row r="671" spans="2:2" ht="15.75" customHeight="1">
      <c r="B671" s="204"/>
    </row>
    <row r="672" spans="2:2" ht="15.75" customHeight="1">
      <c r="B672" s="204"/>
    </row>
    <row r="673" spans="2:2" ht="15.75" customHeight="1">
      <c r="B673" s="204"/>
    </row>
    <row r="674" spans="2:2" ht="15.75" customHeight="1">
      <c r="B674" s="204"/>
    </row>
    <row r="675" spans="2:2" ht="15.75" customHeight="1">
      <c r="B675" s="204"/>
    </row>
    <row r="676" spans="2:2" ht="15.75" customHeight="1">
      <c r="B676" s="204"/>
    </row>
    <row r="677" spans="2:2" ht="15.75" customHeight="1">
      <c r="B677" s="204"/>
    </row>
    <row r="678" spans="2:2" ht="15.75" customHeight="1">
      <c r="B678" s="204"/>
    </row>
    <row r="679" spans="2:2" ht="15.75" customHeight="1">
      <c r="B679" s="204"/>
    </row>
    <row r="680" spans="2:2" ht="15.75" customHeight="1">
      <c r="B680" s="204"/>
    </row>
    <row r="681" spans="2:2" ht="15.75" customHeight="1">
      <c r="B681" s="204"/>
    </row>
    <row r="682" spans="2:2" ht="15.75" customHeight="1">
      <c r="B682" s="204"/>
    </row>
    <row r="683" spans="2:2" ht="15.75" customHeight="1">
      <c r="B683" s="204"/>
    </row>
    <row r="684" spans="2:2" ht="15.75" customHeight="1">
      <c r="B684" s="204"/>
    </row>
    <row r="685" spans="2:2" ht="15.75" customHeight="1">
      <c r="B685" s="204"/>
    </row>
    <row r="686" spans="2:2" ht="15.75" customHeight="1">
      <c r="B686" s="204"/>
    </row>
    <row r="687" spans="2:2" ht="15.75" customHeight="1">
      <c r="B687" s="204"/>
    </row>
    <row r="688" spans="2:2" ht="15.75" customHeight="1">
      <c r="B688" s="204"/>
    </row>
    <row r="689" spans="2:2" ht="15.75" customHeight="1">
      <c r="B689" s="204"/>
    </row>
    <row r="690" spans="2:2" ht="15.75" customHeight="1">
      <c r="B690" s="204"/>
    </row>
    <row r="691" spans="2:2" ht="15.75" customHeight="1">
      <c r="B691" s="204"/>
    </row>
    <row r="692" spans="2:2" ht="15.75" customHeight="1">
      <c r="B692" s="204"/>
    </row>
    <row r="693" spans="2:2" ht="15.75" customHeight="1">
      <c r="B693" s="204"/>
    </row>
    <row r="694" spans="2:2" ht="15.75" customHeight="1">
      <c r="B694" s="204"/>
    </row>
    <row r="695" spans="2:2" ht="15.75" customHeight="1">
      <c r="B695" s="204"/>
    </row>
    <row r="696" spans="2:2" ht="15.75" customHeight="1">
      <c r="B696" s="204"/>
    </row>
    <row r="697" spans="2:2" ht="15.75" customHeight="1">
      <c r="B697" s="204"/>
    </row>
    <row r="698" spans="2:2" ht="15.75" customHeight="1">
      <c r="B698" s="204"/>
    </row>
    <row r="699" spans="2:2" ht="15.75" customHeight="1">
      <c r="B699" s="204"/>
    </row>
    <row r="700" spans="2:2" ht="15.75" customHeight="1">
      <c r="B700" s="204"/>
    </row>
    <row r="701" spans="2:2" ht="15.75" customHeight="1">
      <c r="B701" s="204"/>
    </row>
    <row r="702" spans="2:2" ht="15.75" customHeight="1">
      <c r="B702" s="204"/>
    </row>
    <row r="703" spans="2:2" ht="15.75" customHeight="1">
      <c r="B703" s="204"/>
    </row>
    <row r="704" spans="2:2" ht="15.75" customHeight="1">
      <c r="B704" s="204"/>
    </row>
    <row r="705" spans="2:2" ht="15.75" customHeight="1">
      <c r="B705" s="204"/>
    </row>
    <row r="706" spans="2:2" ht="15.75" customHeight="1">
      <c r="B706" s="204"/>
    </row>
    <row r="707" spans="2:2" ht="15.75" customHeight="1">
      <c r="B707" s="204"/>
    </row>
    <row r="708" spans="2:2" ht="15.75" customHeight="1">
      <c r="B708" s="204"/>
    </row>
    <row r="709" spans="2:2" ht="15.75" customHeight="1">
      <c r="B709" s="204"/>
    </row>
    <row r="710" spans="2:2" ht="15.75" customHeight="1">
      <c r="B710" s="204"/>
    </row>
    <row r="711" spans="2:2" ht="15.75" customHeight="1">
      <c r="B711" s="204"/>
    </row>
    <row r="712" spans="2:2" ht="15.75" customHeight="1">
      <c r="B712" s="204"/>
    </row>
    <row r="713" spans="2:2" ht="15.75" customHeight="1">
      <c r="B713" s="204"/>
    </row>
    <row r="714" spans="2:2" ht="15.75" customHeight="1">
      <c r="B714" s="204"/>
    </row>
    <row r="715" spans="2:2" ht="15.75" customHeight="1">
      <c r="B715" s="204"/>
    </row>
    <row r="716" spans="2:2" ht="15.75" customHeight="1">
      <c r="B716" s="204"/>
    </row>
    <row r="717" spans="2:2" ht="15.75" customHeight="1">
      <c r="B717" s="204"/>
    </row>
    <row r="718" spans="2:2" ht="15.75" customHeight="1">
      <c r="B718" s="204"/>
    </row>
    <row r="719" spans="2:2" ht="15.75" customHeight="1">
      <c r="B719" s="204"/>
    </row>
    <row r="720" spans="2:2" ht="15.75" customHeight="1">
      <c r="B720" s="204"/>
    </row>
    <row r="721" spans="2:2" ht="15.75" customHeight="1">
      <c r="B721" s="204"/>
    </row>
    <row r="722" spans="2:2" ht="15.75" customHeight="1">
      <c r="B722" s="204"/>
    </row>
    <row r="723" spans="2:2" ht="15.75" customHeight="1">
      <c r="B723" s="204"/>
    </row>
    <row r="724" spans="2:2" ht="15.75" customHeight="1">
      <c r="B724" s="204"/>
    </row>
    <row r="725" spans="2:2" ht="15.75" customHeight="1">
      <c r="B725" s="204"/>
    </row>
    <row r="726" spans="2:2" ht="15.75" customHeight="1">
      <c r="B726" s="204"/>
    </row>
    <row r="727" spans="2:2" ht="15.75" customHeight="1">
      <c r="B727" s="204"/>
    </row>
    <row r="728" spans="2:2" ht="15.75" customHeight="1">
      <c r="B728" s="204"/>
    </row>
    <row r="729" spans="2:2" ht="15.75" customHeight="1">
      <c r="B729" s="204"/>
    </row>
    <row r="730" spans="2:2" ht="15.75" customHeight="1">
      <c r="B730" s="204"/>
    </row>
    <row r="731" spans="2:2" ht="15.75" customHeight="1">
      <c r="B731" s="204"/>
    </row>
    <row r="732" spans="2:2" ht="15.75" customHeight="1">
      <c r="B732" s="204"/>
    </row>
    <row r="733" spans="2:2" ht="15.75" customHeight="1">
      <c r="B733" s="204"/>
    </row>
    <row r="734" spans="2:2" ht="15.75" customHeight="1">
      <c r="B734" s="204"/>
    </row>
    <row r="735" spans="2:2" ht="15.75" customHeight="1">
      <c r="B735" s="204"/>
    </row>
    <row r="736" spans="2:2" ht="15.75" customHeight="1">
      <c r="B736" s="204"/>
    </row>
    <row r="737" spans="2:2" ht="15.75" customHeight="1">
      <c r="B737" s="204"/>
    </row>
    <row r="738" spans="2:2" ht="15.75" customHeight="1">
      <c r="B738" s="204"/>
    </row>
    <row r="739" spans="2:2" ht="15.75" customHeight="1">
      <c r="B739" s="204"/>
    </row>
    <row r="740" spans="2:2" ht="15.75" customHeight="1">
      <c r="B740" s="204"/>
    </row>
    <row r="741" spans="2:2" ht="15.75" customHeight="1">
      <c r="B741" s="204"/>
    </row>
    <row r="742" spans="2:2" ht="15.75" customHeight="1">
      <c r="B742" s="204"/>
    </row>
    <row r="743" spans="2:2" ht="15.75" customHeight="1">
      <c r="B743" s="204"/>
    </row>
    <row r="744" spans="2:2" ht="15.75" customHeight="1">
      <c r="B744" s="204"/>
    </row>
    <row r="745" spans="2:2" ht="15.75" customHeight="1">
      <c r="B745" s="204"/>
    </row>
    <row r="746" spans="2:2" ht="15.75" customHeight="1">
      <c r="B746" s="204"/>
    </row>
    <row r="747" spans="2:2" ht="15.75" customHeight="1">
      <c r="B747" s="204"/>
    </row>
    <row r="748" spans="2:2" ht="15.75" customHeight="1">
      <c r="B748" s="204"/>
    </row>
    <row r="749" spans="2:2" ht="15.75" customHeight="1">
      <c r="B749" s="204"/>
    </row>
    <row r="750" spans="2:2" ht="15.75" customHeight="1">
      <c r="B750" s="204"/>
    </row>
    <row r="751" spans="2:2" ht="15.75" customHeight="1">
      <c r="B751" s="204"/>
    </row>
    <row r="752" spans="2:2" ht="15.75" customHeight="1">
      <c r="B752" s="204"/>
    </row>
    <row r="753" spans="2:2" ht="15.75" customHeight="1">
      <c r="B753" s="204"/>
    </row>
    <row r="754" spans="2:2" ht="15.75" customHeight="1">
      <c r="B754" s="204"/>
    </row>
    <row r="755" spans="2:2" ht="15.75" customHeight="1">
      <c r="B755" s="204"/>
    </row>
    <row r="756" spans="2:2" ht="15.75" customHeight="1">
      <c r="B756" s="204"/>
    </row>
    <row r="757" spans="2:2" ht="15.75" customHeight="1">
      <c r="B757" s="204"/>
    </row>
    <row r="758" spans="2:2" ht="15.75" customHeight="1">
      <c r="B758" s="204"/>
    </row>
    <row r="759" spans="2:2" ht="15.75" customHeight="1">
      <c r="B759" s="204"/>
    </row>
    <row r="760" spans="2:2" ht="15.75" customHeight="1">
      <c r="B760" s="204"/>
    </row>
    <row r="761" spans="2:2" ht="15.75" customHeight="1">
      <c r="B761" s="204"/>
    </row>
    <row r="762" spans="2:2" ht="15.75" customHeight="1">
      <c r="B762" s="204"/>
    </row>
    <row r="763" spans="2:2" ht="15.75" customHeight="1">
      <c r="B763" s="204"/>
    </row>
    <row r="764" spans="2:2" ht="15.75" customHeight="1">
      <c r="B764" s="204"/>
    </row>
    <row r="765" spans="2:2" ht="15.75" customHeight="1">
      <c r="B765" s="204"/>
    </row>
    <row r="766" spans="2:2" ht="15.75" customHeight="1">
      <c r="B766" s="204"/>
    </row>
    <row r="767" spans="2:2" ht="15.75" customHeight="1">
      <c r="B767" s="204"/>
    </row>
    <row r="768" spans="2:2" ht="15.75" customHeight="1">
      <c r="B768" s="204"/>
    </row>
    <row r="769" spans="2:2" ht="15.75" customHeight="1">
      <c r="B769" s="204"/>
    </row>
    <row r="770" spans="2:2" ht="15.75" customHeight="1">
      <c r="B770" s="204"/>
    </row>
    <row r="771" spans="2:2" ht="15.75" customHeight="1">
      <c r="B771" s="204"/>
    </row>
    <row r="772" spans="2:2" ht="15.75" customHeight="1">
      <c r="B772" s="204"/>
    </row>
    <row r="773" spans="2:2" ht="15.75" customHeight="1">
      <c r="B773" s="204"/>
    </row>
    <row r="774" spans="2:2" ht="15.75" customHeight="1">
      <c r="B774" s="204"/>
    </row>
    <row r="775" spans="2:2" ht="15.75" customHeight="1">
      <c r="B775" s="204"/>
    </row>
    <row r="776" spans="2:2" ht="15.75" customHeight="1">
      <c r="B776" s="204"/>
    </row>
    <row r="777" spans="2:2" ht="15.75" customHeight="1">
      <c r="B777" s="204"/>
    </row>
    <row r="778" spans="2:2" ht="15.75" customHeight="1">
      <c r="B778" s="204"/>
    </row>
    <row r="779" spans="2:2" ht="15.75" customHeight="1">
      <c r="B779" s="204"/>
    </row>
    <row r="780" spans="2:2" ht="15.75" customHeight="1">
      <c r="B780" s="204"/>
    </row>
    <row r="781" spans="2:2" ht="15.75" customHeight="1">
      <c r="B781" s="204"/>
    </row>
    <row r="782" spans="2:2" ht="15.75" customHeight="1">
      <c r="B782" s="204"/>
    </row>
    <row r="783" spans="2:2" ht="15.75" customHeight="1">
      <c r="B783" s="204"/>
    </row>
    <row r="784" spans="2:2" ht="15.75" customHeight="1">
      <c r="B784" s="204"/>
    </row>
    <row r="785" spans="2:2" ht="15.75" customHeight="1">
      <c r="B785" s="204"/>
    </row>
    <row r="786" spans="2:2" ht="15.75" customHeight="1">
      <c r="B786" s="204"/>
    </row>
    <row r="787" spans="2:2" ht="15.75" customHeight="1">
      <c r="B787" s="204"/>
    </row>
    <row r="788" spans="2:2" ht="15.75" customHeight="1">
      <c r="B788" s="204"/>
    </row>
    <row r="789" spans="2:2" ht="15.75" customHeight="1">
      <c r="B789" s="204"/>
    </row>
    <row r="790" spans="2:2" ht="15.75" customHeight="1">
      <c r="B790" s="204"/>
    </row>
    <row r="791" spans="2:2" ht="15.75" customHeight="1">
      <c r="B791" s="204"/>
    </row>
    <row r="792" spans="2:2" ht="15.75" customHeight="1">
      <c r="B792" s="204"/>
    </row>
    <row r="793" spans="2:2" ht="15.75" customHeight="1">
      <c r="B793" s="204"/>
    </row>
    <row r="794" spans="2:2" ht="15.75" customHeight="1">
      <c r="B794" s="204"/>
    </row>
    <row r="795" spans="2:2" ht="15.75" customHeight="1">
      <c r="B795" s="204"/>
    </row>
    <row r="796" spans="2:2" ht="15.75" customHeight="1">
      <c r="B796" s="204"/>
    </row>
    <row r="797" spans="2:2" ht="15.75" customHeight="1">
      <c r="B797" s="204"/>
    </row>
    <row r="798" spans="2:2" ht="15.75" customHeight="1">
      <c r="B798" s="204"/>
    </row>
    <row r="799" spans="2:2" ht="15.75" customHeight="1">
      <c r="B799" s="204"/>
    </row>
    <row r="800" spans="2:2" ht="15.75" customHeight="1">
      <c r="B800" s="204"/>
    </row>
    <row r="801" spans="2:2" ht="15.75" customHeight="1">
      <c r="B801" s="204"/>
    </row>
    <row r="802" spans="2:2" ht="15.75" customHeight="1">
      <c r="B802" s="204"/>
    </row>
    <row r="803" spans="2:2" ht="15.75" customHeight="1">
      <c r="B803" s="204"/>
    </row>
    <row r="804" spans="2:2" ht="15.75" customHeight="1">
      <c r="B804" s="204"/>
    </row>
    <row r="805" spans="2:2" ht="15.75" customHeight="1">
      <c r="B805" s="204"/>
    </row>
    <row r="806" spans="2:2" ht="15.75" customHeight="1">
      <c r="B806" s="204"/>
    </row>
    <row r="807" spans="2:2" ht="15.75" customHeight="1">
      <c r="B807" s="204"/>
    </row>
    <row r="808" spans="2:2" ht="15.75" customHeight="1">
      <c r="B808" s="204"/>
    </row>
    <row r="809" spans="2:2" ht="15.75" customHeight="1">
      <c r="B809" s="204"/>
    </row>
    <row r="810" spans="2:2" ht="15.75" customHeight="1">
      <c r="B810" s="204"/>
    </row>
    <row r="811" spans="2:2" ht="15.75" customHeight="1">
      <c r="B811" s="204"/>
    </row>
    <row r="812" spans="2:2" ht="15.75" customHeight="1">
      <c r="B812" s="204"/>
    </row>
    <row r="813" spans="2:2" ht="15.75" customHeight="1">
      <c r="B813" s="204"/>
    </row>
    <row r="814" spans="2:2" ht="15.75" customHeight="1">
      <c r="B814" s="204"/>
    </row>
    <row r="815" spans="2:2" ht="15.75" customHeight="1">
      <c r="B815" s="204"/>
    </row>
    <row r="816" spans="2:2" ht="15.75" customHeight="1">
      <c r="B816" s="204"/>
    </row>
    <row r="817" spans="2:2" ht="15.75" customHeight="1">
      <c r="B817" s="204"/>
    </row>
    <row r="818" spans="2:2" ht="15.75" customHeight="1">
      <c r="B818" s="204"/>
    </row>
    <row r="819" spans="2:2" ht="15.75" customHeight="1">
      <c r="B819" s="204"/>
    </row>
    <row r="820" spans="2:2" ht="15.75" customHeight="1">
      <c r="B820" s="204"/>
    </row>
    <row r="821" spans="2:2" ht="15.75" customHeight="1">
      <c r="B821" s="204"/>
    </row>
    <row r="822" spans="2:2" ht="15.75" customHeight="1">
      <c r="B822" s="204"/>
    </row>
    <row r="823" spans="2:2" ht="15.75" customHeight="1">
      <c r="B823" s="204"/>
    </row>
    <row r="824" spans="2:2" ht="15.75" customHeight="1">
      <c r="B824" s="204"/>
    </row>
    <row r="825" spans="2:2" ht="15.75" customHeight="1">
      <c r="B825" s="204"/>
    </row>
    <row r="826" spans="2:2" ht="15.75" customHeight="1">
      <c r="B826" s="204"/>
    </row>
    <row r="827" spans="2:2" ht="15.75" customHeight="1">
      <c r="B827" s="204"/>
    </row>
    <row r="828" spans="2:2" ht="15.75" customHeight="1">
      <c r="B828" s="204"/>
    </row>
    <row r="829" spans="2:2" ht="15.75" customHeight="1">
      <c r="B829" s="204"/>
    </row>
    <row r="830" spans="2:2" ht="15.75" customHeight="1">
      <c r="B830" s="204"/>
    </row>
    <row r="831" spans="2:2" ht="15.75" customHeight="1">
      <c r="B831" s="204"/>
    </row>
    <row r="832" spans="2:2" ht="15.75" customHeight="1">
      <c r="B832" s="204"/>
    </row>
    <row r="833" spans="2:2" ht="15.75" customHeight="1">
      <c r="B833" s="204"/>
    </row>
    <row r="834" spans="2:2" ht="15.75" customHeight="1">
      <c r="B834" s="204"/>
    </row>
    <row r="835" spans="2:2" ht="15.75" customHeight="1">
      <c r="B835" s="204"/>
    </row>
    <row r="836" spans="2:2" ht="15.75" customHeight="1">
      <c r="B836" s="204"/>
    </row>
    <row r="837" spans="2:2" ht="15.75" customHeight="1">
      <c r="B837" s="204"/>
    </row>
    <row r="838" spans="2:2" ht="15.75" customHeight="1">
      <c r="B838" s="204"/>
    </row>
    <row r="839" spans="2:2" ht="15.75" customHeight="1">
      <c r="B839" s="204"/>
    </row>
    <row r="840" spans="2:2" ht="15.75" customHeight="1">
      <c r="B840" s="204"/>
    </row>
    <row r="841" spans="2:2" ht="15.75" customHeight="1">
      <c r="B841" s="204"/>
    </row>
    <row r="842" spans="2:2" ht="15.75" customHeight="1">
      <c r="B842" s="204"/>
    </row>
    <row r="843" spans="2:2" ht="15.75" customHeight="1">
      <c r="B843" s="204"/>
    </row>
    <row r="844" spans="2:2" ht="15.75" customHeight="1">
      <c r="B844" s="204"/>
    </row>
    <row r="845" spans="2:2" ht="15.75" customHeight="1">
      <c r="B845" s="204"/>
    </row>
    <row r="846" spans="2:2" ht="15.75" customHeight="1">
      <c r="B846" s="204"/>
    </row>
    <row r="847" spans="2:2" ht="15.75" customHeight="1">
      <c r="B847" s="204"/>
    </row>
    <row r="848" spans="2:2" ht="15.75" customHeight="1">
      <c r="B848" s="204"/>
    </row>
    <row r="849" spans="2:2" ht="15.75" customHeight="1">
      <c r="B849" s="204"/>
    </row>
    <row r="850" spans="2:2" ht="15.75" customHeight="1">
      <c r="B850" s="204"/>
    </row>
    <row r="851" spans="2:2" ht="15.75" customHeight="1">
      <c r="B851" s="204"/>
    </row>
    <row r="852" spans="2:2" ht="15.75" customHeight="1">
      <c r="B852" s="204"/>
    </row>
    <row r="853" spans="2:2" ht="15.75" customHeight="1">
      <c r="B853" s="204"/>
    </row>
    <row r="854" spans="2:2" ht="15.75" customHeight="1">
      <c r="B854" s="204"/>
    </row>
    <row r="855" spans="2:2" ht="15.75" customHeight="1">
      <c r="B855" s="204"/>
    </row>
    <row r="856" spans="2:2" ht="15.75" customHeight="1">
      <c r="B856" s="204"/>
    </row>
    <row r="857" spans="2:2" ht="15.75" customHeight="1">
      <c r="B857" s="204"/>
    </row>
    <row r="858" spans="2:2" ht="15.75" customHeight="1">
      <c r="B858" s="204"/>
    </row>
    <row r="859" spans="2:2" ht="15.75" customHeight="1">
      <c r="B859" s="204"/>
    </row>
    <row r="860" spans="2:2" ht="15.75" customHeight="1">
      <c r="B860" s="204"/>
    </row>
    <row r="861" spans="2:2" ht="15.75" customHeight="1">
      <c r="B861" s="204"/>
    </row>
    <row r="862" spans="2:2" ht="15.75" customHeight="1">
      <c r="B862" s="204"/>
    </row>
    <row r="863" spans="2:2" ht="15.75" customHeight="1">
      <c r="B863" s="204"/>
    </row>
    <row r="864" spans="2:2" ht="15.75" customHeight="1">
      <c r="B864" s="204"/>
    </row>
    <row r="865" spans="2:2" ht="15.75" customHeight="1">
      <c r="B865" s="204"/>
    </row>
    <row r="866" spans="2:2" ht="15.75" customHeight="1">
      <c r="B866" s="204"/>
    </row>
    <row r="867" spans="2:2" ht="15.75" customHeight="1">
      <c r="B867" s="204"/>
    </row>
    <row r="868" spans="2:2" ht="15.75" customHeight="1">
      <c r="B868" s="204"/>
    </row>
    <row r="869" spans="2:2" ht="15.75" customHeight="1">
      <c r="B869" s="204"/>
    </row>
    <row r="870" spans="2:2" ht="15.75" customHeight="1">
      <c r="B870" s="204"/>
    </row>
    <row r="871" spans="2:2" ht="15.75" customHeight="1">
      <c r="B871" s="204"/>
    </row>
    <row r="872" spans="2:2" ht="15.75" customHeight="1">
      <c r="B872" s="204"/>
    </row>
    <row r="873" spans="2:2" ht="15.75" customHeight="1">
      <c r="B873" s="204"/>
    </row>
    <row r="874" spans="2:2" ht="15.75" customHeight="1">
      <c r="B874" s="204"/>
    </row>
    <row r="875" spans="2:2" ht="15.75" customHeight="1">
      <c r="B875" s="204"/>
    </row>
    <row r="876" spans="2:2" ht="15.75" customHeight="1">
      <c r="B876" s="204"/>
    </row>
    <row r="877" spans="2:2" ht="15.75" customHeight="1">
      <c r="B877" s="204"/>
    </row>
    <row r="878" spans="2:2" ht="15.75" customHeight="1">
      <c r="B878" s="204"/>
    </row>
    <row r="879" spans="2:2" ht="15.75" customHeight="1">
      <c r="B879" s="204"/>
    </row>
    <row r="880" spans="2:2" ht="15.75" customHeight="1">
      <c r="B880" s="204"/>
    </row>
    <row r="881" spans="2:2" ht="15.75" customHeight="1">
      <c r="B881" s="204"/>
    </row>
    <row r="882" spans="2:2" ht="15.75" customHeight="1">
      <c r="B882" s="204"/>
    </row>
    <row r="883" spans="2:2" ht="15.75" customHeight="1">
      <c r="B883" s="204"/>
    </row>
    <row r="884" spans="2:2" ht="15.75" customHeight="1">
      <c r="B884" s="204"/>
    </row>
    <row r="885" spans="2:2" ht="15.75" customHeight="1">
      <c r="B885" s="204"/>
    </row>
    <row r="886" spans="2:2" ht="15.75" customHeight="1">
      <c r="B886" s="204"/>
    </row>
    <row r="887" spans="2:2" ht="15.75" customHeight="1">
      <c r="B887" s="204"/>
    </row>
    <row r="888" spans="2:2" ht="15.75" customHeight="1">
      <c r="B888" s="204"/>
    </row>
    <row r="889" spans="2:2" ht="15.75" customHeight="1">
      <c r="B889" s="204"/>
    </row>
    <row r="890" spans="2:2" ht="15.75" customHeight="1">
      <c r="B890" s="204"/>
    </row>
    <row r="891" spans="2:2" ht="15.75" customHeight="1">
      <c r="B891" s="204"/>
    </row>
    <row r="892" spans="2:2" ht="15.75" customHeight="1">
      <c r="B892" s="204"/>
    </row>
    <row r="893" spans="2:2" ht="15.75" customHeight="1">
      <c r="B893" s="204"/>
    </row>
    <row r="894" spans="2:2" ht="15.75" customHeight="1">
      <c r="B894" s="204"/>
    </row>
    <row r="895" spans="2:2" ht="15.75" customHeight="1">
      <c r="B895" s="204"/>
    </row>
    <row r="896" spans="2:2" ht="15.75" customHeight="1">
      <c r="B896" s="204"/>
    </row>
    <row r="897" spans="2:2" ht="15.75" customHeight="1">
      <c r="B897" s="204"/>
    </row>
    <row r="898" spans="2:2" ht="15.75" customHeight="1">
      <c r="B898" s="204"/>
    </row>
    <row r="899" spans="2:2" ht="15.75" customHeight="1">
      <c r="B899" s="204"/>
    </row>
    <row r="900" spans="2:2" ht="15.75" customHeight="1">
      <c r="B900" s="204"/>
    </row>
    <row r="901" spans="2:2" ht="15.75" customHeight="1">
      <c r="B901" s="204"/>
    </row>
    <row r="902" spans="2:2" ht="15.75" customHeight="1">
      <c r="B902" s="204"/>
    </row>
    <row r="903" spans="2:2" ht="15.75" customHeight="1">
      <c r="B903" s="204"/>
    </row>
    <row r="904" spans="2:2" ht="15.75" customHeight="1">
      <c r="B904" s="204"/>
    </row>
    <row r="905" spans="2:2" ht="15.75" customHeight="1">
      <c r="B905" s="204"/>
    </row>
    <row r="906" spans="2:2" ht="15.75" customHeight="1">
      <c r="B906" s="204"/>
    </row>
    <row r="907" spans="2:2" ht="15.75" customHeight="1">
      <c r="B907" s="204"/>
    </row>
    <row r="908" spans="2:2" ht="15.75" customHeight="1">
      <c r="B908" s="204"/>
    </row>
    <row r="909" spans="2:2" ht="15.75" customHeight="1">
      <c r="B909" s="204"/>
    </row>
    <row r="910" spans="2:2" ht="15.75" customHeight="1">
      <c r="B910" s="204"/>
    </row>
    <row r="911" spans="2:2" ht="15.75" customHeight="1">
      <c r="B911" s="204"/>
    </row>
    <row r="912" spans="2:2" ht="15.75" customHeight="1">
      <c r="B912" s="204"/>
    </row>
    <row r="913" spans="2:2" ht="15.75" customHeight="1">
      <c r="B913" s="204"/>
    </row>
    <row r="914" spans="2:2" ht="15.75" customHeight="1">
      <c r="B914" s="204"/>
    </row>
    <row r="915" spans="2:2" ht="15.75" customHeight="1">
      <c r="B915" s="204"/>
    </row>
    <row r="916" spans="2:2" ht="15.75" customHeight="1">
      <c r="B916" s="204"/>
    </row>
    <row r="917" spans="2:2" ht="15.75" customHeight="1">
      <c r="B917" s="204"/>
    </row>
    <row r="918" spans="2:2" ht="15.75" customHeight="1">
      <c r="B918" s="204"/>
    </row>
    <row r="919" spans="2:2" ht="15.75" customHeight="1">
      <c r="B919" s="204"/>
    </row>
    <row r="920" spans="2:2" ht="15.75" customHeight="1">
      <c r="B920" s="204"/>
    </row>
    <row r="921" spans="2:2" ht="15.75" customHeight="1">
      <c r="B921" s="204"/>
    </row>
    <row r="922" spans="2:2" ht="15.75" customHeight="1">
      <c r="B922" s="204"/>
    </row>
    <row r="923" spans="2:2" ht="15.75" customHeight="1">
      <c r="B923" s="204"/>
    </row>
    <row r="924" spans="2:2" ht="15.75" customHeight="1">
      <c r="B924" s="204"/>
    </row>
    <row r="925" spans="2:2" ht="15.75" customHeight="1">
      <c r="B925" s="204"/>
    </row>
    <row r="926" spans="2:2" ht="15.75" customHeight="1">
      <c r="B926" s="204"/>
    </row>
    <row r="927" spans="2:2" ht="15.75" customHeight="1">
      <c r="B927" s="204"/>
    </row>
    <row r="928" spans="2:2" ht="15.75" customHeight="1">
      <c r="B928" s="204"/>
    </row>
    <row r="929" spans="2:2" ht="15.75" customHeight="1">
      <c r="B929" s="204"/>
    </row>
    <row r="930" spans="2:2" ht="15.75" customHeight="1">
      <c r="B930" s="204"/>
    </row>
    <row r="931" spans="2:2" ht="15.75" customHeight="1">
      <c r="B931" s="204"/>
    </row>
    <row r="932" spans="2:2" ht="15.75" customHeight="1">
      <c r="B932" s="204"/>
    </row>
    <row r="933" spans="2:2" ht="15.75" customHeight="1">
      <c r="B933" s="204"/>
    </row>
    <row r="934" spans="2:2" ht="15.75" customHeight="1">
      <c r="B934" s="204"/>
    </row>
    <row r="935" spans="2:2" ht="15.75" customHeight="1">
      <c r="B935" s="204"/>
    </row>
    <row r="936" spans="2:2" ht="15.75" customHeight="1">
      <c r="B936" s="204"/>
    </row>
    <row r="937" spans="2:2" ht="15.75" customHeight="1">
      <c r="B937" s="204"/>
    </row>
    <row r="938" spans="2:2" ht="15.75" customHeight="1">
      <c r="B938" s="204"/>
    </row>
    <row r="939" spans="2:2" ht="15.75" customHeight="1">
      <c r="B939" s="204"/>
    </row>
    <row r="940" spans="2:2" ht="15.75" customHeight="1">
      <c r="B940" s="204"/>
    </row>
    <row r="941" spans="2:2" ht="15.75" customHeight="1">
      <c r="B941" s="204"/>
    </row>
    <row r="942" spans="2:2" ht="15.75" customHeight="1">
      <c r="B942" s="204"/>
    </row>
    <row r="943" spans="2:2" ht="15.75" customHeight="1">
      <c r="B943" s="204"/>
    </row>
    <row r="944" spans="2:2" ht="15.75" customHeight="1">
      <c r="B944" s="204"/>
    </row>
    <row r="945" spans="2:2" ht="15.75" customHeight="1">
      <c r="B945" s="204"/>
    </row>
    <row r="946" spans="2:2" ht="15.75" customHeight="1">
      <c r="B946" s="204"/>
    </row>
    <row r="947" spans="2:2" ht="15.75" customHeight="1">
      <c r="B947" s="204"/>
    </row>
    <row r="948" spans="2:2" ht="15.75" customHeight="1">
      <c r="B948" s="204"/>
    </row>
    <row r="949" spans="2:2" ht="15.75" customHeight="1">
      <c r="B949" s="204"/>
    </row>
    <row r="950" spans="2:2" ht="15.75" customHeight="1">
      <c r="B950" s="204"/>
    </row>
    <row r="951" spans="2:2" ht="15.75" customHeight="1">
      <c r="B951" s="204"/>
    </row>
    <row r="952" spans="2:2" ht="15.75" customHeight="1">
      <c r="B952" s="204"/>
    </row>
    <row r="953" spans="2:2" ht="15.75" customHeight="1">
      <c r="B953" s="204"/>
    </row>
    <row r="954" spans="2:2" ht="15.75" customHeight="1">
      <c r="B954" s="204"/>
    </row>
    <row r="955" spans="2:2" ht="15.75" customHeight="1">
      <c r="B955" s="204"/>
    </row>
    <row r="956" spans="2:2" ht="15.75" customHeight="1">
      <c r="B956" s="204"/>
    </row>
    <row r="957" spans="2:2" ht="15.75" customHeight="1">
      <c r="B957" s="204"/>
    </row>
    <row r="958" spans="2:2" ht="15.75" customHeight="1">
      <c r="B958" s="204"/>
    </row>
    <row r="959" spans="2:2" ht="15.75" customHeight="1">
      <c r="B959" s="204"/>
    </row>
    <row r="960" spans="2:2" ht="15.75" customHeight="1">
      <c r="B960" s="204"/>
    </row>
    <row r="961" spans="2:2" ht="15.75" customHeight="1">
      <c r="B961" s="204"/>
    </row>
    <row r="962" spans="2:2" ht="15.75" customHeight="1">
      <c r="B962" s="204"/>
    </row>
    <row r="963" spans="2:2" ht="15.75" customHeight="1">
      <c r="B963" s="204"/>
    </row>
    <row r="964" spans="2:2" ht="15.75" customHeight="1">
      <c r="B964" s="204"/>
    </row>
    <row r="965" spans="2:2" ht="15.75" customHeight="1">
      <c r="B965" s="204"/>
    </row>
    <row r="966" spans="2:2" ht="15.75" customHeight="1">
      <c r="B966" s="204"/>
    </row>
    <row r="967" spans="2:2" ht="15.75" customHeight="1">
      <c r="B967" s="204"/>
    </row>
    <row r="968" spans="2:2" ht="15.75" customHeight="1">
      <c r="B968" s="204"/>
    </row>
    <row r="969" spans="2:2" ht="15.75" customHeight="1">
      <c r="B969" s="204"/>
    </row>
    <row r="970" spans="2:2" ht="15.75" customHeight="1">
      <c r="B970" s="204"/>
    </row>
    <row r="971" spans="2:2" ht="15.75" customHeight="1">
      <c r="B971" s="204"/>
    </row>
    <row r="972" spans="2:2" ht="15.75" customHeight="1">
      <c r="B972" s="204"/>
    </row>
    <row r="973" spans="2:2" ht="15.75" customHeight="1">
      <c r="B973" s="204"/>
    </row>
    <row r="974" spans="2:2" ht="15.75" customHeight="1">
      <c r="B974" s="204"/>
    </row>
    <row r="975" spans="2:2" ht="15.75" customHeight="1">
      <c r="B975" s="204"/>
    </row>
    <row r="976" spans="2:2" ht="15.75" customHeight="1">
      <c r="B976" s="204"/>
    </row>
    <row r="977" spans="2:2" ht="15.75" customHeight="1">
      <c r="B977" s="204"/>
    </row>
    <row r="978" spans="2:2" ht="15.75" customHeight="1">
      <c r="B978" s="204"/>
    </row>
    <row r="979" spans="2:2" ht="15.75" customHeight="1">
      <c r="B979" s="204"/>
    </row>
    <row r="980" spans="2:2" ht="15.75" customHeight="1">
      <c r="B980" s="204"/>
    </row>
    <row r="981" spans="2:2" ht="15.75" customHeight="1">
      <c r="B981" s="204"/>
    </row>
    <row r="982" spans="2:2" ht="15.75" customHeight="1">
      <c r="B982" s="204"/>
    </row>
    <row r="983" spans="2:2" ht="15.75" customHeight="1">
      <c r="B983" s="204"/>
    </row>
    <row r="984" spans="2:2" ht="15.75" customHeight="1">
      <c r="B984" s="204"/>
    </row>
    <row r="985" spans="2:2" ht="15.75" customHeight="1">
      <c r="B985" s="204"/>
    </row>
    <row r="986" spans="2:2" ht="15.75" customHeight="1">
      <c r="B986" s="204"/>
    </row>
    <row r="987" spans="2:2" ht="15.75" customHeight="1">
      <c r="B987" s="204"/>
    </row>
    <row r="988" spans="2:2" ht="15.75" customHeight="1">
      <c r="B988" s="204"/>
    </row>
    <row r="989" spans="2:2" ht="15.75" customHeight="1">
      <c r="B989" s="204"/>
    </row>
    <row r="990" spans="2:2" ht="15.75" customHeight="1">
      <c r="B990" s="204"/>
    </row>
    <row r="991" spans="2:2" ht="15.75" customHeight="1">
      <c r="B991" s="204"/>
    </row>
    <row r="992" spans="2:2" ht="15.75" customHeight="1">
      <c r="B992" s="204"/>
    </row>
    <row r="993" spans="2:2" ht="15.75" customHeight="1">
      <c r="B993" s="204"/>
    </row>
    <row r="994" spans="2:2" ht="15" customHeight="1">
      <c r="B994" s="204"/>
    </row>
    <row r="995" spans="2:2" ht="15" customHeight="1">
      <c r="B995" s="204"/>
    </row>
    <row r="996" spans="2:2" ht="15" customHeight="1">
      <c r="B996" s="204"/>
    </row>
    <row r="997" spans="2:2" ht="15" customHeight="1">
      <c r="B997" s="204"/>
    </row>
    <row r="998" spans="2:2" ht="15" customHeight="1">
      <c r="B998" s="204"/>
    </row>
    <row r="999" spans="2:2" ht="15" customHeight="1">
      <c r="B999" s="204"/>
    </row>
    <row r="1000" spans="2:2" ht="15" customHeight="1">
      <c r="B1000" s="204"/>
    </row>
    <row r="1001" spans="2:2" ht="15" customHeight="1">
      <c r="B1001" s="204"/>
    </row>
  </sheetData>
  <sheetProtection algorithmName="SHA-512" hashValue="rGwQH5GXmTZX4z+XYRDiHXbQmCdK46C9GiO19W0aZ3p/j8SrmacPqHlUxOSRA8+ucrhg/F722vOmnvJzdUc+dA==" saltValue="Q9AhLpX/iFThgTKNttXtWA==" spinCount="100000" sheet="1" sort="0"/>
  <autoFilter ref="B44:T66" xr:uid="{00000000-0009-0000-0000-000008000000}"/>
  <mergeCells count="3">
    <mergeCell ref="P36:P37"/>
    <mergeCell ref="Q36:Q37"/>
    <mergeCell ref="R36:R37"/>
  </mergeCells>
  <conditionalFormatting sqref="M1:M44 M46:M58 M60 M62:M1048576">
    <cfRule type="cellIs" dxfId="23" priority="4" operator="greaterThan">
      <formula>0</formula>
    </cfRule>
    <cfRule type="cellIs" dxfId="22" priority="5" operator="equal">
      <formula>0</formula>
    </cfRule>
  </conditionalFormatting>
  <conditionalFormatting sqref="M38:M44">
    <cfRule type="cellIs" dxfId="21" priority="8" operator="lessThan">
      <formula>0</formula>
    </cfRule>
  </conditionalFormatting>
  <conditionalFormatting sqref="M46:M58 M60">
    <cfRule type="cellIs" dxfId="20" priority="10" operator="lessThan">
      <formula>0</formula>
    </cfRule>
  </conditionalFormatting>
  <conditionalFormatting sqref="M62:M66">
    <cfRule type="cellIs" dxfId="19" priority="6" operator="lessThan">
      <formula>0</formula>
    </cfRule>
  </conditionalFormatting>
  <conditionalFormatting sqref="O44:S44">
    <cfRule type="cellIs" dxfId="18" priority="7" operator="lessThan">
      <formula>0</formula>
    </cfRule>
  </conditionalFormatting>
  <conditionalFormatting sqref="P46:P58 P60 P62:P66">
    <cfRule type="dataBar" priority="1">
      <dataBar>
        <cfvo type="num" val="0"/>
        <cfvo type="max"/>
        <color rgb="FFAADB1E"/>
      </dataBar>
      <extLst>
        <ext xmlns:x14="http://schemas.microsoft.com/office/spreadsheetml/2009/9/main" uri="{B025F937-C7B1-47D3-B67F-A62EFF666E3E}">
          <x14:id>{00AC0057-0071-419F-ADAD-0035001E00C8}</x14:id>
        </ext>
      </extLst>
    </cfRule>
  </conditionalFormatting>
  <conditionalFormatting sqref="Q46:Q58 Q60 Q62:Q66">
    <cfRule type="dataBar" priority="2">
      <dataBar>
        <cfvo type="num" val="0"/>
        <cfvo type="max"/>
        <color rgb="FFE87722"/>
      </dataBar>
      <extLst>
        <ext xmlns:x14="http://schemas.microsoft.com/office/spreadsheetml/2009/9/main" uri="{B025F937-C7B1-47D3-B67F-A62EFF666E3E}">
          <x14:id>{003D00EF-004F-4FE9-B976-002A00D5009D}</x14:id>
        </ext>
      </extLst>
    </cfRule>
  </conditionalFormatting>
  <conditionalFormatting sqref="R62:R66 R60 R46:R58">
    <cfRule type="dataBar" priority="3">
      <dataBar>
        <cfvo type="num" val="0"/>
        <cfvo type="max"/>
        <color theme="7" tint="0.39997558519241921"/>
      </dataBar>
      <extLst>
        <ext xmlns:x14="http://schemas.microsoft.com/office/spreadsheetml/2009/9/main" uri="{B025F937-C7B1-47D3-B67F-A62EFF666E3E}">
          <x14:id>{007C0070-0071-4D72-B2C8-005600B4005B}</x14:id>
        </ext>
      </extLst>
    </cfRule>
  </conditionalFormatting>
  <pageMargins left="0.7" right="0.7"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00AC0057-0071-419F-ADAD-0035001E00C8}">
            <x14:dataBar minLength="0" maxLength="100" gradient="0">
              <x14:cfvo type="num">
                <xm:f>0</xm:f>
              </x14:cfvo>
              <x14:cfvo type="autoMax"/>
              <x14:negativeFillColor indexed="2"/>
              <x14:axisColor indexed="64"/>
            </x14:dataBar>
          </x14:cfRule>
          <xm:sqref>P46:P58 P60 P62:P66</xm:sqref>
        </x14:conditionalFormatting>
        <x14:conditionalFormatting xmlns:xm="http://schemas.microsoft.com/office/excel/2006/main">
          <x14:cfRule type="dataBar" id="{003D00EF-004F-4FE9-B976-002A00D5009D}">
            <x14:dataBar minLength="0" maxLength="100" gradient="0">
              <x14:cfvo type="num">
                <xm:f>0</xm:f>
              </x14:cfvo>
              <x14:cfvo type="autoMax"/>
              <x14:negativeFillColor indexed="2"/>
              <x14:axisColor indexed="64"/>
            </x14:dataBar>
          </x14:cfRule>
          <xm:sqref>Q46:Q58 Q60 Q62:Q66</xm:sqref>
        </x14:conditionalFormatting>
        <x14:conditionalFormatting xmlns:xm="http://schemas.microsoft.com/office/excel/2006/main">
          <x14:cfRule type="dataBar" id="{007C0070-0071-4D72-B2C8-005600B4005B}">
            <x14:dataBar minLength="0" maxLength="100" gradient="0">
              <x14:cfvo type="num">
                <xm:f>0</xm:f>
              </x14:cfvo>
              <x14:cfvo type="autoMax"/>
              <x14:negativeFillColor indexed="2"/>
              <x14:axisColor indexed="64"/>
            </x14:dataBar>
          </x14:cfRule>
          <xm:sqref>R62:R66 R60 R46:R58</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800-000000000000}">
          <x14:formula1>
            <xm:f>'Условные сокращения'!$B$27:$B$30</xm:f>
          </x14:formula1>
          <xm:sqref>N60 N49:N56</xm:sqref>
        </x14:dataValidation>
        <x14:dataValidation type="list" allowBlank="1" showInputMessage="1" showErrorMessage="1" xr:uid="{00000000-0002-0000-0800-000001000000}">
          <x14:formula1>
            <xm:f>'Условные сокращения'!$I$11:$I$14</xm:f>
          </x14:formula1>
          <xm:sqref>N48</xm:sqref>
        </x14:dataValidation>
        <x14:dataValidation type="list" allowBlank="1" showInputMessage="1" showErrorMessage="1" xr:uid="{00000000-0002-0000-0800-000002000000}">
          <x14:formula1>
            <xm:f>'Условные сокращения'!$N$3:$N$8</xm:f>
          </x14:formula1>
          <xm:sqref>N62:N66 N57</xm:sqref>
        </x14:dataValidation>
        <x14:dataValidation type="list" allowBlank="1" showInputMessage="1" showErrorMessage="1" xr:uid="{00000000-0002-0000-0800-000003000000}">
          <x14:formula1>
            <xm:f>'Условные сокращения'!$B$48:$B$51</xm:f>
          </x14:formula1>
          <xm:sqref>N58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9">
    <tabColor theme="3" tint="0.39997558519241921"/>
    <outlinePr summaryBelow="0" summaryRight="0"/>
  </sheetPr>
  <dimension ref="B1:AA997"/>
  <sheetViews>
    <sheetView workbookViewId="0"/>
  </sheetViews>
  <sheetFormatPr defaultColWidth="11.09765625" defaultRowHeight="15" customHeight="1" outlineLevelRow="1"/>
  <cols>
    <col min="1" max="1" width="3.09765625" style="300" bestFit="1" customWidth="1"/>
    <col min="2" max="2" width="91.59765625" style="300" bestFit="1" customWidth="1"/>
    <col min="3" max="3" width="19.5" style="300" bestFit="1" customWidth="1"/>
    <col min="4" max="4" width="18" style="303" customWidth="1"/>
    <col min="5" max="5" width="10" style="303" customWidth="1"/>
    <col min="6" max="6" width="14.5" style="303" customWidth="1"/>
    <col min="7" max="7" width="20.09765625" style="300" hidden="1" customWidth="1"/>
    <col min="8" max="8" width="11.5" style="303" hidden="1" customWidth="1"/>
    <col min="9" max="9" width="16.09765625" style="303" hidden="1" customWidth="1"/>
    <col min="10" max="10" width="10.5" style="303" hidden="1" customWidth="1"/>
    <col min="11" max="11" width="18.59765625" style="300" customWidth="1"/>
    <col min="12" max="12" width="18" style="303" customWidth="1"/>
    <col min="13" max="13" width="8.59765625" customWidth="1"/>
    <col min="14" max="14" width="19.3984375" style="215" customWidth="1"/>
    <col min="15" max="15" width="24.09765625" style="370" customWidth="1"/>
    <col min="16" max="18" width="24.09765625" style="300" customWidth="1"/>
    <col min="19" max="19" width="10.5" style="300" customWidth="1"/>
    <col min="20" max="21" width="51.09765625" style="300" customWidth="1"/>
    <col min="22" max="22" width="9.59765625" style="300" customWidth="1"/>
    <col min="23" max="24" width="59.09765625" style="300" customWidth="1"/>
    <col min="25" max="25" width="10.5" style="300" bestFit="1" customWidth="1"/>
    <col min="26" max="26" width="66.59765625" style="300" customWidth="1"/>
    <col min="27" max="27" width="59.09765625" style="300" customWidth="1"/>
    <col min="28" max="36" width="10.5" style="300" bestFit="1" customWidth="1"/>
    <col min="37" max="37" width="11.09765625" style="300" bestFit="1"/>
    <col min="38" max="16384" width="11.09765625" style="300"/>
  </cols>
  <sheetData>
    <row r="1" spans="2:14" ht="69" customHeight="1">
      <c r="B1" s="309" t="s">
        <v>57</v>
      </c>
      <c r="N1" s="190">
        <f>COUNTA(N2:N6996)</f>
        <v>26</v>
      </c>
    </row>
    <row r="3" spans="2:14" ht="15.75" customHeight="1">
      <c r="B3" s="204"/>
    </row>
    <row r="4" spans="2:14" ht="15.75" customHeight="1">
      <c r="B4" s="204"/>
    </row>
    <row r="5" spans="2:14" ht="15.75" customHeight="1">
      <c r="B5" s="204"/>
    </row>
    <row r="6" spans="2:14" ht="15.75" customHeight="1">
      <c r="B6" s="204"/>
    </row>
    <row r="7" spans="2:14" ht="15.75" customHeight="1">
      <c r="B7" s="204"/>
    </row>
    <row r="8" spans="2:14" ht="15.75" customHeight="1">
      <c r="B8" s="204"/>
    </row>
    <row r="9" spans="2:14" ht="15.75" customHeight="1">
      <c r="B9" s="204"/>
    </row>
    <row r="10" spans="2:14" ht="15.75" customHeight="1">
      <c r="B10" s="204"/>
    </row>
    <row r="11" spans="2:14" ht="15.75" customHeight="1">
      <c r="B11" s="204"/>
    </row>
    <row r="12" spans="2:14" ht="15.75" customHeight="1">
      <c r="B12" s="204"/>
    </row>
    <row r="13" spans="2:14" ht="15.75" customHeight="1">
      <c r="B13" s="204"/>
    </row>
    <row r="14" spans="2:14" ht="15.75" customHeight="1">
      <c r="B14" s="204"/>
    </row>
    <row r="15" spans="2:14" ht="15.75" customHeight="1">
      <c r="B15" s="204"/>
    </row>
    <row r="16" spans="2:14" ht="15.75" customHeight="1">
      <c r="B16" s="204"/>
    </row>
    <row r="17" spans="2:21" ht="15.75" customHeight="1">
      <c r="B17" s="204"/>
    </row>
    <row r="18" spans="2:21" ht="15.75" customHeight="1">
      <c r="B18" s="204"/>
    </row>
    <row r="19" spans="2:21" ht="15.75" customHeight="1">
      <c r="B19" s="204"/>
    </row>
    <row r="20" spans="2:21" ht="15.75" customHeight="1">
      <c r="B20" s="204"/>
    </row>
    <row r="21" spans="2:21" ht="15.75" customHeight="1">
      <c r="B21" s="204"/>
    </row>
    <row r="22" spans="2:21" ht="15.75" customHeight="1">
      <c r="B22" s="204"/>
    </row>
    <row r="23" spans="2:21" ht="15.75" customHeight="1">
      <c r="B23" s="204"/>
    </row>
    <row r="24" spans="2:21" ht="15.75" customHeight="1">
      <c r="B24" s="204"/>
    </row>
    <row r="25" spans="2:21" ht="15.75" customHeight="1">
      <c r="B25" s="204"/>
    </row>
    <row r="26" spans="2:21" ht="15.75" customHeight="1">
      <c r="B26" s="204"/>
    </row>
    <row r="27" spans="2:21" ht="15.75" customHeight="1">
      <c r="B27" s="204"/>
    </row>
    <row r="28" spans="2:21" ht="15.75" customHeight="1">
      <c r="B28" s="204"/>
      <c r="G28" s="28">
        <f>Расчет!$F$2</f>
        <v>45017</v>
      </c>
      <c r="H28" s="28">
        <f>Расчет!$H$2</f>
        <v>45444</v>
      </c>
      <c r="I28" s="28" t="s">
        <v>514</v>
      </c>
      <c r="J28" s="28"/>
      <c r="L28" s="192">
        <f ca="1">TODAY()</f>
        <v>46038</v>
      </c>
      <c r="P28" s="756" t="s">
        <v>36</v>
      </c>
      <c r="Q28" s="757" t="s">
        <v>37</v>
      </c>
      <c r="R28" s="758" t="s">
        <v>38</v>
      </c>
    </row>
    <row r="29" spans="2:21" ht="38.1" customHeight="1">
      <c r="B29" s="193" t="s">
        <v>317</v>
      </c>
      <c r="C29" s="194" t="s">
        <v>79</v>
      </c>
      <c r="D29" s="195" t="s">
        <v>11</v>
      </c>
      <c r="E29" s="490" t="s">
        <v>10</v>
      </c>
      <c r="F29" s="491" t="s">
        <v>9</v>
      </c>
      <c r="G29" s="313" t="s">
        <v>318</v>
      </c>
      <c r="H29" s="314" t="s">
        <v>318</v>
      </c>
      <c r="I29" s="314" t="s">
        <v>318</v>
      </c>
      <c r="J29" s="200">
        <v>2026</v>
      </c>
      <c r="K29" s="200" t="s">
        <v>84</v>
      </c>
      <c r="L29" s="201" t="s">
        <v>33</v>
      </c>
      <c r="P29" s="756"/>
      <c r="Q29" s="757"/>
      <c r="R29" s="758"/>
    </row>
    <row r="30" spans="2:21" ht="15.75" customHeight="1">
      <c r="B30" s="206" t="str">
        <f>B38</f>
        <v>Планирование реагирования</v>
      </c>
      <c r="C30" s="492" t="str">
        <f>C38</f>
        <v>ПЛР</v>
      </c>
      <c r="D30" s="493">
        <f t="shared" ref="D30:L30" si="0">AVERAGE(D39:D42)</f>
        <v>4.5</v>
      </c>
      <c r="E30" s="494">
        <f t="shared" si="0"/>
        <v>3.0999999999999996</v>
      </c>
      <c r="F30" s="495">
        <f t="shared" si="0"/>
        <v>0.5</v>
      </c>
      <c r="G30" s="61" t="e">
        <f t="shared" si="0"/>
        <v>#DIV/0!</v>
      </c>
      <c r="H30" s="61" t="e">
        <f t="shared" si="0"/>
        <v>#DIV/0!</v>
      </c>
      <c r="I30" s="61" t="e">
        <f>AVERAGE(I39:I42)</f>
        <v>#DIV/0!</v>
      </c>
      <c r="J30" s="61" t="e">
        <f>AVERAGE(J39:J42)</f>
        <v>#DIV/0!</v>
      </c>
      <c r="K30" s="61">
        <f t="shared" si="0"/>
        <v>4.5</v>
      </c>
      <c r="L30" s="496">
        <f t="shared" si="0"/>
        <v>0</v>
      </c>
      <c r="M30">
        <f t="shared" ref="M30:M66" si="1">L30-K30</f>
        <v>-4.5</v>
      </c>
      <c r="P30" s="477">
        <f>AVERAGE(P39:P42)</f>
        <v>0</v>
      </c>
      <c r="Q30" s="478">
        <f>AVERAGE(Q39:Q42)</f>
        <v>0</v>
      </c>
      <c r="R30" s="479">
        <f>AVERAGE(R39:R40)</f>
        <v>0</v>
      </c>
    </row>
    <row r="31" spans="2:21" ht="15.75" customHeight="1">
      <c r="B31" s="218" t="str">
        <f>B43</f>
        <v>Коммуникации (реагирование на инциденты)</v>
      </c>
      <c r="C31" s="384" t="str">
        <f>C43</f>
        <v>КМНК</v>
      </c>
      <c r="D31" s="315">
        <f t="shared" ref="D31:L31" si="2">AVERAGE(D44:D48)</f>
        <v>5</v>
      </c>
      <c r="E31" s="316">
        <f t="shared" si="2"/>
        <v>3.2</v>
      </c>
      <c r="F31" s="317">
        <f t="shared" si="2"/>
        <v>0.64</v>
      </c>
      <c r="G31" s="50" t="e">
        <f t="shared" si="2"/>
        <v>#DIV/0!</v>
      </c>
      <c r="H31" s="50" t="e">
        <f t="shared" si="2"/>
        <v>#DIV/0!</v>
      </c>
      <c r="I31" s="50" t="e">
        <f>AVERAGE(I44:I48)</f>
        <v>#DIV/0!</v>
      </c>
      <c r="J31" s="50" t="e">
        <f>AVERAGE(J44:J48)</f>
        <v>#DIV/0!</v>
      </c>
      <c r="K31" s="50">
        <f t="shared" si="2"/>
        <v>5</v>
      </c>
      <c r="L31" s="318">
        <f t="shared" si="2"/>
        <v>0</v>
      </c>
      <c r="M31">
        <f t="shared" si="1"/>
        <v>-5</v>
      </c>
      <c r="P31" s="477">
        <f>AVERAGE(P44:P48)</f>
        <v>0</v>
      </c>
      <c r="Q31" s="478">
        <f>AVERAGE(Q44:Q48)</f>
        <v>0</v>
      </c>
      <c r="R31" s="479">
        <f>AVERAGE(R47:R48)</f>
        <v>0</v>
      </c>
    </row>
    <row r="32" spans="2:21" ht="15.75" customHeight="1">
      <c r="B32" s="218" t="str">
        <f>B49</f>
        <v>Анализ и расследование</v>
      </c>
      <c r="C32" s="384" t="str">
        <f>C49</f>
        <v>АНЛЗ</v>
      </c>
      <c r="D32" s="315">
        <f t="shared" ref="D32:L32" si="3">AVERAGE(D50:D54)</f>
        <v>4.5999999999999996</v>
      </c>
      <c r="E32" s="316">
        <f t="shared" si="3"/>
        <v>3.84</v>
      </c>
      <c r="F32" s="317">
        <f>AVERAGE(F50:F54)</f>
        <v>1.04</v>
      </c>
      <c r="G32" s="50" t="e">
        <f t="shared" si="3"/>
        <v>#DIV/0!</v>
      </c>
      <c r="H32" s="50" t="e">
        <f t="shared" si="3"/>
        <v>#DIV/0!</v>
      </c>
      <c r="I32" s="50" t="e">
        <f>AVERAGE(I50:I54)</f>
        <v>#DIV/0!</v>
      </c>
      <c r="J32" s="50" t="e">
        <f>AVERAGE(J50:J54)</f>
        <v>#DIV/0!</v>
      </c>
      <c r="K32" s="50">
        <f t="shared" si="3"/>
        <v>4.5999999999999996</v>
      </c>
      <c r="L32" s="318">
        <f t="shared" si="3"/>
        <v>0</v>
      </c>
      <c r="M32">
        <f t="shared" si="1"/>
        <v>-4.5999999999999996</v>
      </c>
      <c r="P32" s="477">
        <f>AVERAGE(P50:P54)</f>
        <v>0</v>
      </c>
      <c r="Q32" s="478">
        <f>AVERAGE(Q50:Q54)</f>
        <v>0</v>
      </c>
      <c r="R32" s="479">
        <f>AVERAGE(R51:R53)</f>
        <v>0</v>
      </c>
      <c r="T32" s="264"/>
      <c r="U32" s="264"/>
    </row>
    <row r="33" spans="2:27" ht="15.75" customHeight="1">
      <c r="B33" s="233" t="str">
        <f>B55</f>
        <v>Плейбуки по реагированию</v>
      </c>
      <c r="C33" s="389" t="str">
        <f>C55</f>
        <v>PB</v>
      </c>
      <c r="D33" s="321">
        <f t="shared" ref="D33:L33" si="4">AVERAGE(D56:D66)</f>
        <v>5</v>
      </c>
      <c r="E33" s="322">
        <f t="shared" si="4"/>
        <v>3.6363636363636362</v>
      </c>
      <c r="F33" s="323">
        <f t="shared" si="4"/>
        <v>1.8181818181818181</v>
      </c>
      <c r="G33" s="238" t="e">
        <f t="shared" si="4"/>
        <v>#DIV/0!</v>
      </c>
      <c r="H33" s="238" t="e">
        <f t="shared" si="4"/>
        <v>#DIV/0!</v>
      </c>
      <c r="I33" s="238" t="e">
        <f t="shared" si="4"/>
        <v>#DIV/0!</v>
      </c>
      <c r="J33" s="238" t="e">
        <f t="shared" si="4"/>
        <v>#DIV/0!</v>
      </c>
      <c r="K33" s="238">
        <f t="shared" si="4"/>
        <v>5</v>
      </c>
      <c r="L33" s="324">
        <f t="shared" si="4"/>
        <v>0</v>
      </c>
      <c r="M33">
        <f t="shared" si="1"/>
        <v>-5</v>
      </c>
      <c r="P33" s="477">
        <f>AVERAGE(P56:P66)</f>
        <v>0</v>
      </c>
      <c r="Q33" s="478">
        <f>AVERAGE(Q56:Q63)</f>
        <v>0</v>
      </c>
      <c r="R33" s="479">
        <f>AVERAGE(R56:R59)</f>
        <v>0</v>
      </c>
      <c r="T33" s="264"/>
      <c r="U33" s="264"/>
    </row>
    <row r="34" spans="2:27" ht="15.75" customHeight="1">
      <c r="D34" s="300"/>
      <c r="E34" s="300"/>
      <c r="F34" s="300"/>
      <c r="H34" s="300"/>
      <c r="I34" s="300"/>
      <c r="J34" s="300"/>
      <c r="L34" s="300"/>
      <c r="M34" s="300"/>
      <c r="T34" s="264"/>
      <c r="U34" s="264"/>
    </row>
    <row r="35" spans="2:27" ht="15.75" customHeight="1">
      <c r="B35" s="204"/>
      <c r="K35" s="303"/>
      <c r="M35">
        <f t="shared" si="1"/>
        <v>0</v>
      </c>
      <c r="T35" s="264"/>
      <c r="U35" s="264"/>
    </row>
    <row r="36" spans="2:27" ht="15.6" customHeight="1">
      <c r="B36" s="204"/>
      <c r="K36" s="303"/>
      <c r="M36">
        <f t="shared" si="1"/>
        <v>0</v>
      </c>
      <c r="T36" s="369"/>
      <c r="U36" s="369"/>
      <c r="V36" s="369"/>
      <c r="W36" s="369"/>
      <c r="X36" s="369"/>
      <c r="Y36" s="369"/>
      <c r="Z36" s="369"/>
      <c r="AA36" s="369"/>
    </row>
    <row r="37" spans="2:27" customFormat="1" ht="17.399999999999999">
      <c r="B37" s="497"/>
      <c r="C37" s="300"/>
      <c r="D37" s="303"/>
      <c r="E37" s="303"/>
      <c r="F37" s="303"/>
      <c r="G37" s="300"/>
      <c r="H37" s="303"/>
      <c r="I37" s="303"/>
      <c r="J37" s="303"/>
      <c r="K37" s="303"/>
      <c r="L37" s="303"/>
      <c r="M37" s="243" t="s">
        <v>515</v>
      </c>
      <c r="N37" s="482" t="s">
        <v>324</v>
      </c>
      <c r="O37" s="245" t="s">
        <v>325</v>
      </c>
      <c r="P37" s="246"/>
      <c r="Q37" s="246"/>
      <c r="R37" s="246"/>
      <c r="S37" s="243">
        <v>1</v>
      </c>
      <c r="T37" s="247" t="s">
        <v>326</v>
      </c>
      <c r="U37" s="268" t="s">
        <v>1315</v>
      </c>
      <c r="V37" s="248"/>
      <c r="W37" s="248" t="s">
        <v>859</v>
      </c>
      <c r="X37" s="268" t="s">
        <v>1316</v>
      </c>
      <c r="Y37" s="248"/>
      <c r="Z37" s="247" t="s">
        <v>328</v>
      </c>
      <c r="AA37" s="268" t="s">
        <v>1317</v>
      </c>
    </row>
    <row r="38" spans="2:27" ht="29.85" customHeight="1">
      <c r="B38" s="305" t="s">
        <v>121</v>
      </c>
      <c r="C38" s="486" t="s">
        <v>860</v>
      </c>
      <c r="D38" s="294"/>
      <c r="E38" s="294"/>
      <c r="F38" s="294"/>
      <c r="G38" s="486"/>
      <c r="H38" s="294"/>
      <c r="I38" s="294"/>
      <c r="J38" s="294"/>
      <c r="K38" s="294"/>
      <c r="L38" s="294"/>
      <c r="M38" s="294"/>
      <c r="N38" s="295"/>
      <c r="O38" s="295"/>
      <c r="P38" s="294"/>
      <c r="Q38" s="294"/>
      <c r="R38" s="294"/>
      <c r="S38" s="247">
        <f>VLOOKUP(B38,Приоритет!$G$9:$K$52,5,0)</f>
        <v>7</v>
      </c>
      <c r="T38" s="487" t="s">
        <v>121</v>
      </c>
      <c r="U38" s="487"/>
      <c r="V38" s="247">
        <f>S38+200</f>
        <v>207</v>
      </c>
      <c r="W38" s="487" t="s">
        <v>121</v>
      </c>
      <c r="X38" s="487"/>
      <c r="Y38" s="247">
        <f>S38+300</f>
        <v>307</v>
      </c>
      <c r="Z38" s="487" t="s">
        <v>121</v>
      </c>
      <c r="AA38" s="487"/>
    </row>
    <row r="39" spans="2:27" ht="113.1" customHeight="1" outlineLevel="1">
      <c r="B39" s="254" t="s">
        <v>861</v>
      </c>
      <c r="C39" s="368" t="s">
        <v>862</v>
      </c>
      <c r="D39" s="256">
        <v>4</v>
      </c>
      <c r="E39" s="257">
        <v>3</v>
      </c>
      <c r="F39" s="258">
        <v>1</v>
      </c>
      <c r="G39" s="171"/>
      <c r="H39" s="171"/>
      <c r="I39" s="128"/>
      <c r="J39" s="286"/>
      <c r="K39" s="260">
        <f t="shared" ref="K39:K66" si="5">IF(ЦУКБ="КБ 1",F39, IF(ЦУКБ="КБ 2",E39,D39))</f>
        <v>4</v>
      </c>
      <c r="L39" s="290">
        <f>IF((СК="Да"),3,VALUE(LEFT(N39,3)))</f>
        <v>0</v>
      </c>
      <c r="M39">
        <f t="shared" si="1"/>
        <v>-4</v>
      </c>
      <c r="N39" s="261" t="s">
        <v>359</v>
      </c>
      <c r="O39" s="216" t="str">
        <f>IF((СК="Да"),"Совместная зона ответственности ДЗО и Сервисной компании
(3 - при подключении к СК;
4 - при выполнении в ДЗО)", "")</f>
        <v/>
      </c>
      <c r="P39" s="262">
        <f t="shared" ref="P39:Q66" si="6">IFERROR(IF($L39&gt;D39,1,$L39/D39),0)</f>
        <v>0</v>
      </c>
      <c r="Q39" s="262">
        <f t="shared" si="6"/>
        <v>0</v>
      </c>
      <c r="R39" s="262">
        <f t="shared" ref="R39:R59" si="7">IFERROR(IF($L39&gt;=F39,1,$L39/F39),0)</f>
        <v>0</v>
      </c>
      <c r="S39" s="263">
        <f>S38+0.01</f>
        <v>7.01</v>
      </c>
      <c r="T39" s="264" t="str">
        <f>IF(($L39-$F39)&gt;=0,"",
" - Определить ответственных за решение инцидентов ИБ, включая ответственного за коммуникации внутри и со сторонними компаниями;"&amp;"
  -  Составить и актуализировать список заинтересованных лиц, которые должны получить уведомление об инциденте;"&amp;"
  -  Для критичных инцидентов определить SLA и порядок действий по реагированию;
 ")</f>
        <v xml:space="preserve"> - Определить ответственных за решение инцидентов ИБ, включая ответственного за коммуникации внутри и со сторонними компаниями;
  -  Составить и актуализировать список заинтересованных лиц, которые должны получить уведомление об инциденте;
  -  Для критичных инцидентов определить SLA и порядок действий по реагированию;
 </v>
      </c>
      <c r="U39" s="264" t="s">
        <v>122</v>
      </c>
      <c r="V39" s="263">
        <f>V38+0.01</f>
        <v>207.01</v>
      </c>
      <c r="W39" s="264" t="str">
        <f>IF(($L39-$E39)&gt;=0,"",
" Разработать и/или Получить в Блоке ИБ ПАО Ростелеком типовое описание процесса реагирования на инциденты ИБ (Политика, Регламенты, процедуры реагирования на инциденты ИБ), определяющие:"&amp;"
  -  Ответственность за координацию процесса работы с инцидентами и документирование результатов в процессе решения инцидента;"&amp;"
  -  Список заинтересованных лиц, которые должны получить уведомление об инциденте, актуализиировать и пересматривать его не реже раза в год;"&amp;"
 - SLA по реагированию, механизмы обращения, минимальная информация для создания инцидента/Процедуру довести до всех работников Общества;"&amp;"
 - Роли и обязанности, план коммуникации по поводу инцидента;
 - План реагирования на инциденты, включая сценарии реагирования с привлечением юристов, специалистов по ИТ и ИБ, служб PR, HR и аналитиков;"&amp;"
 -  Учебные сценарии по реагированию, включающие взаимодействие заинтересованных лиц и позволяющие тестировать постановку задач, процессы коммуникации и принятия решений;"&amp;"
 -  Сценарии реагирования для разных событий безопасности: подозрительной активности, обнаруженной уязвимости, утечки информации;"&amp;"
Для автоматизации процесса внедрить специализированное ПО: SIEM, IRP/ServiceDesk.")</f>
        <v xml:space="preserve"> Разработать и/или Получить в Блоке ИБ ПАО Ростелеком типовое описание процесса реагирования на инциденты ИБ (Политика, Регламенты, процедуры реагирования на инциденты ИБ), определяющие:
  -  Ответственность за координацию процесса работы с инцидентами и документирование результатов в процессе решения инцидента;
  -  Список заинтересованных лиц, которые должны получить уведомление об инциденте, актуализиировать и пересматривать его не реже раза в год;
 - SLA по реагированию, механизмы обращения, минимальная информация для создания инцидента/Процедуру довести до всех работников Общества;
 - Роли и обязанности, план коммуникации по поводу инцидента;
 - План реагирования на инциденты, включая сценарии реагирования с привлечением юристов, специалистов по ИТ и ИБ, служб PR, HR и аналитиков;
 -  Учебные сценарии по реагированию, включающие взаимодействие заинтересованных лиц и позволяющие тестировать постановку задач, процессы коммуникации и принятия решений;
 -  Сценарии реагирования для разных событий безопасности: подозрительной активности, обнаруженной уязвимости, утечки информации;
Для автоматизации процесса внедрить специализированное ПО: SIEM, IRP/ServiceDesk.</v>
      </c>
      <c r="X39" s="264" t="s">
        <v>245</v>
      </c>
      <c r="Y39" s="263">
        <f>Y38+0.01</f>
        <v>307.01</v>
      </c>
      <c r="Z39" s="264" t="str">
        <f>IF(($L39-$D39)&gt;=0,"",
" -  Разработать КПЭ по процессу реагирования на инциденты ИБ для руководства ИБ;"&amp;"
 -  Разработать метрики по процессу;
 -  Назначить сервис-менеджеров процесса;"&amp;"
 -  Создать средство визуального мониторинга параметров процесса;
 -  Реализовать мониторинг параметров процесса;
 -  Реализовать реагирование на факты отклонения параметров процесса от определенных показателей")</f>
        <v xml:space="preserve"> -  Разработать КПЭ по процессу реагирования на инциденты ИБ для руководства ИБ;
 -  Разработать метрики по процессу;
 -  Назначить сервис-менеджеров процесса;
 -  Создать средство визуального мониторинга параметров процесса;
 -  Реализовать мониторинг параметров процесса;
 -  Реализовать реагирование на факты отклонения параметров процесса от определенных показателей</v>
      </c>
      <c r="AA39" s="264" t="s">
        <v>286</v>
      </c>
    </row>
    <row r="40" spans="2:27" ht="149.85" customHeight="1" outlineLevel="1">
      <c r="B40" s="287" t="s">
        <v>863</v>
      </c>
      <c r="C40" s="368" t="s">
        <v>864</v>
      </c>
      <c r="D40" s="256">
        <v>4</v>
      </c>
      <c r="E40" s="257">
        <v>3</v>
      </c>
      <c r="F40" s="258">
        <v>1</v>
      </c>
      <c r="G40" s="128"/>
      <c r="H40" s="128"/>
      <c r="I40" s="128"/>
      <c r="J40" s="259"/>
      <c r="K40" s="260">
        <f t="shared" si="5"/>
        <v>4</v>
      </c>
      <c r="L40" s="290">
        <f>IF((СК="Да"),D40,VALUE(LEFT(N40,3)))</f>
        <v>0</v>
      </c>
      <c r="M40">
        <f t="shared" si="1"/>
        <v>-4</v>
      </c>
      <c r="N40" s="261" t="s">
        <v>359</v>
      </c>
      <c r="O40" s="216" t="str">
        <f>IF((СК="Да"),"Зона ответственности Сервисной компании", "")</f>
        <v/>
      </c>
      <c r="P40" s="262">
        <f t="shared" si="6"/>
        <v>0</v>
      </c>
      <c r="Q40" s="262">
        <f t="shared" si="6"/>
        <v>0</v>
      </c>
      <c r="R40" s="262">
        <f t="shared" si="7"/>
        <v>0</v>
      </c>
      <c r="S40" s="263">
        <f>S39+0.01</f>
        <v>7.02</v>
      </c>
      <c r="T40" s="264" t="str">
        <f>IF(($L40-$F40)&gt;=0,"",
" - В Обществе неформально определить категории инцидентов ИБ")</f>
        <v xml:space="preserve"> - В Обществе неформально определить категории инцидентов ИБ</v>
      </c>
      <c r="U40" s="264" t="s">
        <v>122</v>
      </c>
      <c r="V40" s="263">
        <f>V39+0.01</f>
        <v>207.01999999999998</v>
      </c>
      <c r="W40" s="264" t="str">
        <f>IF(($L40-$E40)&gt;=0,"",
"- Формализовать критерии определения критичности инцидентов ИБ; 
- Определить мандаты на действия участников процесса;
  -  Официально сформировать ГЭР и ОКУ;"&amp;"
  -  Не реже 1 раза в год проводить учения в формате штабных игр.")</f>
        <v>- Формализовать критерии определения критичности инцидентов ИБ; 
- Определить мандаты на действия участников процесса;
  -  Официально сформировать ГЭР и ОКУ;
  -  Не реже 1 раза в год проводить учения в формате штабных игр.</v>
      </c>
      <c r="X40" s="264" t="s">
        <v>246</v>
      </c>
      <c r="Y40" s="263">
        <f>Y39+0.01</f>
        <v>307.02</v>
      </c>
      <c r="Z40" s="264" t="str">
        <f>IF(($L40-$D40)&gt;=0,"",
" - Реализовать возможность корректировки категорий инцидента ИБ в процессе реагирования")</f>
        <v xml:space="preserve"> - Реализовать возможность корректировки категорий инцидента ИБ в процессе реагирования</v>
      </c>
      <c r="AA40" s="264" t="s">
        <v>286</v>
      </c>
    </row>
    <row r="41" spans="2:27" ht="75.599999999999994" customHeight="1" outlineLevel="1">
      <c r="B41" s="254" t="s">
        <v>865</v>
      </c>
      <c r="C41" s="368" t="s">
        <v>866</v>
      </c>
      <c r="D41" s="256">
        <v>5</v>
      </c>
      <c r="E41" s="257">
        <v>3.2</v>
      </c>
      <c r="F41" s="258">
        <v>0</v>
      </c>
      <c r="G41" s="171"/>
      <c r="H41" s="171"/>
      <c r="I41" s="128"/>
      <c r="J41" s="286"/>
      <c r="K41" s="260">
        <f t="shared" si="5"/>
        <v>5</v>
      </c>
      <c r="L41" s="290">
        <f t="shared" ref="L41:L48" si="8">IF((СК="Да"),E41,VALUE(LEFT(N41,3)))</f>
        <v>0</v>
      </c>
      <c r="M41">
        <f t="shared" si="1"/>
        <v>-5</v>
      </c>
      <c r="N41" s="411" t="s">
        <v>331</v>
      </c>
      <c r="O41" s="216" t="str">
        <f t="shared" ref="O41:O48" si="9">IF((СК="Да"),"Совместная зона ответственности ДЗО и Сервисной компании
В рамках регламента взаимодействия СК - ДЗО
(3,2 - при подключении к СК;
5 - после утверждения регламента взаимодействия СК - ДЗО в ДЗО)", "")</f>
        <v/>
      </c>
      <c r="P41" s="262">
        <f t="shared" si="6"/>
        <v>0</v>
      </c>
      <c r="Q41" s="262">
        <f t="shared" si="6"/>
        <v>0</v>
      </c>
      <c r="R41" s="262"/>
      <c r="S41" s="263">
        <f>S40+0.01</f>
        <v>7.0299999999999994</v>
      </c>
      <c r="T41" s="264" t="str">
        <f t="shared" ref="T41:T46" si="10">IF(($L41-$F41)&gt;=0,"","")</f>
        <v/>
      </c>
      <c r="U41" s="264"/>
      <c r="V41" s="263">
        <f>V40+0.01</f>
        <v>207.02999999999997</v>
      </c>
      <c r="W41" s="264" t="str">
        <f>IF(($L41-$E41)&gt;=0,"",
" - Категории инцидентов определить в ВНД;
  -  Категорию инцидента ИБ определять в автоматическом режиме")</f>
        <v xml:space="preserve"> - Категории инцидентов определить в ВНД;
  -  Категорию инцидента ИБ определять в автоматическом режиме</v>
      </c>
      <c r="X41" s="264" t="s">
        <v>246</v>
      </c>
      <c r="Y41" s="263">
        <f>Y40+0.01</f>
        <v>307.02999999999997</v>
      </c>
      <c r="Z41" s="264" t="str">
        <f>IF(($L41-$D41)&gt;=0,"",
" -  Разработать ВНД, определяющий мандаты на действия;"&amp;"
 -  Пересматривать состав ГЭР и ОКУ не реже 1 раза в полгода;
 -  Разработать обучающий курс для ГЭР и ОКУ;"&amp;"
 -  Проводить обучение членов ГЭР и ОКУ не реже 1 раза в год.")</f>
        <v xml:space="preserve"> -  Разработать ВНД, определяющий мандаты на действия;
 -  Пересматривать состав ГЭР и ОКУ не реже 1 раза в полгода;
 -  Разработать обучающий курс для ГЭР и ОКУ;
 -  Проводить обучение членов ГЭР и ОКУ не реже 1 раза в год.</v>
      </c>
      <c r="AA41" s="264" t="s">
        <v>290</v>
      </c>
    </row>
    <row r="42" spans="2:27" ht="53.1" customHeight="1" outlineLevel="1">
      <c r="B42" s="287" t="s">
        <v>867</v>
      </c>
      <c r="C42" s="368" t="s">
        <v>868</v>
      </c>
      <c r="D42" s="256">
        <v>5</v>
      </c>
      <c r="E42" s="257">
        <v>3.2</v>
      </c>
      <c r="F42" s="258">
        <v>0</v>
      </c>
      <c r="G42" s="171"/>
      <c r="H42" s="392"/>
      <c r="I42" s="128"/>
      <c r="J42" s="286"/>
      <c r="K42" s="260">
        <f t="shared" si="5"/>
        <v>5</v>
      </c>
      <c r="L42" s="290">
        <f t="shared" si="8"/>
        <v>0</v>
      </c>
      <c r="M42">
        <f t="shared" si="1"/>
        <v>-5</v>
      </c>
      <c r="N42" s="269" t="s">
        <v>331</v>
      </c>
      <c r="O42" s="216" t="str">
        <f t="shared" si="9"/>
        <v/>
      </c>
      <c r="P42" s="262">
        <f t="shared" si="6"/>
        <v>0</v>
      </c>
      <c r="Q42" s="262">
        <f t="shared" si="6"/>
        <v>0</v>
      </c>
      <c r="R42" s="262"/>
      <c r="S42" s="263">
        <f>S41+0.01</f>
        <v>7.0399999999999991</v>
      </c>
      <c r="T42" s="264" t="str">
        <f t="shared" si="10"/>
        <v/>
      </c>
      <c r="U42" s="264"/>
      <c r="V42" s="263">
        <f>V41+0.01</f>
        <v>207.03999999999996</v>
      </c>
      <c r="W42" s="264" t="str">
        <f>IF(($L42-$E42)&gt;=0,"",
" - Пост-анализ проводится обязательно для инцидентов критичности 'высокий' и выше. 
- По результатам вносятся изменения в порядок реагирования.")</f>
        <v xml:space="preserve"> - Пост-анализ проводится обязательно для инцидентов критичности 'высокий' и выше. 
- По результатам вносятся изменения в порядок реагирования.</v>
      </c>
      <c r="X42" s="264" t="s">
        <v>247</v>
      </c>
      <c r="Y42" s="263">
        <f>Y41+0.01</f>
        <v>307.03999999999996</v>
      </c>
      <c r="Z42" s="264" t="str">
        <f>IF(($L42-$D42)&gt;=0,"",
" - Все инциденты должны проходить этап пост-анализа;
  - Контролировать и получать подтверждения об изменении процесса по результатам пост-анализа.")</f>
        <v xml:space="preserve"> - Все инциденты должны проходить этап пост-анализа;
  - Контролировать и получать подтверждения об изменении процесса по результатам пост-анализа.</v>
      </c>
      <c r="AA42" s="264" t="s">
        <v>247</v>
      </c>
    </row>
    <row r="43" spans="2:27" ht="29.85" customHeight="1">
      <c r="B43" s="305" t="s">
        <v>869</v>
      </c>
      <c r="C43" s="397" t="s">
        <v>870</v>
      </c>
      <c r="D43" s="294"/>
      <c r="E43" s="294"/>
      <c r="F43" s="294"/>
      <c r="G43" s="397"/>
      <c r="H43" s="294"/>
      <c r="I43" s="294"/>
      <c r="J43" s="306"/>
      <c r="K43" s="306"/>
      <c r="L43" s="294"/>
      <c r="M43" s="294"/>
      <c r="N43" s="295"/>
      <c r="O43" s="295"/>
      <c r="P43" s="294"/>
      <c r="Q43" s="294"/>
      <c r="R43" s="294"/>
      <c r="S43" s="247">
        <f>VLOOKUP(B43,Приоритет!$G$9:$K$52,5,0)</f>
        <v>37</v>
      </c>
      <c r="T43" s="21" t="s">
        <v>213</v>
      </c>
      <c r="U43" s="21"/>
      <c r="V43" s="247">
        <f>S43+200</f>
        <v>237</v>
      </c>
      <c r="W43" s="21" t="s">
        <v>213</v>
      </c>
      <c r="X43" s="21"/>
      <c r="Y43" s="247">
        <f>S43+300</f>
        <v>337</v>
      </c>
      <c r="Z43" s="21" t="s">
        <v>213</v>
      </c>
      <c r="AA43" s="21"/>
    </row>
    <row r="44" spans="2:27" ht="103.35" customHeight="1" outlineLevel="1">
      <c r="B44" s="287" t="s">
        <v>871</v>
      </c>
      <c r="C44" s="368" t="s">
        <v>872</v>
      </c>
      <c r="D44" s="256">
        <v>5</v>
      </c>
      <c r="E44" s="257">
        <v>3.2</v>
      </c>
      <c r="F44" s="258">
        <v>0</v>
      </c>
      <c r="G44" s="171"/>
      <c r="H44" s="171"/>
      <c r="I44" s="128"/>
      <c r="J44" s="286"/>
      <c r="K44" s="260">
        <f t="shared" si="5"/>
        <v>5</v>
      </c>
      <c r="L44" s="290">
        <f t="shared" si="8"/>
        <v>0</v>
      </c>
      <c r="M44">
        <f t="shared" si="1"/>
        <v>-5</v>
      </c>
      <c r="N44" s="269" t="s">
        <v>331</v>
      </c>
      <c r="O44" s="216" t="str">
        <f t="shared" si="9"/>
        <v/>
      </c>
      <c r="P44" s="262">
        <f t="shared" si="6"/>
        <v>0</v>
      </c>
      <c r="Q44" s="262">
        <f t="shared" si="6"/>
        <v>0</v>
      </c>
      <c r="R44" s="262"/>
      <c r="S44" s="263">
        <f>S43+0.01</f>
        <v>37.01</v>
      </c>
      <c r="T44" s="264" t="str">
        <f t="shared" si="10"/>
        <v/>
      </c>
      <c r="U44" s="264"/>
      <c r="V44" s="263">
        <f>V43+0.01</f>
        <v>237.01</v>
      </c>
      <c r="W44" s="264" t="str">
        <f>IF(($L44-$E44)&gt;=0,"",
" - Составить список участников процессов реагирования на инциденты;
  -  Определить зоны ответственности и полномочия при реагировании на инциденты, довести до участников и согласовать с ними;"&amp;"
  -  Составить список контактных данных и довести до всех участников.")</f>
        <v xml:space="preserve"> - Составить список участников процессов реагирования на инциденты;
  -  Определить зоны ответственности и полномочия при реагировании на инциденты, довести до участников и согласовать с ними;
  -  Составить список контактных данных и довести до всех участников.</v>
      </c>
      <c r="X44" s="264" t="s">
        <v>281</v>
      </c>
      <c r="Y44" s="263">
        <f>Y43+0.01</f>
        <v>337.01</v>
      </c>
      <c r="Z44" s="264" t="str">
        <f>IF(($L44-$D44)&gt;=0,"",
" - Постоянно актуализировать список участников процессов реагирования на инциденты, их контактных данных.")</f>
        <v xml:space="preserve"> - Постоянно актуализировать список участников процессов реагирования на инциденты, их контактных данных.</v>
      </c>
      <c r="AA44" s="264" t="s">
        <v>297</v>
      </c>
    </row>
    <row r="45" spans="2:27" ht="57" customHeight="1" outlineLevel="1">
      <c r="B45" s="287" t="s">
        <v>873</v>
      </c>
      <c r="C45" s="368" t="s">
        <v>874</v>
      </c>
      <c r="D45" s="256">
        <v>5</v>
      </c>
      <c r="E45" s="257">
        <v>3.2</v>
      </c>
      <c r="F45" s="258">
        <v>0</v>
      </c>
      <c r="G45" s="171"/>
      <c r="H45" s="171"/>
      <c r="I45" s="128"/>
      <c r="J45" s="286"/>
      <c r="K45" s="260">
        <f t="shared" si="5"/>
        <v>5</v>
      </c>
      <c r="L45" s="290">
        <f t="shared" si="8"/>
        <v>0</v>
      </c>
      <c r="M45">
        <f t="shared" si="1"/>
        <v>-5</v>
      </c>
      <c r="N45" s="269" t="s">
        <v>331</v>
      </c>
      <c r="O45" s="216" t="str">
        <f t="shared" si="9"/>
        <v/>
      </c>
      <c r="P45" s="262">
        <f t="shared" si="6"/>
        <v>0</v>
      </c>
      <c r="Q45" s="262">
        <f t="shared" si="6"/>
        <v>0</v>
      </c>
      <c r="R45" s="262"/>
      <c r="S45" s="263">
        <f>S44+0.01</f>
        <v>37.019999999999996</v>
      </c>
      <c r="T45" s="264" t="str">
        <f t="shared" si="10"/>
        <v/>
      </c>
      <c r="U45" s="264"/>
      <c r="V45" s="263">
        <f>V44+0.01</f>
        <v>237.01999999999998</v>
      </c>
      <c r="W45" s="264" t="str">
        <f>IF(($L45-$E45)&gt;=0,"",
" - Определить основные и резервные каналы коммуникации и приоритет их использования/Провести тестирование каналов коммуникации. ")</f>
        <v xml:space="preserve"> - Определить основные и резервные каналы коммуникации и приоритет их использования/Провести тестирование каналов коммуникации. </v>
      </c>
      <c r="X45" s="264" t="s">
        <v>281</v>
      </c>
      <c r="Y45" s="263">
        <f>Y44+0.01</f>
        <v>337.02</v>
      </c>
      <c r="Z45" s="264" t="str">
        <f>IF(($L45-$D45)&gt;=0,"",
" - Проводить периодическую проверку каналов коммуникации.")</f>
        <v xml:space="preserve"> - Проводить периодическую проверку каналов коммуникации.</v>
      </c>
      <c r="AA45" s="264" t="s">
        <v>316</v>
      </c>
    </row>
    <row r="46" spans="2:27" ht="54" customHeight="1" outlineLevel="1">
      <c r="B46" s="254" t="s">
        <v>875</v>
      </c>
      <c r="C46" s="368" t="s">
        <v>876</v>
      </c>
      <c r="D46" s="256">
        <v>5</v>
      </c>
      <c r="E46" s="257">
        <v>3.2</v>
      </c>
      <c r="F46" s="258">
        <v>0</v>
      </c>
      <c r="G46" s="171"/>
      <c r="H46" s="171"/>
      <c r="I46" s="128"/>
      <c r="J46" s="286"/>
      <c r="K46" s="260">
        <f t="shared" si="5"/>
        <v>5</v>
      </c>
      <c r="L46" s="290">
        <f t="shared" si="8"/>
        <v>0</v>
      </c>
      <c r="M46">
        <f t="shared" si="1"/>
        <v>-5</v>
      </c>
      <c r="N46" s="269" t="s">
        <v>331</v>
      </c>
      <c r="O46" s="216" t="str">
        <f t="shared" si="9"/>
        <v/>
      </c>
      <c r="P46" s="262">
        <f t="shared" si="6"/>
        <v>0</v>
      </c>
      <c r="Q46" s="262">
        <f t="shared" si="6"/>
        <v>0</v>
      </c>
      <c r="R46" s="262"/>
      <c r="S46" s="263">
        <f>S45+0.01</f>
        <v>37.029999999999994</v>
      </c>
      <c r="T46" s="264" t="str">
        <f t="shared" si="10"/>
        <v/>
      </c>
      <c r="U46" s="264"/>
      <c r="V46" s="263">
        <f>V45+0.01</f>
        <v>237.02999999999997</v>
      </c>
      <c r="W46" s="264" t="str">
        <f>IF(($L46-$E46)&gt;=0,"",
" - Определить критерии и порядок эскалации инцидентов;
  -  Определить маршруты эскалации;
  - Регламентировать процесс эскалации.")</f>
        <v xml:space="preserve"> - Определить критерии и порядок эскалации инцидентов;
  -  Определить маршруты эскалации;
  - Регламентировать процесс эскалации.</v>
      </c>
      <c r="X46" s="264" t="s">
        <v>282</v>
      </c>
      <c r="Y46" s="263">
        <f>Y45+0.01</f>
        <v>337.03</v>
      </c>
      <c r="Z46" s="264" t="str">
        <f>IF(($L46-$D46)&gt;=0,"",
" - Контролировать и оценивать эффективность процесса  реагирования на инциденты при эскалациях.")</f>
        <v xml:space="preserve"> - Контролировать и оценивать эффективность процесса  реагирования на инциденты при эскалациях.</v>
      </c>
      <c r="AA46" s="264" t="s">
        <v>204</v>
      </c>
    </row>
    <row r="47" spans="2:27" ht="70.349999999999994" customHeight="1" outlineLevel="1">
      <c r="B47" s="254" t="s">
        <v>877</v>
      </c>
      <c r="C47" s="368" t="s">
        <v>878</v>
      </c>
      <c r="D47" s="256">
        <v>5</v>
      </c>
      <c r="E47" s="257">
        <v>3.2</v>
      </c>
      <c r="F47" s="258">
        <v>1.6</v>
      </c>
      <c r="G47" s="171"/>
      <c r="H47" s="171"/>
      <c r="I47" s="128"/>
      <c r="J47" s="286"/>
      <c r="K47" s="260">
        <f t="shared" si="5"/>
        <v>5</v>
      </c>
      <c r="L47" s="290">
        <f t="shared" si="8"/>
        <v>0</v>
      </c>
      <c r="M47">
        <f t="shared" si="1"/>
        <v>-5</v>
      </c>
      <c r="N47" s="269" t="s">
        <v>331</v>
      </c>
      <c r="O47" s="216" t="str">
        <f t="shared" si="9"/>
        <v/>
      </c>
      <c r="P47" s="262">
        <f t="shared" si="6"/>
        <v>0</v>
      </c>
      <c r="Q47" s="262">
        <f t="shared" si="6"/>
        <v>0</v>
      </c>
      <c r="R47" s="262">
        <f t="shared" si="7"/>
        <v>0</v>
      </c>
      <c r="S47" s="263">
        <f>S46+0.01</f>
        <v>37.039999999999992</v>
      </c>
      <c r="T47" s="264" t="str">
        <f>IF(($L47-$F47)&gt;=0,""," - Взаимодействовать с регуляторами по инциденту ИБ в установленных законом случаях")</f>
        <v xml:space="preserve"> - Взаимодействовать с регуляторами по инциденту ИБ в установленных законом случаях</v>
      </c>
      <c r="U47" s="264"/>
      <c r="V47" s="263">
        <f>V46+0.01</f>
        <v>237.03999999999996</v>
      </c>
      <c r="W47" s="264" t="str">
        <f>IF(($L47-$E47)&gt;=0,"",
" - Регламентировать процесс взаимодействия с регуляторами;
  -  Определить ответственных за взаимодействие;
 -  Определить состав и объем предоставляемой информации об инцидентах.")</f>
        <v xml:space="preserve"> - Регламентировать процесс взаимодействия с регуляторами;
  -  Определить ответственных за взаимодействие;
 -  Определить состав и объем предоставляемой информации об инцидентах.</v>
      </c>
      <c r="X47" s="264" t="s">
        <v>283</v>
      </c>
      <c r="Y47" s="263">
        <f>Y46+0.01</f>
        <v>337.03999999999996</v>
      </c>
      <c r="Z47" s="264" t="str">
        <f>IF(($L47-$D47)&gt;=0,"","- Регламентировать процесс взаимодействия с регуляторами;
  -  Определить ответственных за взаимодействие;
 -  Определить состав и объем предоставляемой информации об инцидентах.")</f>
        <v>- Регламентировать процесс взаимодействия с регуляторами;
  -  Определить ответственных за взаимодействие;
 -  Определить состав и объем предоставляемой информации об инцидентах.</v>
      </c>
      <c r="AA47" s="264" t="s">
        <v>283</v>
      </c>
    </row>
    <row r="48" spans="2:27" ht="77.099999999999994" customHeight="1" outlineLevel="1">
      <c r="B48" s="287" t="s">
        <v>879</v>
      </c>
      <c r="C48" s="368" t="s">
        <v>880</v>
      </c>
      <c r="D48" s="256">
        <v>5</v>
      </c>
      <c r="E48" s="257">
        <v>3.2</v>
      </c>
      <c r="F48" s="258">
        <v>1.6</v>
      </c>
      <c r="G48" s="171"/>
      <c r="H48" s="171"/>
      <c r="I48" s="128"/>
      <c r="J48" s="286"/>
      <c r="K48" s="260">
        <f t="shared" si="5"/>
        <v>5</v>
      </c>
      <c r="L48" s="290">
        <f t="shared" si="8"/>
        <v>0</v>
      </c>
      <c r="M48">
        <f t="shared" si="1"/>
        <v>-5</v>
      </c>
      <c r="N48" s="269" t="s">
        <v>331</v>
      </c>
      <c r="O48" s="216" t="str">
        <f t="shared" si="9"/>
        <v/>
      </c>
      <c r="P48" s="262">
        <f t="shared" si="6"/>
        <v>0</v>
      </c>
      <c r="Q48" s="262">
        <f t="shared" si="6"/>
        <v>0</v>
      </c>
      <c r="R48" s="262">
        <f t="shared" si="7"/>
        <v>0</v>
      </c>
      <c r="S48" s="263">
        <f>S47+0.01</f>
        <v>37.04999999999999</v>
      </c>
      <c r="T48" s="264" t="str">
        <f>IF(($L48-$F48)&gt;=0,""," - Составить план коммуникаций при значимых инцидентах, довести его до всех участников")</f>
        <v xml:space="preserve"> - Составить план коммуникаций при значимых инцидентах, довести его до всех участников</v>
      </c>
      <c r="U48" s="264" t="s">
        <v>215</v>
      </c>
      <c r="V48" s="263">
        <f>V47+0.01</f>
        <v>237.04999999999995</v>
      </c>
      <c r="W48" s="264" t="str">
        <f>IF(($L48-$E48)&gt;=0,"",
" - Актуализировать план коммуникаций значимых инцидентов не реже чем раз в полгода.")</f>
        <v xml:space="preserve"> - Актуализировать план коммуникаций значимых инцидентов не реже чем раз в полгода.</v>
      </c>
      <c r="X48" s="264" t="s">
        <v>281</v>
      </c>
      <c r="Y48" s="263">
        <f>Y47+0.01</f>
        <v>337.04999999999995</v>
      </c>
      <c r="Z48" s="264" t="str">
        <f>IF(($L48-$D48)&gt;=0,"",
" - Актуализировать план коммуникаций значимых инцидентов не реже чем раз в 3 месяца;"&amp;"
 -  Анализировать эффективность каналов коммуникаций при значимых инцидентах.")</f>
        <v xml:space="preserve"> - Актуализировать план коммуникаций значимых инцидентов не реже чем раз в 3 месяца;
 -  Анализировать эффективность каналов коммуникаций при значимых инцидентах.</v>
      </c>
      <c r="AA48" s="264" t="s">
        <v>297</v>
      </c>
    </row>
    <row r="49" spans="2:27" ht="29.85" customHeight="1">
      <c r="B49" s="305" t="s">
        <v>202</v>
      </c>
      <c r="C49" s="486" t="s">
        <v>881</v>
      </c>
      <c r="D49" s="294"/>
      <c r="E49" s="294"/>
      <c r="F49" s="294"/>
      <c r="G49" s="486"/>
      <c r="H49" s="294"/>
      <c r="I49" s="294"/>
      <c r="J49" s="306"/>
      <c r="K49" s="306"/>
      <c r="L49" s="294"/>
      <c r="M49" s="294"/>
      <c r="N49" s="295"/>
      <c r="O49" s="295"/>
      <c r="P49" s="294"/>
      <c r="Q49" s="294"/>
      <c r="R49" s="294"/>
      <c r="S49" s="247">
        <f>VLOOKUP(B49,Приоритет!$G$9:$K$52,5,0)</f>
        <v>30</v>
      </c>
      <c r="T49" s="21" t="s">
        <v>202</v>
      </c>
      <c r="U49" s="21"/>
      <c r="V49" s="247">
        <f>S49+200</f>
        <v>230</v>
      </c>
      <c r="W49" s="21" t="s">
        <v>202</v>
      </c>
      <c r="X49" s="21"/>
      <c r="Y49" s="247">
        <f>S49+300</f>
        <v>330</v>
      </c>
      <c r="Z49" s="21" t="s">
        <v>202</v>
      </c>
      <c r="AA49" s="21"/>
    </row>
    <row r="50" spans="2:27" ht="72.599999999999994" customHeight="1" outlineLevel="1">
      <c r="B50" s="254" t="s">
        <v>882</v>
      </c>
      <c r="C50" s="300" t="s">
        <v>883</v>
      </c>
      <c r="D50" s="256">
        <v>5</v>
      </c>
      <c r="E50" s="257">
        <v>5</v>
      </c>
      <c r="F50" s="258">
        <v>0</v>
      </c>
      <c r="G50" s="171"/>
      <c r="H50" s="171"/>
      <c r="I50" s="128"/>
      <c r="J50" s="286"/>
      <c r="K50" s="260">
        <f t="shared" si="5"/>
        <v>5</v>
      </c>
      <c r="L50" s="290">
        <f>IF((СК="Да"),D50,VALUE(LEFT(N50,3)))</f>
        <v>0</v>
      </c>
      <c r="M50">
        <f t="shared" si="1"/>
        <v>-5</v>
      </c>
      <c r="N50" s="411" t="s">
        <v>331</v>
      </c>
      <c r="O50" s="216" t="str">
        <f>IF((СК="Да"),"Зона ответственности Сервисной компании", "")</f>
        <v/>
      </c>
      <c r="P50" s="262">
        <f t="shared" si="6"/>
        <v>0</v>
      </c>
      <c r="Q50" s="262">
        <f t="shared" si="6"/>
        <v>0</v>
      </c>
      <c r="R50" s="262"/>
      <c r="S50" s="263">
        <f>S49+0.01</f>
        <v>30.01</v>
      </c>
      <c r="T50" s="264" t="str">
        <f>IF(($L50-$F50)&gt;=0,"","")</f>
        <v/>
      </c>
      <c r="U50" s="264"/>
      <c r="V50" s="263">
        <f>V49+0.01</f>
        <v>230.01</v>
      </c>
      <c r="W50" s="264" t="str">
        <f>IF(($L50-$E50)&gt;=0,"",
" - Создать подразделение (выделить штатную должность), отвечающее за расследование инцидентов ИБ либо заключить сервисный договор.")</f>
        <v xml:space="preserve"> - Создать подразделение (выделить штатную должность), отвечающее за расследование инцидентов ИБ либо заключить сервисный договор.</v>
      </c>
      <c r="X50" s="264" t="s">
        <v>274</v>
      </c>
      <c r="Y50" s="263">
        <f>Y49+0.01</f>
        <v>330.01</v>
      </c>
      <c r="Z50" s="264" t="str">
        <f>IF(($L50-$D50)&gt;=0,"","")</f>
        <v/>
      </c>
      <c r="AA50" s="264"/>
    </row>
    <row r="51" spans="2:27" ht="96" customHeight="1" outlineLevel="1">
      <c r="B51" s="287" t="s">
        <v>884</v>
      </c>
      <c r="C51" s="300" t="s">
        <v>885</v>
      </c>
      <c r="D51" s="256">
        <v>4</v>
      </c>
      <c r="E51" s="257">
        <v>3</v>
      </c>
      <c r="F51" s="258">
        <v>1</v>
      </c>
      <c r="G51" s="171"/>
      <c r="H51" s="171"/>
      <c r="I51" s="128"/>
      <c r="J51" s="286"/>
      <c r="K51" s="260">
        <f t="shared" si="5"/>
        <v>4</v>
      </c>
      <c r="L51" s="290">
        <f>IF((СК="Да"),E51,VALUE(LEFT(N51,3)))</f>
        <v>0</v>
      </c>
      <c r="M51">
        <f t="shared" si="1"/>
        <v>-4</v>
      </c>
      <c r="N51" s="261" t="s">
        <v>359</v>
      </c>
      <c r="O51" s="216" t="str">
        <f>IF((СК="Да"),"Совместная зона ответственности ДЗО и Сервисной компании
(3 - при подключении к СК;
4 - при выполнении в ДЗО)", "")</f>
        <v/>
      </c>
      <c r="P51" s="262">
        <f t="shared" si="6"/>
        <v>0</v>
      </c>
      <c r="Q51" s="262">
        <f t="shared" si="6"/>
        <v>0</v>
      </c>
      <c r="R51" s="262">
        <f t="shared" si="7"/>
        <v>0</v>
      </c>
      <c r="S51" s="263">
        <f>S50+0.01</f>
        <v>30.020000000000003</v>
      </c>
      <c r="T51" s="264" t="str">
        <f>IF(($L51-$F51)&gt;=0,"","- Проводить расследование инцидентов информационной безопасности
- Результаты расследований должны быть задокументированы")</f>
        <v>- Проводить расследование инцидентов информационной безопасности
- Результаты расследований должны быть задокументированы</v>
      </c>
      <c r="U51" s="264" t="s">
        <v>203</v>
      </c>
      <c r="V51" s="263">
        <f>V50+0.01</f>
        <v>230.01999999999998</v>
      </c>
      <c r="W51" s="264" t="str">
        <f>IF(($L51-$E51)&gt;=0,"",
" - Разработать и задокументировать процесс расследования инцидентов, довести до сведения заинтересованных лиц;
  - Расследование инцидентов должно проводиться с использованием средств автоматизации;"&amp;"
 -  Создать единую базу знаний по расследованиям. Результаты расследований и артефакты хранить в единой базе знаний.")</f>
        <v xml:space="preserve"> - Разработать и задокументировать процесс расследования инцидентов, довести до сведения заинтересованных лиц;
  - Расследование инцидентов должно проводиться с использованием средств автоматизации;
 -  Создать единую базу знаний по расследованиям. Результаты расследований и артефакты хранить в единой базе знаний.</v>
      </c>
      <c r="X51" s="264" t="s">
        <v>275</v>
      </c>
      <c r="Y51" s="263">
        <f>Y50+0.01</f>
        <v>330.02</v>
      </c>
      <c r="Z51" s="264" t="str">
        <f>IF(($L51-$D51)&gt;=0,"",
" - Определить метрики процесса реагирования на инциденты и  расследования;
  -  На постоянной основе проводить мониторинг процесса по утвержденным метрикам и показателям;"&amp;"
  -  Интегрировать процесс расследования инцидентов в единый процесс управления инцидентами ИБ")</f>
        <v xml:space="preserve"> - Определить метрики процесса реагирования на инциденты и  расследования;
  -  На постоянной основе проводить мониторинг процесса по утвержденным метрикам и показателям;
  -  Интегрировать процесс расследования инцидентов в единый процесс управления инцидентами ИБ</v>
      </c>
      <c r="AA51" s="264" t="s">
        <v>310</v>
      </c>
    </row>
    <row r="52" spans="2:27" ht="199.35" customHeight="1" outlineLevel="1">
      <c r="B52" s="287" t="s">
        <v>886</v>
      </c>
      <c r="C52" s="300" t="s">
        <v>887</v>
      </c>
      <c r="D52" s="256">
        <v>5</v>
      </c>
      <c r="E52" s="257">
        <v>5</v>
      </c>
      <c r="F52" s="258">
        <v>3.2</v>
      </c>
      <c r="G52" s="171"/>
      <c r="H52" s="171"/>
      <c r="I52" s="128"/>
      <c r="J52" s="286"/>
      <c r="K52" s="260">
        <f t="shared" si="5"/>
        <v>5</v>
      </c>
      <c r="L52" s="290">
        <f>IF((СК="Да"),F52,VALUE(LEFT(N52,3)))</f>
        <v>0</v>
      </c>
      <c r="M52">
        <f t="shared" si="1"/>
        <v>-5</v>
      </c>
      <c r="N52" s="269" t="s">
        <v>331</v>
      </c>
      <c r="O52" s="216" t="str">
        <f>IF((СК="Да"),"Совместная зона ответственности ДЗО и Сервисной компании
(3,2 - при подключении к СК;
5 - при выполнении в ДЗО)", "")</f>
        <v/>
      </c>
      <c r="P52" s="262">
        <f t="shared" si="6"/>
        <v>0</v>
      </c>
      <c r="Q52" s="262">
        <f t="shared" si="6"/>
        <v>0</v>
      </c>
      <c r="R52" s="262">
        <f t="shared" si="7"/>
        <v>0</v>
      </c>
      <c r="S52" s="263">
        <f>S51+0.01</f>
        <v>30.030000000000005</v>
      </c>
      <c r="T52" s="264" t="str">
        <f>IF(($L52-$F52)&gt;=0,"",
" - Обеспечить проведение анализа причин возникновения критичных инцидентов ИБ;"&amp;"
 -  По результатам анализа, разрабатывать рекомендации по предотвращению аналогичных инцидентов в будущем ")</f>
        <v xml:space="preserve"> - Обеспечить проведение анализа причин возникновения критичных инцидентов ИБ;
 -  По результатам анализа, разрабатывать рекомендации по предотвращению аналогичных инцидентов в будущем </v>
      </c>
      <c r="U52" s="264" t="s">
        <v>204</v>
      </c>
      <c r="V52" s="263">
        <f>V51+0.01</f>
        <v>230.02999999999997</v>
      </c>
      <c r="W52" s="264" t="str">
        <f>IF(($L52-$E52)&gt;=0,"",
" - Проводить анализ причин возникновения инцидентов уровня, 'высокий', 'критичный';"&amp;"
 -  Результаты анализа хранить в единой базе знаний;
 - По результатам анализа причин возникновения инцидентов разрабатывать рекомендации по устранению таких причин/"&amp;" Рекомендации доводятся до ответственных подразделений/осуществляется контроль за выполнением рекомендаций;"&amp;"
 - Автоматизировать контроль и учет мероприятий по устранению причин инцидентов и выполнению рекомендаций;"&amp;"
 - Определить метрики процесса устранения причин инцидентов. На постоянной основе проводить мониторинг процесса по утвержденным метрикам и показателям.")</f>
        <v xml:space="preserve"> - Проводить анализ причин возникновения инцидентов уровня, 'высокий', 'критичный';
 -  Результаты анализа хранить в единой базе знаний;
 - По результатам анализа причин возникновения инцидентов разрабатывать рекомендации по устранению таких причин/ Рекомендации доводятся до ответственных подразделений/осуществляется контроль за выполнением рекомендаций;
 - Автоматизировать контроль и учет мероприятий по устранению причин инцидентов и выполнению рекомендаций;
 - Определить метрики процесса устранения причин инцидентов. На постоянной основе проводить мониторинг процесса по утвержденным метрикам и показателям.</v>
      </c>
      <c r="X52" s="264" t="s">
        <v>276</v>
      </c>
      <c r="Y52" s="263">
        <f>Y51+0.01</f>
        <v>330.03</v>
      </c>
      <c r="Z52" s="264" t="str">
        <f>IF(($L52-$D52)&gt;=0,"","")</f>
        <v/>
      </c>
      <c r="AA52" s="264"/>
    </row>
    <row r="53" spans="2:27" ht="146.85" customHeight="1" outlineLevel="1">
      <c r="B53" s="287" t="s">
        <v>888</v>
      </c>
      <c r="C53" s="300" t="s">
        <v>889</v>
      </c>
      <c r="D53" s="256">
        <v>4</v>
      </c>
      <c r="E53" s="257">
        <v>3</v>
      </c>
      <c r="F53" s="258">
        <v>1</v>
      </c>
      <c r="G53" s="171"/>
      <c r="H53" s="171"/>
      <c r="I53" s="128"/>
      <c r="J53" s="286"/>
      <c r="K53" s="260">
        <f t="shared" si="5"/>
        <v>4</v>
      </c>
      <c r="L53" s="290">
        <f>IF((СК="Да"),E53,VALUE(LEFT(N53,3)))</f>
        <v>0</v>
      </c>
      <c r="M53">
        <f t="shared" si="1"/>
        <v>-4</v>
      </c>
      <c r="N53" s="261" t="s">
        <v>359</v>
      </c>
      <c r="O53" s="216" t="str">
        <f>IF((СК="Да"),"Совместная зона ответственности ДЗО и Сервисной компании
(3 - при подключении к СК;
4 - при выполнении в ДЗО)", "")</f>
        <v/>
      </c>
      <c r="P53" s="262">
        <f t="shared" si="6"/>
        <v>0</v>
      </c>
      <c r="Q53" s="262">
        <f t="shared" si="6"/>
        <v>0</v>
      </c>
      <c r="R53" s="262">
        <f t="shared" si="7"/>
        <v>0</v>
      </c>
      <c r="S53" s="263">
        <f>S52+0.01</f>
        <v>30.040000000000006</v>
      </c>
      <c r="T53" s="264" t="str">
        <f>IF(($L53-$F53)&gt;=0,"","Проводится анализ критичных инцидентов ИБ на ИС классов MissionCritical и BusinesCritical в режиме рабочих встреч с подразделениями ИТ, с составлением протоколов, содержащих первоочередные меры митигации")</f>
        <v>Проводится анализ критичных инцидентов ИБ на ИС классов MissionCritical и BusinesCritical в режиме рабочих встреч с подразделениями ИТ, с составлением протоколов, содержащих первоочередные меры митигации</v>
      </c>
      <c r="U53" s="264" t="s">
        <v>204</v>
      </c>
      <c r="V53" s="263">
        <f>V52+0.01</f>
        <v>230.03999999999996</v>
      </c>
      <c r="W53" s="264" t="str">
        <f>IF(($L53-$E53)&gt;=0,"",
" - Формализовать и утвердить процесс пост-анализа инцидентов ИБ;"&amp;"
  -  Довести процесс до заинтересованных лиц;
- Обеспечить проведение пост-анализа инцидентов ИБ с применением средств автоматизации;"&amp;"
 -  Создать единую базу знаний инцидентов ИБ;
 - Проводить оценку и анализ инцидентов ИБ;
 - По результатам расследования инцидентов разрабатывать рекомендации по устранению выявленных уязвимостей и предотвращению аналогичных инцидентов в будущем;"&amp;"
 - Разрабатывать рекомендации по улучшению применяемых методов и средств защиты информации
- Повышать эффективность решающих правил SIEM с учетом инцидентов")</f>
        <v xml:space="preserve"> - Формализовать и утвердить процесс пост-анализа инцидентов ИБ;
  -  Довести процесс до заинтересованных лиц;
- Обеспечить проведение пост-анализа инцидентов ИБ с применением средств автоматизации;
 -  Создать единую базу знаний инцидентов ИБ;
 - Проводить оценку и анализ инцидентов ИБ;
 - По результатам расследования инцидентов разрабатывать рекомендации по устранению выявленных уязвимостей и предотвращению аналогичных инцидентов в будущем;
 - Разрабатывать рекомендации по улучшению применяемых методов и средств защиты информации
- Повышать эффективность решающих правил SIEM с учетом инцидентов</v>
      </c>
      <c r="X53" s="264" t="s">
        <v>277</v>
      </c>
      <c r="Y53" s="263">
        <f>Y52+0.01</f>
        <v>330.03999999999996</v>
      </c>
      <c r="Z53" s="264" t="str">
        <f>IF(($L53-$D53)&gt;=0,"", "-  Обеспечить контроль за выполнением рекомендаций и оценку эффективности выполненных мероприятий;"&amp;"
  -  На постоянной основе проводить мониторинг процесса по утвержденным метрикам и показателям;
  - Назначить ответственных за соблюдением сроков проведения утвержденных мероприятий.")</f>
        <v>-  Обеспечить контроль за выполнением рекомендаций и оценку эффективности выполненных мероприятий;
  -  На постоянной основе проводить мониторинг процесса по утвержденным метрикам и показателям;
  - Назначить ответственных за соблюдением сроков проведения утвержденных мероприятий.</v>
      </c>
      <c r="AA53" s="264" t="s">
        <v>311</v>
      </c>
    </row>
    <row r="54" spans="2:27" ht="186" customHeight="1" outlineLevel="1">
      <c r="B54" s="254" t="s">
        <v>890</v>
      </c>
      <c r="C54" s="300" t="s">
        <v>891</v>
      </c>
      <c r="D54" s="256">
        <v>5</v>
      </c>
      <c r="E54" s="257">
        <v>3.2</v>
      </c>
      <c r="F54" s="258">
        <v>0</v>
      </c>
      <c r="G54" s="171"/>
      <c r="H54" s="171"/>
      <c r="I54" s="128"/>
      <c r="J54" s="286"/>
      <c r="K54" s="260">
        <f t="shared" si="5"/>
        <v>5</v>
      </c>
      <c r="L54" s="290">
        <f>IF((СК="Да"),E54,VALUE(LEFT(N54,3)))</f>
        <v>0</v>
      </c>
      <c r="M54">
        <f t="shared" si="1"/>
        <v>-5</v>
      </c>
      <c r="N54" s="498" t="s">
        <v>331</v>
      </c>
      <c r="O54" s="216" t="str">
        <f>IF((СК="Да"),"Совместная зона ответственности ДЗО и Сервисной компании
(3,2 - при подключении к СК;
5 - при выполнении в ДЗО)", "")</f>
        <v/>
      </c>
      <c r="P54" s="262">
        <f t="shared" si="6"/>
        <v>0</v>
      </c>
      <c r="Q54" s="262">
        <f t="shared" si="6"/>
        <v>0</v>
      </c>
      <c r="R54" s="262"/>
      <c r="S54" s="263">
        <f>S53+0.01</f>
        <v>30.050000000000008</v>
      </c>
      <c r="T54" s="264" t="str">
        <f>IF(($L54-$F54)&gt;=0,"","")</f>
        <v/>
      </c>
      <c r="U54" s="264"/>
      <c r="V54" s="263">
        <f>V53+0.01</f>
        <v>230.04999999999995</v>
      </c>
      <c r="W54" s="264" t="str">
        <f>IF(($L54-$E54)&gt;=0,"",
" - Разработать и утвердить методику и программу проведения киберучений по реагированию на инциденты;"&amp;"
 -  Учебные сценарии должны включать взаимодействие заинтересованных лиц и позволяют тестировать постановку задач, процессы коммуникации и принятия решений;"&amp;"
 -  Обеспечить ежегодное планирование и проведения киберучений")</f>
        <v xml:space="preserve"> - Разработать и утвердить методику и программу проведения киберучений по реагированию на инциденты;
 -  Учебные сценарии должны включать взаимодействие заинтересованных лиц и позволяют тестировать постановку задач, процессы коммуникации и принятия решений;
 -  Обеспечить ежегодное планирование и проведения киберучений</v>
      </c>
      <c r="X54" s="264" t="s">
        <v>278</v>
      </c>
      <c r="Y54" s="263">
        <f>Y53+0.01</f>
        <v>330.04999999999995</v>
      </c>
      <c r="Z54" s="264" t="str">
        <f>IF(($L54-$D54)&gt;=0,"",
" - Разработать сценарии кибератак, основанных на актуальных для Общества угрозах и уязвимостях;"&amp;"
 -  Обеспечить проведение предварительных тренингов или семинаров для участников киберучений;"&amp;"
 - При проведении киберучений необходимо применять средства автоматизации. Все действия участников должны быть поставленны на мониторинг, для последующего анализа;"&amp;"
 -  По результатам киберучений необходимо проводить оценку и анализ, составлять детализированные отчеты, в которых описывать выполненные действия, успешные практики и выявленные недостатки"&amp;"
Должны быть предоставлены рекомендации для улучшения процесов ИБ и реагирования на инциденты ИБ.")</f>
        <v xml:space="preserve"> - Разработать сценарии кибератак, основанных на актуальных для Общества угрозах и уязвимостях;
 -  Обеспечить проведение предварительных тренингов или семинаров для участников киберучений;
 - При проведении киберучений необходимо применять средства автоматизации. Все действия участников должны быть поставленны на мониторинг, для последующего анализа;
 -  По результатам киберучений необходимо проводить оценку и анализ, составлять детализированные отчеты, в которых описывать выполненные действия, успешные практики и выявленные недостатки
Должны быть предоставлены рекомендации для улучшения процесов ИБ и реагирования на инциденты ИБ.</v>
      </c>
      <c r="AA54" s="264" t="s">
        <v>312</v>
      </c>
    </row>
    <row r="55" spans="2:27" ht="35.4" customHeight="1">
      <c r="B55" s="305" t="s">
        <v>892</v>
      </c>
      <c r="C55" s="486" t="s">
        <v>893</v>
      </c>
      <c r="D55" s="294"/>
      <c r="E55" s="294"/>
      <c r="F55" s="294"/>
      <c r="G55" s="486"/>
      <c r="H55" s="294"/>
      <c r="I55" s="294"/>
      <c r="J55" s="306"/>
      <c r="K55" s="306"/>
      <c r="L55" s="294"/>
      <c r="M55" s="294"/>
      <c r="N55" s="295"/>
      <c r="O55" s="295"/>
      <c r="P55" s="294"/>
      <c r="Q55" s="294"/>
      <c r="R55" s="294"/>
      <c r="S55" s="247">
        <f>VLOOKUP(B55,Приоритет!$G$9:$K$52,5,0)</f>
        <v>27</v>
      </c>
      <c r="T55" s="21" t="s">
        <v>198</v>
      </c>
      <c r="U55" s="21"/>
      <c r="V55" s="247">
        <f>S55+200</f>
        <v>227</v>
      </c>
      <c r="W55" s="21" t="s">
        <v>198</v>
      </c>
      <c r="X55" s="21"/>
      <c r="Y55" s="247">
        <f>S55+300</f>
        <v>327</v>
      </c>
      <c r="Z55" s="21" t="s">
        <v>198</v>
      </c>
      <c r="AA55" s="21"/>
    </row>
    <row r="56" spans="2:27" ht="45.6" customHeight="1" outlineLevel="1">
      <c r="B56" s="254" t="s">
        <v>894</v>
      </c>
      <c r="C56" s="300" t="s">
        <v>895</v>
      </c>
      <c r="D56" s="256">
        <v>5</v>
      </c>
      <c r="E56" s="257">
        <v>5</v>
      </c>
      <c r="F56" s="258">
        <v>5</v>
      </c>
      <c r="G56" s="171"/>
      <c r="H56" s="171"/>
      <c r="I56" s="128"/>
      <c r="J56" s="286"/>
      <c r="K56" s="260">
        <f t="shared" si="5"/>
        <v>5</v>
      </c>
      <c r="L56" s="290">
        <f t="shared" ref="L56:L66" si="11">IF((СК="Да"),D56,VALUE(LEFT(N56,3)))</f>
        <v>0</v>
      </c>
      <c r="M56">
        <f t="shared" si="1"/>
        <v>-5</v>
      </c>
      <c r="N56" s="269" t="s">
        <v>349</v>
      </c>
      <c r="O56" s="216" t="str">
        <f t="shared" ref="O56:O66" si="12">IF((СК="Да"),"Зона ответственности Сервисной компании", "")</f>
        <v/>
      </c>
      <c r="P56" s="262">
        <f t="shared" si="6"/>
        <v>0</v>
      </c>
      <c r="Q56" s="262">
        <f t="shared" ref="Q56:Q63" si="13">IFERROR(IF($L56&gt;=E56,1,$L56/E56),0)</f>
        <v>0</v>
      </c>
      <c r="R56" s="262">
        <f t="shared" si="7"/>
        <v>0</v>
      </c>
      <c r="S56" s="263">
        <f t="shared" ref="S56:S66" si="14">S55+0.01</f>
        <v>27.01</v>
      </c>
      <c r="T56" s="264" t="str">
        <f>IF(($L56-$F56)&gt;=0,"",
" - При разработке плейбуков учесть все имеющиеся информационные системы, каналы связи, подразделения и филиалы, категории пользователей, внешние сервисы и подрядчиков.")</f>
        <v xml:space="preserve"> - При разработке плейбуков учесть все имеющиеся информационные системы, каналы связи, подразделения и филиалы, категории пользователей, внешние сервисы и подрядчиков.</v>
      </c>
      <c r="U56" s="264" t="s">
        <v>199</v>
      </c>
      <c r="V56" s="263">
        <f t="shared" ref="V56:V66" si="15">V55+0.01</f>
        <v>227.01</v>
      </c>
      <c r="W56" s="264" t="str">
        <f>IF(($L56-$E56)&gt;=0,"","")</f>
        <v/>
      </c>
      <c r="X56" s="264"/>
      <c r="Y56" s="263">
        <f t="shared" ref="Y56:Y66" si="16">Y55+0.01</f>
        <v>327.01</v>
      </c>
      <c r="Z56" s="264" t="str">
        <f t="shared" ref="Z56:Z63" si="17">IF(($L56-$D56)&gt;=0,"","")</f>
        <v/>
      </c>
      <c r="AA56" s="264"/>
    </row>
    <row r="57" spans="2:27" ht="41.85" customHeight="1" outlineLevel="1">
      <c r="B57" s="287" t="s">
        <v>896</v>
      </c>
      <c r="C57" s="300" t="s">
        <v>897</v>
      </c>
      <c r="D57" s="256">
        <v>5</v>
      </c>
      <c r="E57" s="257">
        <v>5</v>
      </c>
      <c r="F57" s="258">
        <v>5</v>
      </c>
      <c r="G57" s="171"/>
      <c r="H57" s="171"/>
      <c r="I57" s="128"/>
      <c r="J57" s="286"/>
      <c r="K57" s="260">
        <f t="shared" si="5"/>
        <v>5</v>
      </c>
      <c r="L57" s="290">
        <f t="shared" si="11"/>
        <v>0</v>
      </c>
      <c r="M57">
        <f t="shared" si="1"/>
        <v>-5</v>
      </c>
      <c r="N57" s="261" t="s">
        <v>769</v>
      </c>
      <c r="O57" s="216" t="str">
        <f t="shared" si="12"/>
        <v/>
      </c>
      <c r="P57" s="262">
        <f t="shared" si="6"/>
        <v>0</v>
      </c>
      <c r="Q57" s="262">
        <f t="shared" si="13"/>
        <v>0</v>
      </c>
      <c r="R57" s="262">
        <f t="shared" si="7"/>
        <v>0</v>
      </c>
      <c r="S57" s="263">
        <f t="shared" si="14"/>
        <v>27.020000000000003</v>
      </c>
      <c r="T57" s="264" t="str">
        <f>IF(($L57-$F57)&gt;=0,"",
" - Разработать и простестировать плейбуки по реагированию на сработки АВЗ")</f>
        <v xml:space="preserve"> - Разработать и простестировать плейбуки по реагированию на сработки АВЗ</v>
      </c>
      <c r="U57" s="264" t="s">
        <v>200</v>
      </c>
      <c r="V57" s="263">
        <f t="shared" si="15"/>
        <v>227.01999999999998</v>
      </c>
      <c r="W57" s="264" t="str">
        <f>IF(($L57-$E57)&gt;=0,"","")</f>
        <v/>
      </c>
      <c r="X57" s="264"/>
      <c r="Y57" s="263">
        <f t="shared" si="16"/>
        <v>327.02</v>
      </c>
      <c r="Z57" s="264" t="str">
        <f t="shared" si="17"/>
        <v/>
      </c>
      <c r="AA57" s="264"/>
    </row>
    <row r="58" spans="2:27" ht="44.1" customHeight="1" outlineLevel="1">
      <c r="B58" s="287" t="s">
        <v>898</v>
      </c>
      <c r="C58" s="300" t="s">
        <v>899</v>
      </c>
      <c r="D58" s="256">
        <v>5</v>
      </c>
      <c r="E58" s="257">
        <v>5</v>
      </c>
      <c r="F58" s="258">
        <v>5</v>
      </c>
      <c r="G58" s="171"/>
      <c r="H58" s="171"/>
      <c r="I58" s="128"/>
      <c r="J58" s="286"/>
      <c r="K58" s="260">
        <f t="shared" si="5"/>
        <v>5</v>
      </c>
      <c r="L58" s="290">
        <f t="shared" si="11"/>
        <v>0</v>
      </c>
      <c r="M58">
        <f t="shared" si="1"/>
        <v>-5</v>
      </c>
      <c r="N58" s="261" t="s">
        <v>769</v>
      </c>
      <c r="O58" s="216" t="str">
        <f t="shared" si="12"/>
        <v/>
      </c>
      <c r="P58" s="262">
        <f t="shared" si="6"/>
        <v>0</v>
      </c>
      <c r="Q58" s="262">
        <f t="shared" si="13"/>
        <v>0</v>
      </c>
      <c r="R58" s="262">
        <f t="shared" si="7"/>
        <v>0</v>
      </c>
      <c r="S58" s="263">
        <f t="shared" si="14"/>
        <v>27.030000000000005</v>
      </c>
      <c r="T58" s="264" t="str">
        <f>IF(($L58-$F58)&gt;=0,"",
" - Разработать и простестировать плейбуки по реагированию на сработки 2FA")</f>
        <v xml:space="preserve"> - Разработать и простестировать плейбуки по реагированию на сработки 2FA</v>
      </c>
      <c r="U58" s="264" t="s">
        <v>200</v>
      </c>
      <c r="V58" s="263">
        <f t="shared" si="15"/>
        <v>227.02999999999997</v>
      </c>
      <c r="W58" s="264" t="str">
        <f>IF(($L58-$E58)&gt;=0,"","")</f>
        <v/>
      </c>
      <c r="X58" s="264"/>
      <c r="Y58" s="263">
        <f t="shared" si="16"/>
        <v>327.02999999999997</v>
      </c>
      <c r="Z58" s="264" t="str">
        <f t="shared" si="17"/>
        <v/>
      </c>
      <c r="AA58" s="264"/>
    </row>
    <row r="59" spans="2:27" ht="30" customHeight="1" outlineLevel="1">
      <c r="B59" s="287" t="s">
        <v>900</v>
      </c>
      <c r="C59" s="300" t="s">
        <v>901</v>
      </c>
      <c r="D59" s="256">
        <v>5</v>
      </c>
      <c r="E59" s="257">
        <v>5</v>
      </c>
      <c r="F59" s="258">
        <v>5</v>
      </c>
      <c r="G59" s="171"/>
      <c r="H59" s="171"/>
      <c r="I59" s="128"/>
      <c r="J59" s="286"/>
      <c r="K59" s="260">
        <f t="shared" si="5"/>
        <v>5</v>
      </c>
      <c r="L59" s="290">
        <f t="shared" si="11"/>
        <v>0</v>
      </c>
      <c r="M59">
        <f t="shared" si="1"/>
        <v>-5</v>
      </c>
      <c r="N59" s="261" t="s">
        <v>769</v>
      </c>
      <c r="O59" s="216" t="str">
        <f t="shared" si="12"/>
        <v/>
      </c>
      <c r="P59" s="262">
        <f t="shared" si="6"/>
        <v>0</v>
      </c>
      <c r="Q59" s="262">
        <f t="shared" si="13"/>
        <v>0</v>
      </c>
      <c r="R59" s="262">
        <f t="shared" si="7"/>
        <v>0</v>
      </c>
      <c r="S59" s="263">
        <f t="shared" si="14"/>
        <v>27.040000000000006</v>
      </c>
      <c r="T59" s="264" t="str">
        <f>IF(($L59-$F59)&gt;=0,"",
" - Разработать и простестировать плейбуки по реагированию на сработки RA VPN")</f>
        <v xml:space="preserve"> - Разработать и простестировать плейбуки по реагированию на сработки RA VPN</v>
      </c>
      <c r="U59" s="264" t="s">
        <v>200</v>
      </c>
      <c r="V59" s="263">
        <f t="shared" si="15"/>
        <v>227.03999999999996</v>
      </c>
      <c r="W59" s="264" t="str">
        <f>IF(($L59-$E59)&gt;=0,"","")</f>
        <v/>
      </c>
      <c r="X59" s="264"/>
      <c r="Y59" s="263">
        <f t="shared" si="16"/>
        <v>327.03999999999996</v>
      </c>
      <c r="Z59" s="264" t="str">
        <f t="shared" si="17"/>
        <v/>
      </c>
      <c r="AA59" s="264"/>
    </row>
    <row r="60" spans="2:27" ht="28.35" customHeight="1" outlineLevel="1">
      <c r="B60" s="287" t="s">
        <v>902</v>
      </c>
      <c r="C60" s="300" t="s">
        <v>903</v>
      </c>
      <c r="D60" s="256">
        <v>5</v>
      </c>
      <c r="E60" s="257">
        <v>5</v>
      </c>
      <c r="F60" s="258">
        <v>0</v>
      </c>
      <c r="G60" s="171"/>
      <c r="H60" s="171"/>
      <c r="I60" s="128"/>
      <c r="J60" s="286"/>
      <c r="K60" s="260">
        <f t="shared" si="5"/>
        <v>5</v>
      </c>
      <c r="L60" s="290">
        <f t="shared" si="11"/>
        <v>0</v>
      </c>
      <c r="M60">
        <f t="shared" si="1"/>
        <v>-5</v>
      </c>
      <c r="N60" s="261" t="s">
        <v>769</v>
      </c>
      <c r="O60" s="216" t="str">
        <f t="shared" si="12"/>
        <v/>
      </c>
      <c r="P60" s="262">
        <f t="shared" si="6"/>
        <v>0</v>
      </c>
      <c r="Q60" s="262">
        <f t="shared" si="13"/>
        <v>0</v>
      </c>
      <c r="R60" s="262"/>
      <c r="S60" s="263">
        <f t="shared" si="14"/>
        <v>27.050000000000008</v>
      </c>
      <c r="T60" s="264" t="str">
        <f t="shared" ref="T60:T66" si="18">IF(($L60-$F60)&gt;=0,"","")</f>
        <v/>
      </c>
      <c r="U60" s="264"/>
      <c r="V60" s="263">
        <f t="shared" si="15"/>
        <v>227.04999999999995</v>
      </c>
      <c r="W60" s="264" t="str">
        <f>IF(($L60-$E60)&gt;=0,"",
" - Разработать и простестировать плейбуки по реагированию на сработки NGFW.")</f>
        <v xml:space="preserve"> - Разработать и простестировать плейбуки по реагированию на сработки NGFW.</v>
      </c>
      <c r="X60" s="264" t="s">
        <v>200</v>
      </c>
      <c r="Y60" s="263">
        <f t="shared" si="16"/>
        <v>327.04999999999995</v>
      </c>
      <c r="Z60" s="264" t="str">
        <f t="shared" si="17"/>
        <v/>
      </c>
      <c r="AA60" s="264"/>
    </row>
    <row r="61" spans="2:27" ht="38.1" customHeight="1" outlineLevel="1">
      <c r="B61" s="287" t="s">
        <v>904</v>
      </c>
      <c r="C61" s="300" t="s">
        <v>905</v>
      </c>
      <c r="D61" s="256">
        <v>5</v>
      </c>
      <c r="E61" s="257">
        <v>5</v>
      </c>
      <c r="F61" s="258">
        <v>0</v>
      </c>
      <c r="G61" s="171"/>
      <c r="H61" s="171"/>
      <c r="I61" s="128"/>
      <c r="J61" s="286"/>
      <c r="K61" s="260">
        <f t="shared" si="5"/>
        <v>5</v>
      </c>
      <c r="L61" s="290">
        <f t="shared" si="11"/>
        <v>0</v>
      </c>
      <c r="M61">
        <f t="shared" si="1"/>
        <v>-5</v>
      </c>
      <c r="N61" s="261" t="s">
        <v>769</v>
      </c>
      <c r="O61" s="216" t="str">
        <f t="shared" si="12"/>
        <v/>
      </c>
      <c r="P61" s="262">
        <f t="shared" si="6"/>
        <v>0</v>
      </c>
      <c r="Q61" s="262">
        <f t="shared" si="13"/>
        <v>0</v>
      </c>
      <c r="R61" s="262"/>
      <c r="S61" s="263">
        <f t="shared" si="14"/>
        <v>27.060000000000009</v>
      </c>
      <c r="T61" s="264" t="str">
        <f t="shared" si="18"/>
        <v/>
      </c>
      <c r="U61" s="264"/>
      <c r="V61" s="263">
        <f t="shared" si="15"/>
        <v>227.05999999999995</v>
      </c>
      <c r="W61" s="264" t="str">
        <f>IF(($L61-$E61)&gt;=0,"",
" - Разработать и простестировать плейбуки по реагированию на сработки Прокси-сервера.")</f>
        <v xml:space="preserve"> - Разработать и простестировать плейбуки по реагированию на сработки Прокси-сервера.</v>
      </c>
      <c r="X61" s="264" t="s">
        <v>200</v>
      </c>
      <c r="Y61" s="263">
        <f t="shared" si="16"/>
        <v>327.05999999999995</v>
      </c>
      <c r="Z61" s="264" t="str">
        <f t="shared" si="17"/>
        <v/>
      </c>
      <c r="AA61" s="264"/>
    </row>
    <row r="62" spans="2:27" ht="44.1" customHeight="1" outlineLevel="1">
      <c r="B62" s="287" t="s">
        <v>780</v>
      </c>
      <c r="C62" s="300" t="s">
        <v>906</v>
      </c>
      <c r="D62" s="256">
        <v>5</v>
      </c>
      <c r="E62" s="257">
        <v>5</v>
      </c>
      <c r="F62" s="258">
        <v>0</v>
      </c>
      <c r="G62" s="171"/>
      <c r="H62" s="171"/>
      <c r="I62" s="128"/>
      <c r="J62" s="286"/>
      <c r="K62" s="260">
        <f t="shared" si="5"/>
        <v>5</v>
      </c>
      <c r="L62" s="290">
        <f t="shared" si="11"/>
        <v>0</v>
      </c>
      <c r="M62">
        <f t="shared" si="1"/>
        <v>-5</v>
      </c>
      <c r="N62" s="261" t="s">
        <v>769</v>
      </c>
      <c r="O62" s="216" t="str">
        <f t="shared" si="12"/>
        <v/>
      </c>
      <c r="P62" s="262">
        <f t="shared" si="6"/>
        <v>0</v>
      </c>
      <c r="Q62" s="262">
        <f t="shared" si="13"/>
        <v>0</v>
      </c>
      <c r="R62" s="262"/>
      <c r="S62" s="263">
        <f t="shared" si="14"/>
        <v>27.070000000000011</v>
      </c>
      <c r="T62" s="264" t="str">
        <f t="shared" si="18"/>
        <v/>
      </c>
      <c r="U62" s="264"/>
      <c r="V62" s="263">
        <f t="shared" si="15"/>
        <v>227.06999999999994</v>
      </c>
      <c r="W62" s="264" t="str">
        <f>IF(($L62-$E62)&gt;=0,"",
" - Разработать и простестировать плейбуки по реагированию на сработки Anti-DDoS.")</f>
        <v xml:space="preserve"> - Разработать и простестировать плейбуки по реагированию на сработки Anti-DDoS.</v>
      </c>
      <c r="X62" s="264" t="s">
        <v>200</v>
      </c>
      <c r="Y62" s="263">
        <f t="shared" si="16"/>
        <v>327.06999999999994</v>
      </c>
      <c r="Z62" s="264" t="str">
        <f t="shared" si="17"/>
        <v/>
      </c>
      <c r="AA62" s="264"/>
    </row>
    <row r="63" spans="2:27" ht="44.1" customHeight="1" outlineLevel="1">
      <c r="B63" s="287" t="s">
        <v>907</v>
      </c>
      <c r="C63" s="300" t="s">
        <v>908</v>
      </c>
      <c r="D63" s="256">
        <v>5</v>
      </c>
      <c r="E63" s="257">
        <v>5</v>
      </c>
      <c r="F63" s="258">
        <v>0</v>
      </c>
      <c r="G63" s="171"/>
      <c r="H63" s="171"/>
      <c r="I63" s="128"/>
      <c r="J63" s="286"/>
      <c r="K63" s="260">
        <f t="shared" si="5"/>
        <v>5</v>
      </c>
      <c r="L63" s="290">
        <f t="shared" si="11"/>
        <v>0</v>
      </c>
      <c r="M63">
        <f t="shared" si="1"/>
        <v>-5</v>
      </c>
      <c r="N63" s="261" t="s">
        <v>769</v>
      </c>
      <c r="O63" s="216" t="str">
        <f t="shared" si="12"/>
        <v/>
      </c>
      <c r="P63" s="262">
        <f t="shared" si="6"/>
        <v>0</v>
      </c>
      <c r="Q63" s="262">
        <f t="shared" si="13"/>
        <v>0</v>
      </c>
      <c r="R63" s="262"/>
      <c r="S63" s="263">
        <f t="shared" si="14"/>
        <v>27.080000000000013</v>
      </c>
      <c r="T63" s="264" t="str">
        <f t="shared" si="18"/>
        <v/>
      </c>
      <c r="U63" s="264"/>
      <c r="V63" s="263">
        <f t="shared" si="15"/>
        <v>227.07999999999993</v>
      </c>
      <c r="W63" s="264" t="str">
        <f>IF(($L63-$E63)&gt;=0,"",
" - Разработать и простестировать плейбуки по реагированию на сработки Антиспам")</f>
        <v xml:space="preserve"> - Разработать и простестировать плейбуки по реагированию на сработки Антиспам</v>
      </c>
      <c r="X63" s="264" t="s">
        <v>200</v>
      </c>
      <c r="Y63" s="263">
        <f t="shared" si="16"/>
        <v>327.07999999999993</v>
      </c>
      <c r="Z63" s="264" t="str">
        <f t="shared" si="17"/>
        <v/>
      </c>
      <c r="AA63" s="264"/>
    </row>
    <row r="64" spans="2:27" ht="36" customHeight="1" outlineLevel="1">
      <c r="B64" s="287" t="s">
        <v>909</v>
      </c>
      <c r="C64" s="300" t="s">
        <v>910</v>
      </c>
      <c r="D64" s="256">
        <v>5</v>
      </c>
      <c r="E64" s="257">
        <v>0</v>
      </c>
      <c r="F64" s="258">
        <v>0</v>
      </c>
      <c r="G64" s="171"/>
      <c r="H64" s="171"/>
      <c r="I64" s="128"/>
      <c r="J64" s="286"/>
      <c r="K64" s="260">
        <f t="shared" si="5"/>
        <v>5</v>
      </c>
      <c r="L64" s="290">
        <f t="shared" si="11"/>
        <v>0</v>
      </c>
      <c r="M64">
        <f t="shared" si="1"/>
        <v>-5</v>
      </c>
      <c r="N64" s="261" t="s">
        <v>769</v>
      </c>
      <c r="O64" s="216" t="str">
        <f t="shared" si="12"/>
        <v/>
      </c>
      <c r="P64" s="262">
        <f t="shared" si="6"/>
        <v>0</v>
      </c>
      <c r="Q64" s="262"/>
      <c r="R64" s="262"/>
      <c r="S64" s="263">
        <f t="shared" si="14"/>
        <v>27.090000000000014</v>
      </c>
      <c r="T64" s="264" t="str">
        <f t="shared" si="18"/>
        <v/>
      </c>
      <c r="U64" s="264"/>
      <c r="V64" s="263">
        <f t="shared" si="15"/>
        <v>227.08999999999992</v>
      </c>
      <c r="W64" s="264" t="str">
        <f>IF(($L64-$E64)&gt;=0,"","")</f>
        <v/>
      </c>
      <c r="X64" s="264"/>
      <c r="Y64" s="263">
        <f t="shared" si="16"/>
        <v>327.08999999999992</v>
      </c>
      <c r="Z64" s="264" t="str">
        <f>IF(($L64-$D64)&gt;=0,"",
" - Разработать и простестировать плейбуки по реагированию на сработки PAM
(опционально при покрытии инфраструктуры JH)")</f>
        <v xml:space="preserve"> - Разработать и простестировать плейбуки по реагированию на сработки PAM
(опционально при покрытии инфраструктуры JH)</v>
      </c>
      <c r="AA64" s="264" t="s">
        <v>200</v>
      </c>
    </row>
    <row r="65" spans="2:27" ht="35.85" customHeight="1" outlineLevel="1">
      <c r="B65" s="287" t="s">
        <v>817</v>
      </c>
      <c r="C65" s="300" t="s">
        <v>911</v>
      </c>
      <c r="D65" s="256">
        <v>5</v>
      </c>
      <c r="E65" s="257">
        <v>0</v>
      </c>
      <c r="F65" s="258">
        <v>0</v>
      </c>
      <c r="G65" s="171"/>
      <c r="H65" s="171"/>
      <c r="I65" s="128"/>
      <c r="J65" s="286"/>
      <c r="K65" s="260">
        <f t="shared" si="5"/>
        <v>5</v>
      </c>
      <c r="L65" s="290">
        <f t="shared" si="11"/>
        <v>0</v>
      </c>
      <c r="M65">
        <f t="shared" si="1"/>
        <v>-5</v>
      </c>
      <c r="N65" s="261" t="s">
        <v>769</v>
      </c>
      <c r="O65" s="216" t="str">
        <f t="shared" si="12"/>
        <v/>
      </c>
      <c r="P65" s="262">
        <f t="shared" si="6"/>
        <v>0</v>
      </c>
      <c r="Q65" s="262"/>
      <c r="R65" s="262"/>
      <c r="S65" s="263">
        <f t="shared" si="14"/>
        <v>27.100000000000016</v>
      </c>
      <c r="T65" s="264" t="str">
        <f t="shared" si="18"/>
        <v/>
      </c>
      <c r="U65" s="264"/>
      <c r="V65" s="263">
        <f t="shared" si="15"/>
        <v>227.09999999999991</v>
      </c>
      <c r="W65" s="264" t="str">
        <f>IF(($L65-$E65)&gt;=0,"","")</f>
        <v/>
      </c>
      <c r="X65" s="264"/>
      <c r="Y65" s="263">
        <f t="shared" si="16"/>
        <v>327.09999999999991</v>
      </c>
      <c r="Z65" s="264" t="str">
        <f>IF(($L65-$D65)&gt;=0,"",
" - Разработать и простестировать плейбуки по реагированию на сработки DLP")</f>
        <v xml:space="preserve"> - Разработать и простестировать плейбуки по реагированию на сработки DLP</v>
      </c>
      <c r="AA65" s="264" t="s">
        <v>200</v>
      </c>
    </row>
    <row r="66" spans="2:27" ht="36" customHeight="1" outlineLevel="1">
      <c r="B66" s="287" t="s">
        <v>794</v>
      </c>
      <c r="C66" s="300" t="s">
        <v>912</v>
      </c>
      <c r="D66" s="256">
        <v>5</v>
      </c>
      <c r="E66" s="257">
        <v>0</v>
      </c>
      <c r="F66" s="258">
        <v>0</v>
      </c>
      <c r="G66" s="171"/>
      <c r="H66" s="171"/>
      <c r="I66" s="128"/>
      <c r="J66" s="286"/>
      <c r="K66" s="260">
        <f t="shared" si="5"/>
        <v>5</v>
      </c>
      <c r="L66" s="290">
        <f t="shared" si="11"/>
        <v>0</v>
      </c>
      <c r="M66">
        <f t="shared" si="1"/>
        <v>-5</v>
      </c>
      <c r="N66" s="261" t="s">
        <v>769</v>
      </c>
      <c r="O66" s="216" t="str">
        <f t="shared" si="12"/>
        <v/>
      </c>
      <c r="P66" s="262">
        <f t="shared" si="6"/>
        <v>0</v>
      </c>
      <c r="Q66" s="262"/>
      <c r="R66" s="262"/>
      <c r="S66" s="263">
        <f t="shared" si="14"/>
        <v>27.110000000000017</v>
      </c>
      <c r="T66" s="264" t="str">
        <f t="shared" si="18"/>
        <v/>
      </c>
      <c r="U66" s="264"/>
      <c r="V66" s="263">
        <f t="shared" si="15"/>
        <v>227.1099999999999</v>
      </c>
      <c r="W66" s="264" t="str">
        <f>IF(($L66-$E66)&gt;=0,"","")</f>
        <v/>
      </c>
      <c r="X66" s="264"/>
      <c r="Y66" s="263">
        <f t="shared" si="16"/>
        <v>327.1099999999999</v>
      </c>
      <c r="Z66" s="264" t="str">
        <f>IF(($L66-$D66)&gt;=0,"",
" - Разработать и простестировать плейбуки по реагированию на сработки WAF")</f>
        <v xml:space="preserve"> - Разработать и простестировать плейбуки по реагированию на сработки WAF</v>
      </c>
      <c r="AA66" s="264" t="s">
        <v>200</v>
      </c>
    </row>
    <row r="67" spans="2:27" ht="15.75" customHeight="1"/>
    <row r="68" spans="2:27" ht="15.75" customHeight="1">
      <c r="D68" s="300"/>
      <c r="E68" s="300"/>
      <c r="F68" s="300"/>
      <c r="H68" s="300"/>
      <c r="I68" s="300"/>
      <c r="J68" s="300"/>
      <c r="L68" s="300"/>
      <c r="M68" s="300"/>
    </row>
    <row r="69" spans="2:27" ht="15.75" customHeight="1">
      <c r="D69" s="300"/>
      <c r="E69" s="300"/>
      <c r="F69" s="300"/>
      <c r="H69" s="300"/>
      <c r="I69" s="300"/>
      <c r="J69" s="300"/>
      <c r="L69" s="300"/>
      <c r="M69" s="300"/>
    </row>
    <row r="70" spans="2:27" ht="15.75" customHeight="1"/>
    <row r="71" spans="2:27" ht="15.75" customHeight="1">
      <c r="B71" s="204"/>
      <c r="M71" s="300"/>
    </row>
    <row r="72" spans="2:27" ht="15.75" customHeight="1">
      <c r="B72" s="204"/>
      <c r="M72" s="300"/>
    </row>
    <row r="73" spans="2:27" ht="15.75" customHeight="1">
      <c r="B73" s="204"/>
      <c r="M73" s="300"/>
    </row>
    <row r="74" spans="2:27" ht="15.75" customHeight="1">
      <c r="B74" s="204"/>
      <c r="M74" s="300"/>
    </row>
    <row r="75" spans="2:27" ht="15.75" customHeight="1">
      <c r="B75" s="204"/>
      <c r="M75" s="300"/>
    </row>
    <row r="76" spans="2:27" ht="15.75" customHeight="1">
      <c r="B76" s="204"/>
      <c r="M76" s="300"/>
    </row>
    <row r="77" spans="2:27" ht="15.75" customHeight="1">
      <c r="B77" s="204"/>
      <c r="M77" s="300"/>
    </row>
    <row r="78" spans="2:27" ht="15.75" customHeight="1">
      <c r="B78" s="204"/>
      <c r="M78" s="300"/>
    </row>
    <row r="79" spans="2:27" ht="15.75" customHeight="1">
      <c r="B79" s="204"/>
      <c r="M79" s="300"/>
    </row>
    <row r="80" spans="2:27" ht="15.75" customHeight="1">
      <c r="B80" s="204"/>
      <c r="M80" s="300"/>
    </row>
    <row r="81" spans="2:13" ht="15.75" customHeight="1">
      <c r="B81" s="204"/>
      <c r="M81" s="300"/>
    </row>
    <row r="82" spans="2:13" ht="15.75" customHeight="1">
      <c r="B82" s="204"/>
      <c r="M82" s="300"/>
    </row>
    <row r="83" spans="2:13" ht="15.75" customHeight="1">
      <c r="B83" s="204"/>
      <c r="M83" s="300"/>
    </row>
    <row r="84" spans="2:13" ht="15.75" customHeight="1">
      <c r="B84" s="204"/>
      <c r="M84" s="300"/>
    </row>
    <row r="85" spans="2:13" ht="15.75" customHeight="1">
      <c r="B85" s="204"/>
      <c r="M85" s="300"/>
    </row>
    <row r="86" spans="2:13" ht="15.75" customHeight="1">
      <c r="B86" s="204"/>
      <c r="M86" s="300"/>
    </row>
    <row r="87" spans="2:13" ht="15.75" customHeight="1">
      <c r="B87" s="204"/>
      <c r="M87" s="300"/>
    </row>
    <row r="88" spans="2:13" ht="15.75" customHeight="1">
      <c r="B88" s="204"/>
      <c r="M88" s="300"/>
    </row>
    <row r="89" spans="2:13" ht="15.75" customHeight="1">
      <c r="B89" s="204"/>
      <c r="M89" s="300"/>
    </row>
    <row r="90" spans="2:13" ht="15.75" customHeight="1">
      <c r="B90" s="204"/>
      <c r="M90" s="300"/>
    </row>
    <row r="91" spans="2:13" ht="15.75" customHeight="1">
      <c r="B91" s="204"/>
      <c r="M91" s="300"/>
    </row>
    <row r="92" spans="2:13" ht="15.75" customHeight="1">
      <c r="B92" s="204"/>
      <c r="M92" s="300"/>
    </row>
    <row r="93" spans="2:13" ht="15.75" customHeight="1">
      <c r="B93" s="204"/>
      <c r="M93" s="300"/>
    </row>
    <row r="94" spans="2:13" ht="15.75" customHeight="1">
      <c r="B94" s="204"/>
      <c r="M94" s="300"/>
    </row>
    <row r="95" spans="2:13" ht="15.75" customHeight="1">
      <c r="B95" s="204"/>
      <c r="M95" s="300"/>
    </row>
    <row r="96" spans="2:13" ht="15.75" customHeight="1">
      <c r="B96" s="204"/>
      <c r="M96" s="300"/>
    </row>
    <row r="97" spans="2:13" ht="15.75" customHeight="1">
      <c r="B97" s="204"/>
      <c r="M97" s="300"/>
    </row>
    <row r="98" spans="2:13" ht="15.75" customHeight="1">
      <c r="B98" s="204"/>
      <c r="M98" s="300"/>
    </row>
    <row r="99" spans="2:13" ht="15.75" customHeight="1">
      <c r="B99" s="204"/>
      <c r="M99" s="300"/>
    </row>
    <row r="100" spans="2:13" ht="15.75" customHeight="1">
      <c r="B100" s="204"/>
      <c r="M100" s="300"/>
    </row>
    <row r="101" spans="2:13" ht="15.75" customHeight="1">
      <c r="B101" s="204"/>
      <c r="M101" s="300"/>
    </row>
    <row r="102" spans="2:13" ht="15.75" customHeight="1">
      <c r="B102" s="204"/>
      <c r="M102" s="300"/>
    </row>
    <row r="103" spans="2:13" ht="15.75" customHeight="1">
      <c r="B103" s="204"/>
      <c r="M103" s="300"/>
    </row>
    <row r="104" spans="2:13" ht="15.75" customHeight="1">
      <c r="B104" s="204"/>
      <c r="M104" s="300"/>
    </row>
    <row r="105" spans="2:13" ht="15.75" customHeight="1">
      <c r="B105" s="204"/>
      <c r="M105" s="300"/>
    </row>
    <row r="106" spans="2:13" ht="15.75" customHeight="1">
      <c r="B106" s="204"/>
      <c r="M106" s="300"/>
    </row>
    <row r="107" spans="2:13" ht="15.75" customHeight="1">
      <c r="B107" s="204"/>
      <c r="M107" s="300"/>
    </row>
    <row r="108" spans="2:13" ht="15.75" customHeight="1">
      <c r="B108" s="204"/>
      <c r="M108" s="300"/>
    </row>
    <row r="109" spans="2:13" ht="15.75" customHeight="1">
      <c r="B109" s="204"/>
      <c r="M109" s="300"/>
    </row>
    <row r="110" spans="2:13" ht="15.75" customHeight="1">
      <c r="B110" s="204"/>
      <c r="M110" s="300"/>
    </row>
    <row r="111" spans="2:13" ht="15.75" customHeight="1">
      <c r="B111" s="204"/>
      <c r="M111" s="300"/>
    </row>
    <row r="112" spans="2:13" ht="15.75" customHeight="1">
      <c r="B112" s="204"/>
      <c r="M112" s="300"/>
    </row>
    <row r="113" spans="2:13" ht="15.75" customHeight="1">
      <c r="B113" s="204"/>
      <c r="M113" s="300"/>
    </row>
    <row r="114" spans="2:13" ht="15.75" customHeight="1">
      <c r="B114" s="204"/>
      <c r="M114" s="300"/>
    </row>
    <row r="115" spans="2:13" ht="15.75" customHeight="1">
      <c r="B115" s="204"/>
      <c r="M115" s="300"/>
    </row>
    <row r="116" spans="2:13" ht="15.75" customHeight="1">
      <c r="B116" s="204"/>
      <c r="M116" s="300"/>
    </row>
    <row r="117" spans="2:13" ht="15.75" customHeight="1">
      <c r="B117" s="204"/>
      <c r="M117" s="300"/>
    </row>
    <row r="118" spans="2:13" ht="15.75" customHeight="1">
      <c r="B118" s="204"/>
      <c r="M118" s="300"/>
    </row>
    <row r="119" spans="2:13" ht="15.75" customHeight="1">
      <c r="B119" s="204"/>
      <c r="M119" s="300"/>
    </row>
    <row r="120" spans="2:13" ht="15.75" customHeight="1">
      <c r="B120" s="204"/>
      <c r="M120" s="300"/>
    </row>
    <row r="121" spans="2:13" ht="15.75" customHeight="1">
      <c r="B121" s="204"/>
      <c r="M121" s="300"/>
    </row>
    <row r="122" spans="2:13" ht="15.75" customHeight="1">
      <c r="B122" s="204"/>
      <c r="M122" s="300"/>
    </row>
    <row r="123" spans="2:13" ht="15.75" customHeight="1">
      <c r="B123" s="204"/>
      <c r="M123" s="300"/>
    </row>
    <row r="124" spans="2:13" ht="15.75" customHeight="1">
      <c r="B124" s="204"/>
      <c r="M124" s="300"/>
    </row>
    <row r="125" spans="2:13" ht="15.75" customHeight="1">
      <c r="B125" s="204"/>
      <c r="M125" s="300"/>
    </row>
    <row r="126" spans="2:13" ht="15.75" customHeight="1">
      <c r="B126" s="204"/>
      <c r="M126" s="300"/>
    </row>
    <row r="127" spans="2:13" ht="15.75" customHeight="1">
      <c r="B127" s="204"/>
      <c r="M127" s="300"/>
    </row>
    <row r="128" spans="2:13" ht="15.75" customHeight="1">
      <c r="B128" s="204"/>
      <c r="M128" s="300"/>
    </row>
    <row r="129" spans="2:13" ht="15.75" customHeight="1">
      <c r="B129" s="204"/>
      <c r="M129" s="300"/>
    </row>
    <row r="130" spans="2:13" ht="15.75" customHeight="1">
      <c r="B130" s="204"/>
      <c r="M130" s="300"/>
    </row>
    <row r="131" spans="2:13" ht="15.75" customHeight="1">
      <c r="B131" s="204"/>
      <c r="M131" s="300"/>
    </row>
    <row r="132" spans="2:13" ht="15.75" customHeight="1">
      <c r="B132" s="204"/>
      <c r="M132" s="300"/>
    </row>
    <row r="133" spans="2:13" ht="15.75" customHeight="1">
      <c r="B133" s="204"/>
      <c r="M133" s="300"/>
    </row>
    <row r="134" spans="2:13" ht="15.75" customHeight="1">
      <c r="B134" s="204"/>
      <c r="M134" s="300"/>
    </row>
    <row r="135" spans="2:13" ht="15.75" customHeight="1">
      <c r="B135" s="204"/>
      <c r="M135" s="300"/>
    </row>
    <row r="136" spans="2:13" ht="15.75" customHeight="1">
      <c r="B136" s="204"/>
      <c r="M136" s="300"/>
    </row>
    <row r="137" spans="2:13" ht="15.75" customHeight="1">
      <c r="B137" s="204"/>
      <c r="M137" s="300"/>
    </row>
    <row r="138" spans="2:13" ht="15.75" customHeight="1">
      <c r="B138" s="204"/>
      <c r="M138" s="300"/>
    </row>
    <row r="139" spans="2:13" ht="15.75" customHeight="1">
      <c r="B139" s="204"/>
      <c r="M139" s="300"/>
    </row>
    <row r="140" spans="2:13" ht="15.75" customHeight="1">
      <c r="B140" s="204"/>
      <c r="M140" s="300"/>
    </row>
    <row r="141" spans="2:13" ht="15.75" customHeight="1">
      <c r="B141" s="204"/>
      <c r="M141" s="300"/>
    </row>
    <row r="142" spans="2:13" ht="15.75" customHeight="1">
      <c r="B142" s="204"/>
      <c r="M142" s="300"/>
    </row>
    <row r="143" spans="2:13" ht="15.75" customHeight="1">
      <c r="B143" s="204"/>
      <c r="M143" s="300"/>
    </row>
    <row r="144" spans="2:13" ht="15.75" customHeight="1">
      <c r="B144" s="204"/>
      <c r="M144" s="300"/>
    </row>
    <row r="145" spans="2:13" ht="15.75" customHeight="1">
      <c r="B145" s="204"/>
      <c r="M145" s="300"/>
    </row>
    <row r="146" spans="2:13" ht="15.75" customHeight="1">
      <c r="B146" s="204"/>
      <c r="M146" s="300"/>
    </row>
    <row r="147" spans="2:13" ht="15.75" customHeight="1">
      <c r="B147" s="204"/>
      <c r="M147" s="300"/>
    </row>
    <row r="148" spans="2:13" ht="15.75" customHeight="1">
      <c r="B148" s="204"/>
      <c r="M148" s="300"/>
    </row>
    <row r="149" spans="2:13" ht="15.75" customHeight="1">
      <c r="B149" s="204"/>
      <c r="M149" s="300"/>
    </row>
    <row r="150" spans="2:13" ht="15.75" customHeight="1">
      <c r="B150" s="204"/>
      <c r="M150" s="300"/>
    </row>
    <row r="151" spans="2:13" ht="15.75" customHeight="1">
      <c r="B151" s="204"/>
      <c r="M151" s="300"/>
    </row>
    <row r="152" spans="2:13" ht="15.75" customHeight="1">
      <c r="B152" s="204"/>
      <c r="M152" s="300"/>
    </row>
    <row r="153" spans="2:13" ht="15.75" customHeight="1">
      <c r="B153" s="204"/>
      <c r="M153" s="300"/>
    </row>
    <row r="154" spans="2:13" ht="15.75" customHeight="1">
      <c r="B154" s="204"/>
      <c r="M154" s="300"/>
    </row>
    <row r="155" spans="2:13" ht="15.75" customHeight="1">
      <c r="B155" s="204"/>
      <c r="M155" s="300"/>
    </row>
    <row r="156" spans="2:13" ht="15.75" customHeight="1">
      <c r="B156" s="204"/>
      <c r="M156" s="300"/>
    </row>
    <row r="157" spans="2:13" ht="15.75" customHeight="1">
      <c r="B157" s="204"/>
      <c r="M157" s="300"/>
    </row>
    <row r="158" spans="2:13" ht="15.75" customHeight="1">
      <c r="B158" s="204"/>
      <c r="M158" s="300"/>
    </row>
    <row r="159" spans="2:13" ht="15.75" customHeight="1">
      <c r="B159" s="204"/>
      <c r="M159" s="300"/>
    </row>
    <row r="160" spans="2:13" ht="15.75" customHeight="1">
      <c r="B160" s="204"/>
      <c r="M160" s="300"/>
    </row>
    <row r="161" spans="2:13" ht="15.75" customHeight="1">
      <c r="B161" s="204"/>
      <c r="M161" s="300"/>
    </row>
    <row r="162" spans="2:13" ht="15.75" customHeight="1">
      <c r="B162" s="204"/>
      <c r="M162" s="300"/>
    </row>
    <row r="163" spans="2:13" ht="15.75" customHeight="1">
      <c r="B163" s="204"/>
      <c r="M163" s="300"/>
    </row>
    <row r="164" spans="2:13" ht="15.75" customHeight="1">
      <c r="B164" s="204"/>
      <c r="M164" s="300"/>
    </row>
    <row r="165" spans="2:13" ht="15.75" customHeight="1">
      <c r="B165" s="204"/>
      <c r="M165" s="300"/>
    </row>
    <row r="166" spans="2:13" ht="15.75" customHeight="1">
      <c r="B166" s="204"/>
      <c r="M166" s="300"/>
    </row>
    <row r="167" spans="2:13" ht="15.75" customHeight="1">
      <c r="B167" s="204"/>
      <c r="M167" s="300"/>
    </row>
    <row r="168" spans="2:13" ht="15.75" customHeight="1">
      <c r="B168" s="204"/>
      <c r="M168" s="300"/>
    </row>
    <row r="169" spans="2:13" ht="15.75" customHeight="1">
      <c r="B169" s="204"/>
      <c r="M169" s="300"/>
    </row>
    <row r="170" spans="2:13" ht="15.75" customHeight="1">
      <c r="B170" s="204"/>
      <c r="M170" s="300"/>
    </row>
    <row r="171" spans="2:13" ht="15.75" customHeight="1">
      <c r="B171" s="204"/>
      <c r="M171" s="300"/>
    </row>
    <row r="172" spans="2:13" ht="15.75" customHeight="1">
      <c r="B172" s="204"/>
      <c r="M172" s="300"/>
    </row>
    <row r="173" spans="2:13" ht="15.75" customHeight="1">
      <c r="B173" s="204"/>
      <c r="M173" s="300"/>
    </row>
    <row r="174" spans="2:13" ht="15.75" customHeight="1">
      <c r="B174" s="204"/>
      <c r="M174" s="300"/>
    </row>
    <row r="175" spans="2:13" ht="15.75" customHeight="1">
      <c r="B175" s="204"/>
      <c r="M175" s="300"/>
    </row>
    <row r="176" spans="2:13" ht="15.75" customHeight="1">
      <c r="B176" s="204"/>
      <c r="M176" s="300"/>
    </row>
    <row r="177" spans="2:13" ht="15.75" customHeight="1">
      <c r="B177" s="204"/>
      <c r="M177" s="300"/>
    </row>
    <row r="178" spans="2:13" ht="15.75" customHeight="1">
      <c r="B178" s="204"/>
      <c r="M178" s="300"/>
    </row>
    <row r="179" spans="2:13" ht="15.75" customHeight="1">
      <c r="B179" s="204"/>
      <c r="M179" s="300"/>
    </row>
    <row r="180" spans="2:13" ht="15.75" customHeight="1">
      <c r="B180" s="204"/>
      <c r="M180" s="300"/>
    </row>
    <row r="181" spans="2:13" ht="15.75" customHeight="1">
      <c r="B181" s="204"/>
      <c r="M181" s="300"/>
    </row>
    <row r="182" spans="2:13" ht="15.75" customHeight="1">
      <c r="B182" s="204"/>
      <c r="M182" s="300"/>
    </row>
    <row r="183" spans="2:13" ht="15.75" customHeight="1">
      <c r="B183" s="204"/>
      <c r="M183" s="300"/>
    </row>
    <row r="184" spans="2:13" ht="15.75" customHeight="1">
      <c r="B184" s="204"/>
      <c r="M184" s="300"/>
    </row>
    <row r="185" spans="2:13" ht="15.75" customHeight="1">
      <c r="B185" s="204"/>
      <c r="M185" s="300"/>
    </row>
    <row r="186" spans="2:13" ht="15.75" customHeight="1">
      <c r="B186" s="204"/>
      <c r="M186" s="300"/>
    </row>
    <row r="187" spans="2:13" ht="15.75" customHeight="1">
      <c r="B187" s="204"/>
      <c r="M187" s="300"/>
    </row>
    <row r="188" spans="2:13" ht="15.75" customHeight="1">
      <c r="B188" s="204"/>
      <c r="M188" s="300"/>
    </row>
    <row r="189" spans="2:13" ht="15.75" customHeight="1">
      <c r="B189" s="204"/>
      <c r="M189" s="300"/>
    </row>
    <row r="190" spans="2:13" ht="15.75" customHeight="1">
      <c r="B190" s="204"/>
      <c r="M190" s="300"/>
    </row>
    <row r="191" spans="2:13" ht="15.75" customHeight="1">
      <c r="B191" s="204"/>
      <c r="M191" s="300"/>
    </row>
    <row r="192" spans="2:13" ht="15.75" customHeight="1">
      <c r="B192" s="204"/>
      <c r="M192" s="300"/>
    </row>
    <row r="193" spans="2:13" ht="15.75" customHeight="1">
      <c r="B193" s="204"/>
      <c r="M193" s="300"/>
    </row>
    <row r="194" spans="2:13" ht="15.75" customHeight="1">
      <c r="B194" s="204"/>
      <c r="M194" s="300"/>
    </row>
    <row r="195" spans="2:13" ht="15.75" customHeight="1">
      <c r="B195" s="204"/>
      <c r="M195" s="300"/>
    </row>
    <row r="196" spans="2:13" ht="15.75" customHeight="1">
      <c r="B196" s="204"/>
      <c r="M196" s="300"/>
    </row>
    <row r="197" spans="2:13" ht="15.75" customHeight="1">
      <c r="B197" s="204"/>
      <c r="M197" s="300"/>
    </row>
    <row r="198" spans="2:13" ht="15.75" customHeight="1">
      <c r="B198" s="204"/>
      <c r="M198" s="300"/>
    </row>
    <row r="199" spans="2:13" ht="15.75" customHeight="1">
      <c r="B199" s="204"/>
      <c r="M199" s="300"/>
    </row>
    <row r="200" spans="2:13" ht="15.75" customHeight="1">
      <c r="B200" s="204"/>
      <c r="M200" s="300"/>
    </row>
    <row r="201" spans="2:13" ht="15.75" customHeight="1">
      <c r="B201" s="204"/>
      <c r="M201" s="300"/>
    </row>
    <row r="202" spans="2:13" ht="15.75" customHeight="1">
      <c r="B202" s="204"/>
      <c r="M202" s="300"/>
    </row>
    <row r="203" spans="2:13" ht="15.75" customHeight="1">
      <c r="B203" s="204"/>
      <c r="M203" s="300"/>
    </row>
    <row r="204" spans="2:13" ht="15.75" customHeight="1">
      <c r="B204" s="204"/>
      <c r="M204" s="300"/>
    </row>
    <row r="205" spans="2:13" ht="15.75" customHeight="1">
      <c r="B205" s="204"/>
      <c r="M205" s="300"/>
    </row>
    <row r="206" spans="2:13" ht="15.75" customHeight="1">
      <c r="B206" s="204"/>
      <c r="M206" s="300"/>
    </row>
    <row r="207" spans="2:13" ht="15.75" customHeight="1">
      <c r="B207" s="204"/>
      <c r="M207" s="300"/>
    </row>
    <row r="208" spans="2:13" ht="15.75" customHeight="1">
      <c r="B208" s="204"/>
      <c r="M208" s="300"/>
    </row>
    <row r="209" spans="2:13" ht="15.75" customHeight="1">
      <c r="B209" s="204"/>
      <c r="M209" s="300"/>
    </row>
    <row r="210" spans="2:13" ht="15.75" customHeight="1">
      <c r="B210" s="204"/>
      <c r="M210" s="300"/>
    </row>
    <row r="211" spans="2:13" ht="15.75" customHeight="1">
      <c r="B211" s="204"/>
      <c r="M211" s="300"/>
    </row>
    <row r="212" spans="2:13" ht="15.75" customHeight="1">
      <c r="B212" s="204"/>
      <c r="M212" s="300"/>
    </row>
    <row r="213" spans="2:13" ht="15.75" customHeight="1">
      <c r="B213" s="204"/>
      <c r="M213" s="300"/>
    </row>
    <row r="214" spans="2:13" ht="15.75" customHeight="1">
      <c r="B214" s="204"/>
      <c r="M214" s="300"/>
    </row>
    <row r="215" spans="2:13" ht="15.75" customHeight="1">
      <c r="B215" s="204"/>
      <c r="M215" s="300"/>
    </row>
    <row r="216" spans="2:13" ht="15.75" customHeight="1">
      <c r="B216" s="204"/>
      <c r="M216" s="300"/>
    </row>
    <row r="217" spans="2:13" ht="15.75" customHeight="1">
      <c r="B217" s="204"/>
      <c r="M217" s="300"/>
    </row>
    <row r="218" spans="2:13" ht="15.75" customHeight="1">
      <c r="B218" s="204"/>
      <c r="M218" s="300"/>
    </row>
    <row r="219" spans="2:13" ht="15.75" customHeight="1">
      <c r="B219" s="204"/>
      <c r="M219" s="300"/>
    </row>
    <row r="220" spans="2:13" ht="15.75" customHeight="1">
      <c r="B220" s="204"/>
      <c r="M220" s="300"/>
    </row>
    <row r="221" spans="2:13" ht="15.75" customHeight="1">
      <c r="B221" s="204"/>
      <c r="M221" s="300"/>
    </row>
    <row r="222" spans="2:13" ht="15.75" customHeight="1">
      <c r="B222" s="204"/>
      <c r="M222" s="300"/>
    </row>
    <row r="223" spans="2:13" ht="15.75" customHeight="1">
      <c r="B223" s="204"/>
      <c r="M223" s="300"/>
    </row>
    <row r="224" spans="2:13" ht="15.75" customHeight="1">
      <c r="B224" s="204"/>
      <c r="M224" s="300"/>
    </row>
    <row r="225" spans="2:13" ht="15.75" customHeight="1">
      <c r="B225" s="204"/>
      <c r="M225" s="300"/>
    </row>
    <row r="226" spans="2:13" ht="15.75" customHeight="1">
      <c r="B226" s="204"/>
      <c r="M226" s="300"/>
    </row>
    <row r="227" spans="2:13" ht="15.75" customHeight="1">
      <c r="B227" s="204"/>
      <c r="M227" s="300"/>
    </row>
    <row r="228" spans="2:13" ht="15.75" customHeight="1">
      <c r="B228" s="204"/>
      <c r="M228" s="300"/>
    </row>
    <row r="229" spans="2:13" ht="15.75" customHeight="1">
      <c r="B229" s="204"/>
      <c r="M229" s="300"/>
    </row>
    <row r="230" spans="2:13" ht="15.75" customHeight="1">
      <c r="B230" s="204"/>
      <c r="M230" s="300"/>
    </row>
    <row r="231" spans="2:13" ht="15.75" customHeight="1">
      <c r="B231" s="204"/>
      <c r="M231" s="300"/>
    </row>
    <row r="232" spans="2:13" ht="15.75" customHeight="1">
      <c r="B232" s="204"/>
      <c r="M232" s="300"/>
    </row>
    <row r="233" spans="2:13" ht="15.75" customHeight="1">
      <c r="B233" s="204"/>
      <c r="M233" s="300"/>
    </row>
    <row r="234" spans="2:13" ht="15.75" customHeight="1">
      <c r="B234" s="204"/>
      <c r="M234" s="300"/>
    </row>
    <row r="235" spans="2:13" ht="15.75" customHeight="1">
      <c r="B235" s="204"/>
      <c r="M235" s="300"/>
    </row>
    <row r="236" spans="2:13" ht="15.75" customHeight="1">
      <c r="B236" s="204"/>
      <c r="M236" s="300"/>
    </row>
    <row r="237" spans="2:13" ht="15.75" customHeight="1">
      <c r="B237" s="204"/>
      <c r="M237" s="300"/>
    </row>
    <row r="238" spans="2:13" ht="15.75" customHeight="1">
      <c r="B238" s="204"/>
      <c r="M238" s="300"/>
    </row>
    <row r="239" spans="2:13" ht="15.75" customHeight="1">
      <c r="B239" s="204"/>
      <c r="M239" s="300"/>
    </row>
    <row r="240" spans="2:13" ht="15.75" customHeight="1">
      <c r="B240" s="204"/>
      <c r="M240" s="300"/>
    </row>
    <row r="241" spans="2:13" ht="15.75" customHeight="1">
      <c r="B241" s="204"/>
      <c r="M241" s="300"/>
    </row>
    <row r="242" spans="2:13" ht="15.75" customHeight="1">
      <c r="B242" s="204"/>
      <c r="M242" s="300"/>
    </row>
    <row r="243" spans="2:13" ht="15.75" customHeight="1">
      <c r="B243" s="204"/>
      <c r="M243" s="300"/>
    </row>
    <row r="244" spans="2:13" ht="15.75" customHeight="1">
      <c r="B244" s="204"/>
      <c r="M244" s="300"/>
    </row>
    <row r="245" spans="2:13" ht="15.75" customHeight="1">
      <c r="B245" s="204"/>
      <c r="M245" s="300"/>
    </row>
    <row r="246" spans="2:13" ht="15.75" customHeight="1">
      <c r="B246" s="204"/>
      <c r="M246" s="300"/>
    </row>
    <row r="247" spans="2:13" ht="15.75" customHeight="1">
      <c r="B247" s="204"/>
      <c r="M247" s="300"/>
    </row>
    <row r="248" spans="2:13" ht="15.75" customHeight="1">
      <c r="B248" s="204"/>
      <c r="M248" s="300"/>
    </row>
    <row r="249" spans="2:13" ht="15.75" customHeight="1">
      <c r="B249" s="204"/>
      <c r="M249" s="300"/>
    </row>
    <row r="250" spans="2:13" ht="15.75" customHeight="1">
      <c r="B250" s="204"/>
      <c r="M250" s="300"/>
    </row>
    <row r="251" spans="2:13" ht="15.75" customHeight="1">
      <c r="B251" s="204"/>
      <c r="M251" s="300"/>
    </row>
    <row r="252" spans="2:13" ht="15.75" customHeight="1">
      <c r="B252" s="204"/>
      <c r="M252" s="300"/>
    </row>
    <row r="253" spans="2:13" ht="15.75" customHeight="1">
      <c r="B253" s="204"/>
      <c r="M253" s="300"/>
    </row>
    <row r="254" spans="2:13" ht="15.75" customHeight="1">
      <c r="B254" s="204"/>
      <c r="M254" s="300"/>
    </row>
    <row r="255" spans="2:13" ht="15.75" customHeight="1">
      <c r="B255" s="204"/>
      <c r="M255" s="300"/>
    </row>
    <row r="256" spans="2:13" ht="15.75" customHeight="1">
      <c r="B256" s="204"/>
      <c r="M256" s="300"/>
    </row>
    <row r="257" spans="2:13" ht="15.75" customHeight="1">
      <c r="B257" s="204"/>
      <c r="M257" s="300"/>
    </row>
    <row r="258" spans="2:13" ht="15.75" customHeight="1">
      <c r="B258" s="204"/>
      <c r="M258" s="300"/>
    </row>
    <row r="259" spans="2:13" ht="15.75" customHeight="1">
      <c r="B259" s="204"/>
      <c r="M259" s="300"/>
    </row>
    <row r="260" spans="2:13" ht="15.75" customHeight="1">
      <c r="B260" s="204"/>
      <c r="M260" s="300"/>
    </row>
    <row r="261" spans="2:13" ht="15.75" customHeight="1">
      <c r="B261" s="204"/>
      <c r="M261" s="300"/>
    </row>
    <row r="262" spans="2:13" ht="15.75" customHeight="1">
      <c r="B262" s="204"/>
      <c r="M262" s="300"/>
    </row>
    <row r="263" spans="2:13" ht="15.75" customHeight="1">
      <c r="B263" s="204"/>
      <c r="M263" s="300"/>
    </row>
    <row r="264" spans="2:13" ht="15.75" customHeight="1">
      <c r="B264" s="204"/>
      <c r="M264" s="300"/>
    </row>
    <row r="265" spans="2:13" ht="15.75" customHeight="1">
      <c r="B265" s="204"/>
      <c r="M265" s="300"/>
    </row>
    <row r="266" spans="2:13" ht="15.75" customHeight="1">
      <c r="B266" s="204"/>
      <c r="M266" s="300"/>
    </row>
    <row r="267" spans="2:13" ht="15.75" customHeight="1">
      <c r="B267" s="204"/>
      <c r="M267" s="300"/>
    </row>
    <row r="268" spans="2:13" ht="15.75" customHeight="1">
      <c r="B268" s="204"/>
      <c r="M268" s="300"/>
    </row>
    <row r="269" spans="2:13" ht="15.75" customHeight="1">
      <c r="B269" s="204"/>
      <c r="M269" s="300"/>
    </row>
    <row r="270" spans="2:13" ht="15.75" customHeight="1">
      <c r="B270" s="204"/>
      <c r="M270" s="300"/>
    </row>
    <row r="271" spans="2:13" ht="15.75" customHeight="1">
      <c r="B271" s="204"/>
      <c r="M271" s="300"/>
    </row>
    <row r="272" spans="2:13" ht="15.75" customHeight="1">
      <c r="B272" s="204"/>
      <c r="M272" s="300"/>
    </row>
    <row r="273" spans="2:13" ht="15.75" customHeight="1">
      <c r="B273" s="204"/>
      <c r="M273" s="300"/>
    </row>
    <row r="274" spans="2:13" ht="15.75" customHeight="1">
      <c r="B274" s="204"/>
      <c r="M274" s="300"/>
    </row>
    <row r="275" spans="2:13" ht="15.75" customHeight="1">
      <c r="B275" s="204"/>
      <c r="M275" s="300"/>
    </row>
    <row r="276" spans="2:13" ht="15.75" customHeight="1">
      <c r="B276" s="204"/>
      <c r="M276" s="300"/>
    </row>
    <row r="277" spans="2:13" ht="15.75" customHeight="1">
      <c r="B277" s="204"/>
      <c r="M277" s="300"/>
    </row>
    <row r="278" spans="2:13" ht="15.75" customHeight="1">
      <c r="B278" s="204"/>
      <c r="M278" s="300"/>
    </row>
    <row r="279" spans="2:13" ht="15.75" customHeight="1">
      <c r="B279" s="204"/>
      <c r="M279" s="300"/>
    </row>
    <row r="280" spans="2:13" ht="15.75" customHeight="1">
      <c r="B280" s="204"/>
      <c r="M280" s="300"/>
    </row>
    <row r="281" spans="2:13" ht="15.75" customHeight="1">
      <c r="B281" s="204"/>
      <c r="M281" s="300"/>
    </row>
    <row r="282" spans="2:13" ht="15.75" customHeight="1">
      <c r="B282" s="204"/>
      <c r="M282" s="300"/>
    </row>
    <row r="283" spans="2:13" ht="15.75" customHeight="1">
      <c r="B283" s="204"/>
      <c r="M283" s="300"/>
    </row>
    <row r="284" spans="2:13" ht="15.75" customHeight="1">
      <c r="B284" s="204"/>
      <c r="M284" s="300"/>
    </row>
    <row r="285" spans="2:13" ht="15.75" customHeight="1">
      <c r="B285" s="204"/>
      <c r="M285" s="300"/>
    </row>
    <row r="286" spans="2:13" ht="15.75" customHeight="1">
      <c r="B286" s="204"/>
      <c r="M286" s="300"/>
    </row>
    <row r="287" spans="2:13" ht="15.75" customHeight="1">
      <c r="B287" s="204"/>
      <c r="M287" s="300"/>
    </row>
    <row r="288" spans="2:13" ht="15.75" customHeight="1">
      <c r="B288" s="204"/>
      <c r="M288" s="300"/>
    </row>
    <row r="289" spans="2:13" ht="15.75" customHeight="1">
      <c r="B289" s="204"/>
      <c r="M289" s="300"/>
    </row>
    <row r="290" spans="2:13" ht="15.75" customHeight="1">
      <c r="B290" s="204"/>
      <c r="M290" s="300"/>
    </row>
    <row r="291" spans="2:13" ht="15.75" customHeight="1">
      <c r="B291" s="204"/>
      <c r="M291" s="300"/>
    </row>
    <row r="292" spans="2:13" ht="15.75" customHeight="1">
      <c r="B292" s="204"/>
      <c r="M292" s="300"/>
    </row>
    <row r="293" spans="2:13" ht="15.75" customHeight="1">
      <c r="B293" s="204"/>
      <c r="M293" s="300"/>
    </row>
    <row r="294" spans="2:13" ht="15.75" customHeight="1">
      <c r="B294" s="204"/>
      <c r="M294" s="300"/>
    </row>
    <row r="295" spans="2:13" ht="15.75" customHeight="1">
      <c r="B295" s="204"/>
      <c r="M295" s="300"/>
    </row>
    <row r="296" spans="2:13" ht="15.75" customHeight="1">
      <c r="B296" s="204"/>
      <c r="M296" s="300"/>
    </row>
    <row r="297" spans="2:13" ht="15.75" customHeight="1">
      <c r="B297" s="204"/>
      <c r="M297" s="300"/>
    </row>
    <row r="298" spans="2:13" ht="15.75" customHeight="1">
      <c r="B298" s="204"/>
      <c r="M298" s="300"/>
    </row>
    <row r="299" spans="2:13" ht="15.75" customHeight="1">
      <c r="B299" s="204"/>
      <c r="M299" s="300"/>
    </row>
    <row r="300" spans="2:13" ht="15.75" customHeight="1">
      <c r="B300" s="204"/>
      <c r="M300" s="300"/>
    </row>
    <row r="301" spans="2:13" ht="15.75" customHeight="1">
      <c r="B301" s="204"/>
      <c r="M301" s="300"/>
    </row>
    <row r="302" spans="2:13" ht="15.75" customHeight="1">
      <c r="B302" s="204"/>
      <c r="M302" s="300"/>
    </row>
    <row r="303" spans="2:13" ht="15.75" customHeight="1">
      <c r="B303" s="204"/>
      <c r="M303" s="300"/>
    </row>
    <row r="304" spans="2:13" ht="15.75" customHeight="1">
      <c r="B304" s="204"/>
      <c r="M304" s="300"/>
    </row>
    <row r="305" spans="2:13" ht="15.75" customHeight="1">
      <c r="B305" s="204"/>
      <c r="M305" s="300"/>
    </row>
    <row r="306" spans="2:13" ht="15.75" customHeight="1">
      <c r="B306" s="204"/>
      <c r="M306" s="300"/>
    </row>
    <row r="307" spans="2:13" ht="15.75" customHeight="1">
      <c r="B307" s="204"/>
      <c r="M307" s="300"/>
    </row>
    <row r="308" spans="2:13" ht="15.75" customHeight="1">
      <c r="B308" s="204"/>
      <c r="M308" s="300"/>
    </row>
    <row r="309" spans="2:13" ht="15.75" customHeight="1">
      <c r="B309" s="204"/>
      <c r="M309" s="300"/>
    </row>
    <row r="310" spans="2:13" ht="15.75" customHeight="1">
      <c r="B310" s="204"/>
      <c r="M310" s="300"/>
    </row>
    <row r="311" spans="2:13" ht="15.75" customHeight="1">
      <c r="B311" s="204"/>
      <c r="M311" s="300"/>
    </row>
    <row r="312" spans="2:13" ht="15.75" customHeight="1">
      <c r="B312" s="204"/>
      <c r="M312" s="300"/>
    </row>
    <row r="313" spans="2:13" ht="15.75" customHeight="1">
      <c r="B313" s="204"/>
      <c r="M313" s="300"/>
    </row>
    <row r="314" spans="2:13" ht="15.75" customHeight="1">
      <c r="B314" s="204"/>
      <c r="M314" s="300"/>
    </row>
    <row r="315" spans="2:13" ht="15.75" customHeight="1">
      <c r="B315" s="204"/>
      <c r="M315" s="300"/>
    </row>
    <row r="316" spans="2:13" ht="15.75" customHeight="1">
      <c r="B316" s="204"/>
      <c r="M316" s="300"/>
    </row>
    <row r="317" spans="2:13" ht="15.75" customHeight="1">
      <c r="B317" s="204"/>
      <c r="M317" s="300"/>
    </row>
    <row r="318" spans="2:13" ht="15.75" customHeight="1">
      <c r="B318" s="204"/>
      <c r="M318" s="300"/>
    </row>
    <row r="319" spans="2:13" ht="15.75" customHeight="1">
      <c r="B319" s="204"/>
      <c r="M319" s="300"/>
    </row>
    <row r="320" spans="2:13" ht="15.75" customHeight="1">
      <c r="B320" s="204"/>
      <c r="M320" s="300"/>
    </row>
    <row r="321" spans="2:13" ht="15.75" customHeight="1">
      <c r="B321" s="204"/>
      <c r="M321" s="300"/>
    </row>
    <row r="322" spans="2:13" ht="15.75" customHeight="1">
      <c r="B322" s="204"/>
      <c r="M322" s="300"/>
    </row>
    <row r="323" spans="2:13" ht="15.75" customHeight="1">
      <c r="B323" s="204"/>
      <c r="M323" s="300"/>
    </row>
    <row r="324" spans="2:13" ht="15.75" customHeight="1">
      <c r="B324" s="204"/>
      <c r="M324" s="300"/>
    </row>
    <row r="325" spans="2:13" ht="15.75" customHeight="1">
      <c r="B325" s="204"/>
      <c r="M325" s="300"/>
    </row>
    <row r="326" spans="2:13" ht="15.75" customHeight="1">
      <c r="B326" s="204"/>
      <c r="M326" s="300"/>
    </row>
    <row r="327" spans="2:13" ht="15.75" customHeight="1">
      <c r="B327" s="204"/>
      <c r="M327" s="300"/>
    </row>
    <row r="328" spans="2:13" ht="15.75" customHeight="1">
      <c r="B328" s="204"/>
      <c r="M328" s="300"/>
    </row>
    <row r="329" spans="2:13" ht="15.75" customHeight="1">
      <c r="B329" s="204"/>
      <c r="M329" s="300"/>
    </row>
    <row r="330" spans="2:13" ht="15.75" customHeight="1">
      <c r="B330" s="204"/>
      <c r="M330" s="300"/>
    </row>
    <row r="331" spans="2:13" ht="15.75" customHeight="1">
      <c r="B331" s="204"/>
      <c r="M331" s="300"/>
    </row>
    <row r="332" spans="2:13" ht="15.75" customHeight="1">
      <c r="B332" s="204"/>
      <c r="M332" s="300"/>
    </row>
    <row r="333" spans="2:13" ht="15.75" customHeight="1">
      <c r="B333" s="204"/>
      <c r="M333" s="300"/>
    </row>
    <row r="334" spans="2:13" ht="15.75" customHeight="1">
      <c r="B334" s="204"/>
      <c r="M334" s="300"/>
    </row>
    <row r="335" spans="2:13" ht="15.75" customHeight="1">
      <c r="B335" s="204"/>
      <c r="M335" s="300"/>
    </row>
    <row r="336" spans="2:13" ht="15.75" customHeight="1">
      <c r="B336" s="204"/>
      <c r="M336" s="300"/>
    </row>
    <row r="337" spans="2:13" ht="15.75" customHeight="1">
      <c r="B337" s="204"/>
      <c r="M337" s="300"/>
    </row>
    <row r="338" spans="2:13" ht="15.75" customHeight="1">
      <c r="B338" s="204"/>
      <c r="M338" s="300"/>
    </row>
    <row r="339" spans="2:13" ht="15.75" customHeight="1">
      <c r="B339" s="204"/>
      <c r="M339" s="300"/>
    </row>
    <row r="340" spans="2:13" ht="15.75" customHeight="1">
      <c r="B340" s="204"/>
      <c r="M340" s="300"/>
    </row>
    <row r="341" spans="2:13" ht="15.75" customHeight="1">
      <c r="B341" s="204"/>
      <c r="M341" s="300"/>
    </row>
    <row r="342" spans="2:13" ht="15.75" customHeight="1">
      <c r="B342" s="204"/>
      <c r="M342" s="300"/>
    </row>
    <row r="343" spans="2:13" ht="15.75" customHeight="1">
      <c r="B343" s="204"/>
      <c r="M343" s="300"/>
    </row>
    <row r="344" spans="2:13" ht="15.75" customHeight="1">
      <c r="B344" s="204"/>
      <c r="M344" s="300"/>
    </row>
    <row r="345" spans="2:13" ht="15.75" customHeight="1">
      <c r="B345" s="204"/>
      <c r="M345" s="300"/>
    </row>
    <row r="346" spans="2:13" ht="15.75" customHeight="1">
      <c r="B346" s="204"/>
      <c r="M346" s="300"/>
    </row>
    <row r="347" spans="2:13" ht="15.75" customHeight="1">
      <c r="B347" s="204"/>
      <c r="M347" s="300"/>
    </row>
    <row r="348" spans="2:13" ht="15.75" customHeight="1">
      <c r="B348" s="204"/>
      <c r="M348" s="300"/>
    </row>
    <row r="349" spans="2:13" ht="15.75" customHeight="1">
      <c r="B349" s="204"/>
      <c r="M349" s="300"/>
    </row>
    <row r="350" spans="2:13" ht="15.75" customHeight="1">
      <c r="B350" s="204"/>
      <c r="M350" s="300"/>
    </row>
    <row r="351" spans="2:13" ht="15.75" customHeight="1">
      <c r="B351" s="204"/>
      <c r="M351" s="300"/>
    </row>
    <row r="352" spans="2:13" ht="15.75" customHeight="1">
      <c r="B352" s="204"/>
      <c r="M352" s="300"/>
    </row>
    <row r="353" spans="2:13" ht="15.75" customHeight="1">
      <c r="B353" s="204"/>
      <c r="M353" s="300"/>
    </row>
    <row r="354" spans="2:13" ht="15.75" customHeight="1">
      <c r="B354" s="204"/>
      <c r="M354" s="300"/>
    </row>
    <row r="355" spans="2:13" ht="15.75" customHeight="1">
      <c r="B355" s="204"/>
      <c r="M355" s="300"/>
    </row>
    <row r="356" spans="2:13" ht="15.75" customHeight="1">
      <c r="B356" s="204"/>
      <c r="M356" s="300"/>
    </row>
    <row r="357" spans="2:13" ht="15.75" customHeight="1">
      <c r="B357" s="204"/>
      <c r="M357" s="300"/>
    </row>
    <row r="358" spans="2:13" ht="15.75" customHeight="1">
      <c r="B358" s="204"/>
      <c r="M358" s="300"/>
    </row>
    <row r="359" spans="2:13" ht="15.75" customHeight="1">
      <c r="B359" s="204"/>
      <c r="M359" s="300"/>
    </row>
    <row r="360" spans="2:13" ht="15.75" customHeight="1">
      <c r="B360" s="204"/>
      <c r="M360" s="300"/>
    </row>
    <row r="361" spans="2:13" ht="15.75" customHeight="1">
      <c r="B361" s="204"/>
      <c r="M361" s="300"/>
    </row>
    <row r="362" spans="2:13" ht="15.75" customHeight="1">
      <c r="B362" s="204"/>
      <c r="M362" s="300"/>
    </row>
    <row r="363" spans="2:13" ht="15.75" customHeight="1">
      <c r="B363" s="204"/>
      <c r="M363" s="300"/>
    </row>
    <row r="364" spans="2:13" ht="15.75" customHeight="1">
      <c r="B364" s="204"/>
      <c r="M364" s="300"/>
    </row>
    <row r="365" spans="2:13" ht="15.75" customHeight="1">
      <c r="B365" s="204"/>
      <c r="M365" s="300"/>
    </row>
    <row r="366" spans="2:13" ht="15.75" customHeight="1">
      <c r="B366" s="204"/>
      <c r="M366" s="300"/>
    </row>
    <row r="367" spans="2:13" ht="15.75" customHeight="1">
      <c r="B367" s="204"/>
      <c r="M367" s="300"/>
    </row>
    <row r="368" spans="2:13" ht="15.75" customHeight="1">
      <c r="B368" s="204"/>
      <c r="M368" s="300"/>
    </row>
    <row r="369" spans="2:13" ht="15.75" customHeight="1">
      <c r="B369" s="204"/>
      <c r="M369" s="300"/>
    </row>
    <row r="370" spans="2:13" ht="15.75" customHeight="1">
      <c r="B370" s="204"/>
      <c r="M370" s="300"/>
    </row>
    <row r="371" spans="2:13" ht="15.75" customHeight="1">
      <c r="B371" s="204"/>
      <c r="M371" s="300"/>
    </row>
    <row r="372" spans="2:13" ht="15.75" customHeight="1">
      <c r="B372" s="204"/>
      <c r="M372" s="300"/>
    </row>
    <row r="373" spans="2:13" ht="15.75" customHeight="1">
      <c r="B373" s="204"/>
      <c r="M373" s="300"/>
    </row>
    <row r="374" spans="2:13" ht="15.75" customHeight="1">
      <c r="B374" s="204"/>
      <c r="M374" s="300"/>
    </row>
    <row r="375" spans="2:13" ht="15.75" customHeight="1">
      <c r="B375" s="204"/>
      <c r="M375" s="300"/>
    </row>
    <row r="376" spans="2:13" ht="15.75" customHeight="1">
      <c r="B376" s="204"/>
      <c r="M376" s="300"/>
    </row>
    <row r="377" spans="2:13" ht="15.75" customHeight="1">
      <c r="B377" s="204"/>
      <c r="M377" s="300"/>
    </row>
    <row r="378" spans="2:13" ht="15.75" customHeight="1">
      <c r="B378" s="204"/>
      <c r="M378" s="300"/>
    </row>
    <row r="379" spans="2:13" ht="15.75" customHeight="1">
      <c r="B379" s="204"/>
      <c r="M379" s="300"/>
    </row>
    <row r="380" spans="2:13" ht="15.75" customHeight="1">
      <c r="B380" s="204"/>
      <c r="M380" s="300"/>
    </row>
    <row r="381" spans="2:13" ht="15.75" customHeight="1">
      <c r="B381" s="204"/>
      <c r="M381" s="300"/>
    </row>
    <row r="382" spans="2:13" ht="15.75" customHeight="1">
      <c r="B382" s="204"/>
      <c r="M382" s="300"/>
    </row>
    <row r="383" spans="2:13" ht="15.75" customHeight="1">
      <c r="B383" s="204"/>
      <c r="M383" s="300"/>
    </row>
    <row r="384" spans="2:13" ht="15.75" customHeight="1">
      <c r="B384" s="204"/>
      <c r="M384" s="300"/>
    </row>
    <row r="385" spans="2:13" ht="15.75" customHeight="1">
      <c r="B385" s="204"/>
      <c r="M385" s="300"/>
    </row>
    <row r="386" spans="2:13" ht="15.75" customHeight="1">
      <c r="B386" s="204"/>
      <c r="M386" s="300"/>
    </row>
    <row r="387" spans="2:13" ht="15.75" customHeight="1">
      <c r="B387" s="204"/>
      <c r="M387" s="300"/>
    </row>
    <row r="388" spans="2:13" ht="15.75" customHeight="1">
      <c r="B388" s="204"/>
      <c r="M388" s="300"/>
    </row>
    <row r="389" spans="2:13" ht="15.75" customHeight="1">
      <c r="B389" s="204"/>
      <c r="M389" s="300"/>
    </row>
    <row r="390" spans="2:13" ht="15.75" customHeight="1">
      <c r="B390" s="204"/>
      <c r="M390" s="300"/>
    </row>
    <row r="391" spans="2:13" ht="15.75" customHeight="1">
      <c r="B391" s="204"/>
      <c r="M391" s="300"/>
    </row>
    <row r="392" spans="2:13" ht="15.75" customHeight="1">
      <c r="B392" s="204"/>
      <c r="M392" s="300"/>
    </row>
    <row r="393" spans="2:13" ht="15.75" customHeight="1">
      <c r="B393" s="204"/>
      <c r="M393" s="300"/>
    </row>
    <row r="394" spans="2:13" ht="15.75" customHeight="1">
      <c r="B394" s="204"/>
      <c r="M394" s="300"/>
    </row>
    <row r="395" spans="2:13" ht="15.75" customHeight="1">
      <c r="B395" s="204"/>
      <c r="M395" s="300"/>
    </row>
    <row r="396" spans="2:13" ht="15.75" customHeight="1">
      <c r="B396" s="204"/>
      <c r="M396" s="300"/>
    </row>
    <row r="397" spans="2:13" ht="15.75" customHeight="1">
      <c r="B397" s="204"/>
      <c r="M397" s="300"/>
    </row>
    <row r="398" spans="2:13" ht="15.75" customHeight="1">
      <c r="B398" s="204"/>
      <c r="M398" s="300"/>
    </row>
    <row r="399" spans="2:13" ht="15.75" customHeight="1">
      <c r="B399" s="204"/>
      <c r="M399" s="300"/>
    </row>
    <row r="400" spans="2:13" ht="15.75" customHeight="1">
      <c r="B400" s="204"/>
      <c r="M400" s="300"/>
    </row>
    <row r="401" spans="2:13" ht="15.75" customHeight="1">
      <c r="B401" s="204"/>
      <c r="M401" s="300"/>
    </row>
    <row r="402" spans="2:13" ht="15.75" customHeight="1">
      <c r="B402" s="204"/>
      <c r="M402" s="300"/>
    </row>
    <row r="403" spans="2:13" ht="15.75" customHeight="1">
      <c r="B403" s="204"/>
      <c r="M403" s="300"/>
    </row>
    <row r="404" spans="2:13" ht="15.75" customHeight="1">
      <c r="B404" s="204"/>
      <c r="M404" s="300"/>
    </row>
    <row r="405" spans="2:13" ht="15.75" customHeight="1">
      <c r="B405" s="204"/>
      <c r="M405" s="300"/>
    </row>
    <row r="406" spans="2:13" ht="15.75" customHeight="1">
      <c r="B406" s="204"/>
      <c r="M406" s="300"/>
    </row>
    <row r="407" spans="2:13" ht="15.75" customHeight="1">
      <c r="B407" s="204"/>
      <c r="M407" s="300"/>
    </row>
    <row r="408" spans="2:13" ht="15.75" customHeight="1">
      <c r="B408" s="204"/>
      <c r="M408" s="300"/>
    </row>
    <row r="409" spans="2:13" ht="15.75" customHeight="1">
      <c r="B409" s="204"/>
      <c r="M409" s="300"/>
    </row>
    <row r="410" spans="2:13" ht="15.75" customHeight="1">
      <c r="B410" s="204"/>
      <c r="M410" s="300"/>
    </row>
    <row r="411" spans="2:13" ht="15.75" customHeight="1">
      <c r="B411" s="204"/>
      <c r="M411" s="300"/>
    </row>
    <row r="412" spans="2:13" ht="15.75" customHeight="1">
      <c r="B412" s="204"/>
      <c r="M412" s="300"/>
    </row>
    <row r="413" spans="2:13" ht="15.75" customHeight="1">
      <c r="B413" s="204"/>
      <c r="M413" s="300"/>
    </row>
    <row r="414" spans="2:13" ht="15.75" customHeight="1">
      <c r="B414" s="204"/>
      <c r="M414" s="300"/>
    </row>
    <row r="415" spans="2:13" ht="15.75" customHeight="1">
      <c r="B415" s="204"/>
      <c r="M415" s="300"/>
    </row>
    <row r="416" spans="2:13" ht="15.75" customHeight="1">
      <c r="B416" s="204"/>
      <c r="M416" s="300"/>
    </row>
    <row r="417" spans="2:13" ht="15.75" customHeight="1">
      <c r="B417" s="204"/>
      <c r="M417" s="300"/>
    </row>
    <row r="418" spans="2:13" ht="15.75" customHeight="1">
      <c r="B418" s="204"/>
      <c r="M418" s="300"/>
    </row>
    <row r="419" spans="2:13" ht="15.75" customHeight="1">
      <c r="B419" s="204"/>
      <c r="M419" s="300"/>
    </row>
    <row r="420" spans="2:13" ht="15.75" customHeight="1">
      <c r="B420" s="204"/>
      <c r="M420" s="300"/>
    </row>
    <row r="421" spans="2:13" ht="15.75" customHeight="1">
      <c r="B421" s="204"/>
      <c r="M421" s="300"/>
    </row>
    <row r="422" spans="2:13" ht="15.75" customHeight="1">
      <c r="B422" s="204"/>
      <c r="M422" s="300"/>
    </row>
    <row r="423" spans="2:13" ht="15.75" customHeight="1">
      <c r="B423" s="204"/>
      <c r="M423" s="300"/>
    </row>
    <row r="424" spans="2:13" ht="15.75" customHeight="1">
      <c r="B424" s="204"/>
      <c r="M424" s="300"/>
    </row>
    <row r="425" spans="2:13" ht="15.75" customHeight="1">
      <c r="B425" s="204"/>
      <c r="M425" s="300"/>
    </row>
    <row r="426" spans="2:13" ht="15.75" customHeight="1">
      <c r="B426" s="204"/>
      <c r="M426" s="300"/>
    </row>
    <row r="427" spans="2:13" ht="15.75" customHeight="1">
      <c r="B427" s="204"/>
      <c r="M427" s="300"/>
    </row>
    <row r="428" spans="2:13" ht="15.75" customHeight="1">
      <c r="B428" s="204"/>
      <c r="M428" s="300"/>
    </row>
    <row r="429" spans="2:13" ht="15.75" customHeight="1">
      <c r="B429" s="204"/>
      <c r="M429" s="300"/>
    </row>
    <row r="430" spans="2:13" ht="15.75" customHeight="1">
      <c r="B430" s="204"/>
      <c r="M430" s="300"/>
    </row>
    <row r="431" spans="2:13" ht="15.75" customHeight="1">
      <c r="B431" s="204"/>
      <c r="M431" s="300"/>
    </row>
    <row r="432" spans="2:13" ht="15.75" customHeight="1">
      <c r="B432" s="204"/>
      <c r="M432" s="300"/>
    </row>
    <row r="433" spans="2:13" ht="15.75" customHeight="1">
      <c r="B433" s="204"/>
      <c r="M433" s="300"/>
    </row>
    <row r="434" spans="2:13" ht="15.75" customHeight="1">
      <c r="B434" s="204"/>
      <c r="M434" s="300"/>
    </row>
    <row r="435" spans="2:13" ht="15.75" customHeight="1">
      <c r="B435" s="204"/>
      <c r="M435" s="300"/>
    </row>
    <row r="436" spans="2:13" ht="15.75" customHeight="1">
      <c r="B436" s="204"/>
      <c r="M436" s="300"/>
    </row>
    <row r="437" spans="2:13" ht="15.75" customHeight="1">
      <c r="B437" s="204"/>
      <c r="M437" s="300"/>
    </row>
    <row r="438" spans="2:13" ht="15.75" customHeight="1">
      <c r="B438" s="204"/>
      <c r="M438" s="300"/>
    </row>
    <row r="439" spans="2:13" ht="15.75" customHeight="1">
      <c r="B439" s="204"/>
      <c r="M439" s="300"/>
    </row>
    <row r="440" spans="2:13" ht="15.75" customHeight="1">
      <c r="B440" s="204"/>
      <c r="M440" s="300"/>
    </row>
    <row r="441" spans="2:13" ht="15.75" customHeight="1">
      <c r="B441" s="204"/>
      <c r="M441" s="300"/>
    </row>
    <row r="442" spans="2:13" ht="15.75" customHeight="1">
      <c r="B442" s="204"/>
      <c r="M442" s="300"/>
    </row>
    <row r="443" spans="2:13" ht="15.75" customHeight="1">
      <c r="B443" s="204"/>
      <c r="M443" s="300"/>
    </row>
    <row r="444" spans="2:13" ht="15.75" customHeight="1">
      <c r="B444" s="204"/>
      <c r="M444" s="300"/>
    </row>
    <row r="445" spans="2:13" ht="15.75" customHeight="1">
      <c r="B445" s="204"/>
      <c r="M445" s="300"/>
    </row>
    <row r="446" spans="2:13" ht="15.75" customHeight="1">
      <c r="B446" s="204"/>
      <c r="M446" s="300"/>
    </row>
    <row r="447" spans="2:13" ht="15.75" customHeight="1">
      <c r="B447" s="204"/>
      <c r="M447" s="300"/>
    </row>
    <row r="448" spans="2:13" ht="15.75" customHeight="1">
      <c r="B448" s="204"/>
      <c r="M448" s="300"/>
    </row>
    <row r="449" spans="2:13" ht="15.75" customHeight="1">
      <c r="B449" s="204"/>
      <c r="M449" s="300"/>
    </row>
    <row r="450" spans="2:13" ht="15.75" customHeight="1">
      <c r="B450" s="204"/>
      <c r="M450" s="300"/>
    </row>
    <row r="451" spans="2:13" ht="15.75" customHeight="1">
      <c r="B451" s="204"/>
      <c r="M451" s="300"/>
    </row>
    <row r="452" spans="2:13" ht="15.75" customHeight="1">
      <c r="B452" s="204"/>
      <c r="M452" s="300"/>
    </row>
    <row r="453" spans="2:13" ht="15.75" customHeight="1">
      <c r="B453" s="204"/>
      <c r="M453" s="300"/>
    </row>
    <row r="454" spans="2:13" ht="15.75" customHeight="1">
      <c r="B454" s="204"/>
      <c r="M454" s="300"/>
    </row>
    <row r="455" spans="2:13" ht="15.75" customHeight="1">
      <c r="B455" s="204"/>
      <c r="M455" s="300"/>
    </row>
    <row r="456" spans="2:13" ht="15.75" customHeight="1">
      <c r="B456" s="204"/>
      <c r="M456" s="300"/>
    </row>
    <row r="457" spans="2:13" ht="15.75" customHeight="1">
      <c r="B457" s="204"/>
      <c r="M457" s="300"/>
    </row>
    <row r="458" spans="2:13" ht="15.75" customHeight="1">
      <c r="B458" s="204"/>
      <c r="M458" s="300"/>
    </row>
    <row r="459" spans="2:13" ht="15.75" customHeight="1">
      <c r="B459" s="204"/>
      <c r="M459" s="300"/>
    </row>
    <row r="460" spans="2:13" ht="15.75" customHeight="1">
      <c r="B460" s="204"/>
      <c r="M460" s="300"/>
    </row>
    <row r="461" spans="2:13" ht="15.75" customHeight="1">
      <c r="B461" s="204"/>
      <c r="M461" s="300"/>
    </row>
    <row r="462" spans="2:13" ht="15.75" customHeight="1">
      <c r="B462" s="204"/>
      <c r="M462" s="300"/>
    </row>
    <row r="463" spans="2:13" ht="15.75" customHeight="1">
      <c r="B463" s="204"/>
      <c r="M463" s="300"/>
    </row>
    <row r="464" spans="2:13" ht="15.75" customHeight="1">
      <c r="B464" s="204"/>
      <c r="M464" s="300"/>
    </row>
    <row r="465" spans="2:13" ht="15.75" customHeight="1">
      <c r="B465" s="204"/>
      <c r="M465" s="300"/>
    </row>
    <row r="466" spans="2:13" ht="15.75" customHeight="1">
      <c r="B466" s="204"/>
      <c r="M466" s="300"/>
    </row>
    <row r="467" spans="2:13" ht="15.75" customHeight="1">
      <c r="B467" s="204"/>
      <c r="M467" s="300"/>
    </row>
    <row r="468" spans="2:13" ht="15.75" customHeight="1">
      <c r="B468" s="204"/>
      <c r="M468" s="300"/>
    </row>
    <row r="469" spans="2:13" ht="15.75" customHeight="1">
      <c r="B469" s="204"/>
      <c r="M469" s="300"/>
    </row>
    <row r="470" spans="2:13" ht="15.75" customHeight="1">
      <c r="B470" s="204"/>
      <c r="M470" s="300"/>
    </row>
    <row r="471" spans="2:13" ht="15.75" customHeight="1">
      <c r="B471" s="204"/>
      <c r="M471" s="300"/>
    </row>
    <row r="472" spans="2:13" ht="15.75" customHeight="1">
      <c r="B472" s="204"/>
      <c r="M472" s="300"/>
    </row>
    <row r="473" spans="2:13" ht="15.75" customHeight="1">
      <c r="B473" s="204"/>
      <c r="M473" s="300"/>
    </row>
    <row r="474" spans="2:13" ht="15.75" customHeight="1">
      <c r="B474" s="204"/>
      <c r="M474" s="300"/>
    </row>
    <row r="475" spans="2:13" ht="15.75" customHeight="1">
      <c r="B475" s="204"/>
      <c r="M475" s="300"/>
    </row>
    <row r="476" spans="2:13" ht="15.75" customHeight="1">
      <c r="B476" s="204"/>
      <c r="M476" s="300"/>
    </row>
    <row r="477" spans="2:13" ht="15.75" customHeight="1">
      <c r="B477" s="204"/>
      <c r="M477" s="300"/>
    </row>
    <row r="478" spans="2:13" ht="15.75" customHeight="1">
      <c r="B478" s="204"/>
      <c r="M478" s="300"/>
    </row>
    <row r="479" spans="2:13" ht="15.75" customHeight="1">
      <c r="B479" s="204"/>
      <c r="M479" s="300"/>
    </row>
    <row r="480" spans="2:13" ht="15.75" customHeight="1">
      <c r="B480" s="204"/>
      <c r="M480" s="300"/>
    </row>
    <row r="481" spans="2:13" ht="15.75" customHeight="1">
      <c r="B481" s="204"/>
      <c r="M481" s="300"/>
    </row>
    <row r="482" spans="2:13" ht="15.75" customHeight="1">
      <c r="B482" s="204"/>
      <c r="M482" s="300"/>
    </row>
    <row r="483" spans="2:13" ht="15.75" customHeight="1">
      <c r="B483" s="204"/>
      <c r="M483" s="300"/>
    </row>
    <row r="484" spans="2:13" ht="15.75" customHeight="1">
      <c r="B484" s="204"/>
      <c r="M484" s="300"/>
    </row>
    <row r="485" spans="2:13" ht="15.75" customHeight="1">
      <c r="B485" s="204"/>
      <c r="M485" s="300"/>
    </row>
    <row r="486" spans="2:13" ht="15.75" customHeight="1">
      <c r="B486" s="204"/>
      <c r="M486" s="300"/>
    </row>
    <row r="487" spans="2:13" ht="15.75" customHeight="1">
      <c r="B487" s="204"/>
      <c r="M487" s="300"/>
    </row>
    <row r="488" spans="2:13" ht="15.75" customHeight="1">
      <c r="B488" s="204"/>
      <c r="M488" s="300"/>
    </row>
    <row r="489" spans="2:13" ht="15.75" customHeight="1">
      <c r="B489" s="204"/>
      <c r="M489" s="300"/>
    </row>
    <row r="490" spans="2:13" ht="15.75" customHeight="1">
      <c r="B490" s="204"/>
      <c r="M490" s="300"/>
    </row>
    <row r="491" spans="2:13" ht="15.75" customHeight="1">
      <c r="B491" s="204"/>
      <c r="M491" s="300"/>
    </row>
    <row r="492" spans="2:13" ht="15.75" customHeight="1">
      <c r="B492" s="204"/>
      <c r="M492" s="300"/>
    </row>
    <row r="493" spans="2:13" ht="15.75" customHeight="1">
      <c r="B493" s="204"/>
      <c r="M493" s="300"/>
    </row>
    <row r="494" spans="2:13" ht="15.75" customHeight="1">
      <c r="B494" s="204"/>
      <c r="M494" s="300"/>
    </row>
    <row r="495" spans="2:13" ht="15.75" customHeight="1">
      <c r="B495" s="204"/>
      <c r="M495" s="300"/>
    </row>
    <row r="496" spans="2:13" ht="15.75" customHeight="1">
      <c r="B496" s="204"/>
      <c r="M496" s="300"/>
    </row>
    <row r="497" spans="2:13" ht="15.75" customHeight="1">
      <c r="B497" s="204"/>
      <c r="M497" s="300"/>
    </row>
    <row r="498" spans="2:13" ht="15.75" customHeight="1">
      <c r="B498" s="204"/>
      <c r="M498" s="300"/>
    </row>
    <row r="499" spans="2:13" ht="15.75" customHeight="1">
      <c r="B499" s="204"/>
      <c r="M499" s="300"/>
    </row>
    <row r="500" spans="2:13" ht="15.75" customHeight="1">
      <c r="B500" s="204"/>
      <c r="M500" s="300"/>
    </row>
    <row r="501" spans="2:13" ht="15.75" customHeight="1">
      <c r="B501" s="204"/>
      <c r="M501" s="300"/>
    </row>
    <row r="502" spans="2:13" ht="15.75" customHeight="1">
      <c r="B502" s="204"/>
      <c r="M502" s="300"/>
    </row>
    <row r="503" spans="2:13" ht="15.75" customHeight="1">
      <c r="B503" s="204"/>
      <c r="M503" s="300"/>
    </row>
    <row r="504" spans="2:13" ht="15.75" customHeight="1">
      <c r="B504" s="204"/>
      <c r="M504" s="300"/>
    </row>
    <row r="505" spans="2:13" ht="15.75" customHeight="1">
      <c r="B505" s="204"/>
      <c r="M505" s="300"/>
    </row>
    <row r="506" spans="2:13" ht="15.75" customHeight="1">
      <c r="B506" s="204"/>
      <c r="M506" s="300"/>
    </row>
    <row r="507" spans="2:13" ht="15.75" customHeight="1">
      <c r="B507" s="204"/>
      <c r="M507" s="300"/>
    </row>
    <row r="508" spans="2:13" ht="15.75" customHeight="1">
      <c r="B508" s="204"/>
      <c r="M508" s="300"/>
    </row>
    <row r="509" spans="2:13" ht="15.75" customHeight="1">
      <c r="B509" s="204"/>
      <c r="M509" s="300"/>
    </row>
    <row r="510" spans="2:13" ht="15.75" customHeight="1">
      <c r="B510" s="204"/>
      <c r="M510" s="300"/>
    </row>
    <row r="511" spans="2:13" ht="15.75" customHeight="1">
      <c r="B511" s="204"/>
      <c r="M511" s="300"/>
    </row>
    <row r="512" spans="2:13" ht="15.75" customHeight="1">
      <c r="B512" s="204"/>
      <c r="M512" s="300"/>
    </row>
    <row r="513" spans="2:13" ht="15.75" customHeight="1">
      <c r="B513" s="204"/>
      <c r="M513" s="300"/>
    </row>
    <row r="514" spans="2:13" ht="15.75" customHeight="1">
      <c r="B514" s="204"/>
      <c r="M514" s="300"/>
    </row>
    <row r="515" spans="2:13" ht="15.75" customHeight="1">
      <c r="B515" s="204"/>
      <c r="M515" s="300"/>
    </row>
    <row r="516" spans="2:13" ht="15.75" customHeight="1">
      <c r="B516" s="204"/>
      <c r="M516" s="300"/>
    </row>
    <row r="517" spans="2:13" ht="15.75" customHeight="1">
      <c r="B517" s="204"/>
      <c r="M517" s="300"/>
    </row>
    <row r="518" spans="2:13" ht="15.75" customHeight="1">
      <c r="B518" s="204"/>
      <c r="M518" s="300"/>
    </row>
    <row r="519" spans="2:13" ht="15.75" customHeight="1">
      <c r="B519" s="204"/>
      <c r="M519" s="300"/>
    </row>
    <row r="520" spans="2:13" ht="15.75" customHeight="1">
      <c r="B520" s="204"/>
      <c r="M520" s="300"/>
    </row>
    <row r="521" spans="2:13" ht="15.75" customHeight="1">
      <c r="B521" s="204"/>
      <c r="M521" s="300"/>
    </row>
    <row r="522" spans="2:13" ht="15.75" customHeight="1">
      <c r="B522" s="204"/>
      <c r="M522" s="300"/>
    </row>
    <row r="523" spans="2:13" ht="15.75" customHeight="1">
      <c r="B523" s="204"/>
      <c r="M523" s="300"/>
    </row>
    <row r="524" spans="2:13" ht="15.75" customHeight="1">
      <c r="B524" s="204"/>
      <c r="M524" s="300"/>
    </row>
    <row r="525" spans="2:13" ht="15.75" customHeight="1">
      <c r="B525" s="204"/>
      <c r="M525" s="300"/>
    </row>
    <row r="526" spans="2:13" ht="15.75" customHeight="1">
      <c r="B526" s="204"/>
      <c r="M526" s="300"/>
    </row>
    <row r="527" spans="2:13" ht="15.75" customHeight="1">
      <c r="B527" s="204"/>
      <c r="M527" s="300"/>
    </row>
    <row r="528" spans="2:13" ht="15.75" customHeight="1">
      <c r="B528" s="204"/>
      <c r="M528" s="300"/>
    </row>
    <row r="529" spans="2:13" ht="15.75" customHeight="1">
      <c r="B529" s="204"/>
      <c r="M529" s="300"/>
    </row>
    <row r="530" spans="2:13" ht="15.75" customHeight="1">
      <c r="B530" s="204"/>
      <c r="M530" s="300"/>
    </row>
    <row r="531" spans="2:13" ht="15.75" customHeight="1">
      <c r="B531" s="204"/>
      <c r="M531" s="300"/>
    </row>
    <row r="532" spans="2:13" ht="15.75" customHeight="1">
      <c r="B532" s="204"/>
      <c r="M532" s="300"/>
    </row>
    <row r="533" spans="2:13" ht="15.75" customHeight="1">
      <c r="B533" s="204"/>
      <c r="M533" s="300"/>
    </row>
    <row r="534" spans="2:13" ht="15.75" customHeight="1">
      <c r="B534" s="204"/>
      <c r="M534" s="300"/>
    </row>
    <row r="535" spans="2:13" ht="15.75" customHeight="1">
      <c r="B535" s="204"/>
      <c r="M535" s="300"/>
    </row>
    <row r="536" spans="2:13" ht="15.75" customHeight="1">
      <c r="B536" s="204"/>
      <c r="M536" s="300"/>
    </row>
    <row r="537" spans="2:13" ht="15.75" customHeight="1">
      <c r="B537" s="204"/>
      <c r="M537" s="300"/>
    </row>
    <row r="538" spans="2:13" ht="15.75" customHeight="1">
      <c r="B538" s="204"/>
      <c r="M538" s="300"/>
    </row>
    <row r="539" spans="2:13" ht="15.75" customHeight="1">
      <c r="B539" s="204"/>
      <c r="M539" s="300"/>
    </row>
    <row r="540" spans="2:13" ht="15.75" customHeight="1">
      <c r="B540" s="204"/>
      <c r="M540" s="300"/>
    </row>
    <row r="541" spans="2:13" ht="15.75" customHeight="1">
      <c r="B541" s="204"/>
      <c r="M541" s="300"/>
    </row>
    <row r="542" spans="2:13" ht="15.75" customHeight="1">
      <c r="B542" s="204"/>
      <c r="M542" s="300"/>
    </row>
    <row r="543" spans="2:13" ht="15.75" customHeight="1">
      <c r="B543" s="204"/>
      <c r="M543" s="300"/>
    </row>
    <row r="544" spans="2:13" ht="15.75" customHeight="1">
      <c r="B544" s="204"/>
      <c r="M544" s="300"/>
    </row>
    <row r="545" spans="2:13" ht="15.75" customHeight="1">
      <c r="B545" s="204"/>
      <c r="M545" s="300"/>
    </row>
    <row r="546" spans="2:13" ht="15.75" customHeight="1">
      <c r="B546" s="204"/>
      <c r="M546" s="300"/>
    </row>
    <row r="547" spans="2:13" ht="15.75" customHeight="1">
      <c r="B547" s="204"/>
      <c r="M547" s="300"/>
    </row>
    <row r="548" spans="2:13" ht="15.75" customHeight="1">
      <c r="B548" s="204"/>
      <c r="M548" s="300"/>
    </row>
    <row r="549" spans="2:13" ht="15.75" customHeight="1">
      <c r="B549" s="204"/>
      <c r="M549" s="300"/>
    </row>
    <row r="550" spans="2:13" ht="15.75" customHeight="1">
      <c r="B550" s="204"/>
      <c r="M550" s="300"/>
    </row>
    <row r="551" spans="2:13" ht="15.75" customHeight="1">
      <c r="B551" s="204"/>
      <c r="M551" s="300"/>
    </row>
    <row r="552" spans="2:13" ht="15.75" customHeight="1">
      <c r="B552" s="204"/>
      <c r="M552" s="300"/>
    </row>
    <row r="553" spans="2:13" ht="15.75" customHeight="1">
      <c r="B553" s="204"/>
      <c r="M553" s="300"/>
    </row>
    <row r="554" spans="2:13" ht="15.75" customHeight="1">
      <c r="B554" s="204"/>
      <c r="M554" s="300"/>
    </row>
    <row r="555" spans="2:13" ht="15.75" customHeight="1">
      <c r="B555" s="204"/>
      <c r="M555" s="300"/>
    </row>
    <row r="556" spans="2:13" ht="15.75" customHeight="1">
      <c r="B556" s="204"/>
      <c r="M556" s="300"/>
    </row>
    <row r="557" spans="2:13" ht="15.75" customHeight="1">
      <c r="B557" s="204"/>
      <c r="M557" s="300"/>
    </row>
    <row r="558" spans="2:13" ht="15.75" customHeight="1">
      <c r="B558" s="204"/>
      <c r="M558" s="300"/>
    </row>
    <row r="559" spans="2:13" ht="15.75" customHeight="1">
      <c r="B559" s="204"/>
      <c r="M559" s="300"/>
    </row>
    <row r="560" spans="2:13" ht="15.75" customHeight="1">
      <c r="B560" s="204"/>
      <c r="M560" s="300"/>
    </row>
    <row r="561" spans="2:13" ht="15.75" customHeight="1">
      <c r="B561" s="204"/>
      <c r="M561" s="300"/>
    </row>
    <row r="562" spans="2:13" ht="15.75" customHeight="1">
      <c r="B562" s="204"/>
      <c r="M562" s="300"/>
    </row>
    <row r="563" spans="2:13" ht="15.75" customHeight="1">
      <c r="B563" s="204"/>
      <c r="M563" s="300"/>
    </row>
    <row r="564" spans="2:13" ht="15.75" customHeight="1">
      <c r="B564" s="204"/>
      <c r="M564" s="300"/>
    </row>
    <row r="565" spans="2:13" ht="15.75" customHeight="1">
      <c r="B565" s="204"/>
      <c r="M565" s="300"/>
    </row>
    <row r="566" spans="2:13" ht="15.75" customHeight="1">
      <c r="B566" s="204"/>
      <c r="M566" s="300"/>
    </row>
    <row r="567" spans="2:13" ht="15.75" customHeight="1">
      <c r="B567" s="204"/>
      <c r="M567" s="300"/>
    </row>
    <row r="568" spans="2:13" ht="15.75" customHeight="1">
      <c r="B568" s="204"/>
      <c r="M568" s="300"/>
    </row>
    <row r="569" spans="2:13" ht="15.75" customHeight="1">
      <c r="B569" s="204"/>
      <c r="M569" s="300"/>
    </row>
    <row r="570" spans="2:13" ht="15.75" customHeight="1">
      <c r="B570" s="204"/>
      <c r="M570" s="300"/>
    </row>
    <row r="571" spans="2:13" ht="15.75" customHeight="1">
      <c r="B571" s="204"/>
      <c r="M571" s="300"/>
    </row>
    <row r="572" spans="2:13" ht="15.75" customHeight="1">
      <c r="B572" s="204"/>
      <c r="M572" s="300"/>
    </row>
    <row r="573" spans="2:13" ht="15.75" customHeight="1">
      <c r="B573" s="204"/>
      <c r="M573" s="300"/>
    </row>
    <row r="574" spans="2:13" ht="15.75" customHeight="1">
      <c r="B574" s="204"/>
      <c r="M574" s="300"/>
    </row>
    <row r="575" spans="2:13" ht="15.75" customHeight="1">
      <c r="B575" s="204"/>
      <c r="M575" s="300"/>
    </row>
    <row r="576" spans="2:13" ht="15.75" customHeight="1">
      <c r="B576" s="204"/>
      <c r="M576" s="300"/>
    </row>
    <row r="577" spans="2:13" ht="15.75" customHeight="1">
      <c r="B577" s="204"/>
      <c r="M577" s="300"/>
    </row>
    <row r="578" spans="2:13" ht="15.75" customHeight="1">
      <c r="B578" s="204"/>
      <c r="M578" s="300"/>
    </row>
    <row r="579" spans="2:13" ht="15.75" customHeight="1">
      <c r="B579" s="204"/>
      <c r="M579" s="300"/>
    </row>
    <row r="580" spans="2:13" ht="15.75" customHeight="1">
      <c r="B580" s="204"/>
      <c r="M580" s="300"/>
    </row>
    <row r="581" spans="2:13" ht="15.75" customHeight="1">
      <c r="B581" s="204"/>
      <c r="M581" s="300"/>
    </row>
    <row r="582" spans="2:13" ht="15.75" customHeight="1">
      <c r="B582" s="204"/>
      <c r="M582" s="300"/>
    </row>
    <row r="583" spans="2:13" ht="15.75" customHeight="1">
      <c r="B583" s="204"/>
      <c r="M583" s="300"/>
    </row>
    <row r="584" spans="2:13" ht="15.75" customHeight="1">
      <c r="B584" s="204"/>
      <c r="M584" s="300"/>
    </row>
    <row r="585" spans="2:13" ht="15.75" customHeight="1">
      <c r="B585" s="204"/>
      <c r="M585" s="300"/>
    </row>
    <row r="586" spans="2:13" ht="15.75" customHeight="1">
      <c r="B586" s="204"/>
      <c r="M586" s="300"/>
    </row>
    <row r="587" spans="2:13" ht="15.75" customHeight="1">
      <c r="B587" s="204"/>
      <c r="M587" s="300"/>
    </row>
    <row r="588" spans="2:13" ht="15.75" customHeight="1">
      <c r="B588" s="204"/>
      <c r="M588" s="300"/>
    </row>
    <row r="589" spans="2:13" ht="15.75" customHeight="1">
      <c r="B589" s="204"/>
      <c r="M589" s="300"/>
    </row>
    <row r="590" spans="2:13" ht="15.75" customHeight="1">
      <c r="B590" s="204"/>
      <c r="M590" s="300"/>
    </row>
    <row r="591" spans="2:13" ht="15.75" customHeight="1">
      <c r="B591" s="204"/>
      <c r="M591" s="300"/>
    </row>
    <row r="592" spans="2:13" ht="15.75" customHeight="1">
      <c r="B592" s="204"/>
      <c r="M592" s="300"/>
    </row>
    <row r="593" spans="2:13" ht="15.75" customHeight="1">
      <c r="B593" s="204"/>
      <c r="M593" s="300"/>
    </row>
    <row r="594" spans="2:13" ht="15.75" customHeight="1">
      <c r="B594" s="204"/>
      <c r="M594" s="300"/>
    </row>
    <row r="595" spans="2:13" ht="15.75" customHeight="1">
      <c r="B595" s="204"/>
      <c r="M595" s="300"/>
    </row>
    <row r="596" spans="2:13" ht="15.75" customHeight="1">
      <c r="B596" s="204"/>
      <c r="M596" s="300"/>
    </row>
    <row r="597" spans="2:13" ht="15.75" customHeight="1">
      <c r="B597" s="204"/>
      <c r="M597" s="300"/>
    </row>
    <row r="598" spans="2:13" ht="15.75" customHeight="1">
      <c r="B598" s="204"/>
      <c r="M598" s="300"/>
    </row>
    <row r="599" spans="2:13" ht="15.75" customHeight="1">
      <c r="B599" s="204"/>
      <c r="M599" s="300"/>
    </row>
    <row r="600" spans="2:13" ht="15.75" customHeight="1">
      <c r="B600" s="204"/>
      <c r="M600" s="300"/>
    </row>
    <row r="601" spans="2:13" ht="15.75" customHeight="1">
      <c r="B601" s="204"/>
      <c r="M601" s="300"/>
    </row>
    <row r="602" spans="2:13" ht="15.75" customHeight="1">
      <c r="B602" s="204"/>
      <c r="M602" s="300"/>
    </row>
    <row r="603" spans="2:13" ht="15.75" customHeight="1">
      <c r="B603" s="204"/>
      <c r="M603" s="300"/>
    </row>
    <row r="604" spans="2:13" ht="15.75" customHeight="1">
      <c r="B604" s="204"/>
      <c r="M604" s="300"/>
    </row>
    <row r="605" spans="2:13" ht="15.75" customHeight="1">
      <c r="B605" s="204"/>
      <c r="M605" s="300"/>
    </row>
    <row r="606" spans="2:13" ht="15.75" customHeight="1">
      <c r="B606" s="204"/>
      <c r="M606" s="300"/>
    </row>
    <row r="607" spans="2:13" ht="15.75" customHeight="1">
      <c r="B607" s="204"/>
      <c r="M607" s="300"/>
    </row>
    <row r="608" spans="2:13" ht="15.75" customHeight="1">
      <c r="B608" s="204"/>
      <c r="M608" s="300"/>
    </row>
    <row r="609" spans="2:13" ht="15.75" customHeight="1">
      <c r="B609" s="204"/>
      <c r="M609" s="300"/>
    </row>
    <row r="610" spans="2:13" ht="15.75" customHeight="1">
      <c r="B610" s="204"/>
      <c r="M610" s="300"/>
    </row>
    <row r="611" spans="2:13" ht="15.75" customHeight="1">
      <c r="B611" s="204"/>
      <c r="M611" s="300"/>
    </row>
    <row r="612" spans="2:13" ht="15.75" customHeight="1">
      <c r="B612" s="204"/>
      <c r="M612" s="300"/>
    </row>
    <row r="613" spans="2:13" ht="15.75" customHeight="1">
      <c r="B613" s="204"/>
      <c r="M613" s="300"/>
    </row>
    <row r="614" spans="2:13" ht="15.75" customHeight="1">
      <c r="B614" s="204"/>
      <c r="M614" s="300"/>
    </row>
    <row r="615" spans="2:13" ht="15.75" customHeight="1">
      <c r="B615" s="204"/>
      <c r="M615" s="300"/>
    </row>
    <row r="616" spans="2:13" ht="15.75" customHeight="1">
      <c r="B616" s="204"/>
      <c r="M616" s="300"/>
    </row>
    <row r="617" spans="2:13" ht="15.75" customHeight="1">
      <c r="B617" s="204"/>
      <c r="M617" s="300"/>
    </row>
    <row r="618" spans="2:13" ht="15.75" customHeight="1">
      <c r="B618" s="204"/>
      <c r="M618" s="300"/>
    </row>
    <row r="619" spans="2:13" ht="15.75" customHeight="1">
      <c r="B619" s="204"/>
      <c r="M619" s="300"/>
    </row>
    <row r="620" spans="2:13" ht="15.75" customHeight="1">
      <c r="B620" s="204"/>
      <c r="M620" s="300"/>
    </row>
    <row r="621" spans="2:13" ht="15.75" customHeight="1">
      <c r="B621" s="204"/>
      <c r="M621" s="300"/>
    </row>
    <row r="622" spans="2:13" ht="15.75" customHeight="1">
      <c r="B622" s="204"/>
      <c r="M622" s="300"/>
    </row>
    <row r="623" spans="2:13" ht="15.75" customHeight="1">
      <c r="B623" s="204"/>
      <c r="M623" s="300"/>
    </row>
    <row r="624" spans="2:13" ht="15.75" customHeight="1">
      <c r="B624" s="204"/>
      <c r="M624" s="300"/>
    </row>
    <row r="625" spans="2:13" ht="15.75" customHeight="1">
      <c r="B625" s="204"/>
      <c r="M625" s="300"/>
    </row>
    <row r="626" spans="2:13" ht="15.75" customHeight="1">
      <c r="B626" s="204"/>
      <c r="M626" s="300"/>
    </row>
    <row r="627" spans="2:13" ht="15.75" customHeight="1">
      <c r="B627" s="204"/>
      <c r="M627" s="300"/>
    </row>
    <row r="628" spans="2:13" ht="15.75" customHeight="1">
      <c r="B628" s="204"/>
      <c r="M628" s="300"/>
    </row>
    <row r="629" spans="2:13" ht="15.75" customHeight="1">
      <c r="B629" s="204"/>
      <c r="M629" s="300"/>
    </row>
    <row r="630" spans="2:13" ht="15.75" customHeight="1">
      <c r="B630" s="204"/>
      <c r="M630" s="300"/>
    </row>
    <row r="631" spans="2:13" ht="15.75" customHeight="1">
      <c r="B631" s="204"/>
      <c r="M631" s="300"/>
    </row>
    <row r="632" spans="2:13" ht="15.75" customHeight="1">
      <c r="B632" s="204"/>
      <c r="M632" s="300"/>
    </row>
    <row r="633" spans="2:13" ht="15.75" customHeight="1">
      <c r="B633" s="204"/>
      <c r="M633" s="300"/>
    </row>
    <row r="634" spans="2:13" ht="15.75" customHeight="1">
      <c r="B634" s="204"/>
      <c r="M634" s="300"/>
    </row>
    <row r="635" spans="2:13" ht="15.75" customHeight="1">
      <c r="B635" s="204"/>
      <c r="M635" s="300"/>
    </row>
    <row r="636" spans="2:13" ht="15.75" customHeight="1">
      <c r="B636" s="204"/>
      <c r="M636" s="300"/>
    </row>
    <row r="637" spans="2:13" ht="15.75" customHeight="1">
      <c r="B637" s="204"/>
      <c r="M637" s="300"/>
    </row>
    <row r="638" spans="2:13" ht="15.75" customHeight="1">
      <c r="B638" s="204"/>
      <c r="M638" s="300"/>
    </row>
    <row r="639" spans="2:13" ht="15.75" customHeight="1">
      <c r="B639" s="204"/>
      <c r="M639" s="300"/>
    </row>
    <row r="640" spans="2:13" ht="15.75" customHeight="1">
      <c r="B640" s="204"/>
      <c r="M640" s="300"/>
    </row>
    <row r="641" spans="2:13" ht="15.75" customHeight="1">
      <c r="B641" s="204"/>
      <c r="M641" s="300"/>
    </row>
    <row r="642" spans="2:13" ht="15.75" customHeight="1">
      <c r="B642" s="204"/>
      <c r="M642" s="300"/>
    </row>
    <row r="643" spans="2:13" ht="15.75" customHeight="1">
      <c r="B643" s="204"/>
      <c r="M643" s="300"/>
    </row>
    <row r="644" spans="2:13" ht="15.75" customHeight="1">
      <c r="B644" s="204"/>
      <c r="M644" s="300"/>
    </row>
    <row r="645" spans="2:13" ht="15.75" customHeight="1">
      <c r="B645" s="204"/>
      <c r="M645" s="300"/>
    </row>
    <row r="646" spans="2:13" ht="15.75" customHeight="1">
      <c r="B646" s="204"/>
      <c r="M646" s="300"/>
    </row>
    <row r="647" spans="2:13" ht="15.75" customHeight="1">
      <c r="B647" s="204"/>
      <c r="M647" s="300"/>
    </row>
    <row r="648" spans="2:13" ht="15.75" customHeight="1">
      <c r="B648" s="204"/>
      <c r="M648" s="300"/>
    </row>
    <row r="649" spans="2:13" ht="15.75" customHeight="1">
      <c r="B649" s="204"/>
      <c r="M649" s="300"/>
    </row>
    <row r="650" spans="2:13" ht="15.75" customHeight="1">
      <c r="B650" s="204"/>
      <c r="M650" s="300"/>
    </row>
    <row r="651" spans="2:13" ht="15.75" customHeight="1">
      <c r="B651" s="204"/>
      <c r="M651" s="300"/>
    </row>
    <row r="652" spans="2:13" ht="15.75" customHeight="1">
      <c r="B652" s="204"/>
      <c r="M652" s="300"/>
    </row>
    <row r="653" spans="2:13" ht="15.75" customHeight="1">
      <c r="B653" s="204"/>
      <c r="M653" s="300"/>
    </row>
    <row r="654" spans="2:13" ht="15.75" customHeight="1">
      <c r="B654" s="204"/>
      <c r="M654" s="300"/>
    </row>
    <row r="655" spans="2:13" ht="15.75" customHeight="1">
      <c r="B655" s="204"/>
      <c r="M655" s="300"/>
    </row>
    <row r="656" spans="2:13" ht="15.75" customHeight="1">
      <c r="B656" s="204"/>
      <c r="M656" s="300"/>
    </row>
    <row r="657" spans="2:13" ht="15.75" customHeight="1">
      <c r="B657" s="204"/>
      <c r="M657" s="300"/>
    </row>
    <row r="658" spans="2:13" ht="15.75" customHeight="1">
      <c r="B658" s="204"/>
      <c r="M658" s="300"/>
    </row>
    <row r="659" spans="2:13" ht="15.75" customHeight="1">
      <c r="B659" s="204"/>
      <c r="M659" s="300"/>
    </row>
    <row r="660" spans="2:13" ht="15.75" customHeight="1">
      <c r="B660" s="204"/>
      <c r="M660" s="300"/>
    </row>
    <row r="661" spans="2:13" ht="15.75" customHeight="1">
      <c r="B661" s="204"/>
      <c r="M661" s="300"/>
    </row>
    <row r="662" spans="2:13" ht="15.75" customHeight="1">
      <c r="B662" s="204"/>
      <c r="M662" s="300"/>
    </row>
    <row r="663" spans="2:13" ht="15.75" customHeight="1">
      <c r="B663" s="204"/>
      <c r="M663" s="300"/>
    </row>
    <row r="664" spans="2:13" ht="15.75" customHeight="1">
      <c r="B664" s="204"/>
      <c r="M664" s="300"/>
    </row>
    <row r="665" spans="2:13" ht="15.75" customHeight="1">
      <c r="B665" s="204"/>
      <c r="M665" s="300"/>
    </row>
    <row r="666" spans="2:13" ht="15.75" customHeight="1">
      <c r="B666" s="204"/>
      <c r="M666" s="300"/>
    </row>
    <row r="667" spans="2:13" ht="15.75" customHeight="1">
      <c r="B667" s="204"/>
      <c r="M667" s="300"/>
    </row>
    <row r="668" spans="2:13" ht="15.75" customHeight="1">
      <c r="B668" s="204"/>
      <c r="M668" s="300"/>
    </row>
    <row r="669" spans="2:13" ht="15.75" customHeight="1">
      <c r="B669" s="204"/>
      <c r="M669" s="300"/>
    </row>
    <row r="670" spans="2:13" ht="15.75" customHeight="1">
      <c r="B670" s="204"/>
      <c r="M670" s="300"/>
    </row>
    <row r="671" spans="2:13" ht="15.75" customHeight="1">
      <c r="B671" s="204"/>
      <c r="M671" s="300"/>
    </row>
    <row r="672" spans="2:13" ht="15.75" customHeight="1">
      <c r="B672" s="204"/>
      <c r="M672" s="300"/>
    </row>
    <row r="673" spans="2:13" ht="15.75" customHeight="1">
      <c r="B673" s="204"/>
      <c r="M673" s="300"/>
    </row>
    <row r="674" spans="2:13" ht="15.75" customHeight="1">
      <c r="B674" s="204"/>
      <c r="M674" s="300"/>
    </row>
    <row r="675" spans="2:13" ht="15.75" customHeight="1">
      <c r="B675" s="204"/>
      <c r="M675" s="300"/>
    </row>
    <row r="676" spans="2:13" ht="15.75" customHeight="1">
      <c r="B676" s="204"/>
      <c r="M676" s="300"/>
    </row>
    <row r="677" spans="2:13" ht="15.75" customHeight="1">
      <c r="B677" s="204"/>
      <c r="M677" s="300"/>
    </row>
    <row r="678" spans="2:13" ht="15.75" customHeight="1">
      <c r="B678" s="204"/>
      <c r="M678" s="300"/>
    </row>
    <row r="679" spans="2:13" ht="15.75" customHeight="1">
      <c r="B679" s="204"/>
      <c r="M679" s="300"/>
    </row>
    <row r="680" spans="2:13" ht="15.75" customHeight="1">
      <c r="B680" s="204"/>
      <c r="M680" s="300"/>
    </row>
    <row r="681" spans="2:13" ht="15.75" customHeight="1">
      <c r="B681" s="204"/>
      <c r="M681" s="300"/>
    </row>
    <row r="682" spans="2:13" ht="15.75" customHeight="1">
      <c r="B682" s="204"/>
      <c r="M682" s="300"/>
    </row>
    <row r="683" spans="2:13" ht="15.75" customHeight="1">
      <c r="B683" s="204"/>
      <c r="M683" s="300"/>
    </row>
    <row r="684" spans="2:13" ht="15.75" customHeight="1">
      <c r="B684" s="204"/>
      <c r="M684" s="300"/>
    </row>
    <row r="685" spans="2:13" ht="15.75" customHeight="1">
      <c r="B685" s="204"/>
      <c r="M685" s="300"/>
    </row>
    <row r="686" spans="2:13" ht="15.75" customHeight="1">
      <c r="B686" s="204"/>
      <c r="M686" s="300"/>
    </row>
    <row r="687" spans="2:13" ht="15.75" customHeight="1">
      <c r="B687" s="204"/>
      <c r="M687" s="300"/>
    </row>
    <row r="688" spans="2:13" ht="15.75" customHeight="1">
      <c r="B688" s="204"/>
      <c r="M688" s="300"/>
    </row>
    <row r="689" spans="2:13" ht="15.75" customHeight="1">
      <c r="B689" s="204"/>
      <c r="M689" s="300"/>
    </row>
    <row r="690" spans="2:13" ht="15.75" customHeight="1">
      <c r="B690" s="204"/>
      <c r="M690" s="300"/>
    </row>
    <row r="691" spans="2:13" ht="15.75" customHeight="1">
      <c r="B691" s="204"/>
      <c r="M691" s="300"/>
    </row>
    <row r="692" spans="2:13" ht="15.75" customHeight="1">
      <c r="B692" s="204"/>
      <c r="M692" s="300"/>
    </row>
    <row r="693" spans="2:13" ht="15.75" customHeight="1">
      <c r="B693" s="204"/>
      <c r="M693" s="300"/>
    </row>
    <row r="694" spans="2:13" ht="15.75" customHeight="1">
      <c r="B694" s="204"/>
      <c r="M694" s="300"/>
    </row>
    <row r="695" spans="2:13" ht="15.75" customHeight="1">
      <c r="B695" s="204"/>
      <c r="M695" s="300"/>
    </row>
    <row r="696" spans="2:13" ht="15.75" customHeight="1">
      <c r="B696" s="204"/>
      <c r="M696" s="300"/>
    </row>
    <row r="697" spans="2:13" ht="15.75" customHeight="1">
      <c r="B697" s="204"/>
      <c r="M697" s="300"/>
    </row>
    <row r="698" spans="2:13" ht="15.75" customHeight="1">
      <c r="B698" s="204"/>
      <c r="M698" s="300"/>
    </row>
    <row r="699" spans="2:13" ht="15.75" customHeight="1">
      <c r="B699" s="204"/>
      <c r="M699" s="300"/>
    </row>
    <row r="700" spans="2:13" ht="15.75" customHeight="1">
      <c r="B700" s="204"/>
      <c r="M700" s="300"/>
    </row>
    <row r="701" spans="2:13" ht="15.75" customHeight="1">
      <c r="B701" s="204"/>
      <c r="M701" s="300"/>
    </row>
    <row r="702" spans="2:13" ht="15.75" customHeight="1">
      <c r="B702" s="204"/>
      <c r="M702" s="300"/>
    </row>
    <row r="703" spans="2:13" ht="15.75" customHeight="1">
      <c r="B703" s="204"/>
      <c r="M703" s="300"/>
    </row>
    <row r="704" spans="2:13" ht="15.75" customHeight="1">
      <c r="B704" s="204"/>
      <c r="M704" s="300"/>
    </row>
    <row r="705" spans="2:13" ht="15.75" customHeight="1">
      <c r="B705" s="204"/>
      <c r="M705" s="300"/>
    </row>
    <row r="706" spans="2:13" ht="15.75" customHeight="1">
      <c r="B706" s="204"/>
      <c r="M706" s="300"/>
    </row>
    <row r="707" spans="2:13" ht="15.75" customHeight="1">
      <c r="B707" s="204"/>
      <c r="M707" s="300"/>
    </row>
    <row r="708" spans="2:13" ht="15.75" customHeight="1">
      <c r="B708" s="204"/>
      <c r="M708" s="300"/>
    </row>
    <row r="709" spans="2:13" ht="15.75" customHeight="1">
      <c r="B709" s="204"/>
      <c r="M709" s="300"/>
    </row>
    <row r="710" spans="2:13" ht="15.75" customHeight="1">
      <c r="B710" s="204"/>
      <c r="M710" s="300"/>
    </row>
    <row r="711" spans="2:13" ht="15.75" customHeight="1">
      <c r="B711" s="204"/>
      <c r="M711" s="300"/>
    </row>
    <row r="712" spans="2:13" ht="15.75" customHeight="1">
      <c r="B712" s="204"/>
      <c r="M712" s="300"/>
    </row>
    <row r="713" spans="2:13" ht="15.75" customHeight="1">
      <c r="B713" s="204"/>
      <c r="M713" s="300"/>
    </row>
    <row r="714" spans="2:13" ht="15.75" customHeight="1">
      <c r="B714" s="204"/>
      <c r="M714" s="300"/>
    </row>
    <row r="715" spans="2:13" ht="15.75" customHeight="1">
      <c r="B715" s="204"/>
      <c r="M715" s="300"/>
    </row>
    <row r="716" spans="2:13" ht="15.75" customHeight="1">
      <c r="B716" s="204"/>
      <c r="M716" s="300"/>
    </row>
    <row r="717" spans="2:13" ht="15.75" customHeight="1">
      <c r="B717" s="204"/>
      <c r="M717" s="300"/>
    </row>
    <row r="718" spans="2:13" ht="15.75" customHeight="1">
      <c r="B718" s="204"/>
      <c r="M718" s="300"/>
    </row>
    <row r="719" spans="2:13" ht="15.75" customHeight="1">
      <c r="B719" s="204"/>
      <c r="M719" s="300"/>
    </row>
    <row r="720" spans="2:13" ht="15.75" customHeight="1">
      <c r="B720" s="204"/>
      <c r="M720" s="300"/>
    </row>
    <row r="721" spans="2:13" ht="15.75" customHeight="1">
      <c r="B721" s="204"/>
      <c r="M721" s="300"/>
    </row>
    <row r="722" spans="2:13" ht="15.75" customHeight="1">
      <c r="B722" s="204"/>
      <c r="M722" s="300"/>
    </row>
    <row r="723" spans="2:13" ht="15.75" customHeight="1">
      <c r="B723" s="204"/>
      <c r="M723" s="300"/>
    </row>
    <row r="724" spans="2:13" ht="15.75" customHeight="1">
      <c r="B724" s="204"/>
      <c r="M724" s="300"/>
    </row>
    <row r="725" spans="2:13" ht="15.75" customHeight="1">
      <c r="B725" s="204"/>
      <c r="M725" s="300"/>
    </row>
    <row r="726" spans="2:13" ht="15.75" customHeight="1">
      <c r="B726" s="204"/>
      <c r="M726" s="300"/>
    </row>
    <row r="727" spans="2:13" ht="15.75" customHeight="1">
      <c r="B727" s="204"/>
      <c r="M727" s="300"/>
    </row>
    <row r="728" spans="2:13" ht="15.75" customHeight="1">
      <c r="B728" s="204"/>
      <c r="M728" s="300"/>
    </row>
    <row r="729" spans="2:13" ht="15.75" customHeight="1">
      <c r="B729" s="204"/>
      <c r="M729" s="300"/>
    </row>
    <row r="730" spans="2:13" ht="15.75" customHeight="1">
      <c r="B730" s="204"/>
      <c r="M730" s="300"/>
    </row>
    <row r="731" spans="2:13" ht="15.75" customHeight="1">
      <c r="B731" s="204"/>
      <c r="M731" s="300"/>
    </row>
    <row r="732" spans="2:13" ht="15.75" customHeight="1">
      <c r="B732" s="204"/>
      <c r="M732" s="300"/>
    </row>
    <row r="733" spans="2:13" ht="15.75" customHeight="1">
      <c r="B733" s="204"/>
      <c r="M733" s="300"/>
    </row>
    <row r="734" spans="2:13" ht="15.75" customHeight="1">
      <c r="B734" s="204"/>
      <c r="M734" s="300"/>
    </row>
    <row r="735" spans="2:13" ht="15.75" customHeight="1">
      <c r="B735" s="204"/>
      <c r="M735" s="300"/>
    </row>
    <row r="736" spans="2:13" ht="15.75" customHeight="1">
      <c r="B736" s="204"/>
      <c r="M736" s="300"/>
    </row>
    <row r="737" spans="2:13" ht="15.75" customHeight="1">
      <c r="B737" s="204"/>
      <c r="M737" s="300"/>
    </row>
    <row r="738" spans="2:13" ht="15.75" customHeight="1">
      <c r="B738" s="204"/>
      <c r="M738" s="300"/>
    </row>
    <row r="739" spans="2:13" ht="15.75" customHeight="1">
      <c r="B739" s="204"/>
      <c r="M739" s="300"/>
    </row>
    <row r="740" spans="2:13" ht="15.75" customHeight="1">
      <c r="B740" s="204"/>
      <c r="M740" s="300"/>
    </row>
    <row r="741" spans="2:13" ht="15.75" customHeight="1">
      <c r="B741" s="204"/>
      <c r="M741" s="300"/>
    </row>
    <row r="742" spans="2:13" ht="15.75" customHeight="1">
      <c r="B742" s="204"/>
      <c r="M742" s="300"/>
    </row>
    <row r="743" spans="2:13" ht="15.75" customHeight="1">
      <c r="B743" s="204"/>
      <c r="M743" s="300"/>
    </row>
    <row r="744" spans="2:13" ht="15.75" customHeight="1">
      <c r="B744" s="204"/>
      <c r="M744" s="300"/>
    </row>
    <row r="745" spans="2:13" ht="15.75" customHeight="1">
      <c r="B745" s="204"/>
      <c r="M745" s="300"/>
    </row>
    <row r="746" spans="2:13" ht="15.75" customHeight="1">
      <c r="B746" s="204"/>
      <c r="M746" s="300"/>
    </row>
    <row r="747" spans="2:13" ht="15.75" customHeight="1">
      <c r="B747" s="204"/>
      <c r="M747" s="300"/>
    </row>
    <row r="748" spans="2:13" ht="15.75" customHeight="1">
      <c r="B748" s="204"/>
      <c r="M748" s="300"/>
    </row>
    <row r="749" spans="2:13" ht="15.75" customHeight="1">
      <c r="B749" s="204"/>
      <c r="M749" s="300"/>
    </row>
    <row r="750" spans="2:13" ht="15.75" customHeight="1">
      <c r="B750" s="204"/>
      <c r="M750" s="300"/>
    </row>
    <row r="751" spans="2:13" ht="15.75" customHeight="1">
      <c r="B751" s="204"/>
      <c r="M751" s="300"/>
    </row>
    <row r="752" spans="2:13" ht="15.75" customHeight="1">
      <c r="B752" s="204"/>
      <c r="M752" s="300"/>
    </row>
    <row r="753" spans="2:13" ht="15.75" customHeight="1">
      <c r="B753" s="204"/>
      <c r="M753" s="300"/>
    </row>
    <row r="754" spans="2:13" ht="15.75" customHeight="1">
      <c r="B754" s="204"/>
      <c r="M754" s="300"/>
    </row>
    <row r="755" spans="2:13" ht="15.75" customHeight="1">
      <c r="B755" s="204"/>
      <c r="M755" s="300"/>
    </row>
    <row r="756" spans="2:13" ht="15.75" customHeight="1">
      <c r="B756" s="204"/>
      <c r="M756" s="300"/>
    </row>
    <row r="757" spans="2:13" ht="15.75" customHeight="1">
      <c r="B757" s="204"/>
      <c r="M757" s="300"/>
    </row>
    <row r="758" spans="2:13" ht="15.75" customHeight="1">
      <c r="B758" s="204"/>
      <c r="M758" s="300"/>
    </row>
    <row r="759" spans="2:13" ht="15.75" customHeight="1">
      <c r="B759" s="204"/>
      <c r="M759" s="300"/>
    </row>
    <row r="760" spans="2:13" ht="15.75" customHeight="1">
      <c r="B760" s="204"/>
      <c r="M760" s="300"/>
    </row>
    <row r="761" spans="2:13" ht="15.75" customHeight="1">
      <c r="B761" s="204"/>
      <c r="M761" s="300"/>
    </row>
    <row r="762" spans="2:13" ht="15.75" customHeight="1">
      <c r="B762" s="204"/>
      <c r="M762" s="300"/>
    </row>
    <row r="763" spans="2:13" ht="15.75" customHeight="1">
      <c r="B763" s="204"/>
      <c r="M763" s="300"/>
    </row>
    <row r="764" spans="2:13" ht="15.75" customHeight="1">
      <c r="B764" s="204"/>
      <c r="M764" s="300"/>
    </row>
    <row r="765" spans="2:13" ht="15.75" customHeight="1">
      <c r="B765" s="204"/>
      <c r="M765" s="300"/>
    </row>
    <row r="766" spans="2:13" ht="15.75" customHeight="1">
      <c r="B766" s="204"/>
      <c r="M766" s="300"/>
    </row>
    <row r="767" spans="2:13" ht="15.75" customHeight="1">
      <c r="B767" s="204"/>
      <c r="M767" s="300"/>
    </row>
    <row r="768" spans="2:13" ht="15.75" customHeight="1">
      <c r="B768" s="204"/>
      <c r="M768" s="300"/>
    </row>
    <row r="769" spans="2:13" ht="15.75" customHeight="1">
      <c r="B769" s="204"/>
      <c r="M769" s="300"/>
    </row>
    <row r="770" spans="2:13" ht="15.75" customHeight="1">
      <c r="B770" s="204"/>
      <c r="M770" s="300"/>
    </row>
    <row r="771" spans="2:13" ht="15.75" customHeight="1">
      <c r="B771" s="204"/>
      <c r="M771" s="300"/>
    </row>
    <row r="772" spans="2:13" ht="15.75" customHeight="1">
      <c r="B772" s="204"/>
      <c r="M772" s="300"/>
    </row>
    <row r="773" spans="2:13" ht="15.75" customHeight="1">
      <c r="B773" s="204"/>
      <c r="M773" s="300"/>
    </row>
    <row r="774" spans="2:13" ht="15.75" customHeight="1">
      <c r="B774" s="204"/>
      <c r="M774" s="300"/>
    </row>
    <row r="775" spans="2:13" ht="15.75" customHeight="1">
      <c r="B775" s="204"/>
      <c r="M775" s="300"/>
    </row>
    <row r="776" spans="2:13" ht="15.75" customHeight="1">
      <c r="B776" s="204"/>
      <c r="M776" s="300"/>
    </row>
    <row r="777" spans="2:13" ht="15.75" customHeight="1">
      <c r="B777" s="204"/>
      <c r="M777" s="300"/>
    </row>
    <row r="778" spans="2:13" ht="15.75" customHeight="1">
      <c r="B778" s="204"/>
      <c r="M778" s="300"/>
    </row>
    <row r="779" spans="2:13" ht="15.75" customHeight="1">
      <c r="B779" s="204"/>
      <c r="M779" s="300"/>
    </row>
    <row r="780" spans="2:13" ht="15.75" customHeight="1">
      <c r="B780" s="204"/>
      <c r="M780" s="300"/>
    </row>
    <row r="781" spans="2:13" ht="15.75" customHeight="1">
      <c r="B781" s="204"/>
      <c r="M781" s="300"/>
    </row>
    <row r="782" spans="2:13" ht="15.75" customHeight="1">
      <c r="B782" s="204"/>
      <c r="M782" s="300"/>
    </row>
    <row r="783" spans="2:13" ht="15.75" customHeight="1">
      <c r="B783" s="204"/>
      <c r="M783" s="300"/>
    </row>
    <row r="784" spans="2:13" ht="15.75" customHeight="1">
      <c r="B784" s="204"/>
      <c r="M784" s="300"/>
    </row>
    <row r="785" spans="2:13" ht="15.75" customHeight="1">
      <c r="B785" s="204"/>
      <c r="M785" s="300"/>
    </row>
    <row r="786" spans="2:13" ht="15.75" customHeight="1">
      <c r="B786" s="204"/>
      <c r="M786" s="300"/>
    </row>
    <row r="787" spans="2:13" ht="15.75" customHeight="1">
      <c r="B787" s="204"/>
      <c r="M787" s="300"/>
    </row>
    <row r="788" spans="2:13" ht="15.75" customHeight="1">
      <c r="B788" s="204"/>
      <c r="M788" s="300"/>
    </row>
    <row r="789" spans="2:13" ht="15.75" customHeight="1">
      <c r="B789" s="204"/>
      <c r="M789" s="300"/>
    </row>
    <row r="790" spans="2:13" ht="15.75" customHeight="1">
      <c r="B790" s="204"/>
      <c r="M790" s="300"/>
    </row>
    <row r="791" spans="2:13" ht="15.75" customHeight="1">
      <c r="B791" s="204"/>
      <c r="M791" s="300"/>
    </row>
    <row r="792" spans="2:13" ht="15.75" customHeight="1">
      <c r="B792" s="204"/>
      <c r="M792" s="300"/>
    </row>
    <row r="793" spans="2:13" ht="15.75" customHeight="1">
      <c r="B793" s="204"/>
      <c r="M793" s="300"/>
    </row>
    <row r="794" spans="2:13" ht="15.75" customHeight="1">
      <c r="B794" s="204"/>
      <c r="M794" s="300"/>
    </row>
    <row r="795" spans="2:13" ht="15.75" customHeight="1">
      <c r="B795" s="204"/>
      <c r="M795" s="300"/>
    </row>
    <row r="796" spans="2:13" ht="15.75" customHeight="1">
      <c r="B796" s="204"/>
      <c r="M796" s="300"/>
    </row>
    <row r="797" spans="2:13" ht="15.75" customHeight="1">
      <c r="B797" s="204"/>
      <c r="M797" s="300"/>
    </row>
    <row r="798" spans="2:13" ht="15.75" customHeight="1">
      <c r="B798" s="204"/>
      <c r="M798" s="300"/>
    </row>
    <row r="799" spans="2:13" ht="15.75" customHeight="1">
      <c r="B799" s="204"/>
      <c r="M799" s="300"/>
    </row>
    <row r="800" spans="2:13" ht="15.75" customHeight="1">
      <c r="B800" s="204"/>
      <c r="M800" s="300"/>
    </row>
    <row r="801" spans="2:13" ht="15.75" customHeight="1">
      <c r="B801" s="204"/>
      <c r="M801" s="300"/>
    </row>
    <row r="802" spans="2:13" ht="15.75" customHeight="1">
      <c r="B802" s="204"/>
      <c r="M802" s="300"/>
    </row>
    <row r="803" spans="2:13" ht="15.75" customHeight="1">
      <c r="B803" s="204"/>
      <c r="M803" s="300"/>
    </row>
    <row r="804" spans="2:13" ht="15.75" customHeight="1">
      <c r="B804" s="204"/>
      <c r="M804" s="300"/>
    </row>
    <row r="805" spans="2:13" ht="15.75" customHeight="1">
      <c r="B805" s="204"/>
      <c r="M805" s="300"/>
    </row>
    <row r="806" spans="2:13" ht="15.75" customHeight="1">
      <c r="B806" s="204"/>
      <c r="M806" s="300"/>
    </row>
    <row r="807" spans="2:13" ht="15.75" customHeight="1">
      <c r="B807" s="204"/>
      <c r="M807" s="300"/>
    </row>
    <row r="808" spans="2:13" ht="15.75" customHeight="1">
      <c r="B808" s="204"/>
      <c r="M808" s="300"/>
    </row>
    <row r="809" spans="2:13" ht="15.75" customHeight="1">
      <c r="B809" s="204"/>
      <c r="M809" s="300"/>
    </row>
    <row r="810" spans="2:13" ht="15.75" customHeight="1">
      <c r="B810" s="204"/>
      <c r="M810" s="300"/>
    </row>
    <row r="811" spans="2:13" ht="15.75" customHeight="1">
      <c r="B811" s="204"/>
      <c r="M811" s="300"/>
    </row>
    <row r="812" spans="2:13" ht="15.75" customHeight="1">
      <c r="B812" s="204"/>
      <c r="M812" s="300"/>
    </row>
    <row r="813" spans="2:13" ht="15.75" customHeight="1">
      <c r="B813" s="204"/>
      <c r="M813" s="300"/>
    </row>
    <row r="814" spans="2:13" ht="15.75" customHeight="1">
      <c r="B814" s="204"/>
      <c r="M814" s="300"/>
    </row>
    <row r="815" spans="2:13" ht="15.75" customHeight="1">
      <c r="B815" s="204"/>
      <c r="M815" s="300"/>
    </row>
    <row r="816" spans="2:13" ht="15.75" customHeight="1">
      <c r="B816" s="204"/>
      <c r="M816" s="300"/>
    </row>
    <row r="817" spans="2:13" ht="15.75" customHeight="1">
      <c r="B817" s="204"/>
      <c r="M817" s="300"/>
    </row>
    <row r="818" spans="2:13" ht="15.75" customHeight="1">
      <c r="B818" s="204"/>
      <c r="M818" s="300"/>
    </row>
    <row r="819" spans="2:13" ht="15.75" customHeight="1">
      <c r="B819" s="204"/>
      <c r="M819" s="300"/>
    </row>
    <row r="820" spans="2:13" ht="15.75" customHeight="1">
      <c r="B820" s="204"/>
      <c r="M820" s="300"/>
    </row>
    <row r="821" spans="2:13" ht="15.75" customHeight="1">
      <c r="B821" s="204"/>
      <c r="M821" s="300"/>
    </row>
    <row r="822" spans="2:13" ht="15.75" customHeight="1">
      <c r="B822" s="204"/>
      <c r="M822" s="300"/>
    </row>
    <row r="823" spans="2:13" ht="15.75" customHeight="1">
      <c r="B823" s="204"/>
      <c r="M823" s="300"/>
    </row>
    <row r="824" spans="2:13" ht="15.75" customHeight="1">
      <c r="B824" s="204"/>
      <c r="M824" s="300"/>
    </row>
    <row r="825" spans="2:13" ht="15.75" customHeight="1">
      <c r="B825" s="204"/>
      <c r="M825" s="300"/>
    </row>
    <row r="826" spans="2:13" ht="15.75" customHeight="1">
      <c r="B826" s="204"/>
      <c r="M826" s="300"/>
    </row>
    <row r="827" spans="2:13" ht="15.75" customHeight="1">
      <c r="B827" s="204"/>
      <c r="M827" s="300"/>
    </row>
    <row r="828" spans="2:13" ht="15.75" customHeight="1">
      <c r="B828" s="204"/>
      <c r="M828" s="300"/>
    </row>
    <row r="829" spans="2:13" ht="15.75" customHeight="1">
      <c r="B829" s="204"/>
      <c r="M829" s="300"/>
    </row>
    <row r="830" spans="2:13" ht="15.75" customHeight="1">
      <c r="B830" s="204"/>
      <c r="M830" s="300"/>
    </row>
    <row r="831" spans="2:13" ht="15.75" customHeight="1">
      <c r="B831" s="204"/>
      <c r="M831" s="300"/>
    </row>
    <row r="832" spans="2:13" ht="15.75" customHeight="1">
      <c r="B832" s="204"/>
      <c r="M832" s="300"/>
    </row>
    <row r="833" spans="2:13" ht="15.75" customHeight="1">
      <c r="B833" s="204"/>
      <c r="M833" s="300"/>
    </row>
    <row r="834" spans="2:13" ht="15.75" customHeight="1">
      <c r="B834" s="204"/>
      <c r="M834" s="300"/>
    </row>
    <row r="835" spans="2:13" ht="15.75" customHeight="1">
      <c r="B835" s="204"/>
      <c r="M835" s="300"/>
    </row>
    <row r="836" spans="2:13" ht="15.75" customHeight="1">
      <c r="B836" s="204"/>
      <c r="M836" s="300"/>
    </row>
    <row r="837" spans="2:13" ht="15.75" customHeight="1">
      <c r="B837" s="204"/>
      <c r="M837" s="300"/>
    </row>
    <row r="838" spans="2:13" ht="15.75" customHeight="1">
      <c r="B838" s="204"/>
      <c r="M838" s="300"/>
    </row>
    <row r="839" spans="2:13" ht="15.75" customHeight="1">
      <c r="B839" s="204"/>
      <c r="M839" s="300"/>
    </row>
    <row r="840" spans="2:13" ht="15.75" customHeight="1">
      <c r="B840" s="204"/>
      <c r="M840" s="300"/>
    </row>
    <row r="841" spans="2:13" ht="15.75" customHeight="1">
      <c r="B841" s="204"/>
      <c r="M841" s="300"/>
    </row>
    <row r="842" spans="2:13" ht="15.75" customHeight="1">
      <c r="B842" s="204"/>
      <c r="M842" s="300"/>
    </row>
    <row r="843" spans="2:13" ht="15.75" customHeight="1">
      <c r="B843" s="204"/>
      <c r="M843" s="300"/>
    </row>
    <row r="844" spans="2:13" ht="15.75" customHeight="1">
      <c r="B844" s="204"/>
      <c r="M844" s="300"/>
    </row>
    <row r="845" spans="2:13" ht="15.75" customHeight="1">
      <c r="B845" s="204"/>
      <c r="M845" s="300"/>
    </row>
    <row r="846" spans="2:13" ht="15.75" customHeight="1">
      <c r="B846" s="204"/>
      <c r="M846" s="300"/>
    </row>
    <row r="847" spans="2:13" ht="15.75" customHeight="1">
      <c r="B847" s="204"/>
      <c r="M847" s="300"/>
    </row>
    <row r="848" spans="2:13" ht="15.75" customHeight="1">
      <c r="B848" s="204"/>
      <c r="M848" s="300"/>
    </row>
    <row r="849" spans="2:13" ht="15.75" customHeight="1">
      <c r="B849" s="204"/>
      <c r="M849" s="300"/>
    </row>
    <row r="850" spans="2:13" ht="15.75" customHeight="1">
      <c r="B850" s="204"/>
      <c r="M850" s="300"/>
    </row>
    <row r="851" spans="2:13" ht="15.75" customHeight="1">
      <c r="B851" s="204"/>
      <c r="M851" s="300"/>
    </row>
    <row r="852" spans="2:13" ht="15.75" customHeight="1">
      <c r="B852" s="204"/>
      <c r="M852" s="300"/>
    </row>
    <row r="853" spans="2:13" ht="15.75" customHeight="1">
      <c r="B853" s="204"/>
      <c r="M853" s="300"/>
    </row>
    <row r="854" spans="2:13" ht="15.75" customHeight="1">
      <c r="B854" s="204"/>
      <c r="M854" s="300"/>
    </row>
    <row r="855" spans="2:13" ht="15.75" customHeight="1">
      <c r="B855" s="204"/>
      <c r="M855" s="300"/>
    </row>
    <row r="856" spans="2:13" ht="15.75" customHeight="1">
      <c r="B856" s="204"/>
      <c r="M856" s="300"/>
    </row>
    <row r="857" spans="2:13" ht="15.75" customHeight="1">
      <c r="B857" s="204"/>
      <c r="M857" s="300"/>
    </row>
    <row r="858" spans="2:13" ht="15.75" customHeight="1">
      <c r="B858" s="204"/>
      <c r="M858" s="300"/>
    </row>
    <row r="859" spans="2:13" ht="15.75" customHeight="1">
      <c r="B859" s="204"/>
      <c r="M859" s="300"/>
    </row>
    <row r="860" spans="2:13" ht="15.75" customHeight="1">
      <c r="B860" s="204"/>
      <c r="M860" s="300"/>
    </row>
    <row r="861" spans="2:13" ht="15.75" customHeight="1">
      <c r="B861" s="204"/>
      <c r="M861" s="300"/>
    </row>
    <row r="862" spans="2:13" ht="15.75" customHeight="1">
      <c r="B862" s="204"/>
      <c r="M862" s="300"/>
    </row>
    <row r="863" spans="2:13" ht="15.75" customHeight="1">
      <c r="B863" s="204"/>
      <c r="M863" s="300"/>
    </row>
    <row r="864" spans="2:13" ht="15.75" customHeight="1">
      <c r="B864" s="204"/>
      <c r="M864" s="300"/>
    </row>
    <row r="865" spans="2:13" ht="15.75" customHeight="1">
      <c r="B865" s="204"/>
      <c r="M865" s="300"/>
    </row>
    <row r="866" spans="2:13" ht="15.75" customHeight="1">
      <c r="B866" s="204"/>
      <c r="M866" s="300"/>
    </row>
    <row r="867" spans="2:13" ht="15.75" customHeight="1">
      <c r="B867" s="204"/>
      <c r="M867" s="300"/>
    </row>
    <row r="868" spans="2:13" ht="15.75" customHeight="1">
      <c r="B868" s="204"/>
      <c r="M868" s="300"/>
    </row>
    <row r="869" spans="2:13" ht="15.75" customHeight="1">
      <c r="B869" s="204"/>
      <c r="M869" s="300"/>
    </row>
    <row r="870" spans="2:13" ht="15.75" customHeight="1">
      <c r="B870" s="204"/>
      <c r="M870" s="300"/>
    </row>
    <row r="871" spans="2:13" ht="15.75" customHeight="1">
      <c r="B871" s="204"/>
      <c r="M871" s="300"/>
    </row>
    <row r="872" spans="2:13" ht="15.75" customHeight="1">
      <c r="B872" s="204"/>
      <c r="M872" s="300"/>
    </row>
    <row r="873" spans="2:13" ht="15.75" customHeight="1">
      <c r="B873" s="204"/>
      <c r="M873" s="300"/>
    </row>
    <row r="874" spans="2:13" ht="15.75" customHeight="1">
      <c r="B874" s="204"/>
      <c r="M874" s="300"/>
    </row>
    <row r="875" spans="2:13" ht="15.75" customHeight="1">
      <c r="B875" s="204"/>
      <c r="M875" s="300"/>
    </row>
    <row r="876" spans="2:13" ht="15.75" customHeight="1">
      <c r="B876" s="204"/>
      <c r="M876" s="300"/>
    </row>
    <row r="877" spans="2:13" ht="15.75" customHeight="1">
      <c r="B877" s="204"/>
      <c r="M877" s="300"/>
    </row>
    <row r="878" spans="2:13" ht="15.75" customHeight="1">
      <c r="B878" s="204"/>
      <c r="M878" s="300"/>
    </row>
    <row r="879" spans="2:13" ht="15.75" customHeight="1">
      <c r="B879" s="204"/>
      <c r="M879" s="300"/>
    </row>
    <row r="880" spans="2:13" ht="15.75" customHeight="1">
      <c r="B880" s="204"/>
      <c r="M880" s="300"/>
    </row>
    <row r="881" spans="2:13" ht="15.75" customHeight="1">
      <c r="B881" s="204"/>
      <c r="M881" s="300"/>
    </row>
    <row r="882" spans="2:13" ht="15.75" customHeight="1">
      <c r="B882" s="204"/>
      <c r="M882" s="300"/>
    </row>
    <row r="883" spans="2:13" ht="15.75" customHeight="1">
      <c r="B883" s="204"/>
      <c r="M883" s="300"/>
    </row>
    <row r="884" spans="2:13" ht="15.75" customHeight="1">
      <c r="B884" s="204"/>
      <c r="M884" s="300"/>
    </row>
    <row r="885" spans="2:13" ht="15.75" customHeight="1">
      <c r="B885" s="204"/>
      <c r="M885" s="300"/>
    </row>
    <row r="886" spans="2:13" ht="15.75" customHeight="1">
      <c r="B886" s="204"/>
      <c r="M886" s="300"/>
    </row>
    <row r="887" spans="2:13" ht="15.75" customHeight="1">
      <c r="B887" s="204"/>
      <c r="M887" s="300"/>
    </row>
    <row r="888" spans="2:13" ht="15.75" customHeight="1">
      <c r="B888" s="204"/>
      <c r="M888" s="300"/>
    </row>
    <row r="889" spans="2:13" ht="15.75" customHeight="1">
      <c r="B889" s="204"/>
      <c r="M889" s="300"/>
    </row>
    <row r="890" spans="2:13" ht="15.75" customHeight="1">
      <c r="B890" s="204"/>
      <c r="M890" s="300"/>
    </row>
    <row r="891" spans="2:13" ht="15.75" customHeight="1">
      <c r="B891" s="204"/>
      <c r="M891" s="300"/>
    </row>
    <row r="892" spans="2:13" ht="15.75" customHeight="1">
      <c r="B892" s="204"/>
      <c r="M892" s="300"/>
    </row>
    <row r="893" spans="2:13" ht="15.75" customHeight="1">
      <c r="B893" s="204"/>
      <c r="M893" s="300"/>
    </row>
    <row r="894" spans="2:13" ht="15.75" customHeight="1">
      <c r="B894" s="204"/>
      <c r="M894" s="300"/>
    </row>
    <row r="895" spans="2:13" ht="15.75" customHeight="1">
      <c r="B895" s="204"/>
      <c r="M895" s="300"/>
    </row>
    <row r="896" spans="2:13" ht="15.75" customHeight="1">
      <c r="B896" s="204"/>
      <c r="M896" s="300"/>
    </row>
    <row r="897" spans="2:13" ht="15.75" customHeight="1">
      <c r="B897" s="204"/>
      <c r="M897" s="300"/>
    </row>
    <row r="898" spans="2:13" ht="15.75" customHeight="1">
      <c r="B898" s="204"/>
      <c r="M898" s="300"/>
    </row>
    <row r="899" spans="2:13" ht="15.75" customHeight="1">
      <c r="B899" s="204"/>
      <c r="M899" s="300"/>
    </row>
    <row r="900" spans="2:13" ht="15.75" customHeight="1">
      <c r="B900" s="204"/>
      <c r="M900" s="300"/>
    </row>
    <row r="901" spans="2:13" ht="15.75" customHeight="1">
      <c r="B901" s="204"/>
      <c r="M901" s="300"/>
    </row>
    <row r="902" spans="2:13" ht="15.75" customHeight="1">
      <c r="B902" s="204"/>
      <c r="M902" s="300"/>
    </row>
    <row r="903" spans="2:13" ht="15.75" customHeight="1">
      <c r="B903" s="204"/>
      <c r="M903" s="300"/>
    </row>
    <row r="904" spans="2:13" ht="15.75" customHeight="1">
      <c r="B904" s="204"/>
      <c r="M904" s="300"/>
    </row>
    <row r="905" spans="2:13" ht="15.75" customHeight="1">
      <c r="B905" s="204"/>
      <c r="M905" s="300"/>
    </row>
    <row r="906" spans="2:13" ht="15.75" customHeight="1">
      <c r="B906" s="204"/>
      <c r="M906" s="300"/>
    </row>
    <row r="907" spans="2:13" ht="15.75" customHeight="1">
      <c r="B907" s="204"/>
      <c r="M907" s="300"/>
    </row>
    <row r="908" spans="2:13" ht="15.75" customHeight="1">
      <c r="B908" s="204"/>
      <c r="M908" s="300"/>
    </row>
    <row r="909" spans="2:13" ht="15.75" customHeight="1">
      <c r="B909" s="204"/>
      <c r="M909" s="300"/>
    </row>
    <row r="910" spans="2:13" ht="15.75" customHeight="1">
      <c r="B910" s="204"/>
      <c r="M910" s="300"/>
    </row>
    <row r="911" spans="2:13" ht="15.75" customHeight="1">
      <c r="B911" s="204"/>
      <c r="M911" s="300"/>
    </row>
    <row r="912" spans="2:13" ht="15.75" customHeight="1">
      <c r="B912" s="204"/>
      <c r="M912" s="300"/>
    </row>
    <row r="913" spans="2:13" ht="15.75" customHeight="1">
      <c r="B913" s="204"/>
      <c r="M913" s="300"/>
    </row>
    <row r="914" spans="2:13" ht="15.75" customHeight="1">
      <c r="B914" s="204"/>
      <c r="M914" s="300"/>
    </row>
    <row r="915" spans="2:13" ht="15.75" customHeight="1">
      <c r="B915" s="204"/>
      <c r="M915" s="300"/>
    </row>
    <row r="916" spans="2:13" ht="15.75" customHeight="1">
      <c r="B916" s="204"/>
      <c r="M916" s="300"/>
    </row>
    <row r="917" spans="2:13" ht="15.75" customHeight="1">
      <c r="B917" s="204"/>
      <c r="M917" s="300"/>
    </row>
    <row r="918" spans="2:13" ht="15.75" customHeight="1">
      <c r="B918" s="204"/>
      <c r="M918" s="300"/>
    </row>
    <row r="919" spans="2:13" ht="15.75" customHeight="1">
      <c r="B919" s="204"/>
      <c r="M919" s="300"/>
    </row>
    <row r="920" spans="2:13" ht="15.75" customHeight="1">
      <c r="B920" s="204"/>
      <c r="M920" s="300"/>
    </row>
    <row r="921" spans="2:13" ht="15.75" customHeight="1">
      <c r="B921" s="204"/>
      <c r="M921" s="300"/>
    </row>
    <row r="922" spans="2:13" ht="15.75" customHeight="1">
      <c r="B922" s="204"/>
      <c r="M922" s="300"/>
    </row>
    <row r="923" spans="2:13" ht="15.75" customHeight="1">
      <c r="B923" s="204"/>
      <c r="M923" s="300"/>
    </row>
    <row r="924" spans="2:13" ht="15.75" customHeight="1">
      <c r="B924" s="204"/>
      <c r="M924" s="300"/>
    </row>
    <row r="925" spans="2:13" ht="15.75" customHeight="1">
      <c r="B925" s="204"/>
      <c r="M925" s="300"/>
    </row>
    <row r="926" spans="2:13" ht="15.75" customHeight="1">
      <c r="B926" s="204"/>
      <c r="M926" s="300"/>
    </row>
    <row r="927" spans="2:13" ht="15.75" customHeight="1">
      <c r="B927" s="204"/>
      <c r="M927" s="300"/>
    </row>
    <row r="928" spans="2:13" ht="15.75" customHeight="1">
      <c r="B928" s="204"/>
      <c r="M928" s="300"/>
    </row>
    <row r="929" spans="2:13" ht="15.75" customHeight="1">
      <c r="B929" s="204"/>
      <c r="M929" s="300"/>
    </row>
    <row r="930" spans="2:13" ht="15.75" customHeight="1">
      <c r="B930" s="204"/>
      <c r="M930" s="300"/>
    </row>
    <row r="931" spans="2:13" ht="15.75" customHeight="1">
      <c r="B931" s="204"/>
      <c r="M931" s="300"/>
    </row>
    <row r="932" spans="2:13" ht="15.75" customHeight="1">
      <c r="B932" s="204"/>
      <c r="M932" s="300"/>
    </row>
    <row r="933" spans="2:13" ht="15.75" customHeight="1">
      <c r="B933" s="204"/>
      <c r="M933" s="300"/>
    </row>
    <row r="934" spans="2:13" ht="15.75" customHeight="1">
      <c r="B934" s="204"/>
      <c r="M934" s="300"/>
    </row>
    <row r="935" spans="2:13" ht="15.75" customHeight="1">
      <c r="B935" s="204"/>
      <c r="M935" s="300"/>
    </row>
    <row r="936" spans="2:13" ht="15.75" customHeight="1">
      <c r="B936" s="204"/>
      <c r="M936" s="300"/>
    </row>
    <row r="937" spans="2:13" ht="15.75" customHeight="1">
      <c r="B937" s="204"/>
      <c r="M937" s="300"/>
    </row>
    <row r="938" spans="2:13" ht="15.75" customHeight="1">
      <c r="B938" s="204"/>
      <c r="M938" s="300"/>
    </row>
    <row r="939" spans="2:13" ht="15.75" customHeight="1">
      <c r="B939" s="204"/>
      <c r="M939" s="300"/>
    </row>
    <row r="940" spans="2:13" ht="15.75" customHeight="1">
      <c r="B940" s="204"/>
      <c r="M940" s="300"/>
    </row>
    <row r="941" spans="2:13" ht="15.75" customHeight="1">
      <c r="B941" s="204"/>
      <c r="M941" s="300"/>
    </row>
    <row r="942" spans="2:13" ht="15.75" customHeight="1">
      <c r="B942" s="204"/>
      <c r="M942" s="300"/>
    </row>
    <row r="943" spans="2:13" ht="15.75" customHeight="1">
      <c r="B943" s="204"/>
      <c r="M943" s="300"/>
    </row>
    <row r="944" spans="2:13" ht="15.75" customHeight="1">
      <c r="B944" s="204"/>
      <c r="M944" s="300"/>
    </row>
    <row r="945" spans="2:13" ht="15.75" customHeight="1">
      <c r="B945" s="204"/>
      <c r="M945" s="300"/>
    </row>
    <row r="946" spans="2:13" ht="15.75" customHeight="1">
      <c r="B946" s="204"/>
      <c r="M946" s="300"/>
    </row>
    <row r="947" spans="2:13" ht="15.75" customHeight="1">
      <c r="B947" s="204"/>
      <c r="M947" s="300"/>
    </row>
    <row r="948" spans="2:13" ht="15.75" customHeight="1">
      <c r="B948" s="204"/>
      <c r="M948" s="300"/>
    </row>
    <row r="949" spans="2:13" ht="15.75" customHeight="1">
      <c r="B949" s="204"/>
      <c r="M949" s="300"/>
    </row>
    <row r="950" spans="2:13" ht="15.75" customHeight="1">
      <c r="B950" s="204"/>
      <c r="M950" s="300"/>
    </row>
    <row r="951" spans="2:13" ht="15.75" customHeight="1">
      <c r="B951" s="204"/>
      <c r="M951" s="300"/>
    </row>
    <row r="952" spans="2:13" ht="15.75" customHeight="1">
      <c r="B952" s="204"/>
      <c r="M952" s="300"/>
    </row>
    <row r="953" spans="2:13" ht="15.75" customHeight="1">
      <c r="B953" s="204"/>
      <c r="M953" s="300"/>
    </row>
    <row r="954" spans="2:13" ht="15.75" customHeight="1">
      <c r="B954" s="204"/>
      <c r="M954" s="300"/>
    </row>
    <row r="955" spans="2:13" ht="15.75" customHeight="1">
      <c r="B955" s="204"/>
      <c r="M955" s="300"/>
    </row>
    <row r="956" spans="2:13" ht="15.75" customHeight="1">
      <c r="B956" s="204"/>
      <c r="M956" s="300"/>
    </row>
    <row r="957" spans="2:13" ht="15.75" customHeight="1">
      <c r="B957" s="204"/>
      <c r="M957" s="300"/>
    </row>
    <row r="958" spans="2:13" ht="15.75" customHeight="1">
      <c r="B958" s="204"/>
      <c r="M958" s="300"/>
    </row>
    <row r="959" spans="2:13" ht="15.75" customHeight="1">
      <c r="B959" s="204"/>
      <c r="M959" s="300"/>
    </row>
    <row r="960" spans="2:13" ht="15.75" customHeight="1">
      <c r="B960" s="204"/>
      <c r="M960" s="300"/>
    </row>
    <row r="961" spans="2:13" ht="15.75" customHeight="1">
      <c r="B961" s="204"/>
      <c r="M961" s="300"/>
    </row>
    <row r="962" spans="2:13" ht="15.75" customHeight="1">
      <c r="B962" s="204"/>
      <c r="M962" s="300"/>
    </row>
    <row r="963" spans="2:13" ht="15.75" customHeight="1">
      <c r="B963" s="204"/>
      <c r="M963" s="300"/>
    </row>
    <row r="964" spans="2:13" ht="15.75" customHeight="1">
      <c r="B964" s="204"/>
      <c r="M964" s="300"/>
    </row>
    <row r="965" spans="2:13" ht="15.75" customHeight="1">
      <c r="B965" s="204"/>
      <c r="M965" s="300"/>
    </row>
    <row r="966" spans="2:13" ht="15.75" customHeight="1">
      <c r="B966" s="204"/>
      <c r="M966" s="300"/>
    </row>
    <row r="967" spans="2:13" ht="15.75" customHeight="1">
      <c r="B967" s="204"/>
      <c r="M967" s="300"/>
    </row>
    <row r="968" spans="2:13" ht="15.75" customHeight="1">
      <c r="B968" s="204"/>
      <c r="M968" s="300"/>
    </row>
    <row r="969" spans="2:13" ht="15.75" customHeight="1">
      <c r="B969" s="204"/>
      <c r="M969" s="300"/>
    </row>
    <row r="970" spans="2:13" ht="15.75" customHeight="1">
      <c r="B970" s="204"/>
      <c r="M970" s="300"/>
    </row>
    <row r="971" spans="2:13" ht="15.75" customHeight="1">
      <c r="B971" s="204"/>
      <c r="M971" s="300"/>
    </row>
    <row r="972" spans="2:13" ht="15.75" customHeight="1">
      <c r="B972" s="204"/>
      <c r="M972" s="300"/>
    </row>
    <row r="973" spans="2:13" ht="15.75" customHeight="1">
      <c r="B973" s="204"/>
      <c r="M973" s="300"/>
    </row>
    <row r="974" spans="2:13" ht="15.75" customHeight="1">
      <c r="B974" s="204"/>
      <c r="M974" s="300"/>
    </row>
    <row r="975" spans="2:13" ht="15.75" customHeight="1">
      <c r="B975" s="204"/>
      <c r="M975" s="300"/>
    </row>
    <row r="976" spans="2:13" ht="15.75" customHeight="1">
      <c r="B976" s="204"/>
      <c r="M976" s="300"/>
    </row>
    <row r="977" spans="2:13" ht="15.75" customHeight="1">
      <c r="B977" s="204"/>
      <c r="M977" s="300"/>
    </row>
    <row r="978" spans="2:13" ht="15.75" customHeight="1">
      <c r="B978" s="204"/>
      <c r="M978" s="300"/>
    </row>
    <row r="979" spans="2:13" ht="15.75" customHeight="1">
      <c r="B979" s="204"/>
      <c r="M979" s="300"/>
    </row>
    <row r="980" spans="2:13" ht="15.75" customHeight="1">
      <c r="B980" s="204"/>
      <c r="M980" s="300"/>
    </row>
    <row r="981" spans="2:13" ht="15.75" customHeight="1">
      <c r="B981" s="204"/>
      <c r="M981" s="300"/>
    </row>
    <row r="982" spans="2:13" ht="15.75" customHeight="1">
      <c r="B982" s="204"/>
      <c r="M982" s="300"/>
    </row>
    <row r="983" spans="2:13" ht="15.75" customHeight="1">
      <c r="B983" s="204"/>
      <c r="M983" s="300"/>
    </row>
    <row r="984" spans="2:13" ht="15.75" customHeight="1">
      <c r="B984" s="204"/>
      <c r="M984" s="300"/>
    </row>
    <row r="985" spans="2:13" ht="15.75" customHeight="1">
      <c r="B985" s="204"/>
      <c r="M985" s="300"/>
    </row>
    <row r="986" spans="2:13" ht="15.75" customHeight="1">
      <c r="B986" s="204"/>
      <c r="M986" s="300"/>
    </row>
    <row r="987" spans="2:13" ht="15.75" customHeight="1">
      <c r="B987" s="204"/>
      <c r="M987" s="300"/>
    </row>
    <row r="988" spans="2:13" ht="15.75" customHeight="1">
      <c r="B988" s="204"/>
      <c r="M988" s="300"/>
    </row>
    <row r="989" spans="2:13" ht="15.75" customHeight="1">
      <c r="B989" s="204"/>
      <c r="M989" s="300"/>
    </row>
    <row r="990" spans="2:13" ht="15.75" customHeight="1">
      <c r="B990" s="204"/>
      <c r="M990" s="300"/>
    </row>
    <row r="991" spans="2:13" ht="15.75" customHeight="1">
      <c r="B991" s="204"/>
      <c r="M991" s="300"/>
    </row>
    <row r="992" spans="2:13" ht="15.75" customHeight="1">
      <c r="B992" s="204"/>
      <c r="M992" s="300"/>
    </row>
    <row r="993" spans="2:13" ht="15.75" customHeight="1">
      <c r="B993" s="204"/>
      <c r="M993" s="300"/>
    </row>
    <row r="994" spans="2:13" ht="15.75" customHeight="1">
      <c r="B994" s="204"/>
      <c r="M994" s="300"/>
    </row>
    <row r="995" spans="2:13" ht="15.75" customHeight="1">
      <c r="B995" s="204"/>
      <c r="M995" s="300"/>
    </row>
    <row r="996" spans="2:13" ht="15.75" customHeight="1">
      <c r="B996" s="204"/>
      <c r="M996" s="300"/>
    </row>
    <row r="997" spans="2:13" ht="15.75" customHeight="1">
      <c r="B997" s="204"/>
      <c r="M997" s="300"/>
    </row>
  </sheetData>
  <sheetProtection algorithmName="SHA-512" hashValue="Ny9Ovc1VPkanyFgMJTqmqlDMJCLScPXVAikxQQ3yy9ofSk8teaiiekTV6xK4juVjkaBq5wg49jOspt+XjrF8JA==" saltValue="s7+qX1/wJFHsWRAKLep2xQ==" spinCount="100000" sheet="1" sort="0"/>
  <autoFilter ref="B37:W66" xr:uid="{00000000-0009-0000-0000-000009000000}"/>
  <mergeCells count="3">
    <mergeCell ref="P28:P29"/>
    <mergeCell ref="Q28:Q29"/>
    <mergeCell ref="R28:R29"/>
  </mergeCells>
  <conditionalFormatting sqref="M1:M33 M56:M66 M71:M1048576">
    <cfRule type="cellIs" dxfId="17" priority="32" operator="greaterThan">
      <formula>0</formula>
    </cfRule>
    <cfRule type="cellIs" dxfId="16" priority="33" operator="equal">
      <formula>0</formula>
    </cfRule>
  </conditionalFormatting>
  <conditionalFormatting sqref="M30:M33">
    <cfRule type="cellIs" dxfId="15" priority="48" operator="lessThan">
      <formula>0</formula>
    </cfRule>
  </conditionalFormatting>
  <conditionalFormatting sqref="M35:M42">
    <cfRule type="cellIs" dxfId="14" priority="17" operator="greaterThan">
      <formula>0</formula>
    </cfRule>
    <cfRule type="cellIs" dxfId="13" priority="18" operator="equal">
      <formula>0</formula>
    </cfRule>
    <cfRule type="cellIs" dxfId="12" priority="19" operator="lessThan">
      <formula>0</formula>
    </cfRule>
  </conditionalFormatting>
  <conditionalFormatting sqref="M44:M48">
    <cfRule type="cellIs" dxfId="11" priority="26" operator="greaterThan">
      <formula>0</formula>
    </cfRule>
    <cfRule type="cellIs" dxfId="10" priority="27" operator="equal">
      <formula>0</formula>
    </cfRule>
    <cfRule type="cellIs" dxfId="9" priority="28" operator="lessThan">
      <formula>0</formula>
    </cfRule>
  </conditionalFormatting>
  <conditionalFormatting sqref="M50:M54">
    <cfRule type="cellIs" dxfId="8" priority="11" operator="greaterThan">
      <formula>0</formula>
    </cfRule>
    <cfRule type="cellIs" dxfId="7" priority="12" operator="equal">
      <formula>0</formula>
    </cfRule>
    <cfRule type="cellIs" dxfId="6" priority="13" operator="lessThan">
      <formula>0</formula>
    </cfRule>
  </conditionalFormatting>
  <conditionalFormatting sqref="M56:M66">
    <cfRule type="cellIs" dxfId="5" priority="39" operator="lessThan">
      <formula>0</formula>
    </cfRule>
  </conditionalFormatting>
  <conditionalFormatting sqref="O37:S37">
    <cfRule type="cellIs" dxfId="4" priority="4" operator="lessThan">
      <formula>0</formula>
    </cfRule>
  </conditionalFormatting>
  <conditionalFormatting sqref="P39:P42 P44:P48 P50:P54 P56:P66">
    <cfRule type="dataBar" priority="255">
      <dataBar>
        <cfvo type="num" val="0"/>
        <cfvo type="max"/>
        <color rgb="FFAADB1E"/>
      </dataBar>
      <extLst>
        <ext xmlns:x14="http://schemas.microsoft.com/office/spreadsheetml/2009/9/main" uri="{B025F937-C7B1-47D3-B67F-A62EFF666E3E}">
          <x14:id>{006E00EB-002E-4C1F-B573-005B00CE00B3}</x14:id>
        </ext>
      </extLst>
    </cfRule>
  </conditionalFormatting>
  <conditionalFormatting sqref="Q39:Q42 Q44:Q48 Q50:Q54 Q56:Q66">
    <cfRule type="dataBar" priority="251">
      <dataBar>
        <cfvo type="num" val="0"/>
        <cfvo type="max"/>
        <color rgb="FFE87722"/>
      </dataBar>
      <extLst>
        <ext xmlns:x14="http://schemas.microsoft.com/office/spreadsheetml/2009/9/main" uri="{B025F937-C7B1-47D3-B67F-A62EFF666E3E}">
          <x14:id>{005500D0-0093-4F28-86AB-004600C30062}</x14:id>
        </ext>
      </extLst>
    </cfRule>
  </conditionalFormatting>
  <conditionalFormatting sqref="R39:R42 R44:R48 R50:R54 R56:R66">
    <cfRule type="dataBar" priority="247">
      <dataBar>
        <cfvo type="num" val="0"/>
        <cfvo type="max"/>
        <color theme="7" tint="0.39997558519241921"/>
      </dataBar>
      <extLst>
        <ext xmlns:x14="http://schemas.microsoft.com/office/spreadsheetml/2009/9/main" uri="{B025F937-C7B1-47D3-B67F-A62EFF666E3E}">
          <x14:id>{00C80061-0051-4852-AFF5-007D00B400F5}</x14:id>
        </ext>
      </extLst>
    </cfRule>
  </conditionalFormatting>
  <pageMargins left="0.7" right="0.7"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006E00EB-002E-4C1F-B573-005B00CE00B3}">
            <x14:dataBar minLength="0" maxLength="100" gradient="0">
              <x14:cfvo type="num">
                <xm:f>0</xm:f>
              </x14:cfvo>
              <x14:cfvo type="autoMax"/>
              <x14:negativeFillColor indexed="2"/>
              <x14:axisColor indexed="64"/>
            </x14:dataBar>
          </x14:cfRule>
          <xm:sqref>P39:P42 P44:P48 P50:P54 P56:P66</xm:sqref>
        </x14:conditionalFormatting>
        <x14:conditionalFormatting xmlns:xm="http://schemas.microsoft.com/office/excel/2006/main">
          <x14:cfRule type="dataBar" id="{005500D0-0093-4F28-86AB-004600C30062}">
            <x14:dataBar minLength="0" maxLength="100" gradient="0">
              <x14:cfvo type="num">
                <xm:f>0</xm:f>
              </x14:cfvo>
              <x14:cfvo type="autoMax"/>
              <x14:negativeFillColor indexed="2"/>
              <x14:axisColor indexed="64"/>
            </x14:dataBar>
          </x14:cfRule>
          <xm:sqref>Q39:Q42 Q44:Q48 Q50:Q54 Q56:Q66</xm:sqref>
        </x14:conditionalFormatting>
        <x14:conditionalFormatting xmlns:xm="http://schemas.microsoft.com/office/excel/2006/main">
          <x14:cfRule type="dataBar" id="{00C80061-0051-4852-AFF5-007D00B400F5}">
            <x14:dataBar minLength="0" maxLength="100" gradient="0">
              <x14:cfvo type="num">
                <xm:f>0</xm:f>
              </x14:cfvo>
              <x14:cfvo type="autoMax"/>
              <x14:negativeFillColor indexed="2"/>
              <x14:axisColor indexed="64"/>
            </x14:dataBar>
          </x14:cfRule>
          <xm:sqref>R39:R42 R44:R48 R50:R54 R56:R66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900-000000000000}">
          <x14:formula1>
            <xm:f>'Условные сокращения'!$M$11:$M$12</xm:f>
          </x14:formula1>
          <xm:sqref>N50</xm:sqref>
        </x14:dataValidation>
        <x14:dataValidation type="list" allowBlank="1" showInputMessage="1" showErrorMessage="1" xr:uid="{00000000-0002-0000-0900-000001000000}">
          <x14:formula1>
            <xm:f>'Условные сокращения'!$I$11:$I$14</xm:f>
          </x14:formula1>
          <xm:sqref>N41:N42 N44:N48 N54 N52</xm:sqref>
        </x14:dataValidation>
        <x14:dataValidation type="list" allowBlank="1" showInputMessage="1" showErrorMessage="1" xr:uid="{00000000-0002-0000-0900-000002000000}">
          <x14:formula1>
            <xm:f>'Условные сокращения'!$B$27:$B$30</xm:f>
          </x14:formula1>
          <xm:sqref>N56</xm:sqref>
        </x14:dataValidation>
        <x14:dataValidation type="list" allowBlank="1" showInputMessage="1" showErrorMessage="1" xr:uid="{00000000-0002-0000-0900-000003000000}">
          <x14:formula1>
            <xm:f>'Условные сокращения'!$N$3:$N$8</xm:f>
          </x14:formula1>
          <xm:sqref>N53 N39:N40 N51</xm:sqref>
        </x14:dataValidation>
        <x14:dataValidation type="list" allowBlank="1" showInputMessage="1" showErrorMessage="1" xr:uid="{00000000-0002-0000-0900-000004000000}">
          <x14:formula1>
            <xm:f>'Условные сокращения'!$B$35:$B$37</xm:f>
          </x14:formula1>
          <xm:sqref>N57:N66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0">
    <tabColor theme="3" tint="0.39997558519241921"/>
    <outlinePr summaryBelow="0" summaryRight="0"/>
  </sheetPr>
  <dimension ref="B1:AA43"/>
  <sheetViews>
    <sheetView workbookViewId="0"/>
  </sheetViews>
  <sheetFormatPr defaultColWidth="11.09765625" defaultRowHeight="15.6" outlineLevelRow="1"/>
  <cols>
    <col min="1" max="1" width="3.09765625" style="204" bestFit="1" customWidth="1"/>
    <col min="2" max="2" width="112.5" style="204" bestFit="1" customWidth="1"/>
    <col min="3" max="3" width="19.09765625" style="204" customWidth="1"/>
    <col min="4" max="4" width="15.59765625" style="219" customWidth="1"/>
    <col min="5" max="5" width="12.09765625" style="219" customWidth="1"/>
    <col min="6" max="6" width="10.59765625" style="219" customWidth="1"/>
    <col min="7" max="7" width="27.59765625" style="204" hidden="1" customWidth="1"/>
    <col min="8" max="9" width="27.59765625" style="219" hidden="1" customWidth="1"/>
    <col min="10" max="10" width="18.5" style="219" hidden="1" customWidth="1"/>
    <col min="11" max="11" width="14.09765625" style="204" customWidth="1"/>
    <col min="12" max="12" width="15.59765625" style="219" customWidth="1"/>
    <col min="13" max="13" width="10.09765625" customWidth="1"/>
    <col min="14" max="15" width="20.59765625" style="215" customWidth="1"/>
    <col min="16" max="18" width="20.59765625" style="204" customWidth="1"/>
    <col min="19" max="19" width="10.5" style="204" bestFit="1" customWidth="1"/>
    <col min="20" max="21" width="32.5" style="204" customWidth="1"/>
    <col min="22" max="22" width="10.5" style="204" bestFit="1" customWidth="1"/>
    <col min="23" max="24" width="53.09765625" style="204" customWidth="1"/>
    <col min="25" max="25" width="10.5" style="204" bestFit="1" customWidth="1"/>
    <col min="26" max="26" width="46.09765625" style="204" bestFit="1" customWidth="1"/>
    <col min="27" max="27" width="53.09765625" style="204" customWidth="1"/>
    <col min="28" max="35" width="10.5" style="204" bestFit="1" customWidth="1"/>
    <col min="36" max="36" width="11.09765625" style="204" bestFit="1"/>
    <col min="37" max="16384" width="11.09765625" style="204"/>
  </cols>
  <sheetData>
    <row r="1" spans="2:18" ht="51" customHeight="1">
      <c r="B1" s="309" t="s">
        <v>58</v>
      </c>
      <c r="N1" s="190">
        <f>COUNTA(N2:N7000)</f>
        <v>12</v>
      </c>
      <c r="O1" s="190"/>
      <c r="P1" s="160"/>
      <c r="Q1" s="160"/>
      <c r="R1" s="160"/>
    </row>
    <row r="19" spans="2:27">
      <c r="N19" s="190"/>
      <c r="O19" s="190"/>
      <c r="P19" s="160"/>
      <c r="Q19" s="160"/>
      <c r="R19" s="160"/>
    </row>
    <row r="25" spans="2:27" ht="40.35" customHeight="1">
      <c r="B25" s="191"/>
      <c r="G25" s="374">
        <f>Расчет!$F$2</f>
        <v>45017</v>
      </c>
      <c r="H25" s="374">
        <f>Расчет!$H$2</f>
        <v>45444</v>
      </c>
      <c r="I25" s="374">
        <v>45657</v>
      </c>
      <c r="J25" s="204"/>
      <c r="L25" s="192">
        <f ca="1">TODAY()</f>
        <v>46038</v>
      </c>
      <c r="P25" s="756" t="s">
        <v>36</v>
      </c>
      <c r="Q25" s="757" t="s">
        <v>37</v>
      </c>
      <c r="R25" s="758" t="s">
        <v>38</v>
      </c>
    </row>
    <row r="26" spans="2:27" ht="28.2">
      <c r="B26" s="193" t="s">
        <v>317</v>
      </c>
      <c r="C26" s="194" t="s">
        <v>79</v>
      </c>
      <c r="D26" s="195" t="s">
        <v>11</v>
      </c>
      <c r="E26" s="490" t="s">
        <v>10</v>
      </c>
      <c r="F26" s="491" t="s">
        <v>9</v>
      </c>
      <c r="G26" s="499" t="s">
        <v>318</v>
      </c>
      <c r="H26" s="500" t="s">
        <v>318</v>
      </c>
      <c r="I26" s="500" t="s">
        <v>318</v>
      </c>
      <c r="J26" s="199">
        <v>2026</v>
      </c>
      <c r="K26" s="113" t="s">
        <v>913</v>
      </c>
      <c r="L26" s="201" t="s">
        <v>33</v>
      </c>
      <c r="P26" s="756"/>
      <c r="Q26" s="757"/>
      <c r="R26" s="758"/>
    </row>
    <row r="27" spans="2:27">
      <c r="B27" s="206" t="str">
        <f>B31</f>
        <v>Планирование восстановления</v>
      </c>
      <c r="C27" s="206" t="str">
        <f>C31</f>
        <v>ПЛН</v>
      </c>
      <c r="D27" s="493">
        <f>AVERAGE(D32:D40)</f>
        <v>5</v>
      </c>
      <c r="E27" s="501">
        <f>AVERAGE(E32:E40)</f>
        <v>3.5999999999999996</v>
      </c>
      <c r="F27" s="495">
        <f>AVERAGE(F32:F40)</f>
        <v>1.0666666666666667</v>
      </c>
      <c r="G27" s="502" t="e">
        <f>AVERAGE(G34)</f>
        <v>#DIV/0!</v>
      </c>
      <c r="H27" s="496" t="e">
        <f>AVERAGE(H32:H40)</f>
        <v>#DIV/0!</v>
      </c>
      <c r="I27" s="496" t="e">
        <f>AVERAGE(I32:I40)</f>
        <v>#DIV/0!</v>
      </c>
      <c r="J27" s="496" t="e">
        <f>AVERAGE(J32:J40)</f>
        <v>#DIV/0!</v>
      </c>
      <c r="K27" s="496">
        <f>AVERAGE(K32:K40)</f>
        <v>5</v>
      </c>
      <c r="L27" s="496">
        <f>AVERAGE(L32:L40)</f>
        <v>0</v>
      </c>
      <c r="M27">
        <f t="shared" ref="M27:M43" si="0">L27-K27</f>
        <v>-5</v>
      </c>
      <c r="P27" s="352">
        <f>AVERAGE(P32:P40)</f>
        <v>0</v>
      </c>
      <c r="Q27" s="352">
        <f>AVERAGE(Q32:Q40)</f>
        <v>0</v>
      </c>
      <c r="R27" s="387">
        <f>AVERAGE(R36:R40)</f>
        <v>0</v>
      </c>
    </row>
    <row r="28" spans="2:27">
      <c r="B28" s="233" t="str">
        <f>B41</f>
        <v>Восстановление - Коммуникации</v>
      </c>
      <c r="C28" s="233" t="str">
        <f>C41</f>
        <v>КМНК</v>
      </c>
      <c r="D28" s="321">
        <f>AVERAGE(D42:D43)</f>
        <v>5</v>
      </c>
      <c r="E28" s="503">
        <f>AVERAGE(E42:E43)</f>
        <v>1.6</v>
      </c>
      <c r="F28" s="323">
        <f>AVERAGE(F42:F43)</f>
        <v>0</v>
      </c>
      <c r="G28" s="504" t="e">
        <f>AVERAGE(G40)</f>
        <v>#DIV/0!</v>
      </c>
      <c r="H28" s="324" t="e">
        <f>AVERAGE(H42:H43)</f>
        <v>#DIV/0!</v>
      </c>
      <c r="I28" s="324" t="e">
        <f>AVERAGE(I42:I43)</f>
        <v>#DIV/0!</v>
      </c>
      <c r="J28" s="324" t="e">
        <f>AVERAGE(J42:J43)</f>
        <v>#DIV/0!</v>
      </c>
      <c r="K28" s="324">
        <f>AVERAGE(K42:K43)</f>
        <v>5</v>
      </c>
      <c r="L28" s="324">
        <f>AVERAGE(L42:L43)</f>
        <v>0</v>
      </c>
      <c r="M28">
        <f t="shared" si="0"/>
        <v>-5</v>
      </c>
      <c r="P28" s="352">
        <f>AVERAGE(P42:P43)</f>
        <v>0</v>
      </c>
      <c r="Q28" s="352">
        <f>AVERAGE(Q42)</f>
        <v>0</v>
      </c>
      <c r="R28" s="387"/>
    </row>
    <row r="29" spans="2:27">
      <c r="K29" s="219"/>
    </row>
    <row r="30" spans="2:27">
      <c r="K30" s="219"/>
      <c r="M30" s="243" t="s">
        <v>515</v>
      </c>
      <c r="N30" s="482" t="s">
        <v>324</v>
      </c>
      <c r="O30" s="505" t="s">
        <v>325</v>
      </c>
      <c r="P30" s="506"/>
      <c r="Q30" s="506"/>
      <c r="R30" s="506"/>
      <c r="T30" s="247" t="s">
        <v>326</v>
      </c>
      <c r="U30" s="268" t="s">
        <v>1315</v>
      </c>
      <c r="V30" s="248"/>
      <c r="W30" s="248" t="s">
        <v>859</v>
      </c>
      <c r="X30" s="268" t="s">
        <v>1316</v>
      </c>
      <c r="Y30" s="248"/>
      <c r="Z30" s="247" t="s">
        <v>328</v>
      </c>
      <c r="AA30" s="268" t="s">
        <v>1317</v>
      </c>
    </row>
    <row r="31" spans="2:27">
      <c r="B31" s="305" t="s">
        <v>169</v>
      </c>
      <c r="C31" s="507" t="s">
        <v>914</v>
      </c>
      <c r="D31" s="508"/>
      <c r="E31" s="508"/>
      <c r="F31" s="508"/>
      <c r="G31" s="507"/>
      <c r="H31" s="508"/>
      <c r="I31" s="508"/>
      <c r="J31" s="508"/>
      <c r="K31" s="508"/>
      <c r="L31" s="508"/>
      <c r="M31" s="329"/>
      <c r="N31" s="336"/>
      <c r="O31" s="336"/>
      <c r="P31" s="338"/>
      <c r="Q31" s="338"/>
      <c r="R31" s="338"/>
      <c r="S31" s="247">
        <f>VLOOKUP(B31,Приоритет!$G$9:$K$52,5,0)</f>
        <v>22</v>
      </c>
      <c r="T31" s="21" t="s">
        <v>169</v>
      </c>
      <c r="U31" s="21"/>
      <c r="V31" s="509">
        <f>S31+200</f>
        <v>222</v>
      </c>
      <c r="W31" s="21" t="s">
        <v>169</v>
      </c>
      <c r="X31" s="21"/>
      <c r="Y31" s="509">
        <f>S31+300</f>
        <v>322</v>
      </c>
      <c r="Z31" s="21" t="s">
        <v>169</v>
      </c>
      <c r="AA31" s="21"/>
    </row>
    <row r="32" spans="2:27" ht="51.6" customHeight="1" outlineLevel="1">
      <c r="B32" s="254" t="s">
        <v>915</v>
      </c>
      <c r="C32" s="300" t="s">
        <v>916</v>
      </c>
      <c r="D32" s="256">
        <v>5</v>
      </c>
      <c r="E32" s="257">
        <v>5</v>
      </c>
      <c r="F32" s="258">
        <v>0</v>
      </c>
      <c r="G32" s="171"/>
      <c r="H32" s="303"/>
      <c r="I32" s="303"/>
      <c r="J32" s="286"/>
      <c r="K32" s="260">
        <f t="shared" ref="K32:K43" si="1">IF(ЦУКБ="КБ 1",F32, IF(ЦУКБ="КБ 2",E32,D32))</f>
        <v>5</v>
      </c>
      <c r="L32" s="128">
        <f>VALUE(LEFT(N32,3))</f>
        <v>0</v>
      </c>
      <c r="M32">
        <f t="shared" si="0"/>
        <v>-5</v>
      </c>
      <c r="N32" s="269" t="s">
        <v>331</v>
      </c>
      <c r="P32" s="262">
        <f t="shared" ref="P32:Q43" si="2">IFERROR(IF($L32&gt;D32,1,$L32/D32),0)</f>
        <v>0</v>
      </c>
      <c r="Q32" s="262">
        <f t="shared" si="2"/>
        <v>0</v>
      </c>
      <c r="R32" s="262"/>
      <c r="S32" s="263">
        <f t="shared" ref="S32:S40" si="3">S31+0.01</f>
        <v>22.01</v>
      </c>
      <c r="T32" s="264" t="str">
        <f>IF(($L32-$F32)&gt;=0,"","")</f>
        <v/>
      </c>
      <c r="U32" s="264"/>
      <c r="V32" s="263">
        <f t="shared" ref="V32:V40" si="4">V31+0.01</f>
        <v>222.01</v>
      </c>
      <c r="W32" s="264" t="str">
        <f>IF(($L32-$E32)&gt;=0,"",
" - Разработать политику обеспечения непрерывности и восстановления деятельности")</f>
        <v xml:space="preserve"> - Разработать политику обеспечения непрерывности и восстановления деятельности</v>
      </c>
      <c r="X32" s="264" t="s">
        <v>268</v>
      </c>
      <c r="Y32" s="263">
        <f t="shared" ref="Y32:Y40" si="5">Y31+0.01</f>
        <v>322.01</v>
      </c>
      <c r="Z32" s="264" t="str">
        <f>IF(($L32-$D32)&gt;=0,"","")</f>
        <v/>
      </c>
      <c r="AA32" s="264"/>
    </row>
    <row r="33" spans="2:27" ht="75" customHeight="1" outlineLevel="1">
      <c r="B33" s="254" t="s">
        <v>917</v>
      </c>
      <c r="C33" s="300" t="s">
        <v>918</v>
      </c>
      <c r="D33" s="256">
        <v>5</v>
      </c>
      <c r="E33" s="257">
        <v>5</v>
      </c>
      <c r="F33" s="258">
        <v>0</v>
      </c>
      <c r="G33" s="171"/>
      <c r="H33" s="303"/>
      <c r="I33" s="303"/>
      <c r="J33" s="286"/>
      <c r="K33" s="260">
        <f t="shared" si="1"/>
        <v>5</v>
      </c>
      <c r="L33" s="128">
        <f>VALUE(LEFT(N33,3))</f>
        <v>0</v>
      </c>
      <c r="M33">
        <f t="shared" si="0"/>
        <v>-5</v>
      </c>
      <c r="N33" s="269" t="s">
        <v>331</v>
      </c>
      <c r="P33" s="262">
        <f t="shared" si="2"/>
        <v>0</v>
      </c>
      <c r="Q33" s="262">
        <f t="shared" si="2"/>
        <v>0</v>
      </c>
      <c r="R33" s="262"/>
      <c r="S33" s="263">
        <f t="shared" si="3"/>
        <v>22.020000000000003</v>
      </c>
      <c r="T33" s="264" t="str">
        <f>IF(($L33-$F33)&gt;=0,"","")</f>
        <v/>
      </c>
      <c r="U33" s="264"/>
      <c r="V33" s="263">
        <f t="shared" si="4"/>
        <v>222.01999999999998</v>
      </c>
      <c r="W33" s="264" t="str">
        <f>IF(($L33-$E33)&gt;=0,"",
" - Определить критерии для уровней и сроков восстановления в зависимости от критичности ИА;"&amp;"
   - Категорировать ИА по уровням критичности в соответствии с критериями")</f>
        <v xml:space="preserve"> - Определить критерии для уровней и сроков восстановления в зависимости от критичности ИА;
   - Категорировать ИА по уровням критичности в соответствии с критериями</v>
      </c>
      <c r="X33" s="264" t="s">
        <v>269</v>
      </c>
      <c r="Y33" s="263">
        <f t="shared" si="5"/>
        <v>322.02</v>
      </c>
      <c r="Z33" s="264" t="str">
        <f>IF(($L33-$D33)&gt;=0,"","")</f>
        <v/>
      </c>
      <c r="AA33" s="264"/>
    </row>
    <row r="34" spans="2:27" ht="50.85" customHeight="1" outlineLevel="1">
      <c r="B34" s="287" t="s">
        <v>919</v>
      </c>
      <c r="C34" s="300" t="s">
        <v>920</v>
      </c>
      <c r="D34" s="256">
        <v>5</v>
      </c>
      <c r="E34" s="257">
        <v>3.2</v>
      </c>
      <c r="F34" s="258">
        <v>0</v>
      </c>
      <c r="G34" s="171"/>
      <c r="H34" s="303"/>
      <c r="I34" s="303"/>
      <c r="J34" s="286"/>
      <c r="K34" s="260">
        <f t="shared" si="1"/>
        <v>5</v>
      </c>
      <c r="L34" s="128">
        <f>VALUE(LEFT(N34,3))</f>
        <v>0</v>
      </c>
      <c r="M34">
        <f t="shared" si="0"/>
        <v>-5</v>
      </c>
      <c r="N34" s="269" t="s">
        <v>349</v>
      </c>
      <c r="P34" s="262">
        <f t="shared" si="2"/>
        <v>0</v>
      </c>
      <c r="Q34" s="262">
        <f t="shared" si="2"/>
        <v>0</v>
      </c>
      <c r="R34" s="262"/>
      <c r="S34" s="263">
        <f t="shared" si="3"/>
        <v>22.030000000000005</v>
      </c>
      <c r="T34" s="264" t="str">
        <f>IF(($L34-$F34)&gt;=0,"","")</f>
        <v/>
      </c>
      <c r="U34" s="264"/>
      <c r="V34" s="263">
        <f t="shared" si="4"/>
        <v>222.02999999999997</v>
      </c>
      <c r="W34" s="264" t="str">
        <f>IF(($L34-$E34)&gt;=0,"",
" - Разработать план обеспечения непрерывности и восстановления деятельности ")</f>
        <v xml:space="preserve"> - Разработать план обеспечения непрерывности и восстановления деятельности </v>
      </c>
      <c r="X34" s="264" t="s">
        <v>270</v>
      </c>
      <c r="Y34" s="263">
        <f t="shared" si="5"/>
        <v>322.02999999999997</v>
      </c>
      <c r="Z34" s="264" t="str">
        <f>IF(($L34-$D34)&gt;=0,"",
" - Актуализировать план не реже чем раз в год")</f>
        <v xml:space="preserve"> - Актуализировать план не реже чем раз в год</v>
      </c>
      <c r="AA34" s="264" t="s">
        <v>296</v>
      </c>
    </row>
    <row r="35" spans="2:27" ht="49.35" customHeight="1" outlineLevel="1">
      <c r="B35" s="287" t="s">
        <v>921</v>
      </c>
      <c r="C35" s="300" t="s">
        <v>922</v>
      </c>
      <c r="D35" s="256">
        <v>5</v>
      </c>
      <c r="E35" s="257">
        <v>3.2</v>
      </c>
      <c r="F35" s="258">
        <v>0</v>
      </c>
      <c r="G35" s="171"/>
      <c r="H35" s="303"/>
      <c r="I35" s="303"/>
      <c r="J35" s="286"/>
      <c r="K35" s="260">
        <f t="shared" si="1"/>
        <v>5</v>
      </c>
      <c r="L35" s="290">
        <f>IF((СК="Да"),E35,VALUE(LEFT(N35,3)))</f>
        <v>0</v>
      </c>
      <c r="M35">
        <f t="shared" si="0"/>
        <v>-5</v>
      </c>
      <c r="N35" s="269" t="s">
        <v>349</v>
      </c>
      <c r="O35" s="216" t="str">
        <f>IF((СК="Да"),"Совместная зона ответственности ДЗО и Сервисной компании
(3,2 - при подключении к СК;
5 - после утверждения регламента взаимодействия СК - ДЗО в ДЗО)", "")</f>
        <v/>
      </c>
      <c r="P35" s="262">
        <f t="shared" si="2"/>
        <v>0</v>
      </c>
      <c r="Q35" s="262">
        <f t="shared" si="2"/>
        <v>0</v>
      </c>
      <c r="R35" s="262"/>
      <c r="S35" s="263">
        <f t="shared" si="3"/>
        <v>22.040000000000006</v>
      </c>
      <c r="T35" s="264" t="str">
        <f>IF(($L35-$F35)&gt;=0,"","")</f>
        <v/>
      </c>
      <c r="U35" s="264"/>
      <c r="V35" s="263">
        <f t="shared" si="4"/>
        <v>222.03999999999996</v>
      </c>
      <c r="W35" s="264" t="str">
        <f>IF(($L35-$E35)&gt;=0,"",
" - Разработать регламент резервного копирования. Определить порядок резервного копирования в соответствии с критичностью ИА")</f>
        <v xml:space="preserve"> - Разработать регламент резервного копирования. Определить порядок резервного копирования в соответствии с критичностью ИА</v>
      </c>
      <c r="X35" s="264" t="s">
        <v>271</v>
      </c>
      <c r="Y35" s="263">
        <f t="shared" si="5"/>
        <v>322.03999999999996</v>
      </c>
      <c r="Z35" s="264" t="str">
        <f>IF(($L35-$D35)&gt;=0,"",
" - Актуализировать регламент не реже чем раз в год")</f>
        <v xml:space="preserve"> - Актуализировать регламент не реже чем раз в год</v>
      </c>
      <c r="AA35" s="264" t="s">
        <v>297</v>
      </c>
    </row>
    <row r="36" spans="2:27" ht="59.85" customHeight="1" outlineLevel="1">
      <c r="B36" s="287" t="s">
        <v>923</v>
      </c>
      <c r="C36" s="300" t="s">
        <v>924</v>
      </c>
      <c r="D36" s="256">
        <v>5</v>
      </c>
      <c r="E36" s="257">
        <v>3.2</v>
      </c>
      <c r="F36" s="258">
        <v>3.2</v>
      </c>
      <c r="G36" s="171"/>
      <c r="H36" s="303"/>
      <c r="I36" s="303"/>
      <c r="J36" s="286"/>
      <c r="K36" s="260">
        <f t="shared" si="1"/>
        <v>5</v>
      </c>
      <c r="L36" s="290">
        <f>IF((СК="Да"),D36,VALUE(LEFT(N36,3)))</f>
        <v>0</v>
      </c>
      <c r="M36">
        <f t="shared" si="0"/>
        <v>-5</v>
      </c>
      <c r="N36" s="269" t="s">
        <v>349</v>
      </c>
      <c r="O36" s="216" t="str">
        <f>IF((СК="Да"),"Зона ответственности Сервисной компании", "")</f>
        <v/>
      </c>
      <c r="P36" s="262">
        <f t="shared" si="2"/>
        <v>0</v>
      </c>
      <c r="Q36" s="262">
        <f t="shared" si="2"/>
        <v>0</v>
      </c>
      <c r="R36" s="262">
        <f>IFERROR(IF($L36&gt;=F36,1,$L36/F36),0)</f>
        <v>0</v>
      </c>
      <c r="S36" s="263">
        <f t="shared" si="3"/>
        <v>22.050000000000008</v>
      </c>
      <c r="T36" s="264" t="str">
        <f>IF(($L36-$F36)&gt;=0,"",
" - Обеспечить регулярное создание резервных копий")</f>
        <v xml:space="preserve"> - Обеспечить регулярное создание резервных копий</v>
      </c>
      <c r="U36" s="264" t="s">
        <v>170</v>
      </c>
      <c r="V36" s="263">
        <f t="shared" si="4"/>
        <v>222.04999999999995</v>
      </c>
      <c r="W36" s="264" t="str">
        <f>IF(($L36-$E36)&gt;=0,"","")</f>
        <v/>
      </c>
      <c r="X36" s="264"/>
      <c r="Y36" s="263">
        <f t="shared" si="5"/>
        <v>322.04999999999995</v>
      </c>
      <c r="Z36" s="264" t="str">
        <f>IF(($L36-$D36)&gt;=0,"",
" - Обеспечить регулярное создание резервных копий, их хранение и тестирование с учетом требований критичности ИА")</f>
        <v xml:space="preserve"> - Обеспечить регулярное создание резервных копий, их хранение и тестирование с учетом требований критичности ИА</v>
      </c>
      <c r="AA36" s="264" t="s">
        <v>298</v>
      </c>
    </row>
    <row r="37" spans="2:27" ht="57" customHeight="1" outlineLevel="1">
      <c r="B37" s="287" t="s">
        <v>925</v>
      </c>
      <c r="C37" s="300" t="s">
        <v>926</v>
      </c>
      <c r="D37" s="256">
        <v>5</v>
      </c>
      <c r="E37" s="257">
        <v>3.2</v>
      </c>
      <c r="F37" s="258">
        <v>1.6</v>
      </c>
      <c r="G37" s="171"/>
      <c r="H37" s="303"/>
      <c r="I37" s="303"/>
      <c r="J37" s="286"/>
      <c r="K37" s="260">
        <f t="shared" si="1"/>
        <v>5</v>
      </c>
      <c r="L37" s="290">
        <f>IF((СК="Да"),D37,VALUE(LEFT(N37,3)))</f>
        <v>0</v>
      </c>
      <c r="M37">
        <f t="shared" si="0"/>
        <v>-5</v>
      </c>
      <c r="N37" s="269" t="s">
        <v>349</v>
      </c>
      <c r="O37" s="216" t="str">
        <f>IF((СК="Да"),"Зона ответственности Сервисной компании", "")</f>
        <v/>
      </c>
      <c r="P37" s="262">
        <f t="shared" si="2"/>
        <v>0</v>
      </c>
      <c r="Q37" s="262">
        <f t="shared" si="2"/>
        <v>0</v>
      </c>
      <c r="R37" s="262">
        <f>IFERROR(IF($L37&gt;=F37,1,$L37/F37),0)</f>
        <v>0</v>
      </c>
      <c r="S37" s="263">
        <f t="shared" si="3"/>
        <v>22.060000000000009</v>
      </c>
      <c r="T37" s="264" t="str">
        <f>IF(($L37-$F37)&gt;=0,"",
" - Обеспечить хранение резервных копий вне площадки расположения ИА")</f>
        <v xml:space="preserve"> - Обеспечить хранение резервных копий вне площадки расположения ИА</v>
      </c>
      <c r="U37" s="264" t="s">
        <v>171</v>
      </c>
      <c r="V37" s="263">
        <f t="shared" si="4"/>
        <v>222.05999999999995</v>
      </c>
      <c r="W37" s="264" t="str">
        <f>IF(($L37-$E37)&gt;=0,"",
" - Обеспечить хранение резервных копий на географически удаленных площадках.")</f>
        <v xml:space="preserve"> - Обеспечить хранение резервных копий на географически удаленных площадках.</v>
      </c>
      <c r="X37" s="264" t="s">
        <v>272</v>
      </c>
      <c r="Y37" s="263">
        <f t="shared" si="5"/>
        <v>322.05999999999995</v>
      </c>
      <c r="Z37" s="264" t="str">
        <f>IF(($L37-$D37)&gt;=0,"",
" - Обеспечить хранение резервных копий на нескольких площадках. Проводить аудит хранимых резервных копий.")</f>
        <v xml:space="preserve"> - Обеспечить хранение резервных копий на нескольких площадках. Проводить аудит хранимых резервных копий.</v>
      </c>
      <c r="AA37" s="264" t="s">
        <v>299</v>
      </c>
    </row>
    <row r="38" spans="2:27" ht="57.6" customHeight="1" outlineLevel="1">
      <c r="B38" s="287" t="s">
        <v>927</v>
      </c>
      <c r="C38" s="300" t="s">
        <v>928</v>
      </c>
      <c r="D38" s="256">
        <v>5</v>
      </c>
      <c r="E38" s="257">
        <v>3.2</v>
      </c>
      <c r="F38" s="258">
        <v>1.6</v>
      </c>
      <c r="G38" s="171"/>
      <c r="H38" s="303"/>
      <c r="I38" s="303"/>
      <c r="J38" s="286"/>
      <c r="K38" s="260">
        <f t="shared" si="1"/>
        <v>5</v>
      </c>
      <c r="L38" s="290">
        <f>IF((СК="Да"),E38,VALUE(LEFT(N38,3)))</f>
        <v>0</v>
      </c>
      <c r="M38">
        <f t="shared" si="0"/>
        <v>-5</v>
      </c>
      <c r="N38" s="269" t="s">
        <v>349</v>
      </c>
      <c r="O38" s="216" t="str">
        <f>IF((СК="Да"),"Совместная зона ответственности ДЗО и Сервисной компании
(3,2 - при подключении к СК;
5 - после утверждения регламента взаимодействия СК - ДЗО в ДЗО)", "")</f>
        <v/>
      </c>
      <c r="P38" s="262">
        <f t="shared" si="2"/>
        <v>0</v>
      </c>
      <c r="Q38" s="262">
        <f t="shared" si="2"/>
        <v>0</v>
      </c>
      <c r="R38" s="262">
        <f>IFERROR(IF($L38&gt;=F38,1,$L38/F38),0)</f>
        <v>0</v>
      </c>
      <c r="S38" s="263">
        <f t="shared" si="3"/>
        <v>22.070000000000011</v>
      </c>
      <c r="T38" s="264" t="str">
        <f>IF(($L38-$F38)&gt;=0,"",
" -Разработать и протестировать планы восстановления")</f>
        <v xml:space="preserve"> -Разработать и протестировать планы восстановления</v>
      </c>
      <c r="U38" s="264" t="s">
        <v>172</v>
      </c>
      <c r="V38" s="263">
        <f t="shared" si="4"/>
        <v>222.06999999999994</v>
      </c>
      <c r="W38" s="264" t="str">
        <f>IF(($L38-$E38)&gt;=0,"",
" - Регулярно тестировать планы восстановления в тестовой и промышленной среде.")</f>
        <v xml:space="preserve"> - Регулярно тестировать планы восстановления в тестовой и промышленной среде.</v>
      </c>
      <c r="X38" s="264" t="s">
        <v>172</v>
      </c>
      <c r="Y38" s="263">
        <f t="shared" si="5"/>
        <v>322.06999999999994</v>
      </c>
      <c r="Z38" s="264" t="str">
        <f>IF(($L38-$D38)&gt;=0,"",
" - Регламентировать тестирование планов восстановления, определить порядок тестирования и регулярность;
   - Контролировать проведение тестирования.")</f>
        <v xml:space="preserve"> - Регламентировать тестирование планов восстановления, определить порядок тестирования и регулярность;
   - Контролировать проведение тестирования.</v>
      </c>
      <c r="AA38" s="264" t="s">
        <v>300</v>
      </c>
    </row>
    <row r="39" spans="2:27" ht="85.35" customHeight="1" outlineLevel="1">
      <c r="B39" s="287" t="s">
        <v>929</v>
      </c>
      <c r="C39" s="300" t="s">
        <v>930</v>
      </c>
      <c r="D39" s="256">
        <v>5</v>
      </c>
      <c r="E39" s="257">
        <v>3.2</v>
      </c>
      <c r="F39" s="258">
        <v>1.6</v>
      </c>
      <c r="G39" s="128"/>
      <c r="H39" s="303"/>
      <c r="I39" s="303"/>
      <c r="J39" s="286"/>
      <c r="K39" s="260">
        <f t="shared" si="1"/>
        <v>5</v>
      </c>
      <c r="L39" s="290">
        <f>IF((СК="Да"),E39,VALUE(LEFT(N39,3)))</f>
        <v>0</v>
      </c>
      <c r="M39">
        <f t="shared" si="0"/>
        <v>-5</v>
      </c>
      <c r="N39" s="269" t="s">
        <v>349</v>
      </c>
      <c r="O39" s="216" t="str">
        <f>IF((СК="Да"),"Совместная зона ответственности ДЗО и Сервисной компании
(3,2 - при подключении к СК;
5 - после утверждения регламента взаимодействия СК - ДЗО в ДЗО)", "")</f>
        <v/>
      </c>
      <c r="P39" s="262">
        <f t="shared" si="2"/>
        <v>0</v>
      </c>
      <c r="Q39" s="262">
        <f t="shared" si="2"/>
        <v>0</v>
      </c>
      <c r="R39" s="262">
        <f>IFERROR(IF($L39&gt;=F39,1,$L39/F39),0)</f>
        <v>0</v>
      </c>
      <c r="S39" s="263">
        <f t="shared" si="3"/>
        <v>22.080000000000013</v>
      </c>
      <c r="T39" s="264" t="str">
        <f>IF(($L39-$F39)&gt;=0,"",
"- Включить в договоры обязательства поставщика содействовать при проведении восстановительных мероприятий/ Определить SLA;"&amp;"
   - Определить ответственных за взаимодействие и их полномочия. ")</f>
        <v xml:space="preserve">- Включить в договоры обязательства поставщика содействовать при проведении восстановительных мероприятий/ Определить SLA;
   - Определить ответственных за взаимодействие и их полномочия. </v>
      </c>
      <c r="U39" s="264" t="s">
        <v>173</v>
      </c>
      <c r="V39" s="263">
        <f t="shared" si="4"/>
        <v>222.07999999999993</v>
      </c>
      <c r="W39" s="264" t="str">
        <f>IF(($L39-$E39)&gt;=0,"",
" - Совместно с поставщиками составить и протестировать планы восстановления")</f>
        <v xml:space="preserve"> - Совместно с поставщиками составить и протестировать планы восстановления</v>
      </c>
      <c r="X39" s="264" t="s">
        <v>172</v>
      </c>
      <c r="Y39" s="263">
        <f t="shared" si="5"/>
        <v>322.07999999999993</v>
      </c>
      <c r="Z39" s="264" t="str">
        <f>IF(($L39-$D39)&gt;=0,"",
" - Регулярно тестировать планы по реагированию и восстановлению совместно с поставщиком.")</f>
        <v xml:space="preserve"> - Регулярно тестировать планы по реагированию и восстановлению совместно с поставщиком.</v>
      </c>
      <c r="AA39" s="264" t="s">
        <v>301</v>
      </c>
    </row>
    <row r="40" spans="2:27" ht="64.349999999999994" customHeight="1" outlineLevel="1">
      <c r="B40" s="287" t="s">
        <v>931</v>
      </c>
      <c r="C40" s="300" t="s">
        <v>932</v>
      </c>
      <c r="D40" s="256">
        <v>5</v>
      </c>
      <c r="E40" s="257">
        <v>3.2</v>
      </c>
      <c r="F40" s="258">
        <v>1.6</v>
      </c>
      <c r="G40" s="171"/>
      <c r="H40" s="303"/>
      <c r="I40" s="303"/>
      <c r="J40" s="286"/>
      <c r="K40" s="260">
        <f t="shared" si="1"/>
        <v>5</v>
      </c>
      <c r="L40" s="290">
        <f>IF((СК="Да"),E40,VALUE(LEFT(N40,3)))</f>
        <v>0</v>
      </c>
      <c r="M40">
        <f t="shared" si="0"/>
        <v>-5</v>
      </c>
      <c r="N40" s="269" t="s">
        <v>331</v>
      </c>
      <c r="O40" s="216" t="str">
        <f>IF((СК="Да"),"Совместная зона ответственности ДЗО и Сервисной компании
(3,2 - при подключении к СК;
5 - после утверждения регламента взаимодействия СК - ДЗО в ДЗО)", "")</f>
        <v/>
      </c>
      <c r="P40" s="262">
        <f t="shared" si="2"/>
        <v>0</v>
      </c>
      <c r="Q40" s="262">
        <f t="shared" si="2"/>
        <v>0</v>
      </c>
      <c r="R40" s="262">
        <f>IFERROR(IF($L40&gt;=F40,1,$L40/F40),0)</f>
        <v>0</v>
      </c>
      <c r="S40" s="263">
        <f t="shared" si="3"/>
        <v>22.090000000000014</v>
      </c>
      <c r="T40" s="264" t="str">
        <f>IF(($L40-$F40)&gt;=0,"",
" - Проводить анализ результатов тестирования планов восстановления. Фиксировать отклонения от планов.")</f>
        <v xml:space="preserve"> - Проводить анализ результатов тестирования планов восстановления. Фиксировать отклонения от планов.</v>
      </c>
      <c r="U40" s="264" t="s">
        <v>174</v>
      </c>
      <c r="V40" s="263">
        <f t="shared" si="4"/>
        <v>222.08999999999992</v>
      </c>
      <c r="W40" s="264" t="str">
        <f>IF(($L40-$E40)&gt;=0,"",
" - Дорабатывать планы с учетом выявленных недостатков.")</f>
        <v xml:space="preserve"> - Дорабатывать планы с учетом выявленных недостатков.</v>
      </c>
      <c r="X40" s="264" t="s">
        <v>273</v>
      </c>
      <c r="Y40" s="263">
        <f t="shared" si="5"/>
        <v>322.08999999999992</v>
      </c>
      <c r="Z40" s="264" t="str">
        <f>IF(($L40-$D40)&gt;=0,"",
" - Документировать недостатки и изменения. Проводить повторное тестирование планов.")</f>
        <v xml:space="preserve"> - Документировать недостатки и изменения. Проводить повторное тестирование планов.</v>
      </c>
      <c r="AA40" s="264" t="s">
        <v>302</v>
      </c>
    </row>
    <row r="41" spans="2:27">
      <c r="B41" s="305" t="s">
        <v>279</v>
      </c>
      <c r="C41" s="397" t="s">
        <v>870</v>
      </c>
      <c r="D41" s="508"/>
      <c r="E41" s="508"/>
      <c r="F41" s="508"/>
      <c r="G41" s="507"/>
      <c r="H41" s="508"/>
      <c r="I41" s="508"/>
      <c r="J41" s="508"/>
      <c r="K41" s="508"/>
      <c r="L41" s="508"/>
      <c r="M41" s="329"/>
      <c r="N41" s="336"/>
      <c r="O41" s="336"/>
      <c r="P41" s="338"/>
      <c r="Q41" s="338"/>
      <c r="R41" s="338"/>
      <c r="S41" s="247">
        <f>VLOOKUP(B41,Приоритет!$G$9:$K$52,5,0)</f>
        <v>32</v>
      </c>
      <c r="T41" s="487" t="s">
        <v>279</v>
      </c>
      <c r="U41" s="487"/>
      <c r="V41" s="247">
        <f>S41+200</f>
        <v>232</v>
      </c>
      <c r="W41" s="487" t="s">
        <v>279</v>
      </c>
      <c r="X41" s="487"/>
      <c r="Y41" s="247">
        <f>S41+300</f>
        <v>332</v>
      </c>
      <c r="Z41" s="487" t="s">
        <v>279</v>
      </c>
      <c r="AA41" s="487"/>
    </row>
    <row r="42" spans="2:27" ht="56.1" customHeight="1" outlineLevel="1">
      <c r="B42" s="287" t="s">
        <v>933</v>
      </c>
      <c r="C42" s="368" t="s">
        <v>934</v>
      </c>
      <c r="D42" s="256">
        <v>5</v>
      </c>
      <c r="E42" s="257">
        <v>3.2</v>
      </c>
      <c r="F42" s="258">
        <v>0</v>
      </c>
      <c r="G42" s="171"/>
      <c r="H42" s="303"/>
      <c r="I42" s="303"/>
      <c r="J42" s="286"/>
      <c r="K42" s="260">
        <f t="shared" si="1"/>
        <v>5</v>
      </c>
      <c r="L42" s="290">
        <f>IF((СК="Да"),E42,VALUE(LEFT(N42,3)))</f>
        <v>0</v>
      </c>
      <c r="M42">
        <f t="shared" si="0"/>
        <v>-5</v>
      </c>
      <c r="N42" s="269" t="s">
        <v>331</v>
      </c>
      <c r="O42" s="216" t="str">
        <f>IF((СК="Да"),"Совместная зона ответственности ДЗО и Сервисной компании
(3,2 - при подключении к СК;
5 - после утверждения регламента взаимодействия СК - ДЗО в ДЗО)", "")</f>
        <v/>
      </c>
      <c r="P42" s="262">
        <f t="shared" si="2"/>
        <v>0</v>
      </c>
      <c r="Q42" s="262">
        <f>IFERROR(IF($L42&gt;E42,1,$L42/E42),0)</f>
        <v>0</v>
      </c>
      <c r="R42" s="262"/>
      <c r="S42" s="263">
        <f>S41+0.01</f>
        <v>32.01</v>
      </c>
      <c r="T42" s="264" t="str">
        <f>IF(($L42-$F42)&gt;=0,"","")</f>
        <v/>
      </c>
      <c r="U42" s="264"/>
      <c r="V42" s="263">
        <f>V41+0.01</f>
        <v>232.01</v>
      </c>
      <c r="W42" s="264" t="str">
        <f>IF(($L42-$E42)&gt;=0,""," - Подготовить планы коммуникаций на случай сбоев в планах по восстановлению")</f>
        <v xml:space="preserve"> - Подготовить планы коммуникаций на случай сбоев в планах по восстановлению</v>
      </c>
      <c r="X42" s="264" t="s">
        <v>280</v>
      </c>
      <c r="Y42" s="263">
        <f>Y41+0.01</f>
        <v>332.01</v>
      </c>
      <c r="Z42" s="264" t="str">
        <f>IF(($L42-$D42)&gt;=0,""," - Поддерживать и актуализировать планы коммуникаций")</f>
        <v xml:space="preserve"> - Поддерживать и актуализировать планы коммуникаций</v>
      </c>
      <c r="AA42" s="264" t="s">
        <v>313</v>
      </c>
    </row>
    <row r="43" spans="2:27" ht="54" customHeight="1" outlineLevel="1">
      <c r="B43" s="254" t="s">
        <v>935</v>
      </c>
      <c r="C43" s="368" t="s">
        <v>936</v>
      </c>
      <c r="D43" s="256">
        <v>5</v>
      </c>
      <c r="E43" s="257">
        <v>0</v>
      </c>
      <c r="F43" s="258">
        <v>0</v>
      </c>
      <c r="G43" s="171"/>
      <c r="H43" s="303"/>
      <c r="I43" s="303"/>
      <c r="J43" s="286"/>
      <c r="K43" s="260">
        <f t="shared" si="1"/>
        <v>5</v>
      </c>
      <c r="L43" s="128">
        <f>VALUE(LEFT(N43,3))</f>
        <v>0</v>
      </c>
      <c r="M43">
        <f t="shared" si="0"/>
        <v>-5</v>
      </c>
      <c r="N43" s="269" t="s">
        <v>331</v>
      </c>
      <c r="P43" s="262">
        <f t="shared" si="2"/>
        <v>0</v>
      </c>
      <c r="Q43" s="262"/>
      <c r="R43" s="262"/>
      <c r="S43" s="263">
        <f>S42+0.01</f>
        <v>32.019999999999996</v>
      </c>
      <c r="T43" s="264" t="str">
        <f>IF(($L43-$F43)&gt;=0,"","")</f>
        <v/>
      </c>
      <c r="U43" s="264"/>
      <c r="V43" s="263">
        <f>V42+0.01</f>
        <v>232.01999999999998</v>
      </c>
      <c r="W43" s="264" t="str">
        <f>IF(($L43-$E43)&gt;=0,"","")</f>
        <v/>
      </c>
      <c r="X43" s="264"/>
      <c r="Y43" s="263">
        <f>Y42+0.01</f>
        <v>332.02</v>
      </c>
      <c r="Z43" s="264" t="str">
        <f>IF(($L43-$D43)&gt;=0,""," - Подготовить типовые ответы на претензии по факту инцидента")</f>
        <v xml:space="preserve"> - Подготовить типовые ответы на претензии по факту инцидента</v>
      </c>
      <c r="AA43" s="264" t="s">
        <v>314</v>
      </c>
    </row>
  </sheetData>
  <sheetProtection algorithmName="SHA-512" hashValue="CB8Kyi4VQdU+miXfoYgoN5Fd86qVmnkU7DoVhGcCkxLa8/3IK9y3LMJHbziCFyRXZogmWhpqEGHZMSJhMCG/UQ==" saltValue="EhoijxQ6OM61AMAPv0LxEA==" spinCount="100000" sheet="1" sort="0"/>
  <autoFilter ref="B30:T43" xr:uid="{00000000-0009-0000-0000-00000A000000}"/>
  <mergeCells count="3">
    <mergeCell ref="P25:P26"/>
    <mergeCell ref="Q25:Q26"/>
    <mergeCell ref="R25:R26"/>
  </mergeCells>
  <conditionalFormatting sqref="M1:M1048576">
    <cfRule type="cellIs" dxfId="3" priority="11" operator="greaterThan">
      <formula>0</formula>
    </cfRule>
    <cfRule type="cellIs" dxfId="2" priority="12" operator="equal">
      <formula>0</formula>
    </cfRule>
  </conditionalFormatting>
  <conditionalFormatting sqref="M27:M43">
    <cfRule type="cellIs" dxfId="1" priority="13" operator="lessThan">
      <formula>0</formula>
    </cfRule>
  </conditionalFormatting>
  <conditionalFormatting sqref="O30:R30">
    <cfRule type="cellIs" dxfId="0" priority="17" operator="lessThan">
      <formula>0</formula>
    </cfRule>
  </conditionalFormatting>
  <conditionalFormatting sqref="P32:P40">
    <cfRule type="dataBar" priority="8">
      <dataBar>
        <cfvo type="num" val="0"/>
        <cfvo type="max"/>
        <color rgb="FFAADB1E"/>
      </dataBar>
      <extLst>
        <ext xmlns:x14="http://schemas.microsoft.com/office/spreadsheetml/2009/9/main" uri="{B025F937-C7B1-47D3-B67F-A62EFF666E3E}">
          <x14:id>{00EE0010-0021-464E-BAEB-0072009800C2}</x14:id>
        </ext>
      </extLst>
    </cfRule>
  </conditionalFormatting>
  <conditionalFormatting sqref="P42:P43">
    <cfRule type="dataBar" priority="5">
      <dataBar>
        <cfvo type="num" val="0"/>
        <cfvo type="max"/>
        <color rgb="FFAADB1E"/>
      </dataBar>
      <extLst>
        <ext xmlns:x14="http://schemas.microsoft.com/office/spreadsheetml/2009/9/main" uri="{B025F937-C7B1-47D3-B67F-A62EFF666E3E}">
          <x14:id>{00C500C8-0067-4061-86B9-002300B000DE}</x14:id>
        </ext>
      </extLst>
    </cfRule>
  </conditionalFormatting>
  <conditionalFormatting sqref="Q32:Q40">
    <cfRule type="dataBar" priority="9">
      <dataBar>
        <cfvo type="num" val="0"/>
        <cfvo type="max"/>
        <color rgb="FFE87722"/>
      </dataBar>
      <extLst>
        <ext xmlns:x14="http://schemas.microsoft.com/office/spreadsheetml/2009/9/main" uri="{B025F937-C7B1-47D3-B67F-A62EFF666E3E}">
          <x14:id>{003C004F-008B-4888-A6B6-003A00F00064}</x14:id>
        </ext>
      </extLst>
    </cfRule>
  </conditionalFormatting>
  <conditionalFormatting sqref="Q42:Q43">
    <cfRule type="dataBar" priority="6">
      <dataBar>
        <cfvo type="num" val="0"/>
        <cfvo type="max"/>
        <color rgb="FFE87722"/>
      </dataBar>
      <extLst>
        <ext xmlns:x14="http://schemas.microsoft.com/office/spreadsheetml/2009/9/main" uri="{B025F937-C7B1-47D3-B67F-A62EFF666E3E}">
          <x14:id>{004A0057-0040-442A-BFF4-00C8002E0085}</x14:id>
        </ext>
      </extLst>
    </cfRule>
  </conditionalFormatting>
  <conditionalFormatting sqref="R27:R28">
    <cfRule type="dataBar" priority="2">
      <dataBar>
        <cfvo type="min"/>
        <cfvo type="max"/>
        <color theme="7" tint="0.39997558519241921"/>
      </dataBar>
      <extLst>
        <ext xmlns:x14="http://schemas.microsoft.com/office/spreadsheetml/2009/9/main" uri="{B025F937-C7B1-47D3-B67F-A62EFF666E3E}">
          <x14:id>{004F001B-005B-458D-B436-000C00020057}</x14:id>
        </ext>
      </extLst>
    </cfRule>
  </conditionalFormatting>
  <conditionalFormatting sqref="R32:R40">
    <cfRule type="dataBar" priority="10">
      <dataBar>
        <cfvo type="num" val="0"/>
        <cfvo type="max"/>
        <color theme="7" tint="0.39997558519241921"/>
      </dataBar>
      <extLst>
        <ext xmlns:x14="http://schemas.microsoft.com/office/spreadsheetml/2009/9/main" uri="{B025F937-C7B1-47D3-B67F-A62EFF666E3E}">
          <x14:id>{00570044-00B1-4593-A50C-0059009D0020}</x14:id>
        </ext>
      </extLst>
    </cfRule>
  </conditionalFormatting>
  <conditionalFormatting sqref="R42:R43">
    <cfRule type="dataBar" priority="1">
      <dataBar>
        <cfvo type="num" val="0"/>
        <cfvo type="max"/>
        <color theme="7" tint="0.39997558519241921"/>
      </dataBar>
      <extLst>
        <ext xmlns:x14="http://schemas.microsoft.com/office/spreadsheetml/2009/9/main" uri="{B025F937-C7B1-47D3-B67F-A62EFF666E3E}">
          <x14:id>{00340030-0067-40AF-A923-0057008E00F3}</x14:id>
        </ext>
      </extLst>
    </cfRule>
  </conditionalFormatting>
  <pageMargins left="0.7" right="0.7" top="0.75" bottom="0.75" header="0.3" footer="0.3"/>
  <pageSetup paperSize="9" orientation="portrait"/>
  <drawing r:id="rId1"/>
  <extLst>
    <ext xmlns:x14="http://schemas.microsoft.com/office/spreadsheetml/2009/9/main" uri="{78C0D931-6437-407d-A8EE-F0AAD7539E65}">
      <x14:conditionalFormattings>
        <x14:conditionalFormatting xmlns:xm="http://schemas.microsoft.com/office/excel/2006/main">
          <x14:cfRule type="dataBar" id="{00EE0010-0021-464E-BAEB-0072009800C2}">
            <x14:dataBar minLength="0" maxLength="100" gradient="0">
              <x14:cfvo type="num">
                <xm:f>0</xm:f>
              </x14:cfvo>
              <x14:cfvo type="autoMax"/>
              <x14:negativeFillColor indexed="2"/>
              <x14:axisColor indexed="64"/>
            </x14:dataBar>
          </x14:cfRule>
          <xm:sqref>P32:P40</xm:sqref>
        </x14:conditionalFormatting>
        <x14:conditionalFormatting xmlns:xm="http://schemas.microsoft.com/office/excel/2006/main">
          <x14:cfRule type="dataBar" id="{00C500C8-0067-4061-86B9-002300B000DE}">
            <x14:dataBar minLength="0" maxLength="100" gradient="0">
              <x14:cfvo type="num">
                <xm:f>0</xm:f>
              </x14:cfvo>
              <x14:cfvo type="autoMax"/>
              <x14:negativeFillColor indexed="2"/>
              <x14:axisColor indexed="64"/>
            </x14:dataBar>
          </x14:cfRule>
          <xm:sqref>P42:P43</xm:sqref>
        </x14:conditionalFormatting>
        <x14:conditionalFormatting xmlns:xm="http://schemas.microsoft.com/office/excel/2006/main">
          <x14:cfRule type="dataBar" id="{003C004F-008B-4888-A6B6-003A00F00064}">
            <x14:dataBar minLength="0" maxLength="100" gradient="0">
              <x14:cfvo type="num">
                <xm:f>0</xm:f>
              </x14:cfvo>
              <x14:cfvo type="autoMax"/>
              <x14:negativeFillColor indexed="2"/>
              <x14:axisColor indexed="64"/>
            </x14:dataBar>
          </x14:cfRule>
          <xm:sqref>Q32:Q40</xm:sqref>
        </x14:conditionalFormatting>
        <x14:conditionalFormatting xmlns:xm="http://schemas.microsoft.com/office/excel/2006/main">
          <x14:cfRule type="dataBar" id="{004A0057-0040-442A-BFF4-00C8002E0085}">
            <x14:dataBar minLength="0" maxLength="100" gradient="0">
              <x14:cfvo type="num">
                <xm:f>0</xm:f>
              </x14:cfvo>
              <x14:cfvo type="autoMax"/>
              <x14:negativeFillColor indexed="2"/>
              <x14:axisColor indexed="64"/>
            </x14:dataBar>
          </x14:cfRule>
          <xm:sqref>Q42:Q43</xm:sqref>
        </x14:conditionalFormatting>
        <x14:conditionalFormatting xmlns:xm="http://schemas.microsoft.com/office/excel/2006/main">
          <x14:cfRule type="dataBar" id="{004F001B-005B-458D-B436-000C00020057}">
            <x14:dataBar minLength="0" maxLength="100" gradient="0">
              <x14:cfvo type="autoMin"/>
              <x14:cfvo type="autoMax"/>
              <x14:negativeFillColor indexed="2"/>
              <x14:axisColor indexed="64"/>
            </x14:dataBar>
          </x14:cfRule>
          <xm:sqref>R27:R28</xm:sqref>
        </x14:conditionalFormatting>
        <x14:conditionalFormatting xmlns:xm="http://schemas.microsoft.com/office/excel/2006/main">
          <x14:cfRule type="dataBar" id="{00570044-00B1-4593-A50C-0059009D0020}">
            <x14:dataBar minLength="0" maxLength="100" gradient="0">
              <x14:cfvo type="num">
                <xm:f>0</xm:f>
              </x14:cfvo>
              <x14:cfvo type="autoMax"/>
              <x14:negativeFillColor indexed="2"/>
              <x14:axisColor indexed="64"/>
            </x14:dataBar>
          </x14:cfRule>
          <xm:sqref>R32:R40</xm:sqref>
        </x14:conditionalFormatting>
        <x14:conditionalFormatting xmlns:xm="http://schemas.microsoft.com/office/excel/2006/main">
          <x14:cfRule type="dataBar" id="{00340030-0067-40AF-A923-0057008E00F3}">
            <x14:dataBar minLength="0" maxLength="100" gradient="0">
              <x14:cfvo type="num">
                <xm:f>0</xm:f>
              </x14:cfvo>
              <x14:cfvo type="autoMax"/>
              <x14:negativeFillColor indexed="2"/>
              <x14:axisColor indexed="64"/>
            </x14:dataBar>
          </x14:cfRule>
          <xm:sqref>R42:R43</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A00-000000000000}">
          <x14:formula1>
            <xm:f>'Условные сокращения'!$M$11:$M$12</xm:f>
          </x14:formula1>
          <xm:sqref>N43 N32:N33</xm:sqref>
        </x14:dataValidation>
        <x14:dataValidation type="list" allowBlank="1" showInputMessage="1" showErrorMessage="1" xr:uid="{00000000-0002-0000-0A00-000001000000}">
          <x14:formula1>
            <xm:f>'Условные сокращения'!$I$11:$I$14</xm:f>
          </x14:formula1>
          <xm:sqref>N42 N40</xm:sqref>
        </x14:dataValidation>
        <x14:dataValidation type="list" allowBlank="1" showInputMessage="1" showErrorMessage="1" xr:uid="{00000000-0002-0000-0A00-000002000000}">
          <x14:formula1>
            <xm:f>'Условные сокращения'!$B$27:$B$30</xm:f>
          </x14:formula1>
          <xm:sqref>N34:N39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5">
    <tabColor theme="0"/>
  </sheetPr>
  <dimension ref="B1:K33"/>
  <sheetViews>
    <sheetView workbookViewId="0"/>
  </sheetViews>
  <sheetFormatPr defaultRowHeight="15.6"/>
  <cols>
    <col min="2" max="2" width="24.59765625" customWidth="1"/>
    <col min="3" max="3" width="57" customWidth="1"/>
    <col min="4" max="4" width="11.09765625" style="171" bestFit="1" customWidth="1"/>
    <col min="5" max="5" width="18" style="171" customWidth="1"/>
    <col min="6" max="6" width="18.8984375" style="214" customWidth="1"/>
    <col min="8" max="8" width="24.5" customWidth="1"/>
    <col min="9" max="9" width="85.59765625" customWidth="1"/>
    <col min="10" max="10" width="28.09765625" customWidth="1"/>
    <col min="11" max="11" width="46.5" customWidth="1"/>
  </cols>
  <sheetData>
    <row r="1" spans="2:11" ht="30.6" customHeight="1">
      <c r="B1" s="772" t="s">
        <v>937</v>
      </c>
      <c r="C1" s="773"/>
      <c r="D1" s="773"/>
      <c r="E1" s="774"/>
      <c r="F1" s="775"/>
      <c r="H1" s="764" t="s">
        <v>938</v>
      </c>
      <c r="I1" s="765"/>
      <c r="J1" s="766"/>
    </row>
    <row r="2" spans="2:11" ht="44.1" customHeight="1">
      <c r="B2" s="510" t="s">
        <v>939</v>
      </c>
      <c r="C2" s="511" t="s">
        <v>940</v>
      </c>
      <c r="D2" s="512" t="s">
        <v>941</v>
      </c>
      <c r="E2" s="513" t="s">
        <v>942</v>
      </c>
      <c r="F2" s="514" t="s">
        <v>943</v>
      </c>
      <c r="H2" s="515" t="s">
        <v>944</v>
      </c>
      <c r="I2" s="516" t="s">
        <v>945</v>
      </c>
      <c r="J2" s="514" t="s">
        <v>943</v>
      </c>
      <c r="K2" s="147" t="s">
        <v>325</v>
      </c>
    </row>
    <row r="3" spans="2:11" ht="90.75" customHeight="1">
      <c r="B3" s="761" t="s">
        <v>946</v>
      </c>
      <c r="C3" s="517" t="s">
        <v>947</v>
      </c>
      <c r="D3" s="518">
        <v>0.2</v>
      </c>
      <c r="E3" s="776">
        <v>0.15</v>
      </c>
      <c r="F3" s="519">
        <f>IF('Нормативное соответствие'!L75=5,Светофор!D3,0)</f>
        <v>0</v>
      </c>
      <c r="H3" s="761" t="s">
        <v>948</v>
      </c>
      <c r="I3" s="520" t="s">
        <v>949</v>
      </c>
      <c r="J3" s="519">
        <f>'Управление ИБ'!L62/5</f>
        <v>0</v>
      </c>
      <c r="K3" s="265" t="s">
        <v>950</v>
      </c>
    </row>
    <row r="4" spans="2:11" ht="65.400000000000006" customHeight="1">
      <c r="B4" s="762"/>
      <c r="C4" s="521" t="s">
        <v>951</v>
      </c>
      <c r="D4" s="522">
        <v>0.3</v>
      </c>
      <c r="E4" s="777"/>
      <c r="F4" s="519">
        <f>IF('Нормативное соответствие'!L76=5,Светофор!D4,0)</f>
        <v>0</v>
      </c>
      <c r="H4" s="762"/>
      <c r="I4" s="523" t="s">
        <v>952</v>
      </c>
      <c r="J4" s="519">
        <f>'Управление ИБ'!L63/5</f>
        <v>0</v>
      </c>
      <c r="K4" s="265" t="s">
        <v>953</v>
      </c>
    </row>
    <row r="5" spans="2:11" ht="57" customHeight="1">
      <c r="B5" s="762"/>
      <c r="C5" s="517" t="s">
        <v>954</v>
      </c>
      <c r="D5" s="518">
        <v>0.4</v>
      </c>
      <c r="E5" s="777"/>
      <c r="F5" s="519">
        <f>IF('Управление ИБ'!L107=5,D5,('Управление ИБ'!L107/5)*D5)</f>
        <v>0</v>
      </c>
      <c r="H5" s="762"/>
      <c r="I5" s="520" t="s">
        <v>955</v>
      </c>
      <c r="J5" s="519">
        <f>'Управление ИБ'!L61/5</f>
        <v>0</v>
      </c>
      <c r="K5" s="160"/>
    </row>
    <row r="6" spans="2:11" ht="63.6" customHeight="1">
      <c r="B6" s="763"/>
      <c r="C6" s="521" t="s">
        <v>956</v>
      </c>
      <c r="D6" s="522">
        <v>0.1</v>
      </c>
      <c r="E6" s="778"/>
      <c r="F6" s="519">
        <f>IF('Нормативное соответствие'!N89&gt;=95%,1,D6*'Нормативное соответствие'!N89)</f>
        <v>1</v>
      </c>
      <c r="H6" s="762"/>
      <c r="I6" s="524" t="s">
        <v>957</v>
      </c>
      <c r="J6" s="525">
        <f>IF(AND('Управление ИБ'!L64=5,'Управление ИБ'!L65=5,'Управление ИБ'!L66=5),1,(ROUNDDOWN(('Управление ИБ'!L64+'Управление ИБ'!L65+'Управление ИБ'!L66)/15,1)))</f>
        <v>0</v>
      </c>
      <c r="K6" s="160"/>
    </row>
    <row r="7" spans="2:11" ht="50.4" customHeight="1">
      <c r="B7" s="767" t="s">
        <v>958</v>
      </c>
      <c r="C7" s="517" t="s">
        <v>959</v>
      </c>
      <c r="D7" s="518">
        <v>0.3</v>
      </c>
      <c r="E7" s="776">
        <v>0.2</v>
      </c>
      <c r="F7" s="526">
        <f>'Управление ИБ'!L175/5*D7</f>
        <v>0</v>
      </c>
      <c r="H7" s="762"/>
      <c r="I7" s="527" t="s">
        <v>960</v>
      </c>
      <c r="J7" s="519">
        <f>ROUNDDOWN(('Управление ИБ'!L72+'Управление ИБ'!L74+'Управление ИБ'!L76)/15,1)</f>
        <v>0</v>
      </c>
      <c r="K7" s="160"/>
    </row>
    <row r="8" spans="2:11" ht="50.4" customHeight="1">
      <c r="B8" s="768"/>
      <c r="C8" s="521" t="s">
        <v>961</v>
      </c>
      <c r="D8" s="522">
        <v>0.4</v>
      </c>
      <c r="E8" s="777"/>
      <c r="F8" s="519">
        <f>СЗИ!L30/5*D8</f>
        <v>0</v>
      </c>
      <c r="H8" s="762"/>
      <c r="I8" s="524" t="s">
        <v>962</v>
      </c>
      <c r="J8" s="519">
        <f>'Нормативное соответствие'!L62/5</f>
        <v>0</v>
      </c>
      <c r="K8" s="484"/>
    </row>
    <row r="9" spans="2:11" ht="44.1" customHeight="1">
      <c r="B9" s="769"/>
      <c r="C9" s="517" t="s">
        <v>963</v>
      </c>
      <c r="D9" s="518">
        <v>0.3</v>
      </c>
      <c r="E9" s="778"/>
      <c r="F9" s="519">
        <f>'Управление ИБ'!L178/5*D9</f>
        <v>0</v>
      </c>
      <c r="H9" s="762"/>
      <c r="I9" s="527" t="s">
        <v>964</v>
      </c>
      <c r="J9" s="519">
        <f>IF('Управление ИБ'!L107&gt;0,1,0)</f>
        <v>0</v>
      </c>
      <c r="K9" s="160"/>
    </row>
    <row r="10" spans="2:11" ht="47.1" customHeight="1">
      <c r="B10" s="761" t="s">
        <v>965</v>
      </c>
      <c r="C10" s="521" t="s">
        <v>966</v>
      </c>
      <c r="D10" s="522">
        <v>0.2</v>
      </c>
      <c r="E10" s="780">
        <v>0.35</v>
      </c>
      <c r="F10" s="519">
        <f>СЗИ!L76/5*D10</f>
        <v>0</v>
      </c>
      <c r="H10" s="761" t="s">
        <v>967</v>
      </c>
      <c r="I10" s="524" t="s">
        <v>968</v>
      </c>
      <c r="J10" s="519">
        <f>IF('Управление ИБ'!L164&gt;0,IF('Управление ИБ'!L165&gt;0,IF(СЗИ!L65&gt;0,1,0.6),0.3),0)</f>
        <v>0</v>
      </c>
      <c r="K10" s="160"/>
    </row>
    <row r="11" spans="2:11" ht="45.6" customHeight="1">
      <c r="B11" s="762"/>
      <c r="C11" s="517" t="s">
        <v>969</v>
      </c>
      <c r="D11" s="518">
        <v>0.2</v>
      </c>
      <c r="E11" s="781"/>
      <c r="F11" s="519">
        <f>СЗИ!L31/5*D11</f>
        <v>0</v>
      </c>
      <c r="H11" s="762"/>
      <c r="I11" s="520" t="s">
        <v>970</v>
      </c>
      <c r="J11" s="519">
        <f>IF('Управление ИБ'!L178&gt;0,IF(AND(СЗИ!L56&gt;0,СЗИ!L57&gt;0),1,0.6),0)</f>
        <v>0</v>
      </c>
      <c r="K11" s="160"/>
    </row>
    <row r="12" spans="2:11" ht="28.35" customHeight="1">
      <c r="B12" s="762"/>
      <c r="C12" s="521" t="s">
        <v>971</v>
      </c>
      <c r="D12" s="522">
        <v>0.15</v>
      </c>
      <c r="E12" s="781"/>
      <c r="F12" s="519">
        <f>СЗИ!L37/5*D12</f>
        <v>0</v>
      </c>
      <c r="H12" s="762"/>
      <c r="I12" s="523" t="s">
        <v>972</v>
      </c>
      <c r="J12" s="519">
        <f>IF(AND('Управление ИБ'!L164&gt;0,'Управление ИБ'!L175&gt;0),IF('Управление ИБ'!L168&gt;0,IF('Управление ИБ'!L169&gt;0,1,0.6),0.3),0)</f>
        <v>0</v>
      </c>
      <c r="K12" s="160" t="s">
        <v>973</v>
      </c>
    </row>
    <row r="13" spans="2:11" ht="46.35" customHeight="1">
      <c r="B13" s="762"/>
      <c r="C13" s="517" t="s">
        <v>974</v>
      </c>
      <c r="D13" s="518">
        <v>7.4999999999999997E-2</v>
      </c>
      <c r="E13" s="781"/>
      <c r="F13" s="528">
        <f>IF('Управление ИБ'!L45/5&gt;=0.85,D13,'Управление ИБ'!L45/5*D13)</f>
        <v>0</v>
      </c>
      <c r="H13" s="762"/>
      <c r="I13" s="529" t="s">
        <v>975</v>
      </c>
      <c r="J13" s="530">
        <f>IF(СЗИ!L88=0,0,IF(СЗИ!L88=1,0.4,IF(СЗИ!L88=2,0.6,IF(СЗИ!L88=3,0.7,IF(СЗИ!L88=4,1,0)))))</f>
        <v>0</v>
      </c>
      <c r="K13" s="160" t="s">
        <v>976</v>
      </c>
    </row>
    <row r="14" spans="2:11" ht="36.6" customHeight="1">
      <c r="B14" s="762"/>
      <c r="C14" s="521" t="s">
        <v>977</v>
      </c>
      <c r="D14" s="531">
        <v>0.15</v>
      </c>
      <c r="E14" s="781"/>
      <c r="F14" s="519">
        <f>СЗИ!L38/5*D14</f>
        <v>0</v>
      </c>
      <c r="H14" s="762"/>
      <c r="I14" s="523" t="s">
        <v>978</v>
      </c>
      <c r="J14" s="519">
        <f>IF('Управление ИБ'!L134=0,0,IF('Управление ИБ'!L134=1.6,0.3,IF('Управление ИБ'!L134=3.2,0.5,1)))</f>
        <v>0</v>
      </c>
      <c r="K14" s="160" t="s">
        <v>979</v>
      </c>
    </row>
    <row r="15" spans="2:11" ht="42" customHeight="1">
      <c r="B15" s="762"/>
      <c r="C15" s="517" t="s">
        <v>980</v>
      </c>
      <c r="D15" s="518">
        <v>0.15</v>
      </c>
      <c r="E15" s="781"/>
      <c r="F15" s="519">
        <f>СЗИ!L39/5*D15</f>
        <v>0</v>
      </c>
      <c r="H15" s="762"/>
      <c r="I15" s="520" t="s">
        <v>981</v>
      </c>
      <c r="J15" s="519">
        <f>IF(OR('Управление ИБ'!L101=0,'Управление ИБ'!L101=1),0,IF(AND('Управление ИБ'!L101=2,'Управление ИБ'!L115=0),0.3,IF(AND('Управление ИБ'!L101=2,'Управление ИБ'!L115&gt;0),0.5,IF(AND('Управление ИБ'!L101=2,'Управление ИБ'!L115&gt;0,'Управление ИБ'!L185&gt;0),0.7,IF(AND('Управление ИБ'!L101&gt;2,'Управление ИБ'!L115&gt;0,'Управление ИБ'!L185&gt;0),1,"ОШИБКА")))))</f>
        <v>0</v>
      </c>
      <c r="K15" s="160" t="s">
        <v>982</v>
      </c>
    </row>
    <row r="16" spans="2:11" ht="51.6" customHeight="1">
      <c r="B16" s="763"/>
      <c r="C16" s="521" t="s">
        <v>983</v>
      </c>
      <c r="D16" s="522">
        <v>7.4999999999999997E-2</v>
      </c>
      <c r="E16" s="782"/>
      <c r="F16" s="528">
        <f>СЗИ!L47/5*D16</f>
        <v>0</v>
      </c>
      <c r="H16" s="762"/>
      <c r="I16" s="523" t="s">
        <v>984</v>
      </c>
      <c r="J16" s="519">
        <f>IF('Управление ИБ'!L113=0,0,IF(AND(Восстановление!L35&gt;0,'Управление ИБ'!L104=1),0.6,IF(AND(Восстановление!L35&gt;0,'Управление ИБ'!L104&gt;1),1,"0,3")))</f>
        <v>0</v>
      </c>
      <c r="K16" s="160"/>
    </row>
    <row r="17" spans="2:11" ht="42.6" customHeight="1">
      <c r="B17" s="767" t="s">
        <v>985</v>
      </c>
      <c r="C17" s="517" t="s">
        <v>986</v>
      </c>
      <c r="D17" s="518">
        <v>0.4</v>
      </c>
      <c r="E17" s="776">
        <v>0.3</v>
      </c>
      <c r="F17" s="519">
        <f>Мониторинг!L56/5*D17</f>
        <v>0</v>
      </c>
      <c r="H17" s="762"/>
      <c r="I17" s="520" t="s">
        <v>987</v>
      </c>
      <c r="J17" s="532">
        <f>IF(Мониторинг!L63=0,0,IF(Мониторинг!L63=1,0.4,IF(Мониторинг!L63=2,0.8,IF(Мониторинг!L63&gt;2,1,1))))</f>
        <v>0</v>
      </c>
      <c r="K17" s="484"/>
    </row>
    <row r="18" spans="2:11" ht="52.35" customHeight="1">
      <c r="B18" s="770"/>
      <c r="C18" s="521" t="s">
        <v>988</v>
      </c>
      <c r="D18" s="531">
        <v>0.3</v>
      </c>
      <c r="E18" s="777"/>
      <c r="F18" s="519">
        <f>AVERAGE(Мониторинг!L47,Мониторинг!L52)/5*D18</f>
        <v>0</v>
      </c>
      <c r="H18" s="762"/>
      <c r="I18" s="523" t="s">
        <v>989</v>
      </c>
      <c r="J18" s="533">
        <f>IF(Реагирование!L39=0,0,IF(Реагирование!L39=1,0.3,IF(Реагирование!L39&gt;=2,IF(Реагирование!L47&gt;0,IF(Реагирование!L53&gt;0,IF(Восстановление!L32,IF(Реагирование!L54&gt;2,1,0.8),0.7),0.6),0.3),0)))</f>
        <v>0</v>
      </c>
      <c r="K18" s="484" t="s">
        <v>990</v>
      </c>
    </row>
    <row r="19" spans="2:11" ht="30" customHeight="1">
      <c r="B19" s="771"/>
      <c r="C19" s="534" t="s">
        <v>991</v>
      </c>
      <c r="D19" s="535">
        <v>0.3</v>
      </c>
      <c r="E19" s="779"/>
      <c r="F19" s="536">
        <f>'250'!L80/5*D19</f>
        <v>0</v>
      </c>
      <c r="H19" s="762"/>
      <c r="I19" s="520" t="s">
        <v>992</v>
      </c>
      <c r="J19" s="533">
        <f>IF(Восстановление!L34=0,0,IF(Восстановление!L38=0,0.3,IF(Восстановление!L40=0,0.6,IF(AND(Восстановление!L42&gt;0,'Управление ИБ'!L68&gt;0),1,0.8))))</f>
        <v>0</v>
      </c>
      <c r="K19" s="160"/>
    </row>
    <row r="20" spans="2:11" ht="30.6" customHeight="1">
      <c r="B20" s="537"/>
      <c r="C20" s="538"/>
      <c r="D20" s="539"/>
      <c r="E20" s="539"/>
      <c r="F20" s="539">
        <f>(F19+F18+F17)*$E$17+SUM(F10:F16)*$E$10+SUM(F7:F9)*$E$7+SUM(F3:F6)*$E$3</f>
        <v>0.15</v>
      </c>
      <c r="H20" s="762"/>
      <c r="I20" s="523" t="s">
        <v>993</v>
      </c>
      <c r="J20" s="532">
        <f>IF(AND('Управление ИБ'!L154&gt;2,'Управление ИБ'!L68&gt;2),1,IF('Управление ИБ'!L154&gt;2,0.9,0))</f>
        <v>0</v>
      </c>
      <c r="K20" s="484" t="s">
        <v>994</v>
      </c>
    </row>
    <row r="21" spans="2:11" ht="29.1" customHeight="1">
      <c r="B21" s="537"/>
      <c r="C21" s="538"/>
      <c r="D21" s="540"/>
      <c r="E21" s="540"/>
      <c r="F21" s="541"/>
      <c r="H21" s="762"/>
      <c r="I21" s="520" t="s">
        <v>995</v>
      </c>
      <c r="J21" s="532">
        <f>IF('Управление ИБ'!L54=0,0,IF('Управление ИБ'!L54=1.6,0.8,IF('Управление ИБ'!L54=3.2,0.9,1)))</f>
        <v>0</v>
      </c>
      <c r="K21" s="484" t="s">
        <v>996</v>
      </c>
    </row>
    <row r="22" spans="2:11" ht="33.6" customHeight="1">
      <c r="H22" s="762"/>
      <c r="I22" s="523" t="s">
        <v>997</v>
      </c>
      <c r="J22" s="532">
        <f>IF(СЗИ!L76&gt;0,1,0)</f>
        <v>0</v>
      </c>
      <c r="K22" s="160"/>
    </row>
    <row r="23" spans="2:11" ht="31.2">
      <c r="H23" s="762"/>
      <c r="I23" s="520" t="s">
        <v>998</v>
      </c>
      <c r="J23" s="542">
        <f>IF(СЗИ!L62&gt;2,1,0)</f>
        <v>0</v>
      </c>
      <c r="K23" s="484" t="s">
        <v>999</v>
      </c>
    </row>
    <row r="24" spans="2:11" ht="59.4" customHeight="1">
      <c r="H24" s="762"/>
      <c r="I24" s="524" t="s">
        <v>1000</v>
      </c>
      <c r="J24" s="542">
        <f>IF(СЗИ!L88&gt;2,1,0)</f>
        <v>0</v>
      </c>
      <c r="K24" s="484"/>
    </row>
    <row r="25" spans="2:11" ht="39.6" customHeight="1">
      <c r="H25" s="762"/>
      <c r="I25" s="520" t="s">
        <v>1001</v>
      </c>
      <c r="J25" s="542" t="e">
        <f>IF(СЗИ!#REF!&gt;2,1,0)</f>
        <v>#REF!</v>
      </c>
      <c r="K25" s="160"/>
    </row>
    <row r="26" spans="2:11" ht="33" customHeight="1">
      <c r="H26" s="762"/>
      <c r="I26" s="523" t="s">
        <v>1002</v>
      </c>
      <c r="J26" s="542">
        <f>IF(СЗИ!L96&gt;2,1,0)</f>
        <v>0</v>
      </c>
      <c r="K26" s="160"/>
    </row>
    <row r="27" spans="2:11" ht="53.4" customHeight="1">
      <c r="H27" s="762"/>
      <c r="I27" s="520" t="s">
        <v>1003</v>
      </c>
      <c r="J27" s="542">
        <f>IF(СЗИ!L48&gt;0,1,0)</f>
        <v>0</v>
      </c>
      <c r="K27" s="160"/>
    </row>
    <row r="28" spans="2:11" ht="54" customHeight="1">
      <c r="H28" s="762"/>
      <c r="I28" s="523" t="s">
        <v>1004</v>
      </c>
      <c r="J28" s="543"/>
      <c r="K28" s="160" t="s">
        <v>1005</v>
      </c>
    </row>
    <row r="29" spans="2:11" ht="32.4" customHeight="1">
      <c r="H29" s="762"/>
      <c r="I29" s="520" t="s">
        <v>1006</v>
      </c>
      <c r="J29" s="543"/>
      <c r="K29" s="160" t="s">
        <v>1005</v>
      </c>
    </row>
    <row r="30" spans="2:11" ht="30.6" customHeight="1">
      <c r="H30" s="762"/>
      <c r="I30" s="524" t="s">
        <v>1007</v>
      </c>
      <c r="J30" s="543"/>
      <c r="K30" s="160" t="s">
        <v>1005</v>
      </c>
    </row>
    <row r="31" spans="2:11" ht="25.35" customHeight="1">
      <c r="H31" s="763"/>
      <c r="I31" s="529" t="s">
        <v>1008</v>
      </c>
      <c r="J31" s="544">
        <f>IF('Управление ИБ'!L67&gt;2,1,0)</f>
        <v>0</v>
      </c>
    </row>
    <row r="32" spans="2:11" ht="29.4" customHeight="1">
      <c r="I32" s="545" t="s">
        <v>1009</v>
      </c>
      <c r="J32" s="546" t="e">
        <f>SUM(J3:J31)</f>
        <v>#REF!</v>
      </c>
    </row>
    <row r="33" spans="9:10" ht="18">
      <c r="I33" s="545" t="s">
        <v>1010</v>
      </c>
      <c r="J33" s="547" t="e">
        <f>IF(AND(J3&gt;0,J5&gt;0,J6&gt;0,J7&gt;0,J8&gt;0,J10&gt;0,J12&gt;0,J13&gt;0,J14&gt;0,J15&gt;0,J17&gt;0,J18&gt;0,J19&gt;0,J20&gt;0,J21&gt;0,J23&gt;0,J24&gt;0,J25&gt;0,J26&gt;0,J27&gt;0),J32,0)</f>
        <v>#REF!</v>
      </c>
    </row>
  </sheetData>
  <mergeCells count="12">
    <mergeCell ref="H3:H9"/>
    <mergeCell ref="H10:H31"/>
    <mergeCell ref="H1:J1"/>
    <mergeCell ref="B7:B9"/>
    <mergeCell ref="B10:B16"/>
    <mergeCell ref="B17:B19"/>
    <mergeCell ref="B1:F1"/>
    <mergeCell ref="B3:B6"/>
    <mergeCell ref="E3:E6"/>
    <mergeCell ref="E17:E19"/>
    <mergeCell ref="E10:E16"/>
    <mergeCell ref="E7:E9"/>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3"/>
  <dimension ref="A2:S51"/>
  <sheetViews>
    <sheetView workbookViewId="0"/>
  </sheetViews>
  <sheetFormatPr defaultRowHeight="15.6"/>
  <cols>
    <col min="2" max="2" width="9" bestFit="1" customWidth="1"/>
    <col min="3" max="3" width="10.5" bestFit="1" customWidth="1"/>
    <col min="4" max="4" width="16.59765625" bestFit="1" customWidth="1"/>
    <col min="10" max="10" width="15.5" bestFit="1" customWidth="1"/>
    <col min="11" max="11" width="15.5" customWidth="1"/>
    <col min="14" max="14" width="28" customWidth="1"/>
    <col min="15" max="15" width="13.59765625" customWidth="1"/>
  </cols>
  <sheetData>
    <row r="2" spans="1:18" ht="23.4">
      <c r="A2" s="548"/>
      <c r="B2" s="549"/>
      <c r="C2" s="550"/>
      <c r="D2" s="551"/>
      <c r="E2" s="785" t="s">
        <v>1011</v>
      </c>
      <c r="F2" s="786"/>
      <c r="G2" s="786"/>
      <c r="H2" s="551"/>
      <c r="I2" s="551"/>
      <c r="J2" s="552"/>
      <c r="M2" s="553"/>
      <c r="N2" s="787" t="s">
        <v>1012</v>
      </c>
      <c r="O2" s="787"/>
      <c r="P2" s="787"/>
    </row>
    <row r="3" spans="1:18">
      <c r="A3" s="554">
        <v>0</v>
      </c>
      <c r="B3" t="s">
        <v>1013</v>
      </c>
      <c r="J3" s="555"/>
      <c r="M3" s="554">
        <v>0</v>
      </c>
      <c r="N3" s="243" t="s">
        <v>359</v>
      </c>
      <c r="O3" s="243"/>
    </row>
    <row r="4" spans="1:18" ht="39.75" customHeight="1">
      <c r="A4" s="554">
        <v>1</v>
      </c>
      <c r="B4" t="s">
        <v>1014</v>
      </c>
      <c r="J4" s="555"/>
      <c r="M4" s="554">
        <v>1</v>
      </c>
      <c r="N4" s="243" t="s">
        <v>1015</v>
      </c>
      <c r="P4" s="556"/>
    </row>
    <row r="5" spans="1:18">
      <c r="A5" s="554">
        <v>2</v>
      </c>
      <c r="B5" t="s">
        <v>1016</v>
      </c>
      <c r="J5" s="555"/>
      <c r="M5" s="554">
        <v>2</v>
      </c>
      <c r="N5" s="243" t="s">
        <v>1017</v>
      </c>
      <c r="P5" s="556"/>
    </row>
    <row r="6" spans="1:18">
      <c r="A6" s="554">
        <v>3</v>
      </c>
      <c r="B6" t="s">
        <v>1018</v>
      </c>
      <c r="J6" s="555"/>
      <c r="M6" s="554">
        <v>3</v>
      </c>
      <c r="N6" s="243" t="s">
        <v>1019</v>
      </c>
      <c r="P6" s="556"/>
    </row>
    <row r="7" spans="1:18">
      <c r="A7" s="554">
        <v>4</v>
      </c>
      <c r="B7" t="s">
        <v>1020</v>
      </c>
      <c r="J7" s="555"/>
      <c r="M7" s="554">
        <v>4</v>
      </c>
      <c r="N7" s="243" t="s">
        <v>1021</v>
      </c>
      <c r="P7" s="556"/>
    </row>
    <row r="8" spans="1:18">
      <c r="A8" s="557">
        <v>5</v>
      </c>
      <c r="B8" s="558" t="s">
        <v>1022</v>
      </c>
      <c r="C8" s="558"/>
      <c r="D8" s="558"/>
      <c r="E8" s="558"/>
      <c r="F8" s="558"/>
      <c r="G8" s="558"/>
      <c r="H8" s="558"/>
      <c r="I8" s="558"/>
      <c r="J8" s="559"/>
      <c r="M8" s="557">
        <v>5</v>
      </c>
      <c r="N8" s="243" t="s">
        <v>1023</v>
      </c>
      <c r="P8" s="556"/>
    </row>
    <row r="10" spans="1:18" ht="21">
      <c r="A10" s="553"/>
      <c r="B10" s="551"/>
      <c r="C10" s="787" t="s">
        <v>1024</v>
      </c>
      <c r="D10" s="787"/>
      <c r="E10" s="552"/>
      <c r="H10" s="788" t="s">
        <v>1025</v>
      </c>
      <c r="I10" s="787"/>
      <c r="J10" s="789"/>
      <c r="L10" s="788" t="s">
        <v>1026</v>
      </c>
      <c r="M10" s="787"/>
      <c r="N10" s="789"/>
    </row>
    <row r="11" spans="1:18">
      <c r="A11" s="554">
        <v>0</v>
      </c>
      <c r="B11" s="790" t="s">
        <v>1027</v>
      </c>
      <c r="C11" s="790"/>
      <c r="D11" s="63"/>
      <c r="E11" s="560"/>
      <c r="H11" s="554">
        <v>0</v>
      </c>
      <c r="I11" s="561" t="s">
        <v>331</v>
      </c>
      <c r="J11" s="555"/>
      <c r="L11" s="554">
        <v>0</v>
      </c>
      <c r="M11" s="561" t="s">
        <v>331</v>
      </c>
      <c r="N11" s="562" t="s">
        <v>25</v>
      </c>
    </row>
    <row r="12" spans="1:18">
      <c r="A12" s="554">
        <v>1</v>
      </c>
      <c r="B12" s="790" t="s">
        <v>1028</v>
      </c>
      <c r="C12" s="790"/>
      <c r="D12" s="790"/>
      <c r="E12" s="560"/>
      <c r="H12" s="554">
        <v>1.6</v>
      </c>
      <c r="I12" s="561" t="s">
        <v>1029</v>
      </c>
      <c r="J12" s="555"/>
      <c r="L12" s="557">
        <v>5</v>
      </c>
      <c r="M12" s="563" t="s">
        <v>1030</v>
      </c>
      <c r="N12" s="564" t="s">
        <v>14</v>
      </c>
    </row>
    <row r="13" spans="1:18">
      <c r="A13" s="554">
        <v>2</v>
      </c>
      <c r="B13" s="790" t="s">
        <v>1031</v>
      </c>
      <c r="C13" s="790"/>
      <c r="D13" s="790"/>
      <c r="E13" s="791"/>
      <c r="H13" s="554">
        <v>3.2</v>
      </c>
      <c r="I13" s="63" t="s">
        <v>1032</v>
      </c>
      <c r="J13" s="555"/>
      <c r="M13" t="s">
        <v>1211</v>
      </c>
      <c r="R13" s="565" t="s">
        <v>1033</v>
      </c>
    </row>
    <row r="14" spans="1:18">
      <c r="A14" s="554">
        <v>3</v>
      </c>
      <c r="B14" s="790" t="s">
        <v>1034</v>
      </c>
      <c r="C14" s="790"/>
      <c r="D14" s="790"/>
      <c r="E14" s="560"/>
      <c r="H14" s="557">
        <v>5</v>
      </c>
      <c r="I14" s="563" t="s">
        <v>1030</v>
      </c>
      <c r="J14" s="559"/>
      <c r="R14" t="s">
        <v>1035</v>
      </c>
    </row>
    <row r="15" spans="1:18">
      <c r="A15" s="554">
        <v>4</v>
      </c>
      <c r="B15" s="790" t="s">
        <v>1036</v>
      </c>
      <c r="C15" s="790"/>
      <c r="D15" s="63"/>
      <c r="E15" s="560"/>
      <c r="R15" t="s">
        <v>1037</v>
      </c>
    </row>
    <row r="16" spans="1:18" ht="21">
      <c r="A16" s="557">
        <v>5</v>
      </c>
      <c r="B16" s="792" t="s">
        <v>1038</v>
      </c>
      <c r="C16" s="792"/>
      <c r="D16" s="792"/>
      <c r="E16" s="566"/>
      <c r="I16" s="243"/>
      <c r="L16" s="788" t="s">
        <v>1039</v>
      </c>
      <c r="M16" s="787"/>
      <c r="N16" s="789"/>
      <c r="R16" t="s">
        <v>1040</v>
      </c>
    </row>
    <row r="17" spans="2:16">
      <c r="L17" s="554">
        <v>0</v>
      </c>
      <c r="M17" s="561" t="s">
        <v>1041</v>
      </c>
      <c r="N17" s="555"/>
    </row>
    <row r="18" spans="2:16" ht="23.4">
      <c r="B18" s="783" t="s">
        <v>1042</v>
      </c>
      <c r="C18" s="784"/>
      <c r="D18" s="784"/>
      <c r="E18" s="784"/>
      <c r="F18" s="784"/>
      <c r="G18" s="784"/>
      <c r="H18" s="784"/>
      <c r="I18" s="784"/>
      <c r="L18" s="557">
        <v>5</v>
      </c>
      <c r="M18" s="563" t="s">
        <v>1043</v>
      </c>
      <c r="N18" s="559"/>
    </row>
    <row r="19" spans="2:16">
      <c r="B19" s="567" t="s">
        <v>469</v>
      </c>
    </row>
    <row r="20" spans="2:16">
      <c r="B20" s="567" t="s">
        <v>1044</v>
      </c>
    </row>
    <row r="21" spans="2:16" ht="21">
      <c r="B21" s="567" t="s">
        <v>1045</v>
      </c>
      <c r="M21" s="553"/>
      <c r="N21" s="787" t="s">
        <v>1046</v>
      </c>
      <c r="O21" s="787"/>
      <c r="P21" s="787"/>
    </row>
    <row r="22" spans="2:16">
      <c r="B22" s="567" t="s">
        <v>1047</v>
      </c>
      <c r="M22" s="554">
        <v>0</v>
      </c>
      <c r="N22" s="243">
        <v>0</v>
      </c>
      <c r="O22" s="243"/>
    </row>
    <row r="23" spans="2:16">
      <c r="B23" s="537"/>
      <c r="M23" s="554">
        <v>1</v>
      </c>
      <c r="N23" s="243">
        <v>1</v>
      </c>
      <c r="P23" s="556"/>
    </row>
    <row r="24" spans="2:16">
      <c r="B24" s="537"/>
      <c r="M24" s="554">
        <v>2</v>
      </c>
      <c r="N24" s="243">
        <v>2</v>
      </c>
      <c r="P24" s="556"/>
    </row>
    <row r="25" spans="2:16">
      <c r="B25" s="537"/>
      <c r="M25" s="554">
        <v>3</v>
      </c>
      <c r="N25" s="243">
        <v>3</v>
      </c>
      <c r="P25" s="556"/>
    </row>
    <row r="26" spans="2:16" ht="23.4">
      <c r="B26" s="783" t="s">
        <v>1048</v>
      </c>
      <c r="C26" s="784"/>
      <c r="D26" s="784"/>
      <c r="E26" s="784"/>
      <c r="F26" s="784"/>
      <c r="G26" s="784"/>
      <c r="H26" s="784"/>
      <c r="I26" s="784"/>
      <c r="M26" s="554">
        <v>4</v>
      </c>
      <c r="N26" s="243">
        <v>4</v>
      </c>
      <c r="P26" s="556"/>
    </row>
    <row r="27" spans="2:16">
      <c r="B27" s="567" t="s">
        <v>349</v>
      </c>
      <c r="M27" s="557">
        <v>5</v>
      </c>
      <c r="N27" s="243">
        <v>5</v>
      </c>
      <c r="P27" s="556"/>
    </row>
    <row r="28" spans="2:16">
      <c r="B28" s="567" t="s">
        <v>1049</v>
      </c>
    </row>
    <row r="29" spans="2:16" ht="21">
      <c r="B29" s="567" t="s">
        <v>1050</v>
      </c>
      <c r="L29" s="788" t="s">
        <v>1039</v>
      </c>
      <c r="M29" s="787"/>
      <c r="N29" s="789"/>
    </row>
    <row r="30" spans="2:16">
      <c r="B30" s="567" t="s">
        <v>1051</v>
      </c>
      <c r="L30" s="554">
        <v>0</v>
      </c>
      <c r="M30" s="561" t="s">
        <v>1052</v>
      </c>
      <c r="N30" s="555"/>
    </row>
    <row r="31" spans="2:16">
      <c r="B31" t="s">
        <v>1212</v>
      </c>
      <c r="L31" s="557">
        <v>1</v>
      </c>
      <c r="M31" s="563" t="s">
        <v>1053</v>
      </c>
      <c r="N31" s="559"/>
    </row>
    <row r="32" spans="2:16">
      <c r="B32" s="537"/>
    </row>
    <row r="33" spans="2:19">
      <c r="B33" s="537"/>
    </row>
    <row r="34" spans="2:19" ht="23.4">
      <c r="B34" s="783" t="s">
        <v>1054</v>
      </c>
      <c r="C34" s="784"/>
      <c r="D34" s="784"/>
      <c r="E34" s="784"/>
      <c r="F34" s="784"/>
      <c r="G34" s="784"/>
      <c r="H34" s="784"/>
      <c r="I34" s="784"/>
      <c r="L34" s="788" t="s">
        <v>1039</v>
      </c>
      <c r="M34" s="787"/>
      <c r="N34" s="789"/>
    </row>
    <row r="35" spans="2:19">
      <c r="B35" s="567" t="s">
        <v>769</v>
      </c>
      <c r="L35" s="568"/>
      <c r="M35" s="569" t="s">
        <v>1055</v>
      </c>
      <c r="N35" s="552"/>
    </row>
    <row r="36" spans="2:19">
      <c r="B36" s="567" t="s">
        <v>1056</v>
      </c>
      <c r="L36" s="554"/>
      <c r="M36" s="243" t="s">
        <v>1057</v>
      </c>
      <c r="N36" s="555"/>
    </row>
    <row r="37" spans="2:19">
      <c r="B37" s="567" t="s">
        <v>1058</v>
      </c>
      <c r="L37" s="557"/>
      <c r="M37" s="570" t="s">
        <v>12</v>
      </c>
      <c r="N37" s="559"/>
    </row>
    <row r="38" spans="2:19">
      <c r="B38" s="537"/>
    </row>
    <row r="39" spans="2:19">
      <c r="B39" s="537"/>
    </row>
    <row r="40" spans="2:19" ht="21">
      <c r="B40" s="537"/>
      <c r="L40" s="788" t="s">
        <v>1059</v>
      </c>
      <c r="M40" s="787"/>
      <c r="N40" s="789"/>
    </row>
    <row r="41" spans="2:19" ht="23.4">
      <c r="B41" s="783" t="s">
        <v>1060</v>
      </c>
      <c r="C41" s="784"/>
      <c r="D41" s="784"/>
      <c r="E41" s="784"/>
      <c r="F41" s="784"/>
      <c r="G41" s="784"/>
      <c r="H41" s="784"/>
      <c r="I41" s="784"/>
      <c r="L41" s="553"/>
      <c r="M41" s="571" t="s">
        <v>783</v>
      </c>
      <c r="N41" s="552"/>
    </row>
    <row r="42" spans="2:19">
      <c r="B42" s="567" t="s">
        <v>1061</v>
      </c>
      <c r="L42" s="554"/>
      <c r="M42" s="368" t="s">
        <v>1062</v>
      </c>
      <c r="N42" s="555"/>
    </row>
    <row r="43" spans="2:19">
      <c r="B43" s="567" t="s">
        <v>1063</v>
      </c>
      <c r="L43" s="554"/>
      <c r="M43" s="368" t="s">
        <v>1064</v>
      </c>
      <c r="N43" s="555"/>
    </row>
    <row r="44" spans="2:19">
      <c r="B44" s="567" t="s">
        <v>1065</v>
      </c>
      <c r="L44" s="554"/>
      <c r="M44" s="367" t="s">
        <v>1066</v>
      </c>
      <c r="N44" s="555"/>
    </row>
    <row r="45" spans="2:19">
      <c r="L45" s="557"/>
      <c r="M45" s="572" t="s">
        <v>1067</v>
      </c>
      <c r="N45" s="559"/>
    </row>
    <row r="47" spans="2:19" ht="23.4">
      <c r="B47" s="783" t="s">
        <v>1068</v>
      </c>
      <c r="C47" s="784"/>
      <c r="D47" s="784"/>
      <c r="E47" s="784"/>
      <c r="F47" s="784"/>
      <c r="G47" s="784"/>
      <c r="H47" s="784"/>
      <c r="I47" s="784"/>
      <c r="L47" s="783"/>
      <c r="M47" s="784"/>
      <c r="N47" s="784"/>
      <c r="O47" s="784"/>
      <c r="P47" s="784"/>
      <c r="Q47" s="784"/>
      <c r="R47" s="784"/>
      <c r="S47" s="784"/>
    </row>
    <row r="48" spans="2:19">
      <c r="B48" s="567" t="s">
        <v>417</v>
      </c>
      <c r="L48" s="567" t="s">
        <v>342</v>
      </c>
    </row>
    <row r="49" spans="2:12">
      <c r="B49" s="567" t="s">
        <v>1069</v>
      </c>
      <c r="L49" s="567" t="s">
        <v>1070</v>
      </c>
    </row>
    <row r="50" spans="2:12">
      <c r="B50" s="567" t="s">
        <v>1071</v>
      </c>
      <c r="L50" s="567" t="s">
        <v>1072</v>
      </c>
    </row>
    <row r="51" spans="2:12">
      <c r="B51" s="567" t="s">
        <v>1073</v>
      </c>
      <c r="L51" s="567" t="s">
        <v>1074</v>
      </c>
    </row>
  </sheetData>
  <mergeCells count="22">
    <mergeCell ref="L40:N40"/>
    <mergeCell ref="B41:I41"/>
    <mergeCell ref="B18:I18"/>
    <mergeCell ref="B26:I26"/>
    <mergeCell ref="B16:D16"/>
    <mergeCell ref="N21:P21"/>
    <mergeCell ref="B47:I47"/>
    <mergeCell ref="L47:S47"/>
    <mergeCell ref="E2:G2"/>
    <mergeCell ref="N2:P2"/>
    <mergeCell ref="L10:N10"/>
    <mergeCell ref="B34:I34"/>
    <mergeCell ref="C10:D10"/>
    <mergeCell ref="H10:J10"/>
    <mergeCell ref="L16:N16"/>
    <mergeCell ref="L29:N29"/>
    <mergeCell ref="L34:N34"/>
    <mergeCell ref="B11:C11"/>
    <mergeCell ref="B12:D12"/>
    <mergeCell ref="B13:E13"/>
    <mergeCell ref="B14:D14"/>
    <mergeCell ref="B15:C15"/>
  </mergeCells>
  <pageMargins left="0.7" right="0.7" top="0.75" bottom="0.75" header="0.3" footer="0.3"/>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dimension ref="B1:K54"/>
  <sheetViews>
    <sheetView workbookViewId="0"/>
  </sheetViews>
  <sheetFormatPr defaultColWidth="8.59765625" defaultRowHeight="15.6"/>
  <cols>
    <col min="2" max="2" width="16.59765625" customWidth="1"/>
    <col min="5" max="5" width="21.09765625" customWidth="1"/>
    <col min="6" max="6" width="14" customWidth="1"/>
    <col min="7" max="7" width="64.59765625" customWidth="1"/>
    <col min="9" max="9" width="3.09765625" customWidth="1"/>
    <col min="10" max="10" width="20.59765625" customWidth="1"/>
    <col min="11" max="11" width="18.59765625" style="573" customWidth="1"/>
  </cols>
  <sheetData>
    <row r="1" spans="2:11">
      <c r="B1" s="574" t="s">
        <v>1075</v>
      </c>
      <c r="C1" s="574" t="s">
        <v>1076</v>
      </c>
    </row>
    <row r="2" spans="2:11">
      <c r="B2" s="575" t="s">
        <v>42</v>
      </c>
      <c r="C2" s="576">
        <v>2</v>
      </c>
    </row>
    <row r="3" spans="2:11">
      <c r="B3" s="575" t="s">
        <v>44</v>
      </c>
      <c r="C3" s="576">
        <v>1</v>
      </c>
    </row>
    <row r="4" spans="2:11">
      <c r="B4" s="575" t="s">
        <v>64</v>
      </c>
      <c r="C4" s="576">
        <v>1</v>
      </c>
    </row>
    <row r="5" spans="2:11">
      <c r="B5" s="575" t="s">
        <v>1077</v>
      </c>
      <c r="C5" s="576">
        <v>2</v>
      </c>
    </row>
    <row r="6" spans="2:11">
      <c r="B6" s="575" t="s">
        <v>57</v>
      </c>
      <c r="C6" s="576">
        <v>2</v>
      </c>
    </row>
    <row r="7" spans="2:11">
      <c r="B7" s="575" t="s">
        <v>58</v>
      </c>
      <c r="C7" s="576">
        <v>3</v>
      </c>
    </row>
    <row r="8" spans="2:11" ht="31.2">
      <c r="E8" s="574" t="s">
        <v>1075</v>
      </c>
      <c r="F8" s="574" t="s">
        <v>1078</v>
      </c>
      <c r="G8" s="574" t="s">
        <v>1079</v>
      </c>
      <c r="H8" s="574" t="s">
        <v>1080</v>
      </c>
      <c r="I8" s="574" t="s">
        <v>1081</v>
      </c>
      <c r="J8" s="577" t="s">
        <v>1082</v>
      </c>
      <c r="K8" s="574" t="s">
        <v>1083</v>
      </c>
    </row>
    <row r="9" spans="2:11">
      <c r="E9" s="575" t="s">
        <v>44</v>
      </c>
      <c r="F9" s="575">
        <f t="shared" ref="F9:F52" si="0">VLOOKUP(E9,$B$1:$C$7,2,0)</f>
        <v>1</v>
      </c>
      <c r="G9" s="578" t="s">
        <v>236</v>
      </c>
      <c r="H9" s="579">
        <v>1</v>
      </c>
      <c r="I9" s="580" t="s">
        <v>1084</v>
      </c>
      <c r="J9" s="581">
        <f t="shared" ref="J9:J52" si="1">F9*H9</f>
        <v>1</v>
      </c>
      <c r="K9" s="582">
        <v>1</v>
      </c>
    </row>
    <row r="10" spans="2:11">
      <c r="E10" s="575" t="s">
        <v>44</v>
      </c>
      <c r="F10" s="575">
        <f t="shared" si="0"/>
        <v>1</v>
      </c>
      <c r="G10" s="578" t="s">
        <v>96</v>
      </c>
      <c r="H10" s="579">
        <v>1</v>
      </c>
      <c r="I10" s="580" t="s">
        <v>1084</v>
      </c>
      <c r="J10" s="581">
        <f t="shared" si="1"/>
        <v>1</v>
      </c>
      <c r="K10" s="582">
        <v>2</v>
      </c>
    </row>
    <row r="11" spans="2:11">
      <c r="E11" s="575" t="s">
        <v>44</v>
      </c>
      <c r="F11" s="575">
        <f t="shared" si="0"/>
        <v>1</v>
      </c>
      <c r="G11" s="578" t="s">
        <v>101</v>
      </c>
      <c r="H11" s="579">
        <v>1</v>
      </c>
      <c r="I11" s="580" t="s">
        <v>1084</v>
      </c>
      <c r="J11" s="581">
        <f t="shared" si="1"/>
        <v>1</v>
      </c>
      <c r="K11" s="582">
        <v>3</v>
      </c>
    </row>
    <row r="12" spans="2:11">
      <c r="E12" s="575" t="s">
        <v>44</v>
      </c>
      <c r="F12" s="575">
        <f t="shared" si="0"/>
        <v>1</v>
      </c>
      <c r="G12" s="578" t="s">
        <v>113</v>
      </c>
      <c r="H12" s="579">
        <v>1</v>
      </c>
      <c r="I12" s="580" t="s">
        <v>1084</v>
      </c>
      <c r="J12" s="581">
        <f t="shared" si="1"/>
        <v>1</v>
      </c>
      <c r="K12" s="582">
        <v>4</v>
      </c>
    </row>
    <row r="13" spans="2:11">
      <c r="E13" s="575" t="s">
        <v>44</v>
      </c>
      <c r="F13" s="575">
        <f t="shared" si="0"/>
        <v>1</v>
      </c>
      <c r="G13" s="578" t="s">
        <v>613</v>
      </c>
      <c r="H13" s="579">
        <v>1</v>
      </c>
      <c r="I13" s="580" t="s">
        <v>1084</v>
      </c>
      <c r="J13" s="581">
        <f t="shared" si="1"/>
        <v>1</v>
      </c>
      <c r="K13" s="582">
        <v>5</v>
      </c>
    </row>
    <row r="14" spans="2:11">
      <c r="E14" s="575" t="s">
        <v>64</v>
      </c>
      <c r="F14" s="575">
        <f t="shared" si="0"/>
        <v>1</v>
      </c>
      <c r="G14" s="583" t="s">
        <v>818</v>
      </c>
      <c r="H14" s="584">
        <v>1</v>
      </c>
      <c r="I14" s="580" t="s">
        <v>1084</v>
      </c>
      <c r="J14" s="581">
        <f t="shared" si="1"/>
        <v>1</v>
      </c>
      <c r="K14" s="585">
        <v>6</v>
      </c>
    </row>
    <row r="15" spans="2:11">
      <c r="E15" s="575" t="s">
        <v>57</v>
      </c>
      <c r="F15" s="575">
        <f t="shared" si="0"/>
        <v>2</v>
      </c>
      <c r="G15" s="578" t="s">
        <v>121</v>
      </c>
      <c r="H15" s="584">
        <v>1</v>
      </c>
      <c r="I15" s="584"/>
      <c r="J15" s="581">
        <f t="shared" si="1"/>
        <v>2</v>
      </c>
      <c r="K15" s="585">
        <v>7</v>
      </c>
    </row>
    <row r="16" spans="2:11">
      <c r="E16" s="575" t="s">
        <v>1077</v>
      </c>
      <c r="F16" s="575">
        <f t="shared" si="0"/>
        <v>2</v>
      </c>
      <c r="G16" s="578" t="s">
        <v>123</v>
      </c>
      <c r="H16" s="584">
        <v>1</v>
      </c>
      <c r="I16" s="584"/>
      <c r="J16" s="581">
        <f t="shared" si="1"/>
        <v>2</v>
      </c>
      <c r="K16" s="585">
        <v>8</v>
      </c>
    </row>
    <row r="17" spans="5:11">
      <c r="E17" s="575" t="s">
        <v>1077</v>
      </c>
      <c r="F17" s="575">
        <f t="shared" si="0"/>
        <v>2</v>
      </c>
      <c r="G17" s="578" t="s">
        <v>634</v>
      </c>
      <c r="H17" s="584">
        <v>1</v>
      </c>
      <c r="I17" s="584"/>
      <c r="J17" s="581">
        <f t="shared" si="1"/>
        <v>2</v>
      </c>
      <c r="K17" s="585">
        <v>9</v>
      </c>
    </row>
    <row r="18" spans="5:11">
      <c r="E18" s="575" t="s">
        <v>44</v>
      </c>
      <c r="F18" s="575">
        <f t="shared" si="0"/>
        <v>1</v>
      </c>
      <c r="G18" s="578" t="s">
        <v>252</v>
      </c>
      <c r="H18" s="579">
        <v>2</v>
      </c>
      <c r="I18" s="580" t="s">
        <v>1084</v>
      </c>
      <c r="J18" s="581">
        <f t="shared" si="1"/>
        <v>2</v>
      </c>
      <c r="K18" s="585">
        <v>10</v>
      </c>
    </row>
    <row r="19" spans="5:11">
      <c r="E19" s="575" t="s">
        <v>44</v>
      </c>
      <c r="F19" s="575">
        <f t="shared" si="0"/>
        <v>1</v>
      </c>
      <c r="G19" s="578" t="s">
        <v>753</v>
      </c>
      <c r="H19" s="579">
        <v>2</v>
      </c>
      <c r="I19" s="580" t="s">
        <v>1084</v>
      </c>
      <c r="J19" s="581">
        <f t="shared" si="1"/>
        <v>2</v>
      </c>
      <c r="K19" s="585">
        <v>11</v>
      </c>
    </row>
    <row r="20" spans="5:11">
      <c r="E20" s="575" t="s">
        <v>44</v>
      </c>
      <c r="F20" s="575">
        <f t="shared" si="0"/>
        <v>1</v>
      </c>
      <c r="G20" s="578" t="s">
        <v>110</v>
      </c>
      <c r="H20" s="579">
        <v>2</v>
      </c>
      <c r="I20" s="580" t="s">
        <v>1084</v>
      </c>
      <c r="J20" s="581">
        <f t="shared" si="1"/>
        <v>2</v>
      </c>
      <c r="K20" s="585">
        <v>12</v>
      </c>
    </row>
    <row r="21" spans="5:11">
      <c r="E21" s="575" t="s">
        <v>44</v>
      </c>
      <c r="F21" s="575">
        <f t="shared" si="0"/>
        <v>1</v>
      </c>
      <c r="G21" s="578" t="s">
        <v>696</v>
      </c>
      <c r="H21" s="579">
        <v>2</v>
      </c>
      <c r="I21" s="580" t="s">
        <v>1084</v>
      </c>
      <c r="J21" s="581">
        <f t="shared" si="1"/>
        <v>2</v>
      </c>
      <c r="K21" s="585">
        <v>13</v>
      </c>
    </row>
    <row r="22" spans="5:11">
      <c r="E22" s="575" t="s">
        <v>42</v>
      </c>
      <c r="F22" s="575">
        <f t="shared" si="0"/>
        <v>2</v>
      </c>
      <c r="G22" s="578" t="s">
        <v>157</v>
      </c>
      <c r="H22" s="584">
        <v>1</v>
      </c>
      <c r="I22" s="584"/>
      <c r="J22" s="581">
        <f t="shared" si="1"/>
        <v>2</v>
      </c>
      <c r="K22" s="585">
        <v>14</v>
      </c>
    </row>
    <row r="23" spans="5:11">
      <c r="E23" s="575" t="s">
        <v>42</v>
      </c>
      <c r="F23" s="575">
        <f t="shared" si="0"/>
        <v>2</v>
      </c>
      <c r="G23" s="578" t="s">
        <v>163</v>
      </c>
      <c r="H23" s="584">
        <v>1</v>
      </c>
      <c r="I23" s="584"/>
      <c r="J23" s="581">
        <f t="shared" si="1"/>
        <v>2</v>
      </c>
      <c r="K23" s="585">
        <v>15</v>
      </c>
    </row>
    <row r="24" spans="5:11">
      <c r="E24" s="575" t="s">
        <v>42</v>
      </c>
      <c r="F24" s="575">
        <f t="shared" si="0"/>
        <v>2</v>
      </c>
      <c r="G24" s="578" t="s">
        <v>165</v>
      </c>
      <c r="H24" s="584">
        <v>1</v>
      </c>
      <c r="I24" s="584"/>
      <c r="J24" s="581">
        <f t="shared" si="1"/>
        <v>2</v>
      </c>
      <c r="K24" s="585">
        <v>16</v>
      </c>
    </row>
    <row r="25" spans="5:11">
      <c r="E25" s="575" t="s">
        <v>42</v>
      </c>
      <c r="F25" s="575">
        <f t="shared" si="0"/>
        <v>2</v>
      </c>
      <c r="G25" s="578" t="s">
        <v>167</v>
      </c>
      <c r="H25" s="584">
        <v>1</v>
      </c>
      <c r="I25" s="584"/>
      <c r="J25" s="581">
        <f t="shared" si="1"/>
        <v>2</v>
      </c>
      <c r="K25" s="585">
        <v>17</v>
      </c>
    </row>
    <row r="26" spans="5:11">
      <c r="E26" s="575" t="s">
        <v>44</v>
      </c>
      <c r="F26" s="575">
        <f t="shared" si="0"/>
        <v>1</v>
      </c>
      <c r="G26" s="578" t="s">
        <v>119</v>
      </c>
      <c r="H26" s="579">
        <v>2</v>
      </c>
      <c r="I26" s="580" t="s">
        <v>1084</v>
      </c>
      <c r="J26" s="581">
        <f t="shared" si="1"/>
        <v>2</v>
      </c>
      <c r="K26" s="585">
        <v>18</v>
      </c>
    </row>
    <row r="27" spans="5:11">
      <c r="E27" s="575" t="s">
        <v>44</v>
      </c>
      <c r="F27" s="575">
        <f t="shared" si="0"/>
        <v>1</v>
      </c>
      <c r="G27" s="578" t="s">
        <v>260</v>
      </c>
      <c r="H27" s="579">
        <v>2</v>
      </c>
      <c r="I27" s="580" t="s">
        <v>1084</v>
      </c>
      <c r="J27" s="581">
        <f t="shared" si="1"/>
        <v>2</v>
      </c>
      <c r="K27" s="585">
        <v>19</v>
      </c>
    </row>
    <row r="28" spans="5:11">
      <c r="E28" s="575" t="s">
        <v>64</v>
      </c>
      <c r="F28" s="575">
        <f t="shared" si="0"/>
        <v>1</v>
      </c>
      <c r="G28" s="583" t="s">
        <v>845</v>
      </c>
      <c r="H28" s="584">
        <v>2</v>
      </c>
      <c r="I28" s="580" t="s">
        <v>1084</v>
      </c>
      <c r="J28" s="581">
        <f t="shared" si="1"/>
        <v>2</v>
      </c>
      <c r="K28" s="585">
        <v>20</v>
      </c>
    </row>
    <row r="29" spans="5:11">
      <c r="E29" s="575" t="s">
        <v>64</v>
      </c>
      <c r="F29" s="575">
        <f t="shared" si="0"/>
        <v>1</v>
      </c>
      <c r="G29" s="578" t="s">
        <v>263</v>
      </c>
      <c r="H29" s="584">
        <v>3</v>
      </c>
      <c r="I29" s="584"/>
      <c r="J29" s="581">
        <f t="shared" si="1"/>
        <v>3</v>
      </c>
      <c r="K29" s="585">
        <v>21</v>
      </c>
    </row>
    <row r="30" spans="5:11">
      <c r="E30" s="575" t="s">
        <v>58</v>
      </c>
      <c r="F30" s="575">
        <f t="shared" si="0"/>
        <v>3</v>
      </c>
      <c r="G30" s="578" t="s">
        <v>169</v>
      </c>
      <c r="H30" s="584">
        <v>1</v>
      </c>
      <c r="I30" s="584"/>
      <c r="J30" s="581">
        <f t="shared" si="1"/>
        <v>3</v>
      </c>
      <c r="K30" s="585">
        <v>22</v>
      </c>
    </row>
    <row r="31" spans="5:11">
      <c r="E31" s="575" t="s">
        <v>44</v>
      </c>
      <c r="F31" s="575">
        <f t="shared" si="0"/>
        <v>1</v>
      </c>
      <c r="G31" s="578" t="s">
        <v>234</v>
      </c>
      <c r="H31" s="579">
        <v>3</v>
      </c>
      <c r="I31" s="580" t="s">
        <v>1084</v>
      </c>
      <c r="J31" s="581">
        <f t="shared" si="1"/>
        <v>3</v>
      </c>
      <c r="K31" s="585">
        <v>23</v>
      </c>
    </row>
    <row r="32" spans="5:11">
      <c r="E32" s="575" t="s">
        <v>44</v>
      </c>
      <c r="F32" s="575">
        <f t="shared" si="0"/>
        <v>1</v>
      </c>
      <c r="G32" s="578" t="s">
        <v>305</v>
      </c>
      <c r="H32" s="579">
        <v>3</v>
      </c>
      <c r="I32" s="580" t="s">
        <v>1084</v>
      </c>
      <c r="J32" s="581">
        <f t="shared" si="1"/>
        <v>3</v>
      </c>
      <c r="K32" s="585">
        <v>24</v>
      </c>
    </row>
    <row r="33" spans="5:11">
      <c r="E33" s="575" t="s">
        <v>44</v>
      </c>
      <c r="F33" s="575">
        <f t="shared" si="0"/>
        <v>1</v>
      </c>
      <c r="G33" s="578" t="s">
        <v>307</v>
      </c>
      <c r="H33" s="579">
        <v>3</v>
      </c>
      <c r="I33" s="580" t="s">
        <v>1084</v>
      </c>
      <c r="J33" s="581">
        <f t="shared" si="1"/>
        <v>3</v>
      </c>
      <c r="K33" s="585">
        <v>25</v>
      </c>
    </row>
    <row r="34" spans="5:11">
      <c r="E34" s="575" t="s">
        <v>1077</v>
      </c>
      <c r="F34" s="575">
        <f t="shared" si="0"/>
        <v>2</v>
      </c>
      <c r="G34" s="578" t="s">
        <v>516</v>
      </c>
      <c r="H34" s="584">
        <v>2</v>
      </c>
      <c r="I34" s="584"/>
      <c r="J34" s="581">
        <f t="shared" si="1"/>
        <v>4</v>
      </c>
      <c r="K34" s="585">
        <v>26</v>
      </c>
    </row>
    <row r="35" spans="5:11">
      <c r="E35" s="575" t="s">
        <v>57</v>
      </c>
      <c r="F35" s="575">
        <f t="shared" si="0"/>
        <v>2</v>
      </c>
      <c r="G35" s="578" t="s">
        <v>892</v>
      </c>
      <c r="H35" s="584">
        <v>2</v>
      </c>
      <c r="I35" s="584"/>
      <c r="J35" s="581">
        <f t="shared" si="1"/>
        <v>4</v>
      </c>
      <c r="K35" s="585">
        <v>27</v>
      </c>
    </row>
    <row r="36" spans="5:11">
      <c r="E36" s="575" t="s">
        <v>42</v>
      </c>
      <c r="F36" s="575">
        <f t="shared" si="0"/>
        <v>2</v>
      </c>
      <c r="G36" s="578" t="s">
        <v>362</v>
      </c>
      <c r="H36" s="584">
        <v>2</v>
      </c>
      <c r="I36" s="584"/>
      <c r="J36" s="581">
        <f t="shared" si="1"/>
        <v>4</v>
      </c>
      <c r="K36" s="585">
        <v>28</v>
      </c>
    </row>
    <row r="37" spans="5:11">
      <c r="E37" s="575" t="s">
        <v>42</v>
      </c>
      <c r="F37" s="575">
        <f t="shared" si="0"/>
        <v>2</v>
      </c>
      <c r="G37" s="578" t="s">
        <v>201</v>
      </c>
      <c r="H37" s="584">
        <v>2</v>
      </c>
      <c r="I37" s="584"/>
      <c r="J37" s="581">
        <f t="shared" si="1"/>
        <v>4</v>
      </c>
      <c r="K37" s="585">
        <v>29</v>
      </c>
    </row>
    <row r="38" spans="5:11">
      <c r="E38" s="575" t="s">
        <v>57</v>
      </c>
      <c r="F38" s="575">
        <f t="shared" si="0"/>
        <v>2</v>
      </c>
      <c r="G38" s="578" t="s">
        <v>202</v>
      </c>
      <c r="H38" s="584">
        <v>3</v>
      </c>
      <c r="I38" s="584"/>
      <c r="J38" s="581">
        <f t="shared" si="1"/>
        <v>6</v>
      </c>
      <c r="K38" s="585">
        <v>30</v>
      </c>
    </row>
    <row r="39" spans="5:11">
      <c r="E39" s="575" t="s">
        <v>42</v>
      </c>
      <c r="F39" s="575">
        <f t="shared" si="0"/>
        <v>2</v>
      </c>
      <c r="G39" s="578" t="s">
        <v>205</v>
      </c>
      <c r="H39" s="584">
        <v>3</v>
      </c>
      <c r="I39" s="584"/>
      <c r="J39" s="581">
        <f t="shared" si="1"/>
        <v>6</v>
      </c>
      <c r="K39" s="585">
        <v>31</v>
      </c>
    </row>
    <row r="40" spans="5:11">
      <c r="E40" s="575" t="s">
        <v>58</v>
      </c>
      <c r="F40" s="575">
        <f t="shared" si="0"/>
        <v>3</v>
      </c>
      <c r="G40" s="578" t="s">
        <v>279</v>
      </c>
      <c r="H40" s="584">
        <v>2</v>
      </c>
      <c r="I40" s="584"/>
      <c r="J40" s="581">
        <f t="shared" si="1"/>
        <v>6</v>
      </c>
      <c r="K40" s="585">
        <v>32</v>
      </c>
    </row>
    <row r="41" spans="5:11">
      <c r="E41" s="575" t="s">
        <v>42</v>
      </c>
      <c r="F41" s="575">
        <f t="shared" si="0"/>
        <v>2</v>
      </c>
      <c r="G41" s="578" t="s">
        <v>1236</v>
      </c>
      <c r="H41" s="584">
        <v>3</v>
      </c>
      <c r="I41" s="584"/>
      <c r="J41" s="581">
        <f t="shared" si="1"/>
        <v>6</v>
      </c>
      <c r="K41" s="585">
        <v>33</v>
      </c>
    </row>
    <row r="42" spans="5:11">
      <c r="E42" s="575" t="s">
        <v>42</v>
      </c>
      <c r="F42" s="575">
        <f t="shared" si="0"/>
        <v>2</v>
      </c>
      <c r="G42" s="578" t="s">
        <v>206</v>
      </c>
      <c r="H42" s="584">
        <v>3</v>
      </c>
      <c r="I42" s="584"/>
      <c r="J42" s="581">
        <f t="shared" si="1"/>
        <v>6</v>
      </c>
      <c r="K42" s="585">
        <v>34</v>
      </c>
    </row>
    <row r="43" spans="5:11">
      <c r="E43" s="575" t="s">
        <v>42</v>
      </c>
      <c r="F43" s="575">
        <f t="shared" si="0"/>
        <v>2</v>
      </c>
      <c r="G43" s="578" t="s">
        <v>207</v>
      </c>
      <c r="H43" s="584">
        <v>3</v>
      </c>
      <c r="I43" s="584"/>
      <c r="J43" s="581">
        <f t="shared" si="1"/>
        <v>6</v>
      </c>
      <c r="K43" s="585">
        <v>35</v>
      </c>
    </row>
    <row r="44" spans="5:11">
      <c r="E44" s="575" t="s">
        <v>1077</v>
      </c>
      <c r="F44" s="575">
        <f t="shared" si="0"/>
        <v>2</v>
      </c>
      <c r="G44" s="578" t="s">
        <v>1085</v>
      </c>
      <c r="H44" s="584">
        <v>3</v>
      </c>
      <c r="I44" s="584"/>
      <c r="J44" s="581">
        <f t="shared" si="1"/>
        <v>6</v>
      </c>
      <c r="K44" s="585">
        <v>36</v>
      </c>
    </row>
    <row r="45" spans="5:11">
      <c r="E45" s="575" t="s">
        <v>57</v>
      </c>
      <c r="F45" s="575">
        <f t="shared" si="0"/>
        <v>2</v>
      </c>
      <c r="G45" s="578" t="s">
        <v>869</v>
      </c>
      <c r="H45" s="584">
        <v>4</v>
      </c>
      <c r="I45" s="584"/>
      <c r="J45" s="581">
        <f t="shared" si="1"/>
        <v>8</v>
      </c>
      <c r="K45" s="585">
        <v>37</v>
      </c>
    </row>
    <row r="46" spans="5:11">
      <c r="E46" s="575" t="s">
        <v>42</v>
      </c>
      <c r="F46" s="575">
        <f t="shared" si="0"/>
        <v>2</v>
      </c>
      <c r="G46" s="578" t="s">
        <v>221</v>
      </c>
      <c r="H46" s="584">
        <v>4</v>
      </c>
      <c r="I46" s="584"/>
      <c r="J46" s="581">
        <f t="shared" si="1"/>
        <v>8</v>
      </c>
      <c r="K46" s="585">
        <v>38</v>
      </c>
    </row>
    <row r="47" spans="5:11">
      <c r="E47" s="575" t="s">
        <v>42</v>
      </c>
      <c r="F47" s="575">
        <f t="shared" si="0"/>
        <v>2</v>
      </c>
      <c r="G47" s="578" t="s">
        <v>284</v>
      </c>
      <c r="H47" s="584">
        <v>4</v>
      </c>
      <c r="I47" s="584"/>
      <c r="J47" s="581">
        <f t="shared" si="1"/>
        <v>8</v>
      </c>
      <c r="K47" s="585">
        <v>39</v>
      </c>
    </row>
    <row r="48" spans="5:11">
      <c r="E48" s="575" t="s">
        <v>1077</v>
      </c>
      <c r="F48" s="575">
        <f t="shared" si="0"/>
        <v>2</v>
      </c>
      <c r="G48" s="578" t="s">
        <v>222</v>
      </c>
      <c r="H48" s="584">
        <v>4</v>
      </c>
      <c r="I48" s="584"/>
      <c r="J48" s="581">
        <f t="shared" si="1"/>
        <v>8</v>
      </c>
      <c r="K48" s="585">
        <v>40</v>
      </c>
    </row>
    <row r="49" spans="5:11">
      <c r="E49" s="575" t="s">
        <v>42</v>
      </c>
      <c r="F49" s="575">
        <f t="shared" si="0"/>
        <v>2</v>
      </c>
      <c r="G49" s="578" t="s">
        <v>231</v>
      </c>
      <c r="H49" s="584">
        <v>5</v>
      </c>
      <c r="I49" s="584"/>
      <c r="J49" s="581">
        <f t="shared" si="1"/>
        <v>10</v>
      </c>
      <c r="K49" s="585">
        <v>41</v>
      </c>
    </row>
    <row r="50" spans="5:11">
      <c r="E50" s="575" t="s">
        <v>42</v>
      </c>
      <c r="F50" s="575">
        <f t="shared" si="0"/>
        <v>2</v>
      </c>
      <c r="G50" s="578" t="s">
        <v>232</v>
      </c>
      <c r="H50" s="584">
        <v>6</v>
      </c>
      <c r="I50" s="584"/>
      <c r="J50" s="581">
        <f t="shared" si="1"/>
        <v>12</v>
      </c>
      <c r="K50" s="585">
        <v>42</v>
      </c>
    </row>
    <row r="51" spans="5:11">
      <c r="E51" s="575"/>
      <c r="F51" s="575" t="e">
        <f t="shared" si="0"/>
        <v>#N/A</v>
      </c>
      <c r="G51" s="578"/>
      <c r="H51" s="584"/>
      <c r="I51" s="584"/>
      <c r="J51" s="581" t="e">
        <f t="shared" si="1"/>
        <v>#N/A</v>
      </c>
      <c r="K51" s="585"/>
    </row>
    <row r="52" spans="5:11">
      <c r="E52" s="575"/>
      <c r="F52" s="575" t="e">
        <f t="shared" si="0"/>
        <v>#N/A</v>
      </c>
      <c r="G52" s="578"/>
      <c r="H52" s="584"/>
      <c r="I52" s="584"/>
      <c r="J52" s="581" t="e">
        <f t="shared" si="1"/>
        <v>#N/A</v>
      </c>
      <c r="K52" s="585"/>
    </row>
    <row r="54" spans="5:11">
      <c r="F54" s="586" t="s">
        <v>1086</v>
      </c>
    </row>
  </sheetData>
  <sheetProtection algorithmName="SHA-512" hashValue="c1/9drZPJqigp0sPGuO7K2tpWwYeQgLv6A4WT5iTORJNJ4fOEGQ6TaAXHYRNKJS9p+XWElEuqw9fG9nhu1IZsg==" saltValue="AAqofi9wPIuGb7L88QnhOA==" spinCount="100000" sheet="1" objects="1" scenarios="1"/>
  <autoFilter ref="E8:K52" xr:uid="{00000000-0009-0000-0000-00000D000000}"/>
  <sortState xmlns:xlrd2="http://schemas.microsoft.com/office/spreadsheetml/2017/richdata2" ref="E9:K50">
    <sortCondition ref="J9:J50"/>
  </sortState>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1">
    <tabColor indexed="5"/>
    <outlinePr summaryBelow="0" summaryRight="0"/>
  </sheetPr>
  <dimension ref="A1:F112"/>
  <sheetViews>
    <sheetView workbookViewId="0"/>
  </sheetViews>
  <sheetFormatPr defaultColWidth="9" defaultRowHeight="15.6" outlineLevelRow="2"/>
  <cols>
    <col min="1" max="1" width="32.59765625" style="88" customWidth="1"/>
    <col min="2" max="2" width="63" style="88" customWidth="1"/>
    <col min="3" max="3" width="55" style="456" customWidth="1"/>
    <col min="4" max="4" width="14.09765625" style="587" customWidth="1"/>
    <col min="5" max="5" width="49.59765625" style="335" customWidth="1"/>
    <col min="6" max="16384" width="9" style="88"/>
  </cols>
  <sheetData>
    <row r="1" spans="1:6" s="588" customFormat="1" ht="18">
      <c r="A1" s="589" t="s">
        <v>1087</v>
      </c>
      <c r="B1" s="590"/>
      <c r="C1" s="591"/>
      <c r="D1" s="592">
        <f>AVERAGE(D2,D43,D57,D101,D105,D109)</f>
        <v>0</v>
      </c>
      <c r="E1" s="593">
        <f>COUNTA(E2:E132)</f>
        <v>71</v>
      </c>
      <c r="F1" s="588" t="s">
        <v>1088</v>
      </c>
    </row>
    <row r="2" spans="1:6" s="594" customFormat="1">
      <c r="A2" s="595" t="s">
        <v>42</v>
      </c>
      <c r="B2" s="596"/>
      <c r="C2" s="597"/>
      <c r="D2" s="598">
        <f>AVERAGE(D3,D7,D11,D13,D15,D18,D20,D23,D27,D30,D33,D36,D39,D41)</f>
        <v>0</v>
      </c>
      <c r="E2" s="599"/>
    </row>
    <row r="3" spans="1:6" s="600" customFormat="1" outlineLevel="1">
      <c r="A3" s="601" t="s">
        <v>42</v>
      </c>
      <c r="B3" s="602" t="s">
        <v>157</v>
      </c>
      <c r="C3" s="603"/>
      <c r="D3" s="604">
        <f>AVERAGE(D4:D6)</f>
        <v>0</v>
      </c>
      <c r="E3" s="605"/>
    </row>
    <row r="4" spans="1:6" ht="28.8" outlineLevel="2">
      <c r="A4" s="606" t="s">
        <v>42</v>
      </c>
      <c r="B4" s="607" t="s">
        <v>157</v>
      </c>
      <c r="C4" s="608" t="s">
        <v>1089</v>
      </c>
      <c r="D4" s="609">
        <f>VALUE(LEFT(E4,3))</f>
        <v>0</v>
      </c>
      <c r="E4" s="610" t="s">
        <v>331</v>
      </c>
    </row>
    <row r="5" spans="1:6" outlineLevel="2">
      <c r="A5" s="606" t="s">
        <v>42</v>
      </c>
      <c r="B5" s="607" t="s">
        <v>157</v>
      </c>
      <c r="C5" s="608" t="s">
        <v>338</v>
      </c>
      <c r="D5" s="609">
        <f>VALUE(LEFT(E5,3))</f>
        <v>0</v>
      </c>
      <c r="E5" s="610" t="s">
        <v>331</v>
      </c>
    </row>
    <row r="6" spans="1:6" outlineLevel="2">
      <c r="A6" s="606" t="s">
        <v>42</v>
      </c>
      <c r="B6" s="607" t="s">
        <v>157</v>
      </c>
      <c r="C6" s="608" t="s">
        <v>1090</v>
      </c>
      <c r="D6" s="609">
        <f>VALUE(LEFT(E6,3))</f>
        <v>0</v>
      </c>
      <c r="E6" s="610" t="s">
        <v>331</v>
      </c>
    </row>
    <row r="7" spans="1:6" s="600" customFormat="1" outlineLevel="1">
      <c r="A7" s="601" t="s">
        <v>42</v>
      </c>
      <c r="B7" s="602" t="s">
        <v>231</v>
      </c>
      <c r="C7" s="603"/>
      <c r="D7" s="604">
        <f>AVERAGE(D8:D10)</f>
        <v>0</v>
      </c>
      <c r="E7" s="605"/>
    </row>
    <row r="8" spans="1:6" outlineLevel="2">
      <c r="A8" s="606" t="s">
        <v>42</v>
      </c>
      <c r="B8" s="607" t="s">
        <v>231</v>
      </c>
      <c r="C8" s="608" t="s">
        <v>1091</v>
      </c>
      <c r="D8" s="609">
        <f>VALUE(LEFT(E8,3))</f>
        <v>0</v>
      </c>
      <c r="E8" s="610" t="s">
        <v>331</v>
      </c>
    </row>
    <row r="9" spans="1:6" outlineLevel="2">
      <c r="A9" s="606" t="s">
        <v>42</v>
      </c>
      <c r="B9" s="607" t="s">
        <v>231</v>
      </c>
      <c r="C9" s="608" t="s">
        <v>356</v>
      </c>
      <c r="D9" s="609">
        <f>VALUE(LEFT(E9,3))</f>
        <v>0</v>
      </c>
      <c r="E9" s="610" t="s">
        <v>331</v>
      </c>
    </row>
    <row r="10" spans="1:6" outlineLevel="2">
      <c r="A10" s="606" t="s">
        <v>42</v>
      </c>
      <c r="B10" s="607" t="s">
        <v>231</v>
      </c>
      <c r="C10" s="608" t="s">
        <v>1092</v>
      </c>
      <c r="D10" s="609">
        <f>VALUE(LEFT(E10,3))</f>
        <v>0</v>
      </c>
      <c r="E10" s="610" t="s">
        <v>331</v>
      </c>
    </row>
    <row r="11" spans="1:6" s="600" customFormat="1" outlineLevel="1">
      <c r="A11" s="601" t="s">
        <v>42</v>
      </c>
      <c r="B11" s="602" t="s">
        <v>362</v>
      </c>
      <c r="C11" s="603"/>
      <c r="D11" s="604">
        <f>AVERAGE(D12)</f>
        <v>0</v>
      </c>
      <c r="E11" s="605"/>
    </row>
    <row r="12" spans="1:6" outlineLevel="2">
      <c r="A12" s="606" t="s">
        <v>42</v>
      </c>
      <c r="B12" s="607" t="s">
        <v>362</v>
      </c>
      <c r="C12" s="608" t="s">
        <v>1093</v>
      </c>
      <c r="D12" s="609">
        <f>VALUE(LEFT(E12,3))</f>
        <v>0</v>
      </c>
      <c r="E12" s="611" t="s">
        <v>359</v>
      </c>
    </row>
    <row r="13" spans="1:6" s="600" customFormat="1" outlineLevel="1">
      <c r="A13" s="601" t="s">
        <v>42</v>
      </c>
      <c r="B13" s="601" t="s">
        <v>201</v>
      </c>
      <c r="C13" s="603"/>
      <c r="D13" s="604">
        <f>AVERAGE(D14)</f>
        <v>0</v>
      </c>
      <c r="E13" s="605"/>
    </row>
    <row r="14" spans="1:6" ht="28.8" outlineLevel="2">
      <c r="A14" s="606" t="s">
        <v>42</v>
      </c>
      <c r="B14" s="607" t="s">
        <v>201</v>
      </c>
      <c r="C14" s="608" t="s">
        <v>1094</v>
      </c>
      <c r="D14" s="609">
        <f>VALUE(LEFT(E14,3))</f>
        <v>0</v>
      </c>
      <c r="E14" s="610" t="s">
        <v>349</v>
      </c>
    </row>
    <row r="15" spans="1:6" s="600" customFormat="1" outlineLevel="1">
      <c r="A15" s="601" t="s">
        <v>42</v>
      </c>
      <c r="B15" s="602" t="s">
        <v>232</v>
      </c>
      <c r="C15" s="603"/>
      <c r="D15" s="604">
        <f>AVERAGE(D16:D17)</f>
        <v>0</v>
      </c>
      <c r="E15" s="605"/>
    </row>
    <row r="16" spans="1:6" ht="28.8" outlineLevel="2">
      <c r="A16" s="606" t="s">
        <v>42</v>
      </c>
      <c r="B16" s="607" t="s">
        <v>232</v>
      </c>
      <c r="C16" s="608" t="s">
        <v>1095</v>
      </c>
      <c r="D16" s="609">
        <f>VALUE(LEFT(E16,3))</f>
        <v>0</v>
      </c>
      <c r="E16" s="611" t="s">
        <v>349</v>
      </c>
    </row>
    <row r="17" spans="1:5" ht="28.8" outlineLevel="2">
      <c r="A17" s="606" t="s">
        <v>42</v>
      </c>
      <c r="B17" s="607" t="s">
        <v>232</v>
      </c>
      <c r="C17" s="608" t="s">
        <v>1096</v>
      </c>
      <c r="D17" s="609">
        <f>VALUE(LEFT(E17,3))</f>
        <v>0</v>
      </c>
      <c r="E17" s="611" t="s">
        <v>349</v>
      </c>
    </row>
    <row r="18" spans="1:5" s="600" customFormat="1" outlineLevel="1">
      <c r="A18" s="601" t="s">
        <v>42</v>
      </c>
      <c r="B18" s="602" t="s">
        <v>163</v>
      </c>
      <c r="C18" s="603"/>
      <c r="D18" s="604">
        <f>AVERAGE(D19)</f>
        <v>0</v>
      </c>
      <c r="E18" s="605"/>
    </row>
    <row r="19" spans="1:5" ht="72" outlineLevel="2">
      <c r="A19" s="606" t="s">
        <v>42</v>
      </c>
      <c r="B19" s="607" t="s">
        <v>163</v>
      </c>
      <c r="C19" s="608" t="s">
        <v>1097</v>
      </c>
      <c r="D19" s="609">
        <f>VALUE(LEFT(E19,3))</f>
        <v>0</v>
      </c>
      <c r="E19" s="610" t="s">
        <v>349</v>
      </c>
    </row>
    <row r="20" spans="1:5" s="600" customFormat="1" outlineLevel="1">
      <c r="A20" s="601" t="s">
        <v>42</v>
      </c>
      <c r="B20" s="602" t="s">
        <v>165</v>
      </c>
      <c r="C20" s="603"/>
      <c r="D20" s="604">
        <f>AVERAGE(D21:D22)</f>
        <v>0</v>
      </c>
      <c r="E20" s="605"/>
    </row>
    <row r="21" spans="1:5" ht="28.8" outlineLevel="2">
      <c r="A21" s="606" t="s">
        <v>42</v>
      </c>
      <c r="B21" s="607" t="s">
        <v>165</v>
      </c>
      <c r="C21" s="608" t="s">
        <v>1098</v>
      </c>
      <c r="D21" s="609">
        <f>VALUE(LEFT(E21,3))</f>
        <v>0</v>
      </c>
      <c r="E21" s="611" t="s">
        <v>469</v>
      </c>
    </row>
    <row r="22" spans="1:5" ht="28.8" outlineLevel="2">
      <c r="A22" s="606" t="s">
        <v>42</v>
      </c>
      <c r="B22" s="607" t="s">
        <v>165</v>
      </c>
      <c r="C22" s="608" t="s">
        <v>1099</v>
      </c>
      <c r="D22" s="609">
        <f>VALUE(LEFT(E22,3))</f>
        <v>0</v>
      </c>
      <c r="E22" s="611" t="s">
        <v>349</v>
      </c>
    </row>
    <row r="23" spans="1:5" s="600" customFormat="1" outlineLevel="1">
      <c r="A23" s="601" t="s">
        <v>42</v>
      </c>
      <c r="B23" s="602" t="s">
        <v>167</v>
      </c>
      <c r="C23" s="603"/>
      <c r="D23" s="604">
        <f>AVERAGE(D24:D26)</f>
        <v>0</v>
      </c>
      <c r="E23" s="605"/>
    </row>
    <row r="24" spans="1:5" ht="28.8" outlineLevel="2">
      <c r="A24" s="606" t="s">
        <v>42</v>
      </c>
      <c r="B24" s="607" t="s">
        <v>167</v>
      </c>
      <c r="C24" s="608" t="s">
        <v>1100</v>
      </c>
      <c r="D24" s="609">
        <f>VALUE(LEFT(E24,3))</f>
        <v>0</v>
      </c>
      <c r="E24" s="611" t="s">
        <v>349</v>
      </c>
    </row>
    <row r="25" spans="1:5" ht="43.2" outlineLevel="2">
      <c r="A25" s="606" t="s">
        <v>42</v>
      </c>
      <c r="B25" s="607" t="s">
        <v>167</v>
      </c>
      <c r="C25" s="608" t="s">
        <v>494</v>
      </c>
      <c r="D25" s="609">
        <f>VALUE(LEFT(E25,3))</f>
        <v>0</v>
      </c>
      <c r="E25" s="611" t="s">
        <v>349</v>
      </c>
    </row>
    <row r="26" spans="1:5" ht="28.8" outlineLevel="2">
      <c r="A26" s="606" t="s">
        <v>42</v>
      </c>
      <c r="B26" s="607" t="s">
        <v>167</v>
      </c>
      <c r="C26" s="608" t="s">
        <v>502</v>
      </c>
      <c r="D26" s="609">
        <f>VALUE(LEFT(E26,3))</f>
        <v>0</v>
      </c>
      <c r="E26" s="611" t="s">
        <v>349</v>
      </c>
    </row>
    <row r="27" spans="1:5" s="600" customFormat="1" outlineLevel="1">
      <c r="A27" s="601" t="s">
        <v>42</v>
      </c>
      <c r="B27" s="602" t="s">
        <v>284</v>
      </c>
      <c r="C27" s="603"/>
      <c r="D27" s="604">
        <f>AVERAGE(D28:D29)</f>
        <v>0</v>
      </c>
      <c r="E27" s="605"/>
    </row>
    <row r="28" spans="1:5" outlineLevel="2">
      <c r="A28" s="606" t="s">
        <v>42</v>
      </c>
      <c r="B28" s="607" t="s">
        <v>284</v>
      </c>
      <c r="C28" s="608" t="s">
        <v>408</v>
      </c>
      <c r="D28" s="609">
        <f>VALUE(LEFT(E28,3))</f>
        <v>0</v>
      </c>
      <c r="E28" s="610" t="s">
        <v>331</v>
      </c>
    </row>
    <row r="29" spans="1:5" outlineLevel="2">
      <c r="A29" s="606" t="s">
        <v>42</v>
      </c>
      <c r="B29" s="607" t="s">
        <v>284</v>
      </c>
      <c r="C29" s="608" t="s">
        <v>1101</v>
      </c>
      <c r="D29" s="609">
        <f>VALUE(LEFT(E29,3))</f>
        <v>0</v>
      </c>
      <c r="E29" s="610" t="s">
        <v>331</v>
      </c>
    </row>
    <row r="30" spans="1:5" s="600" customFormat="1" outlineLevel="1">
      <c r="A30" s="601" t="s">
        <v>42</v>
      </c>
      <c r="B30" s="602" t="s">
        <v>23</v>
      </c>
      <c r="C30" s="603"/>
      <c r="D30" s="604">
        <f>AVERAGE(D31:D32)</f>
        <v>0</v>
      </c>
      <c r="E30" s="605"/>
    </row>
    <row r="31" spans="1:5" outlineLevel="2">
      <c r="A31" s="606" t="s">
        <v>42</v>
      </c>
      <c r="B31" s="607" t="s">
        <v>23</v>
      </c>
      <c r="C31" s="608" t="s">
        <v>1102</v>
      </c>
      <c r="D31" s="609">
        <f>VALUE(LEFT(E31,3))</f>
        <v>0</v>
      </c>
      <c r="E31" s="610" t="s">
        <v>1041</v>
      </c>
    </row>
    <row r="32" spans="1:5" ht="28.8" outlineLevel="2">
      <c r="A32" s="606" t="s">
        <v>42</v>
      </c>
      <c r="B32" s="607" t="s">
        <v>23</v>
      </c>
      <c r="C32" s="608" t="s">
        <v>1103</v>
      </c>
      <c r="D32" s="609">
        <f>VALUE(LEFT(E32,3))</f>
        <v>0</v>
      </c>
      <c r="E32" s="610" t="s">
        <v>359</v>
      </c>
    </row>
    <row r="33" spans="1:5" s="600" customFormat="1" outlineLevel="1">
      <c r="A33" s="601" t="s">
        <v>42</v>
      </c>
      <c r="B33" s="602" t="s">
        <v>221</v>
      </c>
      <c r="C33" s="603"/>
      <c r="D33" s="604">
        <f>AVERAGE(D34:D35)</f>
        <v>0</v>
      </c>
      <c r="E33" s="605"/>
    </row>
    <row r="34" spans="1:5" outlineLevel="2">
      <c r="A34" s="606" t="s">
        <v>42</v>
      </c>
      <c r="B34" s="607" t="s">
        <v>221</v>
      </c>
      <c r="C34" s="608" t="s">
        <v>1104</v>
      </c>
      <c r="D34" s="609">
        <f>VALUE(LEFT(E34,3))</f>
        <v>0</v>
      </c>
      <c r="E34" s="610" t="s">
        <v>331</v>
      </c>
    </row>
    <row r="35" spans="1:5" ht="28.8" outlineLevel="2">
      <c r="A35" s="606" t="s">
        <v>42</v>
      </c>
      <c r="B35" s="607" t="s">
        <v>221</v>
      </c>
      <c r="C35" s="608" t="s">
        <v>1105</v>
      </c>
      <c r="D35" s="609">
        <f>VALUE(LEFT(E35,3))</f>
        <v>0</v>
      </c>
      <c r="E35" s="610" t="s">
        <v>331</v>
      </c>
    </row>
    <row r="36" spans="1:5" s="600" customFormat="1" outlineLevel="1">
      <c r="A36" s="601" t="s">
        <v>42</v>
      </c>
      <c r="B36" s="602" t="s">
        <v>205</v>
      </c>
      <c r="C36" s="603"/>
      <c r="D36" s="604">
        <f>AVERAGE(D37:D38)</f>
        <v>0</v>
      </c>
      <c r="E36" s="605"/>
    </row>
    <row r="37" spans="1:5" ht="28.8" outlineLevel="2">
      <c r="A37" s="606" t="s">
        <v>42</v>
      </c>
      <c r="B37" s="607" t="s">
        <v>205</v>
      </c>
      <c r="C37" s="608" t="s">
        <v>1106</v>
      </c>
      <c r="D37" s="609">
        <f>VALUE(LEFT(E37,3))</f>
        <v>0</v>
      </c>
      <c r="E37" s="610" t="s">
        <v>331</v>
      </c>
    </row>
    <row r="38" spans="1:5" outlineLevel="2">
      <c r="A38" s="606" t="s">
        <v>42</v>
      </c>
      <c r="B38" s="607" t="s">
        <v>205</v>
      </c>
      <c r="C38" s="608" t="s">
        <v>659</v>
      </c>
      <c r="D38" s="609">
        <f>VALUE(LEFT(E38,3))</f>
        <v>0</v>
      </c>
      <c r="E38" s="610" t="s">
        <v>331</v>
      </c>
    </row>
    <row r="39" spans="1:5" s="600" customFormat="1" outlineLevel="1">
      <c r="A39" s="601" t="s">
        <v>42</v>
      </c>
      <c r="B39" s="602" t="s">
        <v>206</v>
      </c>
      <c r="C39" s="603"/>
      <c r="D39" s="604">
        <f>AVERAGE(D40)</f>
        <v>0</v>
      </c>
      <c r="E39" s="605"/>
    </row>
    <row r="40" spans="1:5" ht="28.8" outlineLevel="2">
      <c r="A40" s="606" t="s">
        <v>42</v>
      </c>
      <c r="B40" s="607" t="s">
        <v>206</v>
      </c>
      <c r="C40" s="608" t="s">
        <v>1107</v>
      </c>
      <c r="D40" s="609">
        <f>VALUE(LEFT(E40,3))</f>
        <v>0</v>
      </c>
      <c r="E40" s="610" t="s">
        <v>331</v>
      </c>
    </row>
    <row r="41" spans="1:5" s="600" customFormat="1" outlineLevel="1">
      <c r="A41" s="601" t="s">
        <v>42</v>
      </c>
      <c r="B41" s="602" t="s">
        <v>207</v>
      </c>
      <c r="C41" s="603"/>
      <c r="D41" s="604">
        <f>AVERAGE(D42)</f>
        <v>0</v>
      </c>
      <c r="E41" s="605"/>
    </row>
    <row r="42" spans="1:5" ht="28.8" outlineLevel="2">
      <c r="A42" s="606" t="s">
        <v>42</v>
      </c>
      <c r="B42" s="607" t="s">
        <v>207</v>
      </c>
      <c r="C42" s="608" t="s">
        <v>1108</v>
      </c>
      <c r="D42" s="609">
        <f>VALUE(LEFT(E42,3))</f>
        <v>0</v>
      </c>
      <c r="E42" s="610" t="s">
        <v>349</v>
      </c>
    </row>
    <row r="43" spans="1:5" s="594" customFormat="1">
      <c r="A43" s="595" t="s">
        <v>61</v>
      </c>
      <c r="B43" s="596"/>
      <c r="C43" s="597"/>
      <c r="D43" s="598">
        <f>(D44+D46*D47+D49*D50+D52*D53*+D55*D47)/(1+1*D47+1*D50+1*D52+1*D47)</f>
        <v>0</v>
      </c>
      <c r="E43" s="599"/>
    </row>
    <row r="44" spans="1:5" s="600" customFormat="1" outlineLevel="1">
      <c r="A44" s="601" t="s">
        <v>61</v>
      </c>
      <c r="B44" s="602" t="s">
        <v>516</v>
      </c>
      <c r="C44" s="603"/>
      <c r="D44" s="604">
        <f>AVERAGE(D45)</f>
        <v>0</v>
      </c>
      <c r="E44" s="605"/>
    </row>
    <row r="45" spans="1:5" ht="28.8" outlineLevel="2">
      <c r="A45" s="606" t="s">
        <v>61</v>
      </c>
      <c r="B45" s="607" t="s">
        <v>516</v>
      </c>
      <c r="C45" s="608" t="s">
        <v>1109</v>
      </c>
      <c r="D45" s="609">
        <f>VALUE(LEFT(E45,3))</f>
        <v>0</v>
      </c>
      <c r="E45" s="610" t="s">
        <v>331</v>
      </c>
    </row>
    <row r="46" spans="1:5" s="600" customFormat="1" outlineLevel="1">
      <c r="A46" s="601" t="s">
        <v>61</v>
      </c>
      <c r="B46" s="602" t="s">
        <v>123</v>
      </c>
      <c r="C46" s="603"/>
      <c r="D46" s="604">
        <f>AVERAGE(D48)*D47</f>
        <v>0</v>
      </c>
      <c r="E46" s="605"/>
    </row>
    <row r="47" spans="1:5" outlineLevel="2">
      <c r="A47" s="606" t="s">
        <v>61</v>
      </c>
      <c r="B47" s="607" t="s">
        <v>123</v>
      </c>
      <c r="C47" s="591" t="s">
        <v>1110</v>
      </c>
      <c r="D47" s="609">
        <f>VALUE(LEFT(E47,3))</f>
        <v>0</v>
      </c>
      <c r="E47" s="610" t="s">
        <v>1052</v>
      </c>
    </row>
    <row r="48" spans="1:5" ht="28.8" outlineLevel="2">
      <c r="A48" s="606" t="s">
        <v>61</v>
      </c>
      <c r="B48" s="607" t="s">
        <v>123</v>
      </c>
      <c r="C48" s="608" t="s">
        <v>1109</v>
      </c>
      <c r="D48" s="609">
        <f>VALUE(LEFT(E48,3))</f>
        <v>5</v>
      </c>
      <c r="E48" s="610" t="s">
        <v>1030</v>
      </c>
    </row>
    <row r="49" spans="1:6" s="600" customFormat="1" outlineLevel="1">
      <c r="A49" s="601" t="s">
        <v>61</v>
      </c>
      <c r="B49" s="602" t="s">
        <v>222</v>
      </c>
      <c r="C49" s="603"/>
      <c r="D49" s="604">
        <f>AVERAGE(D51)*D50</f>
        <v>0</v>
      </c>
      <c r="E49" s="605"/>
    </row>
    <row r="50" spans="1:6" outlineLevel="2">
      <c r="A50" s="606" t="s">
        <v>61</v>
      </c>
      <c r="B50" s="607" t="s">
        <v>222</v>
      </c>
      <c r="C50" s="608" t="s">
        <v>1111</v>
      </c>
      <c r="D50" s="609">
        <f>VALUE(LEFT(E50,3))</f>
        <v>0</v>
      </c>
      <c r="E50" s="610" t="s">
        <v>1052</v>
      </c>
    </row>
    <row r="51" spans="1:6" ht="28.8" outlineLevel="2">
      <c r="A51" s="606" t="s">
        <v>61</v>
      </c>
      <c r="B51" s="607" t="s">
        <v>222</v>
      </c>
      <c r="C51" s="608" t="s">
        <v>1109</v>
      </c>
      <c r="D51" s="609">
        <f>VALUE(LEFT(E51,3))</f>
        <v>0</v>
      </c>
      <c r="E51" s="610" t="s">
        <v>331</v>
      </c>
    </row>
    <row r="52" spans="1:6" s="600" customFormat="1" outlineLevel="1">
      <c r="A52" s="601" t="s">
        <v>61</v>
      </c>
      <c r="B52" s="601" t="s">
        <v>208</v>
      </c>
      <c r="C52" s="603"/>
      <c r="D52" s="604">
        <f>AVERAGE(D54)*D53</f>
        <v>0</v>
      </c>
      <c r="E52" s="605"/>
    </row>
    <row r="53" spans="1:6" outlineLevel="2">
      <c r="A53" s="606" t="s">
        <v>61</v>
      </c>
      <c r="B53" s="607" t="s">
        <v>208</v>
      </c>
      <c r="C53" s="608" t="s">
        <v>1112</v>
      </c>
      <c r="D53" s="609">
        <f>VALUE(LEFT(E53,3))</f>
        <v>0</v>
      </c>
      <c r="E53" s="610" t="s">
        <v>1041</v>
      </c>
    </row>
    <row r="54" spans="1:6" ht="28.8" outlineLevel="2">
      <c r="A54" s="606" t="s">
        <v>61</v>
      </c>
      <c r="B54" s="607" t="s">
        <v>208</v>
      </c>
      <c r="C54" s="608" t="s">
        <v>1113</v>
      </c>
      <c r="D54" s="609">
        <f>VALUE(LEFT(E54,3))</f>
        <v>5</v>
      </c>
      <c r="E54" s="610" t="s">
        <v>1030</v>
      </c>
    </row>
    <row r="55" spans="1:6" s="600" customFormat="1" outlineLevel="1">
      <c r="A55" s="601" t="s">
        <v>61</v>
      </c>
      <c r="B55" s="602" t="s">
        <v>634</v>
      </c>
      <c r="C55" s="603"/>
      <c r="D55" s="604">
        <f>AVERAGE(D56)</f>
        <v>0</v>
      </c>
      <c r="E55" s="605"/>
    </row>
    <row r="56" spans="1:6" ht="28.8" outlineLevel="2">
      <c r="A56" s="606" t="s">
        <v>61</v>
      </c>
      <c r="B56" s="607" t="s">
        <v>634</v>
      </c>
      <c r="C56" s="608" t="s">
        <v>1109</v>
      </c>
      <c r="D56" s="612">
        <f>VALUE(LEFT(E56,3))</f>
        <v>0</v>
      </c>
      <c r="E56" s="610" t="s">
        <v>331</v>
      </c>
    </row>
    <row r="57" spans="1:6" s="594" customFormat="1" collapsed="1">
      <c r="A57" s="595" t="s">
        <v>44</v>
      </c>
      <c r="B57" s="613"/>
      <c r="C57" s="614"/>
      <c r="D57" s="598">
        <f>(D58+D62+D66+D70+D72*D53+D78+D80+D82+D86*D87+D89+D92*D87+D95+D98)/(4+1*D53+1+1+1+2*D87+1+1+1)</f>
        <v>0</v>
      </c>
      <c r="E57" s="615"/>
    </row>
    <row r="58" spans="1:6" s="600" customFormat="1" hidden="1" outlineLevel="1">
      <c r="A58" s="601" t="s">
        <v>44</v>
      </c>
      <c r="B58" s="616" t="s">
        <v>236</v>
      </c>
      <c r="C58" s="617"/>
      <c r="D58" s="618">
        <f>AVERAGE(D59:D61)</f>
        <v>0</v>
      </c>
      <c r="E58" s="619"/>
    </row>
    <row r="59" spans="1:6" hidden="1" outlineLevel="2">
      <c r="A59" s="606" t="s">
        <v>44</v>
      </c>
      <c r="B59" s="607" t="s">
        <v>236</v>
      </c>
      <c r="C59" s="608" t="s">
        <v>1114</v>
      </c>
      <c r="D59" s="609">
        <f>VALUE(LEFT(E59,3))</f>
        <v>0</v>
      </c>
      <c r="E59" s="620" t="s">
        <v>349</v>
      </c>
      <c r="F59" s="621"/>
    </row>
    <row r="60" spans="1:6" hidden="1" outlineLevel="2">
      <c r="A60" s="606" t="s">
        <v>44</v>
      </c>
      <c r="B60" s="607" t="s">
        <v>236</v>
      </c>
      <c r="C60" s="608" t="s">
        <v>706</v>
      </c>
      <c r="D60" s="609">
        <f>VALUE(LEFT(E60,3))</f>
        <v>0</v>
      </c>
      <c r="E60" s="620" t="s">
        <v>349</v>
      </c>
    </row>
    <row r="61" spans="1:6" hidden="1" outlineLevel="2">
      <c r="A61" s="606" t="s">
        <v>44</v>
      </c>
      <c r="B61" s="607" t="s">
        <v>236</v>
      </c>
      <c r="C61" s="608" t="s">
        <v>1115</v>
      </c>
      <c r="D61" s="609">
        <f>VALUE(LEFT(E61,3))</f>
        <v>0</v>
      </c>
      <c r="E61" s="620" t="s">
        <v>349</v>
      </c>
    </row>
    <row r="62" spans="1:6" s="600" customFormat="1" hidden="1" outlineLevel="1">
      <c r="A62" s="601" t="s">
        <v>44</v>
      </c>
      <c r="B62" s="616" t="s">
        <v>96</v>
      </c>
      <c r="C62" s="617"/>
      <c r="D62" s="604">
        <f>AVERAGE(D63:D65)</f>
        <v>0</v>
      </c>
      <c r="E62" s="619"/>
    </row>
    <row r="63" spans="1:6" hidden="1" outlineLevel="2">
      <c r="A63" s="606" t="s">
        <v>44</v>
      </c>
      <c r="B63" s="607" t="s">
        <v>96</v>
      </c>
      <c r="C63" s="608" t="s">
        <v>1116</v>
      </c>
      <c r="D63" s="609">
        <f>VALUE(LEFT(E63,3))</f>
        <v>0</v>
      </c>
      <c r="E63" s="620" t="s">
        <v>349</v>
      </c>
    </row>
    <row r="64" spans="1:6" hidden="1" outlineLevel="2">
      <c r="A64" s="606" t="s">
        <v>44</v>
      </c>
      <c r="B64" s="607" t="s">
        <v>96</v>
      </c>
      <c r="C64" s="608" t="s">
        <v>1117</v>
      </c>
      <c r="D64" s="609">
        <f>VALUE(LEFT(E64,3))</f>
        <v>0</v>
      </c>
      <c r="E64" s="620" t="s">
        <v>349</v>
      </c>
    </row>
    <row r="65" spans="1:5" hidden="1" outlineLevel="2">
      <c r="A65" s="606" t="s">
        <v>44</v>
      </c>
      <c r="B65" s="607" t="s">
        <v>96</v>
      </c>
      <c r="C65" s="608" t="s">
        <v>1118</v>
      </c>
      <c r="D65" s="609">
        <f>VALUE(LEFT(E65,3))</f>
        <v>0</v>
      </c>
      <c r="E65" s="620" t="s">
        <v>349</v>
      </c>
    </row>
    <row r="66" spans="1:5" s="600" customFormat="1" hidden="1" outlineLevel="1">
      <c r="A66" s="601" t="s">
        <v>44</v>
      </c>
      <c r="B66" s="616" t="s">
        <v>101</v>
      </c>
      <c r="C66" s="617"/>
      <c r="D66" s="604">
        <f>AVERAGE(D67:D69)</f>
        <v>0</v>
      </c>
      <c r="E66" s="619"/>
    </row>
    <row r="67" spans="1:5" hidden="1" outlineLevel="2">
      <c r="A67" s="606" t="s">
        <v>44</v>
      </c>
      <c r="B67" s="607" t="s">
        <v>101</v>
      </c>
      <c r="C67" s="608" t="s">
        <v>1119</v>
      </c>
      <c r="D67" s="609">
        <f>VALUE(LEFT(E67,3))</f>
        <v>0</v>
      </c>
      <c r="E67" s="620" t="s">
        <v>349</v>
      </c>
    </row>
    <row r="68" spans="1:5" ht="28.8" hidden="1" outlineLevel="2">
      <c r="A68" s="606" t="s">
        <v>44</v>
      </c>
      <c r="B68" s="607" t="s">
        <v>101</v>
      </c>
      <c r="C68" s="608" t="s">
        <v>1120</v>
      </c>
      <c r="D68" s="609">
        <f>VALUE(LEFT(E68,3))</f>
        <v>0</v>
      </c>
      <c r="E68" s="620" t="s">
        <v>349</v>
      </c>
    </row>
    <row r="69" spans="1:5" ht="28.8" hidden="1" outlineLevel="2">
      <c r="A69" s="606" t="s">
        <v>44</v>
      </c>
      <c r="B69" s="607" t="s">
        <v>101</v>
      </c>
      <c r="C69" s="608" t="s">
        <v>1121</v>
      </c>
      <c r="D69" s="609">
        <f>VALUE(LEFT(E69,3))</f>
        <v>0</v>
      </c>
      <c r="E69" s="610" t="s">
        <v>331</v>
      </c>
    </row>
    <row r="70" spans="1:5" s="600" customFormat="1" hidden="1" outlineLevel="1">
      <c r="A70" s="601" t="s">
        <v>44</v>
      </c>
      <c r="B70" s="616" t="s">
        <v>113</v>
      </c>
      <c r="C70" s="617"/>
      <c r="D70" s="604">
        <f>AVERAGE(D71)</f>
        <v>0</v>
      </c>
      <c r="E70" s="619"/>
    </row>
    <row r="71" spans="1:5" ht="28.8" hidden="1" outlineLevel="2">
      <c r="A71" s="606" t="s">
        <v>44</v>
      </c>
      <c r="B71" s="607" t="s">
        <v>113</v>
      </c>
      <c r="C71" s="608" t="s">
        <v>737</v>
      </c>
      <c r="D71" s="609">
        <f>VALUE(LEFT(E71,3))</f>
        <v>0</v>
      </c>
      <c r="E71" s="620" t="s">
        <v>349</v>
      </c>
    </row>
    <row r="72" spans="1:5" s="600" customFormat="1" hidden="1" outlineLevel="1">
      <c r="A72" s="601" t="s">
        <v>44</v>
      </c>
      <c r="B72" s="616" t="s">
        <v>613</v>
      </c>
      <c r="C72" s="617"/>
      <c r="D72" s="604">
        <f>AVERAGE(D73:D74)*D53</f>
        <v>0</v>
      </c>
      <c r="E72" s="619"/>
    </row>
    <row r="73" spans="1:5" hidden="1" outlineLevel="2">
      <c r="A73" s="606" t="s">
        <v>44</v>
      </c>
      <c r="B73" s="607" t="s">
        <v>613</v>
      </c>
      <c r="C73" s="608" t="s">
        <v>1122</v>
      </c>
      <c r="D73" s="609">
        <f>VALUE(LEFT(E73,3))</f>
        <v>0</v>
      </c>
      <c r="E73" s="620" t="s">
        <v>349</v>
      </c>
    </row>
    <row r="74" spans="1:5" hidden="1" outlineLevel="2">
      <c r="A74" s="606" t="s">
        <v>44</v>
      </c>
      <c r="B74" s="607" t="s">
        <v>613</v>
      </c>
      <c r="C74" s="608" t="s">
        <v>1123</v>
      </c>
      <c r="D74" s="609">
        <f>VALUE(LEFT(E74,3))</f>
        <v>0</v>
      </c>
      <c r="E74" s="610" t="s">
        <v>331</v>
      </c>
    </row>
    <row r="75" spans="1:5" s="600" customFormat="1" hidden="1" outlineLevel="1">
      <c r="A75" s="601" t="s">
        <v>44</v>
      </c>
      <c r="B75" s="616" t="s">
        <v>696</v>
      </c>
      <c r="C75" s="617"/>
      <c r="D75" s="604">
        <f>AVERAGE(D101,D105,D109)*D76</f>
        <v>0</v>
      </c>
      <c r="E75" s="619"/>
    </row>
    <row r="76" spans="1:5" ht="31.2" hidden="1" outlineLevel="2">
      <c r="A76" s="606" t="s">
        <v>44</v>
      </c>
      <c r="B76" s="622" t="s">
        <v>696</v>
      </c>
      <c r="C76" s="608" t="s">
        <v>1102</v>
      </c>
      <c r="D76" s="609">
        <f>VALUE(LEFT(E76,3))</f>
        <v>0</v>
      </c>
      <c r="E76" s="610" t="s">
        <v>1052</v>
      </c>
    </row>
    <row r="77" spans="1:5" hidden="1" outlineLevel="2">
      <c r="A77" s="606"/>
      <c r="B77" s="623" t="s">
        <v>64</v>
      </c>
      <c r="C77" s="624"/>
      <c r="D77" s="625">
        <f>D101</f>
        <v>0</v>
      </c>
      <c r="E77" s="626"/>
    </row>
    <row r="78" spans="1:5" s="600" customFormat="1" hidden="1" outlineLevel="1">
      <c r="A78" s="601" t="s">
        <v>44</v>
      </c>
      <c r="B78" s="616" t="s">
        <v>106</v>
      </c>
      <c r="C78" s="617"/>
      <c r="D78" s="604">
        <f>AVERAGE(D79:D79)</f>
        <v>0</v>
      </c>
      <c r="E78" s="619"/>
    </row>
    <row r="79" spans="1:5" ht="28.8" hidden="1" outlineLevel="2">
      <c r="A79" s="606" t="s">
        <v>44</v>
      </c>
      <c r="B79" s="622" t="s">
        <v>106</v>
      </c>
      <c r="C79" s="608" t="s">
        <v>1124</v>
      </c>
      <c r="D79" s="609">
        <f>VALUE(LEFT(E79,3))</f>
        <v>0</v>
      </c>
      <c r="E79" s="620" t="s">
        <v>349</v>
      </c>
    </row>
    <row r="80" spans="1:5" s="600" customFormat="1" hidden="1" outlineLevel="1">
      <c r="A80" s="601" t="s">
        <v>44</v>
      </c>
      <c r="B80" s="616" t="s">
        <v>110</v>
      </c>
      <c r="C80" s="617"/>
      <c r="D80" s="604">
        <f>AVERAGE(D81:D81)</f>
        <v>0</v>
      </c>
      <c r="E80" s="619"/>
    </row>
    <row r="81" spans="1:5" hidden="1" outlineLevel="2">
      <c r="A81" s="606" t="s">
        <v>44</v>
      </c>
      <c r="B81" s="622" t="s">
        <v>110</v>
      </c>
      <c r="C81" s="608" t="s">
        <v>1125</v>
      </c>
      <c r="D81" s="609">
        <f>VALUE(LEFT(E81,3))</f>
        <v>0</v>
      </c>
      <c r="E81" s="620" t="s">
        <v>349</v>
      </c>
    </row>
    <row r="82" spans="1:5" s="600" customFormat="1" hidden="1" outlineLevel="1">
      <c r="A82" s="601" t="s">
        <v>44</v>
      </c>
      <c r="B82" s="616" t="s">
        <v>252</v>
      </c>
      <c r="C82" s="617"/>
      <c r="D82" s="604">
        <f>AVERAGE(D83:D85)</f>
        <v>0</v>
      </c>
      <c r="E82" s="619"/>
    </row>
    <row r="83" spans="1:5" hidden="1" outlineLevel="2">
      <c r="A83" s="606" t="s">
        <v>44</v>
      </c>
      <c r="B83" s="622" t="s">
        <v>252</v>
      </c>
      <c r="C83" s="608" t="s">
        <v>1126</v>
      </c>
      <c r="D83" s="609">
        <f>VALUE(LEFT(E83,3))</f>
        <v>0</v>
      </c>
      <c r="E83" s="620" t="s">
        <v>349</v>
      </c>
    </row>
    <row r="84" spans="1:5" hidden="1" outlineLevel="2">
      <c r="A84" s="606" t="s">
        <v>44</v>
      </c>
      <c r="B84" s="622" t="s">
        <v>252</v>
      </c>
      <c r="C84" s="608" t="s">
        <v>1127</v>
      </c>
      <c r="D84" s="609">
        <f>VALUE(LEFT(E84,3))</f>
        <v>0</v>
      </c>
      <c r="E84" s="620" t="s">
        <v>349</v>
      </c>
    </row>
    <row r="85" spans="1:5" hidden="1" outlineLevel="2">
      <c r="A85" s="606" t="s">
        <v>44</v>
      </c>
      <c r="B85" s="622" t="s">
        <v>252</v>
      </c>
      <c r="C85" s="608" t="s">
        <v>1128</v>
      </c>
      <c r="D85" s="609">
        <f>VALUE(LEFT(E85,3))</f>
        <v>0</v>
      </c>
      <c r="E85" s="620" t="s">
        <v>359</v>
      </c>
    </row>
    <row r="86" spans="1:5" s="600" customFormat="1" hidden="1" outlineLevel="1">
      <c r="A86" s="601" t="s">
        <v>44</v>
      </c>
      <c r="B86" s="616" t="s">
        <v>260</v>
      </c>
      <c r="C86" s="617"/>
      <c r="D86" s="604">
        <f>AVERAGE(D88:D88)*D87</f>
        <v>0</v>
      </c>
      <c r="E86" s="619"/>
    </row>
    <row r="87" spans="1:5" ht="28.8" hidden="1" outlineLevel="2">
      <c r="A87" s="606" t="s">
        <v>44</v>
      </c>
      <c r="B87" s="622" t="s">
        <v>260</v>
      </c>
      <c r="C87" s="608" t="s">
        <v>1129</v>
      </c>
      <c r="D87" s="609">
        <f>VALUE(LEFT(E87,3))</f>
        <v>0</v>
      </c>
      <c r="E87" s="610" t="s">
        <v>1052</v>
      </c>
    </row>
    <row r="88" spans="1:5" ht="28.8" hidden="1" outlineLevel="2">
      <c r="A88" s="606" t="s">
        <v>44</v>
      </c>
      <c r="B88" s="622" t="s">
        <v>260</v>
      </c>
      <c r="C88" s="608" t="s">
        <v>1130</v>
      </c>
      <c r="D88" s="609">
        <f>VALUE(LEFT(E88,3))</f>
        <v>0</v>
      </c>
      <c r="E88" s="610" t="s">
        <v>331</v>
      </c>
    </row>
    <row r="89" spans="1:5" s="600" customFormat="1" hidden="1" outlineLevel="1">
      <c r="A89" s="601" t="s">
        <v>44</v>
      </c>
      <c r="B89" s="616" t="s">
        <v>119</v>
      </c>
      <c r="C89" s="617"/>
      <c r="D89" s="604">
        <f>AVERAGE(D90:D91)</f>
        <v>0</v>
      </c>
      <c r="E89" s="619"/>
    </row>
    <row r="90" spans="1:5" hidden="1" outlineLevel="2">
      <c r="A90" s="606" t="s">
        <v>44</v>
      </c>
      <c r="B90" s="622" t="s">
        <v>119</v>
      </c>
      <c r="C90" s="608" t="s">
        <v>1131</v>
      </c>
      <c r="D90" s="609">
        <f>VALUE(LEFT(E90,3))</f>
        <v>0</v>
      </c>
      <c r="E90" s="620" t="s">
        <v>349</v>
      </c>
    </row>
    <row r="91" spans="1:5" hidden="1" outlineLevel="2">
      <c r="A91" s="606" t="s">
        <v>44</v>
      </c>
      <c r="B91" s="622" t="s">
        <v>119</v>
      </c>
      <c r="C91" s="608" t="s">
        <v>1132</v>
      </c>
      <c r="D91" s="609">
        <f>VALUE(LEFT(E91,3))</f>
        <v>0</v>
      </c>
      <c r="E91" s="620" t="s">
        <v>349</v>
      </c>
    </row>
    <row r="92" spans="1:5" s="600" customFormat="1" hidden="1" outlineLevel="1">
      <c r="A92" s="601" t="s">
        <v>44</v>
      </c>
      <c r="B92" s="616" t="s">
        <v>234</v>
      </c>
      <c r="C92" s="617"/>
      <c r="D92" s="604">
        <f>AVERAGE(D93:D94)</f>
        <v>0</v>
      </c>
      <c r="E92" s="619"/>
    </row>
    <row r="93" spans="1:5" ht="31.2" hidden="1" outlineLevel="2">
      <c r="A93" s="606" t="s">
        <v>44</v>
      </c>
      <c r="B93" s="622" t="s">
        <v>234</v>
      </c>
      <c r="C93" s="608" t="s">
        <v>1133</v>
      </c>
      <c r="D93" s="609">
        <f>VALUE(LEFT(E93,3))</f>
        <v>0</v>
      </c>
      <c r="E93" s="620" t="s">
        <v>349</v>
      </c>
    </row>
    <row r="94" spans="1:5" ht="31.2" hidden="1" outlineLevel="2">
      <c r="A94" s="606" t="s">
        <v>44</v>
      </c>
      <c r="B94" s="622" t="s">
        <v>234</v>
      </c>
      <c r="C94" s="608" t="s">
        <v>1134</v>
      </c>
      <c r="D94" s="609">
        <f>VALUE(LEFT(E94,3))</f>
        <v>0</v>
      </c>
      <c r="E94" s="620" t="s">
        <v>349</v>
      </c>
    </row>
    <row r="95" spans="1:5" s="600" customFormat="1" hidden="1" outlineLevel="1">
      <c r="A95" s="601" t="s">
        <v>44</v>
      </c>
      <c r="B95" s="616" t="s">
        <v>305</v>
      </c>
      <c r="C95" s="617"/>
      <c r="D95" s="604">
        <f>AVERAGE(D96:D97)</f>
        <v>0</v>
      </c>
      <c r="E95" s="619"/>
    </row>
    <row r="96" spans="1:5" hidden="1" outlineLevel="2">
      <c r="A96" s="606" t="s">
        <v>44</v>
      </c>
      <c r="B96" s="622" t="s">
        <v>305</v>
      </c>
      <c r="C96" s="608" t="s">
        <v>1135</v>
      </c>
      <c r="D96" s="609">
        <f>VALUE(LEFT(E96,3))</f>
        <v>0</v>
      </c>
      <c r="E96" s="620" t="s">
        <v>349</v>
      </c>
    </row>
    <row r="97" spans="1:5" hidden="1" outlineLevel="2">
      <c r="A97" s="606" t="s">
        <v>44</v>
      </c>
      <c r="B97" s="622" t="s">
        <v>305</v>
      </c>
      <c r="C97" s="608" t="s">
        <v>1136</v>
      </c>
      <c r="D97" s="609">
        <f>VALUE(LEFT(E97,3))</f>
        <v>0</v>
      </c>
      <c r="E97" s="620" t="s">
        <v>349</v>
      </c>
    </row>
    <row r="98" spans="1:5" s="600" customFormat="1" hidden="1" outlineLevel="1">
      <c r="A98" s="601" t="s">
        <v>44</v>
      </c>
      <c r="B98" s="616" t="s">
        <v>307</v>
      </c>
      <c r="C98" s="617"/>
      <c r="D98" s="604">
        <f>AVERAGE(D99:D100)</f>
        <v>0</v>
      </c>
      <c r="E98" s="619"/>
    </row>
    <row r="99" spans="1:5" hidden="1" outlineLevel="2">
      <c r="A99" s="606" t="s">
        <v>44</v>
      </c>
      <c r="B99" s="622" t="s">
        <v>307</v>
      </c>
      <c r="C99" s="608" t="s">
        <v>1137</v>
      </c>
      <c r="D99" s="609">
        <f>VALUE(LEFT(E99,3))</f>
        <v>0</v>
      </c>
      <c r="E99" s="627" t="s">
        <v>349</v>
      </c>
    </row>
    <row r="100" spans="1:5" hidden="1" outlineLevel="2">
      <c r="A100" s="606" t="s">
        <v>44</v>
      </c>
      <c r="B100" s="622" t="s">
        <v>307</v>
      </c>
      <c r="C100" s="608" t="s">
        <v>1138</v>
      </c>
      <c r="D100" s="609">
        <f>VALUE(LEFT(E100,3))</f>
        <v>0</v>
      </c>
      <c r="E100" s="620" t="s">
        <v>349</v>
      </c>
    </row>
    <row r="101" spans="1:5" s="594" customFormat="1" collapsed="1">
      <c r="A101" s="595" t="s">
        <v>64</v>
      </c>
      <c r="B101" s="596"/>
      <c r="C101" s="597"/>
      <c r="D101" s="598">
        <f>AVERAGE(D102:D104)</f>
        <v>0</v>
      </c>
      <c r="E101" s="599"/>
    </row>
    <row r="102" spans="1:5" hidden="1" outlineLevel="1">
      <c r="A102" s="606" t="s">
        <v>64</v>
      </c>
      <c r="B102" s="622"/>
      <c r="C102" s="608" t="s">
        <v>1139</v>
      </c>
      <c r="D102" s="609">
        <f>VALUE(LEFT(E102,3))</f>
        <v>0</v>
      </c>
      <c r="E102" s="620" t="s">
        <v>349</v>
      </c>
    </row>
    <row r="103" spans="1:5" hidden="1" outlineLevel="1">
      <c r="A103" s="606" t="s">
        <v>64</v>
      </c>
      <c r="B103" s="622"/>
      <c r="C103" s="608" t="s">
        <v>823</v>
      </c>
      <c r="D103" s="609">
        <f>VALUE(LEFT(E103,3))</f>
        <v>0</v>
      </c>
      <c r="E103" s="610" t="s">
        <v>331</v>
      </c>
    </row>
    <row r="104" spans="1:5" hidden="1" outlineLevel="1">
      <c r="A104" s="606" t="s">
        <v>64</v>
      </c>
      <c r="B104" s="622"/>
      <c r="C104" s="608" t="s">
        <v>1140</v>
      </c>
      <c r="D104" s="609">
        <f>VALUE(LEFT(E104,3))</f>
        <v>0</v>
      </c>
      <c r="E104" s="610" t="s">
        <v>359</v>
      </c>
    </row>
    <row r="105" spans="1:5" s="594" customFormat="1" collapsed="1">
      <c r="A105" s="595" t="s">
        <v>57</v>
      </c>
      <c r="B105" s="596"/>
      <c r="C105" s="597"/>
      <c r="D105" s="598">
        <f>AVERAGE(D106:D108)</f>
        <v>0</v>
      </c>
      <c r="E105" s="599"/>
    </row>
    <row r="106" spans="1:5" ht="28.8" hidden="1" outlineLevel="1">
      <c r="A106" s="606" t="s">
        <v>57</v>
      </c>
      <c r="B106" s="607"/>
      <c r="C106" s="608" t="s">
        <v>1141</v>
      </c>
      <c r="D106" s="609">
        <f>VALUE(LEFT(E106,3))</f>
        <v>0</v>
      </c>
      <c r="E106" s="611" t="s">
        <v>331</v>
      </c>
    </row>
    <row r="107" spans="1:5" ht="28.8" hidden="1" outlineLevel="1">
      <c r="A107" s="606" t="s">
        <v>57</v>
      </c>
      <c r="B107" s="607"/>
      <c r="C107" s="608" t="s">
        <v>1142</v>
      </c>
      <c r="D107" s="609">
        <f>VALUE(LEFT(E107,3))</f>
        <v>0</v>
      </c>
      <c r="E107" s="611" t="s">
        <v>349</v>
      </c>
    </row>
    <row r="108" spans="1:5" hidden="1" outlineLevel="1">
      <c r="A108" s="606" t="s">
        <v>57</v>
      </c>
      <c r="B108" s="607"/>
      <c r="C108" s="608" t="s">
        <v>1143</v>
      </c>
      <c r="D108" s="609">
        <f>VALUE(LEFT(E108,3))</f>
        <v>0</v>
      </c>
      <c r="E108" s="610" t="s">
        <v>359</v>
      </c>
    </row>
    <row r="109" spans="1:5" s="594" customFormat="1" collapsed="1">
      <c r="A109" s="595" t="s">
        <v>58</v>
      </c>
      <c r="B109" s="596"/>
      <c r="C109" s="597"/>
      <c r="D109" s="598">
        <f>AVERAGE(D110:D112)</f>
        <v>0</v>
      </c>
      <c r="E109" s="599"/>
    </row>
    <row r="110" spans="1:5" hidden="1" outlineLevel="1">
      <c r="A110" s="606" t="s">
        <v>58</v>
      </c>
      <c r="B110" s="607"/>
      <c r="C110" s="608" t="s">
        <v>1144</v>
      </c>
      <c r="D110" s="609">
        <f>VALUE(LEFT(E110,3))</f>
        <v>0</v>
      </c>
      <c r="E110" s="611" t="s">
        <v>331</v>
      </c>
    </row>
    <row r="111" spans="1:5" hidden="1" outlineLevel="1">
      <c r="A111" s="606" t="s">
        <v>58</v>
      </c>
      <c r="B111" s="607"/>
      <c r="C111" s="608" t="s">
        <v>1145</v>
      </c>
      <c r="D111" s="609">
        <f>VALUE(LEFT(E111,3))</f>
        <v>0</v>
      </c>
      <c r="E111" s="611" t="s">
        <v>349</v>
      </c>
    </row>
    <row r="112" spans="1:5" hidden="1" outlineLevel="1">
      <c r="A112" s="606" t="s">
        <v>58</v>
      </c>
      <c r="B112" s="607"/>
      <c r="C112" s="608" t="s">
        <v>1146</v>
      </c>
      <c r="D112" s="609">
        <f>VALUE(LEFT(E112,3))</f>
        <v>0</v>
      </c>
      <c r="E112" s="611" t="s">
        <v>349</v>
      </c>
    </row>
  </sheetData>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E00-000000000000}">
          <x14:formula1>
            <xm:f>'Условные сокращения'!$M$11:$M$12</xm:f>
          </x14:formula1>
          <xm:sqref>E4 E110 E34:E35 E106 E37:E38</xm:sqref>
        </x14:dataValidation>
        <x14:dataValidation type="list" allowBlank="1" showInputMessage="1" showErrorMessage="1" xr:uid="{00000000-0002-0000-0E00-000001000000}">
          <x14:formula1>
            <xm:f>'Условные сокращения'!$I$11:$I$14</xm:f>
          </x14:formula1>
          <xm:sqref>E5:E6 E45:E46 E48:E49 E51:E52 E8:E10 E88 E103 E28:E29 E40 E69 E54:E57 E74</xm:sqref>
        </x14:dataValidation>
        <x14:dataValidation type="list" allowBlank="1" showInputMessage="1" showErrorMessage="1" xr:uid="{00000000-0002-0000-0E00-000002000000}">
          <x14:formula1>
            <xm:f>'Условные сокращения'!$B$27:$B$30</xm:f>
          </x14:formula1>
          <xm:sqref>E42 E19 E22 E24:E26 E16:E17 E14 E73 E111:E112 E63:E65 E59:E61 E67:E68 E71 E99:E100 E102 E79 E81 E83:E84 E90:E91 E93:E94 E96:E97 E107</xm:sqref>
        </x14:dataValidation>
        <x14:dataValidation type="list" allowBlank="1" showInputMessage="1" showErrorMessage="1" xr:uid="{00000000-0002-0000-0E00-000003000000}">
          <x14:formula1>
            <xm:f>'Условные сокращения'!$N$3:$N$8</xm:f>
          </x14:formula1>
          <xm:sqref>E12:E13 E104 E85 E32 E108</xm:sqref>
        </x14:dataValidation>
        <x14:dataValidation type="list" allowBlank="1" showInputMessage="1" showErrorMessage="1" xr:uid="{00000000-0002-0000-0E00-000004000000}">
          <x14:formula1>
            <xm:f>'Условные сокращения'!$M$30:$M$31</xm:f>
          </x14:formula1>
          <xm:sqref>E76:E77 E87 E50 E53 E31 E47</xm:sqref>
        </x14:dataValidation>
        <x14:dataValidation type="list" allowBlank="1" showInputMessage="1" showErrorMessage="1" xr:uid="{00000000-0002-0000-0E00-000005000000}">
          <x14:formula1>
            <xm:f>'Условные сокращения'!$B$19:$B$22</xm:f>
          </x14:formula1>
          <xm:sqref>E21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15</vt:i4>
      </vt:variant>
      <vt:variant>
        <vt:lpstr>Именованные диапазоны</vt:lpstr>
      </vt:variant>
      <vt:variant>
        <vt:i4>14</vt:i4>
      </vt:variant>
    </vt:vector>
  </HeadingPairs>
  <TitlesOfParts>
    <vt:vector size="29" baseType="lpstr">
      <vt:lpstr>Описание</vt:lpstr>
      <vt:lpstr>ИТОГ</vt:lpstr>
      <vt:lpstr>Расчет</vt:lpstr>
      <vt:lpstr>Программа</vt:lpstr>
      <vt:lpstr>Управление ИБ</vt:lpstr>
      <vt:lpstr>Нормативное соответствие</vt:lpstr>
      <vt:lpstr>250</vt:lpstr>
      <vt:lpstr>СЗИ</vt:lpstr>
      <vt:lpstr>Мониторинг</vt:lpstr>
      <vt:lpstr>Реагирование</vt:lpstr>
      <vt:lpstr>Восстановление</vt:lpstr>
      <vt:lpstr>Светофор</vt:lpstr>
      <vt:lpstr>Условные сокращения</vt:lpstr>
      <vt:lpstr>Приоритет</vt:lpstr>
      <vt:lpstr>Экспресс</vt:lpstr>
      <vt:lpstr>БР</vt:lpstr>
      <vt:lpstr>ГИС</vt:lpstr>
      <vt:lpstr>ЗОКИИ</vt:lpstr>
      <vt:lpstr>КИИ</vt:lpstr>
      <vt:lpstr>КТ</vt:lpstr>
      <vt:lpstr>ЛИЦ</vt:lpstr>
      <vt:lpstr>Лицензия</vt:lpstr>
      <vt:lpstr>ПДН</vt:lpstr>
      <vt:lpstr>СК</vt:lpstr>
      <vt:lpstr>СКЗИ</vt:lpstr>
      <vt:lpstr>СКПДН</vt:lpstr>
      <vt:lpstr>СТОРПДН</vt:lpstr>
      <vt:lpstr>СУДПДН</vt:lpstr>
      <vt:lpstr>ЦУКБ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Гурин Петр Иванович</dc:creator>
  <cp:lastModifiedBy>dhobs</cp:lastModifiedBy>
  <cp:revision>2</cp:revision>
  <dcterms:created xsi:type="dcterms:W3CDTF">2018-02-21T15:54:16Z</dcterms:created>
  <dcterms:modified xsi:type="dcterms:W3CDTF">2026-01-16T13:24:47Z</dcterms:modified>
</cp:coreProperties>
</file>