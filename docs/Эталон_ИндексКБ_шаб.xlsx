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never" codeName="ЭтаКнига"/>
  <mc:AlternateContent xmlns:mc="http://schemas.openxmlformats.org/markup-compatibility/2006">
    <mc:Choice Requires="x15">
      <x15ac:absPath xmlns:x15ac="http://schemas.microsoft.com/office/spreadsheetml/2010/11/ac" url="C:\2 Медлайн\ИКБ\"/>
    </mc:Choice>
  </mc:AlternateContent>
  <xr:revisionPtr revIDLastSave="0" documentId="13_ncr:1_{85E9D890-9538-4595-99AA-846AF1F80458}" xr6:coauthVersionLast="47" xr6:coauthVersionMax="47" xr10:uidLastSave="{00000000-0000-0000-0000-000000000000}"/>
  <bookViews>
    <workbookView xWindow="-108" yWindow="-108" windowWidth="23256" windowHeight="13176" tabRatio="626" activeTab="1" xr2:uid="{00000000-000D-0000-FFFF-FFFF00000000}"/>
  </bookViews>
  <sheets>
    <sheet name="Описание" sheetId="1" r:id="rId1"/>
    <sheet name="ИТОГ" sheetId="2" r:id="rId2"/>
    <sheet name="Расчет" sheetId="3" r:id="rId3"/>
    <sheet name="Программа" sheetId="16" r:id="rId4"/>
    <sheet name="Управление ИБ" sheetId="4" r:id="rId5"/>
    <sheet name="Нормативное соответствие" sheetId="5" r:id="rId6"/>
    <sheet name="250" sheetId="6" r:id="rId7"/>
    <sheet name="СЗИ" sheetId="7" r:id="rId8"/>
    <sheet name="Мониторинг" sheetId="8" r:id="rId9"/>
    <sheet name="Реагирование" sheetId="9" r:id="rId10"/>
    <sheet name="Восстановление" sheetId="10" r:id="rId11"/>
    <sheet name="Светофор" sheetId="18" r:id="rId12"/>
    <sheet name="Условные сокращения" sheetId="11" state="hidden" r:id="rId13"/>
    <sheet name="Приоритет" sheetId="17" state="hidden" r:id="rId14"/>
    <sheet name="Экспресс" sheetId="13" state="hidden" r:id="rId15"/>
  </sheets>
  <definedNames>
    <definedName name="_xlnm._FilterDatabase" localSheetId="6" hidden="1">'250'!$B$50:$N$50</definedName>
    <definedName name="_xlnm._FilterDatabase" localSheetId="10" hidden="1">Восстановление!$B$30:$Q$43</definedName>
    <definedName name="_xlnm._FilterDatabase" localSheetId="8" hidden="1">Мониторинг!$B$43:$Q$65</definedName>
    <definedName name="_xlnm._FilterDatabase" localSheetId="5" hidden="1">'Нормативное соответствие'!$B$48:$P$113</definedName>
    <definedName name="_xlnm._FilterDatabase" localSheetId="13" hidden="1">Приоритет!$E$8:$K$52</definedName>
    <definedName name="_xlnm._FilterDatabase" localSheetId="3" hidden="1">Программа!$A$2:$P$613</definedName>
    <definedName name="_xlnm._FilterDatabase" localSheetId="2" hidden="1">Расчет!$A$3:$P$45</definedName>
    <definedName name="_xlnm._FilterDatabase" localSheetId="9" hidden="1">Реагирование!$B$37:$S$67</definedName>
    <definedName name="_xlnm._FilterDatabase" localSheetId="7" hidden="1">СЗИ!$A$44:$AC$120</definedName>
    <definedName name="_xlnm._FilterDatabase" localSheetId="4" hidden="1">'Управление ИБ'!$A$59:$P$193</definedName>
    <definedName name="БР">ИТОГ!$AA$34</definedName>
    <definedName name="ГИС">ИТОГ!$V$35</definedName>
    <definedName name="КИИ">ИТОГ!$V$36</definedName>
    <definedName name="КТ">ИТОГ!$V$40</definedName>
    <definedName name="ЛИЦ">ИТОГ!$V$34</definedName>
    <definedName name="Лицензия">ИТОГ!$V$34</definedName>
    <definedName name="ПДН">ИТОГ!$V$37</definedName>
    <definedName name="СКЗИ">ИТОГ!$AA$35</definedName>
    <definedName name="СКПДН">ИТОГ!$V$38</definedName>
    <definedName name="СТОРПДН">ИТОГ!$V$37</definedName>
    <definedName name="СУДПДН">ИТОГ!$V$39</definedName>
    <definedName name="ЦУКБ">ИТОГ!$L$3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2" i="4" l="1"/>
  <c r="Q183" i="4"/>
  <c r="Q163" i="4"/>
  <c r="Q162" i="4"/>
  <c r="Q155" i="4"/>
  <c r="Q152" i="4"/>
  <c r="Q147" i="4"/>
  <c r="Q140" i="4"/>
  <c r="Q137" i="4"/>
  <c r="Q115" i="4"/>
  <c r="Q113" i="4"/>
  <c r="F33" i="9" l="1"/>
  <c r="K32" i="7"/>
  <c r="N120" i="7" l="1"/>
  <c r="N104" i="7"/>
  <c r="N102" i="7"/>
  <c r="L62" i="7"/>
  <c r="C112" i="7"/>
  <c r="G120" i="7"/>
  <c r="H120" i="7"/>
  <c r="I120" i="7"/>
  <c r="J120" i="7"/>
  <c r="K120" i="7"/>
  <c r="D120" i="7"/>
  <c r="E120" i="7"/>
  <c r="F120" i="7"/>
  <c r="C120" i="7"/>
  <c r="K112" i="7"/>
  <c r="K104" i="7"/>
  <c r="K102" i="7"/>
  <c r="F102" i="7"/>
  <c r="G102" i="7"/>
  <c r="H102" i="7"/>
  <c r="I102" i="7"/>
  <c r="E102" i="7"/>
  <c r="G104" i="7"/>
  <c r="H104" i="7"/>
  <c r="I104" i="7"/>
  <c r="D104" i="7"/>
  <c r="E104" i="7"/>
  <c r="F104" i="7"/>
  <c r="C104" i="7"/>
  <c r="G112" i="7"/>
  <c r="H112" i="7"/>
  <c r="I112" i="7"/>
  <c r="J112" i="7"/>
  <c r="K98" i="6"/>
  <c r="K97" i="6"/>
  <c r="K96" i="6"/>
  <c r="K95" i="6"/>
  <c r="K94" i="6"/>
  <c r="K92" i="6"/>
  <c r="K91" i="6"/>
  <c r="K90" i="6"/>
  <c r="K89" i="6"/>
  <c r="K88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69" i="6"/>
  <c r="K68" i="6"/>
  <c r="K67" i="6"/>
  <c r="K66" i="6"/>
  <c r="K64" i="6"/>
  <c r="K63" i="6"/>
  <c r="K62" i="6"/>
  <c r="K60" i="6"/>
  <c r="K59" i="6"/>
  <c r="K58" i="6"/>
  <c r="K57" i="6"/>
  <c r="K56" i="6"/>
  <c r="K55" i="6"/>
  <c r="K54" i="6"/>
  <c r="K106" i="5"/>
  <c r="K105" i="5"/>
  <c r="K104" i="5"/>
  <c r="K103" i="5"/>
  <c r="K102" i="5"/>
  <c r="K101" i="5"/>
  <c r="K100" i="5"/>
  <c r="K99" i="5"/>
  <c r="K98" i="5"/>
  <c r="K97" i="5"/>
  <c r="K95" i="5"/>
  <c r="K94" i="5"/>
  <c r="K93" i="5"/>
  <c r="K92" i="5"/>
  <c r="K91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143" i="4"/>
  <c r="K142" i="4"/>
  <c r="K141" i="4"/>
  <c r="K140" i="4"/>
  <c r="K139" i="4"/>
  <c r="K137" i="4"/>
  <c r="K136" i="4"/>
  <c r="K135" i="4"/>
  <c r="K133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B29" i="3" l="1"/>
  <c r="J3" i="3" l="1"/>
  <c r="E92" i="5" l="1"/>
  <c r="F92" i="5"/>
  <c r="E93" i="5"/>
  <c r="F93" i="5"/>
  <c r="E94" i="5"/>
  <c r="F94" i="5"/>
  <c r="E95" i="5"/>
  <c r="F95" i="5"/>
  <c r="F91" i="5"/>
  <c r="E91" i="5"/>
  <c r="D92" i="5"/>
  <c r="D93" i="5"/>
  <c r="D94" i="5"/>
  <c r="D95" i="5"/>
  <c r="D91" i="5"/>
  <c r="F143" i="4"/>
  <c r="F142" i="4"/>
  <c r="F141" i="4"/>
  <c r="F140" i="4"/>
  <c r="F139" i="4"/>
  <c r="F137" i="4"/>
  <c r="F136" i="4"/>
  <c r="F133" i="4"/>
  <c r="F135" i="4"/>
  <c r="E135" i="4"/>
  <c r="E145" i="4"/>
  <c r="E144" i="4"/>
  <c r="E143" i="4"/>
  <c r="E142" i="4"/>
  <c r="E141" i="4"/>
  <c r="E140" i="4"/>
  <c r="E139" i="4"/>
  <c r="E138" i="4"/>
  <c r="E137" i="4"/>
  <c r="E136" i="4"/>
  <c r="E134" i="4"/>
  <c r="E133" i="4"/>
  <c r="D137" i="4"/>
  <c r="D138" i="4"/>
  <c r="D139" i="4"/>
  <c r="D140" i="4"/>
  <c r="D141" i="4"/>
  <c r="D142" i="4"/>
  <c r="D143" i="4"/>
  <c r="D144" i="4"/>
  <c r="D145" i="4"/>
  <c r="D136" i="4"/>
  <c r="D135" i="4"/>
  <c r="D133" i="4"/>
  <c r="D134" i="4"/>
  <c r="E132" i="4"/>
  <c r="D132" i="4"/>
  <c r="F106" i="5"/>
  <c r="E106" i="5"/>
  <c r="D106" i="5"/>
  <c r="D98" i="5"/>
  <c r="E98" i="5"/>
  <c r="F98" i="5"/>
  <c r="D99" i="5"/>
  <c r="E99" i="5"/>
  <c r="F99" i="5"/>
  <c r="D100" i="5"/>
  <c r="E100" i="5"/>
  <c r="F100" i="5"/>
  <c r="D101" i="5"/>
  <c r="E101" i="5"/>
  <c r="F101" i="5"/>
  <c r="D102" i="5"/>
  <c r="E102" i="5"/>
  <c r="F102" i="5"/>
  <c r="D103" i="5"/>
  <c r="E103" i="5"/>
  <c r="F103" i="5"/>
  <c r="D104" i="5"/>
  <c r="E104" i="5"/>
  <c r="F104" i="5"/>
  <c r="D105" i="5"/>
  <c r="E105" i="5"/>
  <c r="F105" i="5"/>
  <c r="F97" i="5"/>
  <c r="E97" i="5"/>
  <c r="D97" i="5"/>
  <c r="E95" i="6"/>
  <c r="F95" i="6"/>
  <c r="E96" i="6"/>
  <c r="F96" i="6"/>
  <c r="E97" i="6"/>
  <c r="F97" i="6"/>
  <c r="E98" i="6"/>
  <c r="F98" i="6"/>
  <c r="F94" i="6"/>
  <c r="E94" i="6"/>
  <c r="E89" i="6"/>
  <c r="F89" i="6"/>
  <c r="E90" i="6"/>
  <c r="F90" i="6"/>
  <c r="E91" i="6"/>
  <c r="F91" i="6"/>
  <c r="E92" i="6"/>
  <c r="F92" i="6"/>
  <c r="F88" i="6"/>
  <c r="E88" i="6"/>
  <c r="E74" i="6"/>
  <c r="F74" i="6"/>
  <c r="E75" i="6"/>
  <c r="F75" i="6"/>
  <c r="E76" i="6"/>
  <c r="F76" i="6"/>
  <c r="E77" i="6"/>
  <c r="F77" i="6"/>
  <c r="E78" i="6"/>
  <c r="F78" i="6"/>
  <c r="E79" i="6"/>
  <c r="F79" i="6"/>
  <c r="E80" i="6"/>
  <c r="F80" i="6"/>
  <c r="E81" i="6"/>
  <c r="F81" i="6"/>
  <c r="E82" i="6"/>
  <c r="F82" i="6"/>
  <c r="E83" i="6"/>
  <c r="F83" i="6"/>
  <c r="E84" i="6"/>
  <c r="F84" i="6"/>
  <c r="E85" i="6"/>
  <c r="F85" i="6"/>
  <c r="E86" i="6"/>
  <c r="F86" i="6"/>
  <c r="F73" i="6"/>
  <c r="E73" i="6"/>
  <c r="E67" i="6"/>
  <c r="F67" i="6"/>
  <c r="E68" i="6"/>
  <c r="F68" i="6"/>
  <c r="E69" i="6"/>
  <c r="F69" i="6"/>
  <c r="F66" i="6"/>
  <c r="E66" i="6"/>
  <c r="E64" i="6"/>
  <c r="F64" i="6"/>
  <c r="F63" i="6"/>
  <c r="E63" i="6"/>
  <c r="E55" i="6"/>
  <c r="F55" i="6"/>
  <c r="E56" i="6"/>
  <c r="F56" i="6"/>
  <c r="E57" i="6"/>
  <c r="F57" i="6"/>
  <c r="E58" i="6"/>
  <c r="F58" i="6"/>
  <c r="E59" i="6"/>
  <c r="F59" i="6"/>
  <c r="E60" i="6"/>
  <c r="F60" i="6"/>
  <c r="F54" i="6"/>
  <c r="E54" i="6"/>
  <c r="D95" i="6"/>
  <c r="D96" i="6"/>
  <c r="D97" i="6"/>
  <c r="D98" i="6"/>
  <c r="D94" i="6"/>
  <c r="D89" i="6"/>
  <c r="D90" i="6"/>
  <c r="D91" i="6"/>
  <c r="D92" i="6"/>
  <c r="D88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73" i="6"/>
  <c r="D69" i="6"/>
  <c r="D67" i="6"/>
  <c r="D68" i="6"/>
  <c r="D66" i="6"/>
  <c r="D64" i="6"/>
  <c r="D63" i="6"/>
  <c r="D55" i="6"/>
  <c r="D56" i="6"/>
  <c r="D57" i="6"/>
  <c r="D58" i="6"/>
  <c r="D59" i="6"/>
  <c r="D60" i="6"/>
  <c r="D54" i="6"/>
  <c r="F89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75" i="5"/>
  <c r="F54" i="4" l="1"/>
  <c r="E54" i="4"/>
  <c r="D54" i="4"/>
  <c r="D45" i="5" l="1"/>
  <c r="F45" i="5"/>
  <c r="E45" i="5"/>
  <c r="P75" i="7" l="1"/>
  <c r="L61" i="7" l="1"/>
  <c r="L52" i="7"/>
  <c r="L96" i="6"/>
  <c r="L97" i="6"/>
  <c r="L98" i="6"/>
  <c r="L95" i="6"/>
  <c r="L94" i="6"/>
  <c r="L90" i="6"/>
  <c r="L91" i="6"/>
  <c r="L92" i="6"/>
  <c r="L89" i="6"/>
  <c r="L88" i="6"/>
  <c r="L75" i="6"/>
  <c r="L76" i="6"/>
  <c r="L77" i="6"/>
  <c r="O77" i="6" s="1"/>
  <c r="L78" i="6"/>
  <c r="L79" i="6"/>
  <c r="O79" i="6" s="1"/>
  <c r="L80" i="6"/>
  <c r="L81" i="6"/>
  <c r="L82" i="6"/>
  <c r="L83" i="6"/>
  <c r="L84" i="6"/>
  <c r="L85" i="6"/>
  <c r="L86" i="6"/>
  <c r="L74" i="6"/>
  <c r="L73" i="6"/>
  <c r="L75" i="5"/>
  <c r="Q75" i="5" s="1"/>
  <c r="L110" i="7" l="1"/>
  <c r="L64" i="7"/>
  <c r="L142" i="4" l="1"/>
  <c r="M142" i="4" s="1"/>
  <c r="L141" i="4"/>
  <c r="M141" i="4" s="1"/>
  <c r="L140" i="4"/>
  <c r="M140" i="4" s="1"/>
  <c r="L139" i="4"/>
  <c r="M139" i="4" s="1"/>
  <c r="L138" i="4"/>
  <c r="M138" i="4" s="1"/>
  <c r="L137" i="4"/>
  <c r="M137" i="4" s="1"/>
  <c r="L136" i="4"/>
  <c r="M136" i="4" s="1"/>
  <c r="L135" i="4"/>
  <c r="M135" i="4" s="1"/>
  <c r="L134" i="4"/>
  <c r="M134" i="4" s="1"/>
  <c r="L133" i="4"/>
  <c r="M133" i="4" s="1"/>
  <c r="L132" i="4"/>
  <c r="M132" i="4" s="1"/>
  <c r="U140" i="4" l="1"/>
  <c r="S140" i="4"/>
  <c r="U135" i="4"/>
  <c r="S135" i="4"/>
  <c r="Q135" i="4"/>
  <c r="S139" i="4"/>
  <c r="Q139" i="4"/>
  <c r="U139" i="4"/>
  <c r="Q132" i="4"/>
  <c r="U132" i="4"/>
  <c r="S132" i="4"/>
  <c r="Q136" i="4"/>
  <c r="U136" i="4"/>
  <c r="S136" i="4"/>
  <c r="Q133" i="4"/>
  <c r="U133" i="4"/>
  <c r="S133" i="4"/>
  <c r="S137" i="4"/>
  <c r="U137" i="4"/>
  <c r="U141" i="4"/>
  <c r="S141" i="4"/>
  <c r="Q141" i="4"/>
  <c r="U134" i="4"/>
  <c r="S134" i="4"/>
  <c r="U138" i="4"/>
  <c r="S138" i="4"/>
  <c r="U142" i="4"/>
  <c r="S142" i="4"/>
  <c r="Q142" i="4"/>
  <c r="Q134" i="4"/>
  <c r="Q138" i="4"/>
  <c r="L130" i="4" l="1"/>
  <c r="L129" i="4"/>
  <c r="L128" i="4"/>
  <c r="L127" i="4"/>
  <c r="S127" i="4" s="1"/>
  <c r="L126" i="4"/>
  <c r="S126" i="4" s="1"/>
  <c r="L122" i="4"/>
  <c r="L119" i="4"/>
  <c r="L109" i="4"/>
  <c r="U109" i="4" s="1"/>
  <c r="L76" i="4"/>
  <c r="U76" i="4" s="1"/>
  <c r="L75" i="4"/>
  <c r="U75" i="4" s="1"/>
  <c r="L74" i="4"/>
  <c r="U74" i="4" s="1"/>
  <c r="L73" i="4"/>
  <c r="S73" i="4" s="1"/>
  <c r="L72" i="4"/>
  <c r="L70" i="4"/>
  <c r="L69" i="4"/>
  <c r="L68" i="4"/>
  <c r="L67" i="4"/>
  <c r="L66" i="4"/>
  <c r="M66" i="4" s="1"/>
  <c r="L65" i="4"/>
  <c r="L64" i="4"/>
  <c r="M64" i="4" s="1"/>
  <c r="L63" i="4"/>
  <c r="M63" i="4" s="1"/>
  <c r="L62" i="4"/>
  <c r="L61" i="4"/>
  <c r="U61" i="4" s="1"/>
  <c r="U122" i="4" l="1"/>
  <c r="M122" i="4"/>
  <c r="S128" i="4"/>
  <c r="M128" i="4"/>
  <c r="S129" i="4"/>
  <c r="M129" i="4"/>
  <c r="S119" i="4"/>
  <c r="M119" i="4"/>
  <c r="S130" i="4"/>
  <c r="M130" i="4"/>
  <c r="Q62" i="4"/>
  <c r="M62" i="4"/>
  <c r="U70" i="4"/>
  <c r="M70" i="4"/>
  <c r="U69" i="4"/>
  <c r="M69" i="4"/>
  <c r="U68" i="4"/>
  <c r="M68" i="4"/>
  <c r="U67" i="4"/>
  <c r="M67" i="4"/>
  <c r="U65" i="4"/>
  <c r="M65" i="4"/>
  <c r="U64" i="4"/>
  <c r="S64" i="4"/>
  <c r="U66" i="4"/>
  <c r="S66" i="4"/>
  <c r="S72" i="4"/>
  <c r="Q127" i="4"/>
  <c r="U127" i="4"/>
  <c r="Q130" i="4"/>
  <c r="Q63" i="4"/>
  <c r="Q119" i="4"/>
  <c r="U128" i="4"/>
  <c r="U119" i="4"/>
  <c r="U72" i="4"/>
  <c r="U73" i="4"/>
  <c r="U126" i="4"/>
  <c r="Q129" i="4"/>
  <c r="U130" i="4"/>
  <c r="Q126" i="4"/>
  <c r="Q128" i="4"/>
  <c r="U129" i="4"/>
  <c r="Q73" i="4"/>
  <c r="M126" i="4"/>
  <c r="M127" i="4"/>
  <c r="S122" i="4"/>
  <c r="Q122" i="4"/>
  <c r="M109" i="4"/>
  <c r="S109" i="4"/>
  <c r="Q109" i="4"/>
  <c r="S74" i="4"/>
  <c r="M76" i="4"/>
  <c r="M75" i="4"/>
  <c r="S75" i="4"/>
  <c r="S76" i="4"/>
  <c r="M72" i="4"/>
  <c r="Q74" i="4"/>
  <c r="Q75" i="4"/>
  <c r="Q76" i="4"/>
  <c r="M61" i="4"/>
  <c r="S61" i="4"/>
  <c r="S65" i="4"/>
  <c r="S67" i="4"/>
  <c r="S68" i="4"/>
  <c r="S69" i="4"/>
  <c r="S70" i="4"/>
  <c r="Q61" i="4"/>
  <c r="Q64" i="4"/>
  <c r="Q65" i="4"/>
  <c r="Q66" i="4"/>
  <c r="Q67" i="4"/>
  <c r="Q68" i="4"/>
  <c r="Q69" i="4"/>
  <c r="Q70" i="4"/>
  <c r="J429" i="16"/>
  <c r="J223" i="16"/>
  <c r="I429" i="16"/>
  <c r="I223" i="16"/>
  <c r="D429" i="16"/>
  <c r="E429" i="16"/>
  <c r="F429" i="16"/>
  <c r="G429" i="16"/>
  <c r="C429" i="16"/>
  <c r="J436" i="16"/>
  <c r="J226" i="16"/>
  <c r="I436" i="16"/>
  <c r="I226" i="16"/>
  <c r="D436" i="16"/>
  <c r="E436" i="16"/>
  <c r="F436" i="16"/>
  <c r="G436" i="16"/>
  <c r="C436" i="16"/>
  <c r="J435" i="16"/>
  <c r="I435" i="16"/>
  <c r="E435" i="16"/>
  <c r="F435" i="16"/>
  <c r="G435" i="16"/>
  <c r="D435" i="16"/>
  <c r="C435" i="16"/>
  <c r="J434" i="16"/>
  <c r="I434" i="16"/>
  <c r="J224" i="16"/>
  <c r="I224" i="16"/>
  <c r="E434" i="16"/>
  <c r="F434" i="16"/>
  <c r="G434" i="16"/>
  <c r="E224" i="16"/>
  <c r="F224" i="16"/>
  <c r="G224" i="16"/>
  <c r="D434" i="16"/>
  <c r="D224" i="16"/>
  <c r="C224" i="16"/>
  <c r="C434" i="16"/>
  <c r="J218" i="16"/>
  <c r="I218" i="16"/>
  <c r="G218" i="16"/>
  <c r="F218" i="16"/>
  <c r="E218" i="16"/>
  <c r="D218" i="16"/>
  <c r="C218" i="16"/>
  <c r="I74" i="16"/>
  <c r="E74" i="16"/>
  <c r="F74" i="16"/>
  <c r="G74" i="16"/>
  <c r="D74" i="16"/>
  <c r="C74" i="16"/>
  <c r="J73" i="16"/>
  <c r="I73" i="16"/>
  <c r="E73" i="16"/>
  <c r="F73" i="16"/>
  <c r="G73" i="16"/>
  <c r="D73" i="16"/>
  <c r="C73" i="16"/>
  <c r="I296" i="16" l="1"/>
  <c r="D296" i="16"/>
  <c r="E296" i="16"/>
  <c r="F296" i="16"/>
  <c r="G296" i="16"/>
  <c r="C296" i="16"/>
  <c r="I54" i="16"/>
  <c r="I55" i="16"/>
  <c r="E54" i="16"/>
  <c r="F54" i="16"/>
  <c r="G54" i="16"/>
  <c r="E55" i="16"/>
  <c r="F55" i="16"/>
  <c r="G55" i="16"/>
  <c r="D54" i="16"/>
  <c r="D55" i="16"/>
  <c r="C54" i="16"/>
  <c r="C55" i="16"/>
  <c r="I52" i="16"/>
  <c r="E52" i="16"/>
  <c r="F52" i="16"/>
  <c r="G52" i="16"/>
  <c r="D52" i="16"/>
  <c r="C52" i="16"/>
  <c r="N112" i="7"/>
  <c r="J589" i="16"/>
  <c r="I589" i="16"/>
  <c r="E589" i="16"/>
  <c r="F589" i="16"/>
  <c r="G589" i="16"/>
  <c r="D589" i="16"/>
  <c r="C589" i="16"/>
  <c r="J582" i="16"/>
  <c r="I582" i="16"/>
  <c r="J424" i="16"/>
  <c r="I424" i="16"/>
  <c r="J420" i="16"/>
  <c r="I420" i="16"/>
  <c r="D582" i="16"/>
  <c r="E582" i="16"/>
  <c r="F582" i="16"/>
  <c r="G582" i="16"/>
  <c r="D424" i="16"/>
  <c r="E424" i="16"/>
  <c r="F424" i="16"/>
  <c r="G424" i="16"/>
  <c r="E420" i="16"/>
  <c r="F420" i="16"/>
  <c r="G420" i="16"/>
  <c r="D420" i="16"/>
  <c r="C582" i="16"/>
  <c r="C424" i="16"/>
  <c r="C420" i="16"/>
  <c r="N99" i="7"/>
  <c r="K99" i="7"/>
  <c r="D99" i="7"/>
  <c r="E99" i="7"/>
  <c r="F99" i="7"/>
  <c r="C373" i="16"/>
  <c r="I577" i="16"/>
  <c r="I579" i="16"/>
  <c r="G226" i="16"/>
  <c r="F226" i="16"/>
  <c r="E226" i="16"/>
  <c r="D226" i="16"/>
  <c r="C226" i="16"/>
  <c r="F92" i="7" l="1"/>
  <c r="K92" i="7"/>
  <c r="N92" i="7"/>
  <c r="F200" i="16" l="1"/>
  <c r="G200" i="16"/>
  <c r="C562" i="16"/>
  <c r="D562" i="16"/>
  <c r="E562" i="16"/>
  <c r="F562" i="16"/>
  <c r="G562" i="16"/>
  <c r="I562" i="16"/>
  <c r="J562" i="16"/>
  <c r="C563" i="16"/>
  <c r="D563" i="16"/>
  <c r="E563" i="16"/>
  <c r="F563" i="16"/>
  <c r="G563" i="16"/>
  <c r="I563" i="16"/>
  <c r="J563" i="16"/>
  <c r="C564" i="16"/>
  <c r="D564" i="16"/>
  <c r="E564" i="16"/>
  <c r="F564" i="16"/>
  <c r="G564" i="16"/>
  <c r="I564" i="16"/>
  <c r="J564" i="16"/>
  <c r="L563" i="16" l="1"/>
  <c r="J96" i="4"/>
  <c r="I96" i="4"/>
  <c r="G96" i="4"/>
  <c r="F96" i="4"/>
  <c r="E96" i="4"/>
  <c r="D96" i="4"/>
  <c r="C96" i="4"/>
  <c r="E100" i="4"/>
  <c r="F100" i="4"/>
  <c r="G100" i="4"/>
  <c r="H100" i="4"/>
  <c r="I100" i="4"/>
  <c r="J100" i="4"/>
  <c r="D100" i="4"/>
  <c r="C100" i="4"/>
  <c r="E99" i="4"/>
  <c r="F99" i="4"/>
  <c r="G99" i="4"/>
  <c r="H99" i="4"/>
  <c r="I99" i="4"/>
  <c r="J99" i="4"/>
  <c r="C99" i="4"/>
  <c r="E98" i="4"/>
  <c r="F98" i="4"/>
  <c r="G98" i="4"/>
  <c r="H98" i="4"/>
  <c r="I98" i="4"/>
  <c r="J98" i="4"/>
  <c r="L98" i="4"/>
  <c r="F97" i="4"/>
  <c r="G97" i="4"/>
  <c r="H97" i="4"/>
  <c r="I97" i="4"/>
  <c r="J97" i="4"/>
  <c r="J95" i="4"/>
  <c r="I95" i="4"/>
  <c r="H95" i="4"/>
  <c r="G95" i="4"/>
  <c r="F95" i="4"/>
  <c r="E95" i="4"/>
  <c r="D95" i="4"/>
  <c r="C95" i="4"/>
  <c r="B95" i="4"/>
  <c r="F94" i="4"/>
  <c r="G94" i="4"/>
  <c r="H94" i="4"/>
  <c r="I94" i="4"/>
  <c r="J94" i="4"/>
  <c r="E93" i="4"/>
  <c r="F93" i="4"/>
  <c r="G93" i="4"/>
  <c r="H93" i="4"/>
  <c r="I93" i="4"/>
  <c r="J93" i="4"/>
  <c r="D93" i="4"/>
  <c r="C93" i="4"/>
  <c r="F92" i="4"/>
  <c r="G92" i="4"/>
  <c r="H92" i="4"/>
  <c r="I92" i="4"/>
  <c r="J92" i="4"/>
  <c r="G91" i="4"/>
  <c r="H91" i="4"/>
  <c r="I91" i="4"/>
  <c r="J91" i="4"/>
  <c r="F90" i="4"/>
  <c r="G90" i="4"/>
  <c r="H90" i="4"/>
  <c r="I90" i="4"/>
  <c r="J90" i="4"/>
  <c r="G89" i="4"/>
  <c r="H89" i="4"/>
  <c r="I89" i="4"/>
  <c r="J89" i="4"/>
  <c r="F88" i="4"/>
  <c r="G88" i="4"/>
  <c r="H88" i="4"/>
  <c r="I88" i="4"/>
  <c r="J88" i="4"/>
  <c r="F87" i="4"/>
  <c r="G87" i="4"/>
  <c r="H87" i="4"/>
  <c r="I87" i="4"/>
  <c r="J87" i="4"/>
  <c r="F86" i="4"/>
  <c r="G86" i="4"/>
  <c r="H86" i="4"/>
  <c r="I86" i="4"/>
  <c r="J86" i="4"/>
  <c r="E86" i="4"/>
  <c r="F85" i="4"/>
  <c r="G85" i="4"/>
  <c r="H85" i="4"/>
  <c r="I85" i="4"/>
  <c r="J85" i="4"/>
  <c r="G84" i="4"/>
  <c r="H84" i="4"/>
  <c r="I84" i="4"/>
  <c r="J84" i="4"/>
  <c r="F83" i="4"/>
  <c r="G83" i="4"/>
  <c r="H83" i="4"/>
  <c r="I83" i="4"/>
  <c r="J83" i="4"/>
  <c r="E83" i="4"/>
  <c r="F82" i="4"/>
  <c r="G82" i="4"/>
  <c r="H82" i="4"/>
  <c r="I82" i="4"/>
  <c r="J82" i="4"/>
  <c r="F81" i="4"/>
  <c r="G81" i="4"/>
  <c r="H81" i="4"/>
  <c r="I81" i="4"/>
  <c r="J81" i="4"/>
  <c r="F80" i="4"/>
  <c r="G80" i="4"/>
  <c r="H80" i="4"/>
  <c r="I80" i="4"/>
  <c r="J80" i="4"/>
  <c r="F79" i="4"/>
  <c r="G79" i="4"/>
  <c r="H79" i="4"/>
  <c r="I79" i="4"/>
  <c r="J79" i="4"/>
  <c r="L79" i="4"/>
  <c r="E79" i="4"/>
  <c r="I78" i="4"/>
  <c r="J78" i="4"/>
  <c r="H78" i="4"/>
  <c r="G78" i="4"/>
  <c r="E78" i="4"/>
  <c r="K42" i="5" l="1"/>
  <c r="J42" i="5"/>
  <c r="F42" i="5"/>
  <c r="E42" i="5"/>
  <c r="D42" i="5"/>
  <c r="L64" i="5"/>
  <c r="M64" i="5" s="1"/>
  <c r="L59" i="5"/>
  <c r="M59" i="5" s="1"/>
  <c r="Q64" i="5" l="1"/>
  <c r="U64" i="5"/>
  <c r="S64" i="5"/>
  <c r="Q59" i="5"/>
  <c r="U59" i="5"/>
  <c r="S59" i="5"/>
  <c r="C108" i="16" l="1"/>
  <c r="J568" i="16" l="1"/>
  <c r="J561" i="16"/>
  <c r="J539" i="16"/>
  <c r="J538" i="16"/>
  <c r="J537" i="16"/>
  <c r="J536" i="16"/>
  <c r="J535" i="16"/>
  <c r="J532" i="16"/>
  <c r="J373" i="16"/>
  <c r="J372" i="16"/>
  <c r="J371" i="16"/>
  <c r="J370" i="16"/>
  <c r="J369" i="16"/>
  <c r="J368" i="16"/>
  <c r="J367" i="16"/>
  <c r="J531" i="16"/>
  <c r="J366" i="16"/>
  <c r="I568" i="16"/>
  <c r="I561" i="16"/>
  <c r="I539" i="16"/>
  <c r="I538" i="16"/>
  <c r="I537" i="16"/>
  <c r="I536" i="16"/>
  <c r="I535" i="16"/>
  <c r="I532" i="16"/>
  <c r="I531" i="16"/>
  <c r="I373" i="16"/>
  <c r="I372" i="16"/>
  <c r="I371" i="16"/>
  <c r="I370" i="16"/>
  <c r="I369" i="16"/>
  <c r="I368" i="16"/>
  <c r="I367" i="16"/>
  <c r="I366" i="16"/>
  <c r="I416" i="16"/>
  <c r="I415" i="16"/>
  <c r="I213" i="16"/>
  <c r="I212" i="16"/>
  <c r="I127" i="16"/>
  <c r="J135" i="16"/>
  <c r="I135" i="16"/>
  <c r="J134" i="16"/>
  <c r="I134" i="16"/>
  <c r="J133" i="16"/>
  <c r="I133" i="16"/>
  <c r="J132" i="16"/>
  <c r="I132" i="16"/>
  <c r="J131" i="16"/>
  <c r="I131" i="16"/>
  <c r="J130" i="16"/>
  <c r="I130" i="16"/>
  <c r="J129" i="16"/>
  <c r="I129" i="16"/>
  <c r="J128" i="16"/>
  <c r="I128" i="16"/>
  <c r="J127" i="16"/>
  <c r="G577" i="16"/>
  <c r="G579" i="16"/>
  <c r="G416" i="16"/>
  <c r="G415" i="16"/>
  <c r="G213" i="16"/>
  <c r="G212" i="16"/>
  <c r="F577" i="16"/>
  <c r="F579" i="16"/>
  <c r="F416" i="16"/>
  <c r="F415" i="16"/>
  <c r="F213" i="16"/>
  <c r="F212" i="16"/>
  <c r="E577" i="16"/>
  <c r="E579" i="16"/>
  <c r="E416" i="16"/>
  <c r="E415" i="16"/>
  <c r="E213" i="16"/>
  <c r="E212" i="16"/>
  <c r="D577" i="16"/>
  <c r="D579" i="16"/>
  <c r="D416" i="16"/>
  <c r="D415" i="16"/>
  <c r="D213" i="16"/>
  <c r="D212" i="16"/>
  <c r="C577" i="16"/>
  <c r="C579" i="16"/>
  <c r="C416" i="16"/>
  <c r="C415" i="16"/>
  <c r="C213" i="16"/>
  <c r="C212" i="16"/>
  <c r="G568" i="16"/>
  <c r="G561" i="16"/>
  <c r="G539" i="16"/>
  <c r="G538" i="16"/>
  <c r="G537" i="16"/>
  <c r="G536" i="16"/>
  <c r="G535" i="16"/>
  <c r="G532" i="16"/>
  <c r="G531" i="16"/>
  <c r="G373" i="16"/>
  <c r="G372" i="16"/>
  <c r="G371" i="16"/>
  <c r="G370" i="16"/>
  <c r="G369" i="16"/>
  <c r="G368" i="16"/>
  <c r="G367" i="16"/>
  <c r="G366" i="16"/>
  <c r="G135" i="16"/>
  <c r="G134" i="16"/>
  <c r="G133" i="16"/>
  <c r="G132" i="16"/>
  <c r="G131" i="16"/>
  <c r="G130" i="16"/>
  <c r="G129" i="16"/>
  <c r="G128" i="16"/>
  <c r="G127" i="16"/>
  <c r="F568" i="16"/>
  <c r="F561" i="16"/>
  <c r="F539" i="16"/>
  <c r="F538" i="16"/>
  <c r="F537" i="16"/>
  <c r="F536" i="16"/>
  <c r="F535" i="16"/>
  <c r="F532" i="16"/>
  <c r="F531" i="16"/>
  <c r="F373" i="16"/>
  <c r="F372" i="16"/>
  <c r="F371" i="16"/>
  <c r="F370" i="16"/>
  <c r="F369" i="16"/>
  <c r="F368" i="16"/>
  <c r="F367" i="16"/>
  <c r="F366" i="16"/>
  <c r="F135" i="16"/>
  <c r="F134" i="16"/>
  <c r="F133" i="16"/>
  <c r="F132" i="16"/>
  <c r="F131" i="16"/>
  <c r="F130" i="16"/>
  <c r="F129" i="16"/>
  <c r="F128" i="16"/>
  <c r="F127" i="16"/>
  <c r="E568" i="16"/>
  <c r="E561" i="16"/>
  <c r="E539" i="16"/>
  <c r="E538" i="16"/>
  <c r="E537" i="16"/>
  <c r="E536" i="16"/>
  <c r="E535" i="16"/>
  <c r="E532" i="16"/>
  <c r="E531" i="16"/>
  <c r="E373" i="16"/>
  <c r="E372" i="16"/>
  <c r="E371" i="16"/>
  <c r="E370" i="16"/>
  <c r="E369" i="16"/>
  <c r="E368" i="16"/>
  <c r="E367" i="16"/>
  <c r="E366" i="16"/>
  <c r="E135" i="16"/>
  <c r="E134" i="16"/>
  <c r="E133" i="16"/>
  <c r="E132" i="16"/>
  <c r="E131" i="16"/>
  <c r="E130" i="16"/>
  <c r="E129" i="16"/>
  <c r="E128" i="16"/>
  <c r="E127" i="16"/>
  <c r="D568" i="16"/>
  <c r="D561" i="16"/>
  <c r="D539" i="16"/>
  <c r="D538" i="16"/>
  <c r="D537" i="16"/>
  <c r="D536" i="16"/>
  <c r="D535" i="16"/>
  <c r="D532" i="16"/>
  <c r="D531" i="16"/>
  <c r="D373" i="16"/>
  <c r="D372" i="16"/>
  <c r="D371" i="16"/>
  <c r="D370" i="16"/>
  <c r="D369" i="16"/>
  <c r="D368" i="16"/>
  <c r="D367" i="16"/>
  <c r="D366" i="16"/>
  <c r="D135" i="16"/>
  <c r="D134" i="16"/>
  <c r="D133" i="16"/>
  <c r="D132" i="16"/>
  <c r="D131" i="16"/>
  <c r="D130" i="16"/>
  <c r="D129" i="16"/>
  <c r="D128" i="16"/>
  <c r="D127" i="16"/>
  <c r="C568" i="16"/>
  <c r="C561" i="16"/>
  <c r="C539" i="16"/>
  <c r="C538" i="16"/>
  <c r="C537" i="16"/>
  <c r="C536" i="16"/>
  <c r="C535" i="16"/>
  <c r="C532" i="16"/>
  <c r="C531" i="16"/>
  <c r="C372" i="16"/>
  <c r="C371" i="16"/>
  <c r="C370" i="16"/>
  <c r="C369" i="16"/>
  <c r="C368" i="16"/>
  <c r="C367" i="16"/>
  <c r="C366" i="16"/>
  <c r="C135" i="16"/>
  <c r="C134" i="16"/>
  <c r="C133" i="16"/>
  <c r="C132" i="16"/>
  <c r="C131" i="16"/>
  <c r="C603" i="16"/>
  <c r="C130" i="16"/>
  <c r="C129" i="16"/>
  <c r="C128" i="16"/>
  <c r="C127" i="16"/>
  <c r="P1" i="16"/>
  <c r="O1" i="16"/>
  <c r="L128" i="16" l="1"/>
  <c r="L127" i="16"/>
  <c r="L366" i="16"/>
  <c r="L531" i="16"/>
  <c r="L532" i="16"/>
  <c r="L367" i="16"/>
  <c r="J595" i="16"/>
  <c r="J433" i="16"/>
  <c r="J236" i="16"/>
  <c r="J594" i="16"/>
  <c r="J432" i="16"/>
  <c r="J235" i="16"/>
  <c r="J593" i="16"/>
  <c r="J431" i="16"/>
  <c r="J234" i="16"/>
  <c r="J233" i="16"/>
  <c r="J592" i="16"/>
  <c r="J430" i="16"/>
  <c r="J232" i="16"/>
  <c r="J231" i="16"/>
  <c r="J230" i="16"/>
  <c r="J229" i="16"/>
  <c r="J609" i="16"/>
  <c r="J447" i="16"/>
  <c r="J267" i="16"/>
  <c r="J608" i="16"/>
  <c r="J446" i="16"/>
  <c r="J266" i="16"/>
  <c r="J445" i="16"/>
  <c r="J607" i="16"/>
  <c r="J265" i="16"/>
  <c r="J102" i="16"/>
  <c r="J101" i="16"/>
  <c r="J519" i="16"/>
  <c r="J351" i="16"/>
  <c r="J100" i="16"/>
  <c r="J518" i="16"/>
  <c r="J350" i="16"/>
  <c r="J99" i="16"/>
  <c r="J517" i="16"/>
  <c r="J349" i="16"/>
  <c r="J98" i="16"/>
  <c r="J516" i="16"/>
  <c r="J348" i="16"/>
  <c r="J97" i="16"/>
  <c r="J523" i="16"/>
  <c r="J352" i="16"/>
  <c r="J96" i="16"/>
  <c r="J533" i="16"/>
  <c r="J353" i="16"/>
  <c r="J104" i="16"/>
  <c r="J103" i="16"/>
  <c r="J514" i="16"/>
  <c r="J346" i="16"/>
  <c r="J95" i="16"/>
  <c r="J573" i="16"/>
  <c r="J402" i="16"/>
  <c r="J191" i="16"/>
  <c r="J572" i="16"/>
  <c r="J401" i="16"/>
  <c r="J190" i="16"/>
  <c r="J570" i="16"/>
  <c r="J399" i="16"/>
  <c r="J189" i="16"/>
  <c r="J567" i="16"/>
  <c r="J397" i="16"/>
  <c r="J188" i="16"/>
  <c r="J566" i="16"/>
  <c r="J396" i="16"/>
  <c r="J187" i="16"/>
  <c r="J606" i="16"/>
  <c r="J444" i="16"/>
  <c r="J259" i="16"/>
  <c r="J605" i="16"/>
  <c r="J454" i="16"/>
  <c r="J258" i="16"/>
  <c r="J604" i="16"/>
  <c r="J443" i="16"/>
  <c r="J257" i="16"/>
  <c r="J603" i="16"/>
  <c r="J442" i="16"/>
  <c r="J256" i="16"/>
  <c r="J602" i="16"/>
  <c r="J441" i="16"/>
  <c r="J255" i="16"/>
  <c r="J254" i="16"/>
  <c r="J253" i="16"/>
  <c r="J252" i="16"/>
  <c r="J509" i="16"/>
  <c r="J341" i="16"/>
  <c r="J90" i="16"/>
  <c r="J508" i="16"/>
  <c r="J340" i="16"/>
  <c r="J89" i="16"/>
  <c r="J507" i="16"/>
  <c r="J339" i="16"/>
  <c r="J88" i="16"/>
  <c r="J513" i="16"/>
  <c r="J342" i="16"/>
  <c r="J87" i="16"/>
  <c r="J512" i="16"/>
  <c r="J338" i="16"/>
  <c r="J86" i="16"/>
  <c r="J504" i="16"/>
  <c r="J337" i="16"/>
  <c r="J85" i="16"/>
  <c r="J503" i="16"/>
  <c r="J336" i="16"/>
  <c r="J84" i="16"/>
  <c r="J510" i="16"/>
  <c r="J335" i="16"/>
  <c r="J83" i="16"/>
  <c r="J521" i="16"/>
  <c r="J347" i="16"/>
  <c r="J94" i="16"/>
  <c r="J520" i="16"/>
  <c r="J345" i="16"/>
  <c r="J93" i="16"/>
  <c r="J511" i="16"/>
  <c r="J343" i="16"/>
  <c r="J92" i="16"/>
  <c r="J515" i="16"/>
  <c r="J344" i="16"/>
  <c r="J91" i="16"/>
  <c r="J506" i="16"/>
  <c r="J334" i="16"/>
  <c r="J82" i="16"/>
  <c r="J534" i="16"/>
  <c r="J357" i="16"/>
  <c r="J113" i="16"/>
  <c r="J356" i="16"/>
  <c r="J112" i="16"/>
  <c r="J111" i="16"/>
  <c r="J110" i="16"/>
  <c r="J522" i="16"/>
  <c r="J355" i="16"/>
  <c r="J109" i="16"/>
  <c r="J108" i="16"/>
  <c r="J107" i="16"/>
  <c r="J354" i="16"/>
  <c r="J106" i="16"/>
  <c r="J105" i="16"/>
  <c r="J613" i="16"/>
  <c r="J457" i="16"/>
  <c r="J271" i="16"/>
  <c r="J612" i="16"/>
  <c r="J450" i="16"/>
  <c r="J270" i="16"/>
  <c r="J611" i="16"/>
  <c r="J455" i="16"/>
  <c r="J269" i="16"/>
  <c r="J610" i="16"/>
  <c r="J448" i="16"/>
  <c r="J268" i="16"/>
  <c r="J586" i="16"/>
  <c r="J585" i="16"/>
  <c r="J427" i="16"/>
  <c r="J222" i="16"/>
  <c r="J584" i="16"/>
  <c r="J426" i="16"/>
  <c r="J221" i="16"/>
  <c r="J220" i="16"/>
  <c r="J583" i="16"/>
  <c r="J425" i="16"/>
  <c r="J219" i="16"/>
  <c r="J581" i="16"/>
  <c r="J423" i="16"/>
  <c r="J217" i="16"/>
  <c r="J422" i="16"/>
  <c r="J216" i="16"/>
  <c r="J580" i="16"/>
  <c r="J421" i="16"/>
  <c r="J215" i="16"/>
  <c r="J591" i="16"/>
  <c r="J439" i="16"/>
  <c r="J228" i="16"/>
  <c r="J590" i="16"/>
  <c r="J428" i="16"/>
  <c r="J227" i="16"/>
  <c r="J588" i="16"/>
  <c r="J225" i="16"/>
  <c r="J587" i="16"/>
  <c r="J214" i="16"/>
  <c r="J530" i="16"/>
  <c r="J365" i="16"/>
  <c r="J121" i="16"/>
  <c r="J529" i="16"/>
  <c r="J363" i="16"/>
  <c r="J119" i="16"/>
  <c r="J528" i="16"/>
  <c r="J362" i="16"/>
  <c r="J118" i="16"/>
  <c r="J560" i="16"/>
  <c r="J412" i="16"/>
  <c r="J208" i="16"/>
  <c r="J207" i="16"/>
  <c r="J411" i="16"/>
  <c r="J206" i="16"/>
  <c r="J559" i="16"/>
  <c r="J410" i="16"/>
  <c r="J205" i="16"/>
  <c r="J558" i="16"/>
  <c r="J409" i="16"/>
  <c r="J204" i="16"/>
  <c r="J203" i="16"/>
  <c r="J408" i="16"/>
  <c r="J202" i="16"/>
  <c r="J575" i="16"/>
  <c r="J407" i="16"/>
  <c r="J201" i="16"/>
  <c r="J200" i="16"/>
  <c r="J406" i="16"/>
  <c r="J199" i="16"/>
  <c r="J557" i="16"/>
  <c r="J405" i="16"/>
  <c r="J198" i="16"/>
  <c r="J211" i="16"/>
  <c r="J414" i="16"/>
  <c r="J210" i="16"/>
  <c r="J569" i="16"/>
  <c r="J419" i="16"/>
  <c r="J209" i="16"/>
  <c r="J556" i="16"/>
  <c r="J404" i="16"/>
  <c r="J197" i="16"/>
  <c r="J500" i="16"/>
  <c r="J333" i="16"/>
  <c r="J81" i="16"/>
  <c r="J505" i="16"/>
  <c r="J332" i="16"/>
  <c r="J80" i="16"/>
  <c r="J498" i="16"/>
  <c r="J331" i="16"/>
  <c r="J79" i="16"/>
  <c r="J497" i="16"/>
  <c r="J330" i="16"/>
  <c r="J78" i="16"/>
  <c r="J496" i="16"/>
  <c r="J329" i="16"/>
  <c r="J77" i="16"/>
  <c r="J328" i="16"/>
  <c r="J76" i="16"/>
  <c r="J327" i="16"/>
  <c r="J75" i="16"/>
  <c r="J72" i="16"/>
  <c r="J24" i="16"/>
  <c r="J291" i="16"/>
  <c r="J23" i="16"/>
  <c r="J22" i="16"/>
  <c r="J476" i="16"/>
  <c r="J305" i="16"/>
  <c r="J63" i="16"/>
  <c r="J488" i="16"/>
  <c r="J304" i="16"/>
  <c r="J62" i="16"/>
  <c r="J303" i="16"/>
  <c r="J61" i="16"/>
  <c r="J174" i="16"/>
  <c r="J460" i="16"/>
  <c r="J282" i="16"/>
  <c r="J10" i="16"/>
  <c r="J459" i="16"/>
  <c r="J281" i="16"/>
  <c r="J9" i="16"/>
  <c r="J458" i="16"/>
  <c r="J280" i="16"/>
  <c r="J8" i="16"/>
  <c r="J7" i="16"/>
  <c r="J6" i="16"/>
  <c r="J279" i="16"/>
  <c r="J5" i="16"/>
  <c r="J456" i="16"/>
  <c r="J278" i="16"/>
  <c r="J4" i="16"/>
  <c r="J3" i="16"/>
  <c r="J543" i="16"/>
  <c r="J377" i="16"/>
  <c r="J139" i="16"/>
  <c r="J541" i="16"/>
  <c r="J375" i="16"/>
  <c r="J137" i="16"/>
  <c r="J540" i="16"/>
  <c r="J374" i="16"/>
  <c r="J136" i="16"/>
  <c r="J527" i="16"/>
  <c r="J361" i="16"/>
  <c r="J117" i="16"/>
  <c r="J526" i="16"/>
  <c r="J360" i="16"/>
  <c r="J116" i="16"/>
  <c r="J525" i="16"/>
  <c r="J359" i="16"/>
  <c r="J115" i="16"/>
  <c r="J524" i="16"/>
  <c r="J358" i="16"/>
  <c r="J114" i="16"/>
  <c r="J21" i="16"/>
  <c r="J465" i="16"/>
  <c r="J290" i="16"/>
  <c r="J20" i="16"/>
  <c r="J464" i="16"/>
  <c r="J289" i="16"/>
  <c r="J19" i="16"/>
  <c r="J463" i="16"/>
  <c r="J288" i="16"/>
  <c r="J18" i="16"/>
  <c r="J486" i="16"/>
  <c r="J317" i="16"/>
  <c r="J71" i="16"/>
  <c r="J483" i="16"/>
  <c r="J315" i="16"/>
  <c r="J70" i="16"/>
  <c r="J482" i="16"/>
  <c r="J313" i="16"/>
  <c r="J69" i="16"/>
  <c r="J480" i="16"/>
  <c r="J311" i="16"/>
  <c r="J68" i="16"/>
  <c r="J548" i="16"/>
  <c r="J382" i="16"/>
  <c r="J144" i="16"/>
  <c r="J547" i="16"/>
  <c r="J381" i="16"/>
  <c r="J143" i="16"/>
  <c r="J546" i="16"/>
  <c r="J380" i="16"/>
  <c r="J142" i="16"/>
  <c r="J545" i="16"/>
  <c r="J379" i="16"/>
  <c r="J141" i="16"/>
  <c r="J544" i="16"/>
  <c r="J378" i="16"/>
  <c r="J140" i="16"/>
  <c r="J489" i="16"/>
  <c r="J309" i="16"/>
  <c r="J67" i="16"/>
  <c r="J477" i="16"/>
  <c r="J308" i="16"/>
  <c r="J66" i="16"/>
  <c r="J307" i="16"/>
  <c r="J65" i="16"/>
  <c r="J306" i="16"/>
  <c r="J64" i="16"/>
  <c r="J555" i="16"/>
  <c r="J388" i="16"/>
  <c r="J151" i="16"/>
  <c r="J554" i="16"/>
  <c r="J387" i="16"/>
  <c r="J150" i="16"/>
  <c r="J553" i="16"/>
  <c r="J386" i="16"/>
  <c r="J149" i="16"/>
  <c r="J552" i="16"/>
  <c r="J385" i="16"/>
  <c r="J148" i="16"/>
  <c r="J551" i="16"/>
  <c r="J384" i="16"/>
  <c r="J147" i="16"/>
  <c r="J550" i="16"/>
  <c r="J146" i="16"/>
  <c r="J549" i="16"/>
  <c r="J383" i="16"/>
  <c r="J145" i="16"/>
  <c r="J462" i="16"/>
  <c r="J287" i="16"/>
  <c r="J17" i="16"/>
  <c r="J461" i="16"/>
  <c r="J286" i="16"/>
  <c r="J16" i="16"/>
  <c r="J15" i="16"/>
  <c r="J285" i="16"/>
  <c r="J14" i="16"/>
  <c r="J284" i="16"/>
  <c r="J13" i="16"/>
  <c r="J12" i="16"/>
  <c r="J283" i="16"/>
  <c r="J11" i="16"/>
  <c r="J600" i="16"/>
  <c r="J453" i="16"/>
  <c r="J245" i="16"/>
  <c r="J599" i="16"/>
  <c r="J438" i="16"/>
  <c r="J243" i="16"/>
  <c r="J598" i="16"/>
  <c r="J437" i="16"/>
  <c r="J241" i="16"/>
  <c r="J597" i="16"/>
  <c r="J451" i="16"/>
  <c r="J239" i="16"/>
  <c r="J596" i="16"/>
  <c r="J449" i="16"/>
  <c r="J238" i="16"/>
  <c r="J574" i="16"/>
  <c r="J403" i="16"/>
  <c r="J196" i="16"/>
  <c r="J578" i="16"/>
  <c r="J418" i="16"/>
  <c r="J195" i="16"/>
  <c r="J417" i="16"/>
  <c r="J194" i="16"/>
  <c r="J576" i="16"/>
  <c r="J413" i="16"/>
  <c r="J193" i="16"/>
  <c r="J571" i="16"/>
  <c r="J400" i="16"/>
  <c r="J192" i="16"/>
  <c r="J391" i="16"/>
  <c r="J181" i="16"/>
  <c r="J390" i="16"/>
  <c r="J180" i="16"/>
  <c r="J179" i="16"/>
  <c r="J487" i="16"/>
  <c r="J295" i="16"/>
  <c r="J40" i="16"/>
  <c r="J467" i="16"/>
  <c r="J294" i="16"/>
  <c r="J178" i="16"/>
  <c r="J39" i="16"/>
  <c r="J481" i="16"/>
  <c r="J389" i="16"/>
  <c r="J293" i="16"/>
  <c r="J177" i="16"/>
  <c r="J38" i="16"/>
  <c r="J398" i="16"/>
  <c r="J186" i="16"/>
  <c r="J565" i="16"/>
  <c r="J542" i="16"/>
  <c r="J394" i="16"/>
  <c r="J376" i="16"/>
  <c r="J185" i="16"/>
  <c r="J138" i="16"/>
  <c r="J393" i="16"/>
  <c r="J184" i="16"/>
  <c r="J392" i="16"/>
  <c r="J183" i="16"/>
  <c r="J395" i="16"/>
  <c r="J182" i="16"/>
  <c r="J364" i="16"/>
  <c r="J120" i="16"/>
  <c r="J466" i="16"/>
  <c r="J292" i="16"/>
  <c r="J176" i="16"/>
  <c r="J37" i="16"/>
  <c r="J250" i="16"/>
  <c r="J249" i="16"/>
  <c r="J248" i="16"/>
  <c r="J247" i="16"/>
  <c r="J246" i="16"/>
  <c r="J244" i="16"/>
  <c r="J242" i="16"/>
  <c r="J240" i="16"/>
  <c r="J601" i="16"/>
  <c r="J440" i="16"/>
  <c r="J251" i="16"/>
  <c r="J237" i="16"/>
  <c r="J156" i="16"/>
  <c r="J155" i="16"/>
  <c r="J153" i="16"/>
  <c r="J152" i="16"/>
  <c r="J154" i="16"/>
  <c r="J175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264" i="16"/>
  <c r="J263" i="16"/>
  <c r="J262" i="16"/>
  <c r="J261" i="16"/>
  <c r="J260" i="16"/>
  <c r="J49" i="16"/>
  <c r="J48" i="16"/>
  <c r="J47" i="16"/>
  <c r="J46" i="16"/>
  <c r="J45" i="16"/>
  <c r="J44" i="16"/>
  <c r="J43" i="16"/>
  <c r="J42" i="16"/>
  <c r="J53" i="16"/>
  <c r="J51" i="16"/>
  <c r="J50" i="16"/>
  <c r="J41" i="16"/>
  <c r="J474" i="16"/>
  <c r="J302" i="16"/>
  <c r="J60" i="16"/>
  <c r="J473" i="16"/>
  <c r="J301" i="16"/>
  <c r="J59" i="16"/>
  <c r="J472" i="16"/>
  <c r="J300" i="16"/>
  <c r="J471" i="16"/>
  <c r="J299" i="16"/>
  <c r="J58" i="16"/>
  <c r="J470" i="16"/>
  <c r="J298" i="16"/>
  <c r="J57" i="16"/>
  <c r="J469" i="16"/>
  <c r="J297" i="16"/>
  <c r="J56" i="16"/>
  <c r="J478" i="16"/>
  <c r="J277" i="16"/>
  <c r="J126" i="16"/>
  <c r="J475" i="16"/>
  <c r="J276" i="16"/>
  <c r="J125" i="16"/>
  <c r="J468" i="16"/>
  <c r="J275" i="16"/>
  <c r="J124" i="16"/>
  <c r="J274" i="16"/>
  <c r="J123" i="16"/>
  <c r="J452" i="16"/>
  <c r="J272" i="16"/>
  <c r="J122" i="16"/>
  <c r="J495" i="16"/>
  <c r="J322" i="16"/>
  <c r="J33" i="16"/>
  <c r="J494" i="16"/>
  <c r="J321" i="16"/>
  <c r="J32" i="16"/>
  <c r="J493" i="16"/>
  <c r="J320" i="16"/>
  <c r="J31" i="16"/>
  <c r="J492" i="16"/>
  <c r="J319" i="16"/>
  <c r="J30" i="16"/>
  <c r="J491" i="16"/>
  <c r="J318" i="16"/>
  <c r="J29" i="16"/>
  <c r="J485" i="16"/>
  <c r="J316" i="16"/>
  <c r="J28" i="16"/>
  <c r="J484" i="16"/>
  <c r="J314" i="16"/>
  <c r="J27" i="16"/>
  <c r="J490" i="16"/>
  <c r="J312" i="16"/>
  <c r="J26" i="16"/>
  <c r="J326" i="16"/>
  <c r="J502" i="16"/>
  <c r="J325" i="16"/>
  <c r="J36" i="16"/>
  <c r="J501" i="16"/>
  <c r="J324" i="16"/>
  <c r="J35" i="16"/>
  <c r="J499" i="16"/>
  <c r="J323" i="16"/>
  <c r="J34" i="16"/>
  <c r="J479" i="16"/>
  <c r="J310" i="16"/>
  <c r="J25" i="16"/>
  <c r="J273" i="16"/>
  <c r="L86" i="5" l="1"/>
  <c r="K52" i="16" s="1"/>
  <c r="L52" i="16" s="1"/>
  <c r="C394" i="16" l="1"/>
  <c r="C393" i="16"/>
  <c r="C392" i="16"/>
  <c r="C553" i="16"/>
  <c r="C552" i="16"/>
  <c r="C548" i="16"/>
  <c r="C551" i="16"/>
  <c r="C389" i="16"/>
  <c r="C186" i="16"/>
  <c r="C185" i="16"/>
  <c r="C184" i="16"/>
  <c r="C183" i="16"/>
  <c r="C182" i="16"/>
  <c r="C181" i="16"/>
  <c r="C180" i="16"/>
  <c r="C547" i="16"/>
  <c r="C527" i="16"/>
  <c r="C489" i="16"/>
  <c r="C177" i="16"/>
  <c r="C574" i="16"/>
  <c r="C550" i="16"/>
  <c r="C546" i="16"/>
  <c r="C571" i="16"/>
  <c r="C403" i="16"/>
  <c r="C541" i="16"/>
  <c r="C476" i="16"/>
  <c r="C400" i="16"/>
  <c r="C196" i="16"/>
  <c r="C195" i="16"/>
  <c r="C194" i="16"/>
  <c r="C193" i="16"/>
  <c r="C192" i="16"/>
  <c r="C477" i="16"/>
  <c r="C599" i="16"/>
  <c r="C462" i="16"/>
  <c r="C545" i="16"/>
  <c r="C488" i="16"/>
  <c r="C461" i="16"/>
  <c r="C549" i="16"/>
  <c r="C544" i="16"/>
  <c r="C540" i="16"/>
  <c r="C524" i="16"/>
  <c r="C245" i="16"/>
  <c r="C243" i="16"/>
  <c r="C241" i="16"/>
  <c r="C239" i="16"/>
  <c r="C238" i="16"/>
  <c r="C591" i="16"/>
  <c r="C590" i="16"/>
  <c r="C294" i="16"/>
  <c r="C292" i="16"/>
  <c r="C40" i="16"/>
  <c r="C39" i="16"/>
  <c r="C38" i="16"/>
  <c r="C37" i="16"/>
  <c r="C565" i="16"/>
  <c r="C521" i="16"/>
  <c r="C272" i="16"/>
  <c r="C126" i="16"/>
  <c r="C125" i="16"/>
  <c r="C124" i="16"/>
  <c r="C123" i="16"/>
  <c r="C122" i="16"/>
  <c r="C502" i="16"/>
  <c r="C520" i="16"/>
  <c r="C501" i="16"/>
  <c r="C533" i="16"/>
  <c r="C211" i="16"/>
  <c r="C511" i="16"/>
  <c r="C485" i="16"/>
  <c r="C499" i="16"/>
  <c r="C569" i="16"/>
  <c r="C515" i="16"/>
  <c r="C495" i="16"/>
  <c r="C534" i="16"/>
  <c r="C560" i="16"/>
  <c r="C509" i="16"/>
  <c r="C494" i="16"/>
  <c r="C316" i="16"/>
  <c r="C314" i="16"/>
  <c r="C207" i="16"/>
  <c r="C508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500" i="16"/>
  <c r="C612" i="16"/>
  <c r="C493" i="16"/>
  <c r="C610" i="16"/>
  <c r="C559" i="16"/>
  <c r="C507" i="16"/>
  <c r="C505" i="16"/>
  <c r="C271" i="16"/>
  <c r="C270" i="16"/>
  <c r="C492" i="16"/>
  <c r="C268" i="16"/>
  <c r="C519" i="16"/>
  <c r="C558" i="16"/>
  <c r="C513" i="16"/>
  <c r="C355" i="16"/>
  <c r="C600" i="16"/>
  <c r="C113" i="16"/>
  <c r="C112" i="16"/>
  <c r="C111" i="16"/>
  <c r="C110" i="16"/>
  <c r="C109" i="16"/>
  <c r="C478" i="16"/>
  <c r="C107" i="16"/>
  <c r="C106" i="16"/>
  <c r="C105" i="16"/>
  <c r="C491" i="16"/>
  <c r="C522" i="16"/>
  <c r="C203" i="16"/>
  <c r="C518" i="16"/>
  <c r="C517" i="16"/>
  <c r="C606" i="16"/>
  <c r="C512" i="16"/>
  <c r="C514" i="16"/>
  <c r="C573" i="16"/>
  <c r="C350" i="16"/>
  <c r="C349" i="16"/>
  <c r="C348" i="16"/>
  <c r="C578" i="16"/>
  <c r="C346" i="16"/>
  <c r="C104" i="16"/>
  <c r="C103" i="16"/>
  <c r="C487" i="16"/>
  <c r="C475" i="16"/>
  <c r="C100" i="16"/>
  <c r="C99" i="16"/>
  <c r="C98" i="16"/>
  <c r="C97" i="16"/>
  <c r="C96" i="16"/>
  <c r="C95" i="16"/>
  <c r="C613" i="16"/>
  <c r="C575" i="16"/>
  <c r="C592" i="16"/>
  <c r="C605" i="16"/>
  <c r="C504" i="16"/>
  <c r="C572" i="16"/>
  <c r="C598" i="16"/>
  <c r="C467" i="16"/>
  <c r="C468" i="16"/>
  <c r="C414" i="16"/>
  <c r="C484" i="16"/>
  <c r="C412" i="16"/>
  <c r="C411" i="16"/>
  <c r="C410" i="16"/>
  <c r="C409" i="16"/>
  <c r="C408" i="16"/>
  <c r="C407" i="16"/>
  <c r="C406" i="16"/>
  <c r="C405" i="16"/>
  <c r="C404" i="16"/>
  <c r="C210" i="16"/>
  <c r="C516" i="16"/>
  <c r="C208" i="16"/>
  <c r="C206" i="16"/>
  <c r="C205" i="16"/>
  <c r="C204" i="16"/>
  <c r="C202" i="16"/>
  <c r="C201" i="16"/>
  <c r="C199" i="16"/>
  <c r="C198" i="16"/>
  <c r="C197" i="16"/>
  <c r="C200" i="16"/>
  <c r="C430" i="16"/>
  <c r="C604" i="16"/>
  <c r="C232" i="16"/>
  <c r="C503" i="16"/>
  <c r="C230" i="16"/>
  <c r="C229" i="16"/>
  <c r="C254" i="16"/>
  <c r="C253" i="16"/>
  <c r="C252" i="16"/>
  <c r="C595" i="16"/>
  <c r="C570" i="16"/>
  <c r="C576" i="16"/>
  <c r="C588" i="16"/>
  <c r="C587" i="16"/>
  <c r="C586" i="16"/>
  <c r="C585" i="16"/>
  <c r="C584" i="16"/>
  <c r="C583" i="16"/>
  <c r="C581" i="16"/>
  <c r="C597" i="16"/>
  <c r="C481" i="16"/>
  <c r="C439" i="16"/>
  <c r="C428" i="16"/>
  <c r="C490" i="16"/>
  <c r="C611" i="16"/>
  <c r="C523" i="16"/>
  <c r="C557" i="16"/>
  <c r="C580" i="16"/>
  <c r="C510" i="16"/>
  <c r="C567" i="16"/>
  <c r="C607" i="16"/>
  <c r="C596" i="16"/>
  <c r="C466" i="16"/>
  <c r="C452" i="16"/>
  <c r="C479" i="16"/>
  <c r="C556" i="16"/>
  <c r="C506" i="16"/>
  <c r="C566" i="16"/>
  <c r="C228" i="16"/>
  <c r="C227" i="16"/>
  <c r="C225" i="16"/>
  <c r="C222" i="16"/>
  <c r="C221" i="16"/>
  <c r="C219" i="16"/>
  <c r="C217" i="16"/>
  <c r="C215" i="16"/>
  <c r="C602" i="16"/>
  <c r="C444" i="16"/>
  <c r="C443" i="16"/>
  <c r="C442" i="16"/>
  <c r="C441" i="16"/>
  <c r="C259" i="16"/>
  <c r="C258" i="16"/>
  <c r="C257" i="16"/>
  <c r="C256" i="16"/>
  <c r="C255" i="16"/>
  <c r="C308" i="16"/>
  <c r="C287" i="16"/>
  <c r="C279" i="16"/>
  <c r="C307" i="16"/>
  <c r="C286" i="16"/>
  <c r="C303" i="16"/>
  <c r="C306" i="16"/>
  <c r="C343" i="16"/>
  <c r="C341" i="16"/>
  <c r="C340" i="16"/>
  <c r="C339" i="16"/>
  <c r="C337" i="16"/>
  <c r="C336" i="16"/>
  <c r="C398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594" i="16"/>
  <c r="C593" i="16"/>
  <c r="C432" i="16"/>
  <c r="C236" i="16"/>
  <c r="C235" i="16"/>
  <c r="C234" i="16"/>
  <c r="C397" i="16"/>
  <c r="C396" i="16"/>
  <c r="C191" i="16"/>
  <c r="C190" i="16"/>
  <c r="C189" i="16"/>
  <c r="C188" i="16"/>
  <c r="C187" i="16"/>
  <c r="C220" i="16"/>
  <c r="C223" i="16"/>
  <c r="C351" i="16"/>
  <c r="C402" i="16"/>
  <c r="C438" i="16"/>
  <c r="C609" i="16"/>
  <c r="C608" i="16"/>
  <c r="C447" i="16"/>
  <c r="C446" i="16"/>
  <c r="C445" i="16"/>
  <c r="C267" i="16"/>
  <c r="C266" i="16"/>
  <c r="C265" i="16"/>
  <c r="C498" i="16"/>
  <c r="C497" i="16"/>
  <c r="C496" i="16"/>
  <c r="C333" i="16"/>
  <c r="C331" i="16"/>
  <c r="C330" i="16"/>
  <c r="C329" i="16"/>
  <c r="C327" i="16"/>
  <c r="C81" i="16"/>
  <c r="C80" i="16"/>
  <c r="C79" i="16"/>
  <c r="C78" i="16"/>
  <c r="C77" i="16"/>
  <c r="C76" i="16"/>
  <c r="C75" i="16"/>
  <c r="C72" i="16"/>
  <c r="C555" i="16"/>
  <c r="C554" i="16"/>
  <c r="C275" i="16"/>
  <c r="C450" i="16"/>
  <c r="C388" i="16"/>
  <c r="C387" i="16"/>
  <c r="C386" i="16"/>
  <c r="C385" i="16"/>
  <c r="C384" i="16"/>
  <c r="C433" i="16"/>
  <c r="C383" i="16"/>
  <c r="C151" i="16"/>
  <c r="C150" i="16"/>
  <c r="C149" i="16"/>
  <c r="C148" i="16"/>
  <c r="C147" i="16"/>
  <c r="C146" i="16"/>
  <c r="C145" i="16"/>
  <c r="C382" i="16"/>
  <c r="C381" i="16"/>
  <c r="C380" i="16"/>
  <c r="C379" i="16"/>
  <c r="C378" i="16"/>
  <c r="C144" i="16"/>
  <c r="C143" i="16"/>
  <c r="C142" i="16"/>
  <c r="C141" i="16"/>
  <c r="C140" i="16"/>
  <c r="C543" i="16"/>
  <c r="C542" i="16"/>
  <c r="C377" i="16"/>
  <c r="C376" i="16"/>
  <c r="C375" i="16"/>
  <c r="C374" i="16"/>
  <c r="C139" i="16"/>
  <c r="C138" i="16"/>
  <c r="C137" i="16"/>
  <c r="C136" i="16"/>
  <c r="C526" i="16"/>
  <c r="C525" i="16"/>
  <c r="C361" i="16"/>
  <c r="C360" i="16"/>
  <c r="C359" i="16"/>
  <c r="C358" i="16"/>
  <c r="C117" i="16"/>
  <c r="C116" i="16"/>
  <c r="C115" i="16"/>
  <c r="C114" i="16"/>
  <c r="C530" i="16"/>
  <c r="C310" i="16"/>
  <c r="C529" i="16"/>
  <c r="C528" i="16"/>
  <c r="C365" i="16"/>
  <c r="C448" i="16"/>
  <c r="C363" i="16"/>
  <c r="C362" i="16"/>
  <c r="C121" i="16"/>
  <c r="C119" i="16"/>
  <c r="C118" i="16"/>
  <c r="C431" i="16"/>
  <c r="C174" i="16"/>
  <c r="C63" i="16"/>
  <c r="C62" i="16"/>
  <c r="C61" i="16"/>
  <c r="C486" i="16"/>
  <c r="C483" i="16"/>
  <c r="C482" i="16"/>
  <c r="C480" i="16"/>
  <c r="C317" i="16"/>
  <c r="C315" i="16"/>
  <c r="C313" i="16"/>
  <c r="C311" i="16"/>
  <c r="C71" i="16"/>
  <c r="C70" i="16"/>
  <c r="C69" i="16"/>
  <c r="C68" i="16"/>
  <c r="C173" i="16"/>
  <c r="C172" i="16"/>
  <c r="C67" i="16"/>
  <c r="C66" i="16"/>
  <c r="C65" i="16"/>
  <c r="C64" i="16"/>
  <c r="C291" i="16"/>
  <c r="C23" i="16"/>
  <c r="C465" i="16"/>
  <c r="C464" i="16"/>
  <c r="C463" i="16"/>
  <c r="C290" i="16"/>
  <c r="C289" i="16"/>
  <c r="C288" i="16"/>
  <c r="C102" i="16"/>
  <c r="C20" i="16"/>
  <c r="C19" i="16"/>
  <c r="C18" i="16"/>
  <c r="C17" i="16"/>
  <c r="C15" i="16"/>
  <c r="C284" i="16"/>
  <c r="C283" i="16"/>
  <c r="C14" i="16"/>
  <c r="C13" i="16"/>
  <c r="C12" i="16"/>
  <c r="C11" i="16"/>
  <c r="C601" i="16"/>
  <c r="C440" i="16"/>
  <c r="C251" i="16"/>
  <c r="C250" i="16"/>
  <c r="C237" i="16"/>
  <c r="C264" i="16"/>
  <c r="C263" i="16"/>
  <c r="C262" i="16"/>
  <c r="C261" i="16"/>
  <c r="C260" i="16"/>
  <c r="C216" i="16"/>
  <c r="C46" i="16"/>
  <c r="C45" i="16"/>
  <c r="C44" i="16"/>
  <c r="C43" i="16"/>
  <c r="C42" i="16"/>
  <c r="C41" i="16"/>
  <c r="C120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460" i="16"/>
  <c r="C459" i="16"/>
  <c r="C458" i="16"/>
  <c r="C16" i="16"/>
  <c r="C456" i="16"/>
  <c r="C282" i="16"/>
  <c r="C281" i="16"/>
  <c r="C280" i="16"/>
  <c r="C278" i="16"/>
  <c r="C10" i="16"/>
  <c r="C9" i="16"/>
  <c r="C8" i="16"/>
  <c r="C214" i="16"/>
  <c r="C22" i="16"/>
  <c r="C5" i="16"/>
  <c r="C3" i="16"/>
  <c r="C422" i="16"/>
  <c r="C309" i="16"/>
  <c r="C285" i="16"/>
  <c r="C364" i="16"/>
  <c r="C305" i="16"/>
  <c r="C304" i="16"/>
  <c r="C326" i="16"/>
  <c r="C347" i="16"/>
  <c r="C345" i="16"/>
  <c r="C353" i="16"/>
  <c r="C418" i="16"/>
  <c r="C419" i="16"/>
  <c r="C344" i="16"/>
  <c r="C417" i="16"/>
  <c r="C357" i="16"/>
  <c r="C413" i="16"/>
  <c r="C395" i="16"/>
  <c r="C356" i="16"/>
  <c r="C427" i="16"/>
  <c r="C391" i="16"/>
  <c r="C390" i="16"/>
  <c r="C426" i="16"/>
  <c r="C332" i="16"/>
  <c r="C354" i="16"/>
  <c r="C425" i="16"/>
  <c r="C342" i="16"/>
  <c r="C325" i="16"/>
  <c r="C453" i="16"/>
  <c r="C277" i="16"/>
  <c r="C318" i="16"/>
  <c r="C338" i="16"/>
  <c r="C324" i="16"/>
  <c r="C323" i="16"/>
  <c r="C295" i="16"/>
  <c r="C276" i="16"/>
  <c r="C457" i="16"/>
  <c r="C423" i="16"/>
  <c r="C454" i="16"/>
  <c r="C401" i="16"/>
  <c r="C322" i="16"/>
  <c r="C321" i="16"/>
  <c r="C437" i="16"/>
  <c r="C399" i="16"/>
  <c r="C328" i="16"/>
  <c r="C320" i="16"/>
  <c r="C451" i="16"/>
  <c r="C319" i="16"/>
  <c r="C312" i="16"/>
  <c r="C293" i="16"/>
  <c r="C455" i="16"/>
  <c r="C274" i="16"/>
  <c r="C352" i="16"/>
  <c r="C421" i="16"/>
  <c r="C335" i="16"/>
  <c r="C449" i="16"/>
  <c r="C273" i="16"/>
  <c r="C334" i="16"/>
  <c r="C175" i="16"/>
  <c r="C53" i="16"/>
  <c r="C51" i="16"/>
  <c r="C209" i="16"/>
  <c r="C50" i="16"/>
  <c r="C49" i="16"/>
  <c r="C249" i="16"/>
  <c r="C48" i="16"/>
  <c r="C248" i="16"/>
  <c r="C47" i="16"/>
  <c r="C179" i="16"/>
  <c r="C247" i="16"/>
  <c r="C178" i="16"/>
  <c r="C233" i="16"/>
  <c r="C246" i="16"/>
  <c r="C7" i="16"/>
  <c r="C24" i="16"/>
  <c r="C21" i="16"/>
  <c r="C244" i="16"/>
  <c r="C6" i="16"/>
  <c r="C176" i="16"/>
  <c r="C231" i="16"/>
  <c r="C242" i="16"/>
  <c r="C269" i="16"/>
  <c r="C240" i="16"/>
  <c r="C101" i="16"/>
  <c r="C4" i="16"/>
  <c r="L88" i="5"/>
  <c r="K54" i="16" l="1"/>
  <c r="L54" i="16" s="1"/>
  <c r="M88" i="5"/>
  <c r="D274" i="16"/>
  <c r="E274" i="16"/>
  <c r="F274" i="16"/>
  <c r="G274" i="16"/>
  <c r="I274" i="16"/>
  <c r="D276" i="16"/>
  <c r="E276" i="16"/>
  <c r="F276" i="16"/>
  <c r="G276" i="16"/>
  <c r="I276" i="16"/>
  <c r="D277" i="16"/>
  <c r="E277" i="16"/>
  <c r="F277" i="16"/>
  <c r="G277" i="16"/>
  <c r="I277" i="16"/>
  <c r="Q88" i="5"/>
  <c r="Q86" i="5"/>
  <c r="N52" i="16" s="1"/>
  <c r="M86" i="5" l="1"/>
  <c r="F78" i="4" l="1"/>
  <c r="D72" i="6"/>
  <c r="E72" i="6"/>
  <c r="F72" i="6"/>
  <c r="E71" i="6"/>
  <c r="F71" i="6"/>
  <c r="D71" i="6"/>
  <c r="E62" i="6"/>
  <c r="F62" i="6"/>
  <c r="D62" i="6"/>
  <c r="K53" i="6"/>
  <c r="J53" i="6"/>
  <c r="I53" i="6"/>
  <c r="F53" i="6"/>
  <c r="E53" i="6"/>
  <c r="D53" i="6"/>
  <c r="L52" i="5"/>
  <c r="K74" i="16" l="1"/>
  <c r="M52" i="5"/>
  <c r="L62" i="6"/>
  <c r="N74" i="16"/>
  <c r="J4" i="18"/>
  <c r="Q52" i="5"/>
  <c r="U52" i="5"/>
  <c r="S52" i="5"/>
  <c r="J74" i="16" l="1"/>
  <c r="L74" i="16" s="1"/>
  <c r="L53" i="6"/>
  <c r="K73" i="16"/>
  <c r="L73" i="16" s="1"/>
  <c r="J3" i="18"/>
  <c r="N73" i="16"/>
  <c r="J23" i="18"/>
  <c r="E85" i="4" l="1"/>
  <c r="D85" i="4"/>
  <c r="C85" i="4"/>
  <c r="B85" i="4"/>
  <c r="L48" i="7" l="1"/>
  <c r="J27" i="18" l="1"/>
  <c r="S48" i="7"/>
  <c r="U61" i="7"/>
  <c r="S61" i="7"/>
  <c r="Q62" i="7"/>
  <c r="Q79" i="4" s="1"/>
  <c r="Q61" i="7"/>
  <c r="S52" i="7"/>
  <c r="S98" i="4" s="1"/>
  <c r="U62" i="7"/>
  <c r="U79" i="4" s="1"/>
  <c r="S62" i="7"/>
  <c r="S79" i="4" s="1"/>
  <c r="O96" i="6"/>
  <c r="O92" i="6"/>
  <c r="O91" i="6"/>
  <c r="O90" i="6"/>
  <c r="O89" i="6"/>
  <c r="O88" i="6"/>
  <c r="O86" i="6"/>
  <c r="O85" i="6"/>
  <c r="O84" i="6"/>
  <c r="O83" i="6"/>
  <c r="O82" i="6"/>
  <c r="O81" i="6"/>
  <c r="O80" i="6"/>
  <c r="O78" i="6"/>
  <c r="O76" i="6"/>
  <c r="O75" i="6"/>
  <c r="O74" i="6"/>
  <c r="O73" i="6"/>
  <c r="O98" i="6"/>
  <c r="O97" i="6"/>
  <c r="O95" i="6"/>
  <c r="O94" i="6"/>
  <c r="L89" i="5"/>
  <c r="M89" i="5" s="1"/>
  <c r="S89" i="5" l="1"/>
  <c r="N296" i="16" s="1"/>
  <c r="K55" i="16"/>
  <c r="L55" i="16" s="1"/>
  <c r="J296" i="16"/>
  <c r="K296" i="16"/>
  <c r="Q89" i="5"/>
  <c r="N55" i="16" s="1"/>
  <c r="U89" i="5"/>
  <c r="L296" i="16" l="1"/>
  <c r="U131" i="4"/>
  <c r="L40" i="9" l="1"/>
  <c r="L82" i="4" l="1"/>
  <c r="S40" i="9"/>
  <c r="S82" i="4" s="1"/>
  <c r="Q40" i="9"/>
  <c r="Q82" i="4" s="1"/>
  <c r="U40" i="9"/>
  <c r="U82" i="4" s="1"/>
  <c r="F3" i="18" l="1"/>
  <c r="K5" i="16" l="1"/>
  <c r="K9" i="16"/>
  <c r="K281" i="16"/>
  <c r="K16" i="16"/>
  <c r="K459" i="16"/>
  <c r="K41" i="16"/>
  <c r="K17" i="16"/>
  <c r="K286" i="16"/>
  <c r="K279" i="16"/>
  <c r="K287" i="16"/>
  <c r="K481" i="16"/>
  <c r="K38" i="16"/>
  <c r="K461" i="16"/>
  <c r="K462" i="16"/>
  <c r="K293" i="16" l="1"/>
  <c r="F6" i="18" l="1"/>
  <c r="I312" i="16" l="1"/>
  <c r="G26" i="16"/>
  <c r="G394" i="16" l="1"/>
  <c r="G393" i="16"/>
  <c r="G392" i="16"/>
  <c r="G395" i="16"/>
  <c r="G553" i="16"/>
  <c r="G552" i="16"/>
  <c r="G548" i="16"/>
  <c r="G551" i="16"/>
  <c r="G389" i="16"/>
  <c r="G186" i="16"/>
  <c r="G185" i="16"/>
  <c r="G184" i="16"/>
  <c r="G183" i="16"/>
  <c r="G182" i="16"/>
  <c r="G181" i="16"/>
  <c r="G180" i="16"/>
  <c r="G547" i="16"/>
  <c r="G527" i="16"/>
  <c r="G489" i="16"/>
  <c r="G177" i="16"/>
  <c r="G574" i="16"/>
  <c r="G550" i="16"/>
  <c r="G546" i="16"/>
  <c r="G571" i="16"/>
  <c r="G403" i="16"/>
  <c r="G541" i="16"/>
  <c r="G476" i="16"/>
  <c r="G400" i="16"/>
  <c r="G196" i="16"/>
  <c r="G195" i="16"/>
  <c r="G194" i="16"/>
  <c r="G193" i="16"/>
  <c r="G192" i="16"/>
  <c r="G477" i="16"/>
  <c r="G599" i="16"/>
  <c r="G462" i="16"/>
  <c r="G545" i="16"/>
  <c r="G488" i="16"/>
  <c r="G461" i="16"/>
  <c r="G549" i="16"/>
  <c r="G544" i="16"/>
  <c r="G540" i="16"/>
  <c r="G524" i="16"/>
  <c r="G245" i="16"/>
  <c r="G243" i="16"/>
  <c r="G241" i="16"/>
  <c r="G239" i="16"/>
  <c r="G238" i="16"/>
  <c r="G591" i="16"/>
  <c r="G590" i="16"/>
  <c r="G294" i="16"/>
  <c r="G292" i="16"/>
  <c r="G40" i="16"/>
  <c r="G39" i="16"/>
  <c r="G38" i="16"/>
  <c r="G37" i="16"/>
  <c r="G565" i="16"/>
  <c r="G521" i="16"/>
  <c r="G272" i="16"/>
  <c r="G126" i="16"/>
  <c r="G125" i="16"/>
  <c r="G124" i="16"/>
  <c r="G123" i="16"/>
  <c r="G122" i="16"/>
  <c r="G502" i="16"/>
  <c r="G520" i="16"/>
  <c r="G501" i="16"/>
  <c r="G533" i="16"/>
  <c r="G211" i="16"/>
  <c r="G511" i="16"/>
  <c r="G485" i="16"/>
  <c r="G499" i="16"/>
  <c r="G569" i="16"/>
  <c r="G515" i="16"/>
  <c r="G495" i="16"/>
  <c r="G534" i="16"/>
  <c r="G560" i="16"/>
  <c r="G509" i="16"/>
  <c r="G494" i="16"/>
  <c r="G316" i="16"/>
  <c r="G314" i="16"/>
  <c r="G207" i="16"/>
  <c r="G508" i="16"/>
  <c r="G36" i="16"/>
  <c r="G35" i="16"/>
  <c r="G34" i="16"/>
  <c r="G33" i="16"/>
  <c r="G32" i="16"/>
  <c r="G31" i="16"/>
  <c r="G30" i="16"/>
  <c r="G29" i="16"/>
  <c r="G28" i="16"/>
  <c r="G27" i="16"/>
  <c r="G25" i="16"/>
  <c r="G500" i="16"/>
  <c r="G612" i="16"/>
  <c r="G493" i="16"/>
  <c r="G610" i="16"/>
  <c r="G559" i="16"/>
  <c r="G507" i="16"/>
  <c r="G505" i="16"/>
  <c r="G271" i="16"/>
  <c r="G270" i="16"/>
  <c r="G492" i="16"/>
  <c r="G268" i="16"/>
  <c r="G519" i="16"/>
  <c r="G558" i="16"/>
  <c r="G513" i="16"/>
  <c r="G355" i="16"/>
  <c r="G600" i="16"/>
  <c r="G113" i="16"/>
  <c r="G112" i="16"/>
  <c r="G111" i="16"/>
  <c r="G110" i="16"/>
  <c r="G109" i="16"/>
  <c r="G478" i="16"/>
  <c r="G107" i="16"/>
  <c r="G106" i="16"/>
  <c r="G105" i="16"/>
  <c r="G491" i="16"/>
  <c r="G522" i="16"/>
  <c r="G203" i="16"/>
  <c r="G518" i="16"/>
  <c r="G517" i="16"/>
  <c r="G606" i="16"/>
  <c r="G512" i="16"/>
  <c r="G514" i="16"/>
  <c r="G573" i="16"/>
  <c r="G350" i="16"/>
  <c r="G349" i="16"/>
  <c r="G348" i="16"/>
  <c r="G578" i="16"/>
  <c r="G346" i="16"/>
  <c r="G104" i="16"/>
  <c r="G103" i="16"/>
  <c r="G487" i="16"/>
  <c r="G475" i="16"/>
  <c r="G100" i="16"/>
  <c r="G99" i="16"/>
  <c r="G98" i="16"/>
  <c r="G97" i="16"/>
  <c r="G96" i="16"/>
  <c r="G95" i="16"/>
  <c r="G613" i="16"/>
  <c r="G575" i="16"/>
  <c r="G592" i="16"/>
  <c r="G605" i="16"/>
  <c r="G504" i="16"/>
  <c r="G572" i="16"/>
  <c r="G598" i="16"/>
  <c r="G467" i="16"/>
  <c r="G468" i="16"/>
  <c r="G414" i="16"/>
  <c r="G484" i="16"/>
  <c r="G412" i="16"/>
  <c r="G411" i="16"/>
  <c r="G410" i="16"/>
  <c r="G409" i="16"/>
  <c r="G408" i="16"/>
  <c r="G407" i="16"/>
  <c r="G406" i="16"/>
  <c r="G405" i="16"/>
  <c r="G404" i="16"/>
  <c r="G210" i="16"/>
  <c r="G516" i="16"/>
  <c r="G208" i="16"/>
  <c r="G206" i="16"/>
  <c r="G205" i="16"/>
  <c r="G204" i="16"/>
  <c r="G202" i="16"/>
  <c r="G201" i="16"/>
  <c r="G199" i="16"/>
  <c r="G198" i="16"/>
  <c r="G197" i="16"/>
  <c r="G430" i="16"/>
  <c r="G604" i="16"/>
  <c r="G232" i="16"/>
  <c r="G503" i="16"/>
  <c r="G230" i="16"/>
  <c r="G229" i="16"/>
  <c r="G254" i="16"/>
  <c r="G253" i="16"/>
  <c r="G252" i="16"/>
  <c r="G595" i="16"/>
  <c r="G570" i="16"/>
  <c r="G576" i="16"/>
  <c r="G588" i="16"/>
  <c r="G587" i="16"/>
  <c r="G586" i="16"/>
  <c r="G585" i="16"/>
  <c r="G584" i="16"/>
  <c r="G583" i="16"/>
  <c r="G581" i="16"/>
  <c r="G597" i="16"/>
  <c r="G481" i="16"/>
  <c r="G439" i="16"/>
  <c r="G428" i="16"/>
  <c r="G490" i="16"/>
  <c r="G611" i="16"/>
  <c r="G523" i="16"/>
  <c r="G557" i="16"/>
  <c r="G580" i="16"/>
  <c r="G510" i="16"/>
  <c r="G567" i="16"/>
  <c r="G607" i="16"/>
  <c r="G596" i="16"/>
  <c r="G466" i="16"/>
  <c r="G452" i="16"/>
  <c r="G479" i="16"/>
  <c r="G556" i="16"/>
  <c r="G506" i="16"/>
  <c r="G422" i="16"/>
  <c r="G566" i="16"/>
  <c r="G228" i="16"/>
  <c r="G227" i="16"/>
  <c r="G225" i="16"/>
  <c r="G222" i="16"/>
  <c r="G221" i="16"/>
  <c r="G219" i="16"/>
  <c r="G217" i="16"/>
  <c r="G309" i="16"/>
  <c r="G215" i="16"/>
  <c r="G285" i="16"/>
  <c r="G603" i="16"/>
  <c r="G602" i="16"/>
  <c r="G444" i="16"/>
  <c r="G305" i="16"/>
  <c r="G443" i="16"/>
  <c r="G442" i="16"/>
  <c r="G441" i="16"/>
  <c r="G259" i="16"/>
  <c r="G258" i="16"/>
  <c r="G257" i="16"/>
  <c r="G256" i="16"/>
  <c r="G255" i="16"/>
  <c r="G308" i="16"/>
  <c r="G287" i="16"/>
  <c r="G279" i="16"/>
  <c r="G304" i="16"/>
  <c r="G307" i="16"/>
  <c r="G286" i="16"/>
  <c r="G303" i="16"/>
  <c r="G306" i="16"/>
  <c r="G343" i="16"/>
  <c r="G341" i="16"/>
  <c r="G340" i="16"/>
  <c r="G339" i="16"/>
  <c r="G337" i="16"/>
  <c r="G336" i="16"/>
  <c r="G398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594" i="16"/>
  <c r="G593" i="16"/>
  <c r="G326" i="16"/>
  <c r="G432" i="16"/>
  <c r="G236" i="16"/>
  <c r="G235" i="16"/>
  <c r="G234" i="16"/>
  <c r="G347" i="16"/>
  <c r="G325" i="16"/>
  <c r="G345" i="16"/>
  <c r="G324" i="16"/>
  <c r="G353" i="16"/>
  <c r="G397" i="16"/>
  <c r="G396" i="16"/>
  <c r="G191" i="16"/>
  <c r="G190" i="16"/>
  <c r="G189" i="16"/>
  <c r="G188" i="16"/>
  <c r="G187" i="16"/>
  <c r="G220" i="16"/>
  <c r="G323" i="16"/>
  <c r="G419" i="16"/>
  <c r="G223" i="16"/>
  <c r="G344" i="16"/>
  <c r="G322" i="16"/>
  <c r="G357" i="16"/>
  <c r="G391" i="16"/>
  <c r="G321" i="16"/>
  <c r="G356" i="16"/>
  <c r="G427" i="16"/>
  <c r="G390" i="16"/>
  <c r="G320" i="16"/>
  <c r="G426" i="16"/>
  <c r="G332" i="16"/>
  <c r="G319" i="16"/>
  <c r="G351" i="16"/>
  <c r="G425" i="16"/>
  <c r="G342" i="16"/>
  <c r="G453" i="16"/>
  <c r="G318" i="16"/>
  <c r="G338" i="16"/>
  <c r="G402" i="16"/>
  <c r="G418" i="16"/>
  <c r="G438" i="16"/>
  <c r="G609" i="16"/>
  <c r="G608" i="16"/>
  <c r="G295" i="16"/>
  <c r="G447" i="16"/>
  <c r="G446" i="16"/>
  <c r="G445" i="16"/>
  <c r="G267" i="16"/>
  <c r="G266" i="16"/>
  <c r="G265" i="16"/>
  <c r="G457" i="16"/>
  <c r="G423" i="16"/>
  <c r="G498" i="16"/>
  <c r="G497" i="16"/>
  <c r="G496" i="16"/>
  <c r="G454" i="16"/>
  <c r="G333" i="16"/>
  <c r="G331" i="16"/>
  <c r="G330" i="16"/>
  <c r="G329" i="16"/>
  <c r="G401" i="16"/>
  <c r="G327" i="16"/>
  <c r="G81" i="16"/>
  <c r="G80" i="16"/>
  <c r="G79" i="16"/>
  <c r="G78" i="16"/>
  <c r="G77" i="16"/>
  <c r="G76" i="16"/>
  <c r="G75" i="16"/>
  <c r="G72" i="16"/>
  <c r="G555" i="16"/>
  <c r="G554" i="16"/>
  <c r="G417" i="16"/>
  <c r="G437" i="16"/>
  <c r="G275" i="16"/>
  <c r="G450" i="16"/>
  <c r="G388" i="16"/>
  <c r="G387" i="16"/>
  <c r="G386" i="16"/>
  <c r="G385" i="16"/>
  <c r="G384" i="16"/>
  <c r="G433" i="16"/>
  <c r="G383" i="16"/>
  <c r="G151" i="16"/>
  <c r="G150" i="16"/>
  <c r="G149" i="16"/>
  <c r="G148" i="16"/>
  <c r="G147" i="16"/>
  <c r="G146" i="16"/>
  <c r="G145" i="16"/>
  <c r="G399" i="16"/>
  <c r="G328" i="16"/>
  <c r="G413" i="16"/>
  <c r="G451" i="16"/>
  <c r="G293" i="16"/>
  <c r="G382" i="16"/>
  <c r="G381" i="16"/>
  <c r="G380" i="16"/>
  <c r="G379" i="16"/>
  <c r="G378" i="16"/>
  <c r="G144" i="16"/>
  <c r="G143" i="16"/>
  <c r="G142" i="16"/>
  <c r="G141" i="16"/>
  <c r="G140" i="16"/>
  <c r="G543" i="16"/>
  <c r="G542" i="16"/>
  <c r="G312" i="16"/>
  <c r="G455" i="16"/>
  <c r="G354" i="16"/>
  <c r="G377" i="16"/>
  <c r="G376" i="16"/>
  <c r="G375" i="16"/>
  <c r="G352" i="16"/>
  <c r="G374" i="16"/>
  <c r="G421" i="16"/>
  <c r="G139" i="16"/>
  <c r="G138" i="16"/>
  <c r="G137" i="16"/>
  <c r="G335" i="16"/>
  <c r="G136" i="16"/>
  <c r="G449" i="16"/>
  <c r="G526" i="16"/>
  <c r="G525" i="16"/>
  <c r="G273" i="16"/>
  <c r="G361" i="16"/>
  <c r="G360" i="16"/>
  <c r="G359" i="16"/>
  <c r="G358" i="16"/>
  <c r="G117" i="16"/>
  <c r="G116" i="16"/>
  <c r="G115" i="16"/>
  <c r="G114" i="16"/>
  <c r="G530" i="16"/>
  <c r="G310" i="16"/>
  <c r="G529" i="16"/>
  <c r="G528" i="16"/>
  <c r="G365" i="16"/>
  <c r="G448" i="16"/>
  <c r="G363" i="16"/>
  <c r="G362" i="16"/>
  <c r="G121" i="16"/>
  <c r="G119" i="16"/>
  <c r="G118" i="16"/>
  <c r="G334" i="16"/>
  <c r="G431" i="16"/>
  <c r="G175" i="16"/>
  <c r="G174" i="16"/>
  <c r="G63" i="16"/>
  <c r="G62" i="16"/>
  <c r="G61" i="16"/>
  <c r="G486" i="16"/>
  <c r="G483" i="16"/>
  <c r="G482" i="16"/>
  <c r="G480" i="16"/>
  <c r="G317" i="16"/>
  <c r="G315" i="16"/>
  <c r="G313" i="16"/>
  <c r="G311" i="16"/>
  <c r="G71" i="16"/>
  <c r="G70" i="16"/>
  <c r="G69" i="16"/>
  <c r="G68" i="16"/>
  <c r="G173" i="16"/>
  <c r="G172" i="16"/>
  <c r="G53" i="16"/>
  <c r="G67" i="16"/>
  <c r="G66" i="16"/>
  <c r="G65" i="16"/>
  <c r="G64" i="16"/>
  <c r="G51" i="16"/>
  <c r="G291" i="16"/>
  <c r="G209" i="16"/>
  <c r="G23" i="16"/>
  <c r="G50" i="16"/>
  <c r="G465" i="16"/>
  <c r="G464" i="16"/>
  <c r="G463" i="16"/>
  <c r="G290" i="16"/>
  <c r="G289" i="16"/>
  <c r="G288" i="16"/>
  <c r="G102" i="16"/>
  <c r="G20" i="16"/>
  <c r="G19" i="16"/>
  <c r="G18" i="16"/>
  <c r="G49" i="16"/>
  <c r="G249" i="16"/>
  <c r="G48" i="16"/>
  <c r="G101" i="16"/>
  <c r="G248" i="16"/>
  <c r="G47" i="16"/>
  <c r="G17" i="16"/>
  <c r="G15" i="16"/>
  <c r="G247" i="16"/>
  <c r="G284" i="16"/>
  <c r="G283" i="16"/>
  <c r="G14" i="16"/>
  <c r="G13" i="16"/>
  <c r="G12" i="16"/>
  <c r="G11" i="16"/>
  <c r="G601" i="16"/>
  <c r="G440" i="16"/>
  <c r="G251" i="16"/>
  <c r="G250" i="16"/>
  <c r="G179" i="16"/>
  <c r="G233" i="16"/>
  <c r="G246" i="16"/>
  <c r="G7" i="16"/>
  <c r="G108" i="16"/>
  <c r="G24" i="16"/>
  <c r="G237" i="16"/>
  <c r="G264" i="16"/>
  <c r="G263" i="16"/>
  <c r="G262" i="16"/>
  <c r="G261" i="16"/>
  <c r="G260" i="16"/>
  <c r="G21" i="16"/>
  <c r="G244" i="16"/>
  <c r="G6" i="16"/>
  <c r="G178" i="16"/>
  <c r="G231" i="16"/>
  <c r="G216" i="16"/>
  <c r="G46" i="16"/>
  <c r="G45" i="16"/>
  <c r="G44" i="16"/>
  <c r="G43" i="16"/>
  <c r="G42" i="16"/>
  <c r="G41" i="16"/>
  <c r="G242" i="16"/>
  <c r="G269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460" i="16"/>
  <c r="G459" i="16"/>
  <c r="G458" i="16"/>
  <c r="G16" i="16"/>
  <c r="G456" i="16"/>
  <c r="G282" i="16"/>
  <c r="G281" i="16"/>
  <c r="G280" i="16"/>
  <c r="G240" i="16"/>
  <c r="G176" i="16"/>
  <c r="G278" i="16"/>
  <c r="G10" i="16"/>
  <c r="G9" i="16"/>
  <c r="G8" i="16"/>
  <c r="G214" i="16"/>
  <c r="G22" i="16"/>
  <c r="G5" i="16"/>
  <c r="G4" i="16"/>
  <c r="G3" i="16"/>
  <c r="F394" i="16"/>
  <c r="F393" i="16"/>
  <c r="F392" i="16"/>
  <c r="F395" i="16"/>
  <c r="F553" i="16"/>
  <c r="F552" i="16"/>
  <c r="F548" i="16"/>
  <c r="F551" i="16"/>
  <c r="F389" i="16"/>
  <c r="F186" i="16"/>
  <c r="F185" i="16"/>
  <c r="F184" i="16"/>
  <c r="F183" i="16"/>
  <c r="F182" i="16"/>
  <c r="F181" i="16"/>
  <c r="F180" i="16"/>
  <c r="F547" i="16"/>
  <c r="F527" i="16"/>
  <c r="F489" i="16"/>
  <c r="F177" i="16"/>
  <c r="F574" i="16"/>
  <c r="F550" i="16"/>
  <c r="F546" i="16"/>
  <c r="F571" i="16"/>
  <c r="F403" i="16"/>
  <c r="F541" i="16"/>
  <c r="F476" i="16"/>
  <c r="F400" i="16"/>
  <c r="F196" i="16"/>
  <c r="F195" i="16"/>
  <c r="F194" i="16"/>
  <c r="F193" i="16"/>
  <c r="F192" i="16"/>
  <c r="F477" i="16"/>
  <c r="F599" i="16"/>
  <c r="F462" i="16"/>
  <c r="F545" i="16"/>
  <c r="F488" i="16"/>
  <c r="F461" i="16"/>
  <c r="F549" i="16"/>
  <c r="F544" i="16"/>
  <c r="F540" i="16"/>
  <c r="F524" i="16"/>
  <c r="F245" i="16"/>
  <c r="F243" i="16"/>
  <c r="F241" i="16"/>
  <c r="F239" i="16"/>
  <c r="F238" i="16"/>
  <c r="F591" i="16"/>
  <c r="F590" i="16"/>
  <c r="F294" i="16"/>
  <c r="F292" i="16"/>
  <c r="F40" i="16"/>
  <c r="F39" i="16"/>
  <c r="F38" i="16"/>
  <c r="F37" i="16"/>
  <c r="F565" i="16"/>
  <c r="F521" i="16"/>
  <c r="F272" i="16"/>
  <c r="F126" i="16"/>
  <c r="F125" i="16"/>
  <c r="F124" i="16"/>
  <c r="F123" i="16"/>
  <c r="F122" i="16"/>
  <c r="F502" i="16"/>
  <c r="F520" i="16"/>
  <c r="F501" i="16"/>
  <c r="F533" i="16"/>
  <c r="F211" i="16"/>
  <c r="F511" i="16"/>
  <c r="F485" i="16"/>
  <c r="F499" i="16"/>
  <c r="F569" i="16"/>
  <c r="F515" i="16"/>
  <c r="F495" i="16"/>
  <c r="F534" i="16"/>
  <c r="F560" i="16"/>
  <c r="F509" i="16"/>
  <c r="F494" i="16"/>
  <c r="F316" i="16"/>
  <c r="F314" i="16"/>
  <c r="F207" i="16"/>
  <c r="F508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500" i="16"/>
  <c r="F612" i="16"/>
  <c r="F493" i="16"/>
  <c r="F610" i="16"/>
  <c r="F559" i="16"/>
  <c r="F507" i="16"/>
  <c r="F505" i="16"/>
  <c r="F271" i="16"/>
  <c r="F270" i="16"/>
  <c r="F492" i="16"/>
  <c r="F268" i="16"/>
  <c r="F519" i="16"/>
  <c r="F558" i="16"/>
  <c r="F513" i="16"/>
  <c r="F355" i="16"/>
  <c r="F600" i="16"/>
  <c r="F113" i="16"/>
  <c r="F112" i="16"/>
  <c r="F111" i="16"/>
  <c r="F110" i="16"/>
  <c r="F109" i="16"/>
  <c r="F478" i="16"/>
  <c r="F107" i="16"/>
  <c r="F106" i="16"/>
  <c r="F105" i="16"/>
  <c r="F491" i="16"/>
  <c r="F522" i="16"/>
  <c r="F203" i="16"/>
  <c r="F518" i="16"/>
  <c r="F517" i="16"/>
  <c r="F606" i="16"/>
  <c r="F512" i="16"/>
  <c r="F514" i="16"/>
  <c r="F573" i="16"/>
  <c r="F350" i="16"/>
  <c r="F349" i="16"/>
  <c r="F348" i="16"/>
  <c r="F578" i="16"/>
  <c r="F346" i="16"/>
  <c r="F104" i="16"/>
  <c r="F103" i="16"/>
  <c r="F487" i="16"/>
  <c r="F475" i="16"/>
  <c r="F100" i="16"/>
  <c r="F99" i="16"/>
  <c r="F98" i="16"/>
  <c r="F97" i="16"/>
  <c r="F96" i="16"/>
  <c r="F95" i="16"/>
  <c r="F613" i="16"/>
  <c r="F575" i="16"/>
  <c r="F592" i="16"/>
  <c r="F605" i="16"/>
  <c r="F504" i="16"/>
  <c r="F572" i="16"/>
  <c r="F598" i="16"/>
  <c r="F467" i="16"/>
  <c r="F468" i="16"/>
  <c r="F414" i="16"/>
  <c r="F484" i="16"/>
  <c r="F412" i="16"/>
  <c r="F411" i="16"/>
  <c r="F410" i="16"/>
  <c r="F409" i="16"/>
  <c r="F408" i="16"/>
  <c r="F407" i="16"/>
  <c r="F406" i="16"/>
  <c r="F405" i="16"/>
  <c r="F404" i="16"/>
  <c r="F210" i="16"/>
  <c r="F516" i="16"/>
  <c r="F208" i="16"/>
  <c r="F206" i="16"/>
  <c r="F205" i="16"/>
  <c r="F204" i="16"/>
  <c r="F202" i="16"/>
  <c r="F201" i="16"/>
  <c r="F199" i="16"/>
  <c r="F198" i="16"/>
  <c r="F197" i="16"/>
  <c r="F430" i="16"/>
  <c r="F604" i="16"/>
  <c r="F232" i="16"/>
  <c r="F503" i="16"/>
  <c r="F230" i="16"/>
  <c r="F229" i="16"/>
  <c r="F254" i="16"/>
  <c r="F253" i="16"/>
  <c r="F252" i="16"/>
  <c r="F595" i="16"/>
  <c r="F570" i="16"/>
  <c r="F576" i="16"/>
  <c r="F588" i="16"/>
  <c r="F587" i="16"/>
  <c r="F586" i="16"/>
  <c r="F585" i="16"/>
  <c r="F584" i="16"/>
  <c r="F583" i="16"/>
  <c r="F581" i="16"/>
  <c r="F597" i="16"/>
  <c r="F481" i="16"/>
  <c r="F439" i="16"/>
  <c r="F428" i="16"/>
  <c r="F490" i="16"/>
  <c r="F611" i="16"/>
  <c r="F523" i="16"/>
  <c r="F557" i="16"/>
  <c r="F580" i="16"/>
  <c r="F510" i="16"/>
  <c r="F567" i="16"/>
  <c r="F607" i="16"/>
  <c r="F596" i="16"/>
  <c r="F466" i="16"/>
  <c r="F452" i="16"/>
  <c r="F479" i="16"/>
  <c r="F556" i="16"/>
  <c r="F506" i="16"/>
  <c r="F422" i="16"/>
  <c r="F566" i="16"/>
  <c r="F228" i="16"/>
  <c r="F227" i="16"/>
  <c r="F225" i="16"/>
  <c r="F222" i="16"/>
  <c r="F221" i="16"/>
  <c r="F219" i="16"/>
  <c r="F217" i="16"/>
  <c r="F309" i="16"/>
  <c r="F215" i="16"/>
  <c r="F285" i="16"/>
  <c r="F603" i="16"/>
  <c r="F602" i="16"/>
  <c r="F444" i="16"/>
  <c r="F305" i="16"/>
  <c r="F443" i="16"/>
  <c r="F442" i="16"/>
  <c r="F441" i="16"/>
  <c r="F259" i="16"/>
  <c r="F258" i="16"/>
  <c r="F257" i="16"/>
  <c r="F256" i="16"/>
  <c r="F255" i="16"/>
  <c r="F308" i="16"/>
  <c r="F287" i="16"/>
  <c r="F279" i="16"/>
  <c r="F304" i="16"/>
  <c r="F307" i="16"/>
  <c r="F286" i="16"/>
  <c r="F303" i="16"/>
  <c r="F306" i="16"/>
  <c r="F343" i="16"/>
  <c r="F341" i="16"/>
  <c r="F340" i="16"/>
  <c r="F339" i="16"/>
  <c r="F337" i="16"/>
  <c r="F336" i="16"/>
  <c r="F398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594" i="16"/>
  <c r="F593" i="16"/>
  <c r="F326" i="16"/>
  <c r="F432" i="16"/>
  <c r="F236" i="16"/>
  <c r="F235" i="16"/>
  <c r="F234" i="16"/>
  <c r="F347" i="16"/>
  <c r="F325" i="16"/>
  <c r="F345" i="16"/>
  <c r="F324" i="16"/>
  <c r="F353" i="16"/>
  <c r="F397" i="16"/>
  <c r="F396" i="16"/>
  <c r="F191" i="16"/>
  <c r="F190" i="16"/>
  <c r="F189" i="16"/>
  <c r="F188" i="16"/>
  <c r="F187" i="16"/>
  <c r="F220" i="16"/>
  <c r="F323" i="16"/>
  <c r="F419" i="16"/>
  <c r="F223" i="16"/>
  <c r="F344" i="16"/>
  <c r="F322" i="16"/>
  <c r="F357" i="16"/>
  <c r="F391" i="16"/>
  <c r="F321" i="16"/>
  <c r="F356" i="16"/>
  <c r="F427" i="16"/>
  <c r="F390" i="16"/>
  <c r="F320" i="16"/>
  <c r="F426" i="16"/>
  <c r="F332" i="16"/>
  <c r="F319" i="16"/>
  <c r="F351" i="16"/>
  <c r="F425" i="16"/>
  <c r="F342" i="16"/>
  <c r="F453" i="16"/>
  <c r="F318" i="16"/>
  <c r="F338" i="16"/>
  <c r="F402" i="16"/>
  <c r="F418" i="16"/>
  <c r="F438" i="16"/>
  <c r="F609" i="16"/>
  <c r="F608" i="16"/>
  <c r="F295" i="16"/>
  <c r="F447" i="16"/>
  <c r="F446" i="16"/>
  <c r="F445" i="16"/>
  <c r="F267" i="16"/>
  <c r="F266" i="16"/>
  <c r="F265" i="16"/>
  <c r="F457" i="16"/>
  <c r="F423" i="16"/>
  <c r="F498" i="16"/>
  <c r="F497" i="16"/>
  <c r="F496" i="16"/>
  <c r="F454" i="16"/>
  <c r="F333" i="16"/>
  <c r="F331" i="16"/>
  <c r="F330" i="16"/>
  <c r="F329" i="16"/>
  <c r="F401" i="16"/>
  <c r="F327" i="16"/>
  <c r="F81" i="16"/>
  <c r="F80" i="16"/>
  <c r="F79" i="16"/>
  <c r="F78" i="16"/>
  <c r="F77" i="16"/>
  <c r="F76" i="16"/>
  <c r="F75" i="16"/>
  <c r="F72" i="16"/>
  <c r="F555" i="16"/>
  <c r="F554" i="16"/>
  <c r="F417" i="16"/>
  <c r="F437" i="16"/>
  <c r="F275" i="16"/>
  <c r="F450" i="16"/>
  <c r="F388" i="16"/>
  <c r="F387" i="16"/>
  <c r="F386" i="16"/>
  <c r="F385" i="16"/>
  <c r="F384" i="16"/>
  <c r="F433" i="16"/>
  <c r="F383" i="16"/>
  <c r="F151" i="16"/>
  <c r="F150" i="16"/>
  <c r="F149" i="16"/>
  <c r="F148" i="16"/>
  <c r="F147" i="16"/>
  <c r="F146" i="16"/>
  <c r="F145" i="16"/>
  <c r="F399" i="16"/>
  <c r="F328" i="16"/>
  <c r="F413" i="16"/>
  <c r="F451" i="16"/>
  <c r="F293" i="16"/>
  <c r="F382" i="16"/>
  <c r="F381" i="16"/>
  <c r="F380" i="16"/>
  <c r="F379" i="16"/>
  <c r="F378" i="16"/>
  <c r="F144" i="16"/>
  <c r="F143" i="16"/>
  <c r="F142" i="16"/>
  <c r="F141" i="16"/>
  <c r="F140" i="16"/>
  <c r="F543" i="16"/>
  <c r="F542" i="16"/>
  <c r="F312" i="16"/>
  <c r="F455" i="16"/>
  <c r="F354" i="16"/>
  <c r="F377" i="16"/>
  <c r="F376" i="16"/>
  <c r="F375" i="16"/>
  <c r="F352" i="16"/>
  <c r="F374" i="16"/>
  <c r="F421" i="16"/>
  <c r="F139" i="16"/>
  <c r="F138" i="16"/>
  <c r="F137" i="16"/>
  <c r="F335" i="16"/>
  <c r="F136" i="16"/>
  <c r="F449" i="16"/>
  <c r="F526" i="16"/>
  <c r="F525" i="16"/>
  <c r="F273" i="16"/>
  <c r="F361" i="16"/>
  <c r="F360" i="16"/>
  <c r="F359" i="16"/>
  <c r="F358" i="16"/>
  <c r="F117" i="16"/>
  <c r="F116" i="16"/>
  <c r="F115" i="16"/>
  <c r="F114" i="16"/>
  <c r="F530" i="16"/>
  <c r="F310" i="16"/>
  <c r="F529" i="16"/>
  <c r="F528" i="16"/>
  <c r="F365" i="16"/>
  <c r="F448" i="16"/>
  <c r="F363" i="16"/>
  <c r="F362" i="16"/>
  <c r="F121" i="16"/>
  <c r="F119" i="16"/>
  <c r="F118" i="16"/>
  <c r="F334" i="16"/>
  <c r="F431" i="16"/>
  <c r="F175" i="16"/>
  <c r="F174" i="16"/>
  <c r="F63" i="16"/>
  <c r="F62" i="16"/>
  <c r="F61" i="16"/>
  <c r="F486" i="16"/>
  <c r="F483" i="16"/>
  <c r="F482" i="16"/>
  <c r="F480" i="16"/>
  <c r="F317" i="16"/>
  <c r="F315" i="16"/>
  <c r="F313" i="16"/>
  <c r="F311" i="16"/>
  <c r="F71" i="16"/>
  <c r="F70" i="16"/>
  <c r="F69" i="16"/>
  <c r="F68" i="16"/>
  <c r="F173" i="16"/>
  <c r="F172" i="16"/>
  <c r="F53" i="16"/>
  <c r="F67" i="16"/>
  <c r="F66" i="16"/>
  <c r="F65" i="16"/>
  <c r="F64" i="16"/>
  <c r="F51" i="16"/>
  <c r="F291" i="16"/>
  <c r="F209" i="16"/>
  <c r="F23" i="16"/>
  <c r="F50" i="16"/>
  <c r="F465" i="16"/>
  <c r="F464" i="16"/>
  <c r="F463" i="16"/>
  <c r="F290" i="16"/>
  <c r="F289" i="16"/>
  <c r="F288" i="16"/>
  <c r="F102" i="16"/>
  <c r="F20" i="16"/>
  <c r="F19" i="16"/>
  <c r="F18" i="16"/>
  <c r="F49" i="16"/>
  <c r="F249" i="16"/>
  <c r="F48" i="16"/>
  <c r="F101" i="16"/>
  <c r="F248" i="16"/>
  <c r="F47" i="16"/>
  <c r="F17" i="16"/>
  <c r="F15" i="16"/>
  <c r="F247" i="16"/>
  <c r="F284" i="16"/>
  <c r="F283" i="16"/>
  <c r="F14" i="16"/>
  <c r="F13" i="16"/>
  <c r="F12" i="16"/>
  <c r="F11" i="16"/>
  <c r="F601" i="16"/>
  <c r="F440" i="16"/>
  <c r="F251" i="16"/>
  <c r="F250" i="16"/>
  <c r="F179" i="16"/>
  <c r="F233" i="16"/>
  <c r="F246" i="16"/>
  <c r="F7" i="16"/>
  <c r="F108" i="16"/>
  <c r="F24" i="16"/>
  <c r="F237" i="16"/>
  <c r="F264" i="16"/>
  <c r="F263" i="16"/>
  <c r="F262" i="16"/>
  <c r="F261" i="16"/>
  <c r="F260" i="16"/>
  <c r="F21" i="16"/>
  <c r="F244" i="16"/>
  <c r="F6" i="16"/>
  <c r="F178" i="16"/>
  <c r="F231" i="16"/>
  <c r="F216" i="16"/>
  <c r="F46" i="16"/>
  <c r="F45" i="16"/>
  <c r="F44" i="16"/>
  <c r="F43" i="16"/>
  <c r="F42" i="16"/>
  <c r="F41" i="16"/>
  <c r="F242" i="16"/>
  <c r="F269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7" i="16"/>
  <c r="F156" i="16"/>
  <c r="F155" i="16"/>
  <c r="F154" i="16"/>
  <c r="F153" i="16"/>
  <c r="F152" i="16"/>
  <c r="F460" i="16"/>
  <c r="F459" i="16"/>
  <c r="F458" i="16"/>
  <c r="F16" i="16"/>
  <c r="F456" i="16"/>
  <c r="F282" i="16"/>
  <c r="F281" i="16"/>
  <c r="F280" i="16"/>
  <c r="F240" i="16"/>
  <c r="F176" i="16"/>
  <c r="F278" i="16"/>
  <c r="F10" i="16"/>
  <c r="F9" i="16"/>
  <c r="F8" i="16"/>
  <c r="F214" i="16"/>
  <c r="F22" i="16"/>
  <c r="F5" i="16"/>
  <c r="F4" i="16"/>
  <c r="F3" i="16"/>
  <c r="E394" i="16"/>
  <c r="E393" i="16"/>
  <c r="E392" i="16"/>
  <c r="E395" i="16"/>
  <c r="E553" i="16"/>
  <c r="E552" i="16"/>
  <c r="E548" i="16"/>
  <c r="E551" i="16"/>
  <c r="E389" i="16"/>
  <c r="E186" i="16"/>
  <c r="E185" i="16"/>
  <c r="E184" i="16"/>
  <c r="E183" i="16"/>
  <c r="E182" i="16"/>
  <c r="E181" i="16"/>
  <c r="E180" i="16"/>
  <c r="E547" i="16"/>
  <c r="E527" i="16"/>
  <c r="E489" i="16"/>
  <c r="E177" i="16"/>
  <c r="E574" i="16"/>
  <c r="E550" i="16"/>
  <c r="E546" i="16"/>
  <c r="E571" i="16"/>
  <c r="E403" i="16"/>
  <c r="E541" i="16"/>
  <c r="E476" i="16"/>
  <c r="E400" i="16"/>
  <c r="E196" i="16"/>
  <c r="E195" i="16"/>
  <c r="E194" i="16"/>
  <c r="E193" i="16"/>
  <c r="E192" i="16"/>
  <c r="E477" i="16"/>
  <c r="E599" i="16"/>
  <c r="E462" i="16"/>
  <c r="E545" i="16"/>
  <c r="E488" i="16"/>
  <c r="E461" i="16"/>
  <c r="E549" i="16"/>
  <c r="E544" i="16"/>
  <c r="E540" i="16"/>
  <c r="E524" i="16"/>
  <c r="E245" i="16"/>
  <c r="E243" i="16"/>
  <c r="E241" i="16"/>
  <c r="E239" i="16"/>
  <c r="E238" i="16"/>
  <c r="E591" i="16"/>
  <c r="E590" i="16"/>
  <c r="E294" i="16"/>
  <c r="E292" i="16"/>
  <c r="E40" i="16"/>
  <c r="E39" i="16"/>
  <c r="E38" i="16"/>
  <c r="E37" i="16"/>
  <c r="E565" i="16"/>
  <c r="E521" i="16"/>
  <c r="E272" i="16"/>
  <c r="E126" i="16"/>
  <c r="E125" i="16"/>
  <c r="E124" i="16"/>
  <c r="E123" i="16"/>
  <c r="E122" i="16"/>
  <c r="E502" i="16"/>
  <c r="E520" i="16"/>
  <c r="E501" i="16"/>
  <c r="E533" i="16"/>
  <c r="E211" i="16"/>
  <c r="E511" i="16"/>
  <c r="E485" i="16"/>
  <c r="E499" i="16"/>
  <c r="E569" i="16"/>
  <c r="E515" i="16"/>
  <c r="E495" i="16"/>
  <c r="E534" i="16"/>
  <c r="E560" i="16"/>
  <c r="E509" i="16"/>
  <c r="E494" i="16"/>
  <c r="E316" i="16"/>
  <c r="E314" i="16"/>
  <c r="E207" i="16"/>
  <c r="E508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500" i="16"/>
  <c r="E612" i="16"/>
  <c r="E493" i="16"/>
  <c r="E610" i="16"/>
  <c r="E559" i="16"/>
  <c r="E507" i="16"/>
  <c r="E505" i="16"/>
  <c r="E271" i="16"/>
  <c r="E270" i="16"/>
  <c r="E492" i="16"/>
  <c r="E268" i="16"/>
  <c r="E519" i="16"/>
  <c r="E558" i="16"/>
  <c r="E513" i="16"/>
  <c r="E355" i="16"/>
  <c r="E600" i="16"/>
  <c r="E113" i="16"/>
  <c r="E112" i="16"/>
  <c r="E111" i="16"/>
  <c r="E110" i="16"/>
  <c r="E109" i="16"/>
  <c r="E478" i="16"/>
  <c r="E107" i="16"/>
  <c r="E106" i="16"/>
  <c r="E105" i="16"/>
  <c r="E491" i="16"/>
  <c r="E522" i="16"/>
  <c r="E203" i="16"/>
  <c r="E518" i="16"/>
  <c r="E517" i="16"/>
  <c r="E606" i="16"/>
  <c r="E512" i="16"/>
  <c r="E514" i="16"/>
  <c r="E573" i="16"/>
  <c r="E350" i="16"/>
  <c r="E349" i="16"/>
  <c r="E348" i="16"/>
  <c r="E578" i="16"/>
  <c r="E346" i="16"/>
  <c r="E104" i="16"/>
  <c r="E103" i="16"/>
  <c r="E487" i="16"/>
  <c r="E475" i="16"/>
  <c r="E100" i="16"/>
  <c r="E99" i="16"/>
  <c r="E98" i="16"/>
  <c r="E97" i="16"/>
  <c r="E96" i="16"/>
  <c r="E95" i="16"/>
  <c r="E613" i="16"/>
  <c r="E575" i="16"/>
  <c r="E592" i="16"/>
  <c r="E605" i="16"/>
  <c r="E504" i="16"/>
  <c r="E572" i="16"/>
  <c r="E598" i="16"/>
  <c r="E467" i="16"/>
  <c r="E468" i="16"/>
  <c r="E414" i="16"/>
  <c r="E484" i="16"/>
  <c r="E412" i="16"/>
  <c r="E411" i="16"/>
  <c r="E410" i="16"/>
  <c r="E409" i="16"/>
  <c r="E408" i="16"/>
  <c r="E407" i="16"/>
  <c r="E406" i="16"/>
  <c r="E405" i="16"/>
  <c r="E404" i="16"/>
  <c r="E210" i="16"/>
  <c r="E516" i="16"/>
  <c r="E208" i="16"/>
  <c r="E206" i="16"/>
  <c r="E205" i="16"/>
  <c r="E204" i="16"/>
  <c r="E202" i="16"/>
  <c r="E201" i="16"/>
  <c r="E199" i="16"/>
  <c r="E198" i="16"/>
  <c r="E197" i="16"/>
  <c r="E200" i="16"/>
  <c r="E430" i="16"/>
  <c r="E604" i="16"/>
  <c r="E232" i="16"/>
  <c r="E503" i="16"/>
  <c r="E230" i="16"/>
  <c r="E229" i="16"/>
  <c r="E254" i="16"/>
  <c r="E253" i="16"/>
  <c r="E252" i="16"/>
  <c r="E595" i="16"/>
  <c r="E570" i="16"/>
  <c r="E576" i="16"/>
  <c r="E588" i="16"/>
  <c r="E587" i="16"/>
  <c r="E586" i="16"/>
  <c r="E585" i="16"/>
  <c r="E584" i="16"/>
  <c r="E583" i="16"/>
  <c r="E581" i="16"/>
  <c r="E597" i="16"/>
  <c r="E481" i="16"/>
  <c r="E439" i="16"/>
  <c r="E428" i="16"/>
  <c r="E490" i="16"/>
  <c r="E611" i="16"/>
  <c r="E523" i="16"/>
  <c r="E557" i="16"/>
  <c r="E580" i="16"/>
  <c r="E510" i="16"/>
  <c r="E567" i="16"/>
  <c r="E607" i="16"/>
  <c r="E596" i="16"/>
  <c r="E466" i="16"/>
  <c r="E452" i="16"/>
  <c r="E479" i="16"/>
  <c r="E556" i="16"/>
  <c r="E506" i="16"/>
  <c r="E422" i="16"/>
  <c r="E566" i="16"/>
  <c r="E228" i="16"/>
  <c r="E227" i="16"/>
  <c r="E225" i="16"/>
  <c r="E222" i="16"/>
  <c r="E221" i="16"/>
  <c r="E219" i="16"/>
  <c r="E217" i="16"/>
  <c r="E309" i="16"/>
  <c r="E215" i="16"/>
  <c r="E285" i="16"/>
  <c r="E603" i="16"/>
  <c r="E602" i="16"/>
  <c r="E444" i="16"/>
  <c r="E305" i="16"/>
  <c r="E443" i="16"/>
  <c r="E442" i="16"/>
  <c r="E441" i="16"/>
  <c r="E259" i="16"/>
  <c r="E258" i="16"/>
  <c r="E257" i="16"/>
  <c r="E256" i="16"/>
  <c r="E255" i="16"/>
  <c r="E308" i="16"/>
  <c r="E287" i="16"/>
  <c r="E279" i="16"/>
  <c r="E304" i="16"/>
  <c r="E307" i="16"/>
  <c r="E286" i="16"/>
  <c r="E303" i="16"/>
  <c r="E306" i="16"/>
  <c r="E343" i="16"/>
  <c r="E341" i="16"/>
  <c r="E340" i="16"/>
  <c r="E339" i="16"/>
  <c r="E337" i="16"/>
  <c r="E336" i="16"/>
  <c r="E398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594" i="16"/>
  <c r="E593" i="16"/>
  <c r="E326" i="16"/>
  <c r="E432" i="16"/>
  <c r="E236" i="16"/>
  <c r="E235" i="16"/>
  <c r="E234" i="16"/>
  <c r="E347" i="16"/>
  <c r="E325" i="16"/>
  <c r="E345" i="16"/>
  <c r="E324" i="16"/>
  <c r="E353" i="16"/>
  <c r="E397" i="16"/>
  <c r="E396" i="16"/>
  <c r="E191" i="16"/>
  <c r="E190" i="16"/>
  <c r="E189" i="16"/>
  <c r="E188" i="16"/>
  <c r="E187" i="16"/>
  <c r="E220" i="16"/>
  <c r="E323" i="16"/>
  <c r="E419" i="16"/>
  <c r="E223" i="16"/>
  <c r="E344" i="16"/>
  <c r="E322" i="16"/>
  <c r="E357" i="16"/>
  <c r="E391" i="16"/>
  <c r="E321" i="16"/>
  <c r="E356" i="16"/>
  <c r="E427" i="16"/>
  <c r="E390" i="16"/>
  <c r="E320" i="16"/>
  <c r="E426" i="16"/>
  <c r="E332" i="16"/>
  <c r="E319" i="16"/>
  <c r="E351" i="16"/>
  <c r="E425" i="16"/>
  <c r="E342" i="16"/>
  <c r="E453" i="16"/>
  <c r="E318" i="16"/>
  <c r="E338" i="16"/>
  <c r="E402" i="16"/>
  <c r="E418" i="16"/>
  <c r="E438" i="16"/>
  <c r="E609" i="16"/>
  <c r="E608" i="16"/>
  <c r="E295" i="16"/>
  <c r="E447" i="16"/>
  <c r="E446" i="16"/>
  <c r="E445" i="16"/>
  <c r="E267" i="16"/>
  <c r="E266" i="16"/>
  <c r="E265" i="16"/>
  <c r="E457" i="16"/>
  <c r="E423" i="16"/>
  <c r="E498" i="16"/>
  <c r="E497" i="16"/>
  <c r="E496" i="16"/>
  <c r="E454" i="16"/>
  <c r="E333" i="16"/>
  <c r="E331" i="16"/>
  <c r="E330" i="16"/>
  <c r="E329" i="16"/>
  <c r="E401" i="16"/>
  <c r="E327" i="16"/>
  <c r="E81" i="16"/>
  <c r="E80" i="16"/>
  <c r="E79" i="16"/>
  <c r="E78" i="16"/>
  <c r="E77" i="16"/>
  <c r="E76" i="16"/>
  <c r="E75" i="16"/>
  <c r="E72" i="16"/>
  <c r="E555" i="16"/>
  <c r="E554" i="16"/>
  <c r="E417" i="16"/>
  <c r="E437" i="16"/>
  <c r="E275" i="16"/>
  <c r="E450" i="16"/>
  <c r="E388" i="16"/>
  <c r="E387" i="16"/>
  <c r="E386" i="16"/>
  <c r="E385" i="16"/>
  <c r="E384" i="16"/>
  <c r="E433" i="16"/>
  <c r="E383" i="16"/>
  <c r="E151" i="16"/>
  <c r="E150" i="16"/>
  <c r="E149" i="16"/>
  <c r="E148" i="16"/>
  <c r="E147" i="16"/>
  <c r="E146" i="16"/>
  <c r="E145" i="16"/>
  <c r="E399" i="16"/>
  <c r="E328" i="16"/>
  <c r="E413" i="16"/>
  <c r="E451" i="16"/>
  <c r="E293" i="16"/>
  <c r="E382" i="16"/>
  <c r="E381" i="16"/>
  <c r="E380" i="16"/>
  <c r="E379" i="16"/>
  <c r="E378" i="16"/>
  <c r="E144" i="16"/>
  <c r="E143" i="16"/>
  <c r="E142" i="16"/>
  <c r="E141" i="16"/>
  <c r="E140" i="16"/>
  <c r="E543" i="16"/>
  <c r="E542" i="16"/>
  <c r="E312" i="16"/>
  <c r="E455" i="16"/>
  <c r="E354" i="16"/>
  <c r="E377" i="16"/>
  <c r="E376" i="16"/>
  <c r="E375" i="16"/>
  <c r="E352" i="16"/>
  <c r="E374" i="16"/>
  <c r="E421" i="16"/>
  <c r="E139" i="16"/>
  <c r="E138" i="16"/>
  <c r="E137" i="16"/>
  <c r="E335" i="16"/>
  <c r="E136" i="16"/>
  <c r="E449" i="16"/>
  <c r="E526" i="16"/>
  <c r="E525" i="16"/>
  <c r="E273" i="16"/>
  <c r="E361" i="16"/>
  <c r="E360" i="16"/>
  <c r="E359" i="16"/>
  <c r="E358" i="16"/>
  <c r="E117" i="16"/>
  <c r="E116" i="16"/>
  <c r="E115" i="16"/>
  <c r="E114" i="16"/>
  <c r="E530" i="16"/>
  <c r="E310" i="16"/>
  <c r="E529" i="16"/>
  <c r="E528" i="16"/>
  <c r="E365" i="16"/>
  <c r="E448" i="16"/>
  <c r="E363" i="16"/>
  <c r="E362" i="16"/>
  <c r="E121" i="16"/>
  <c r="E119" i="16"/>
  <c r="E118" i="16"/>
  <c r="E334" i="16"/>
  <c r="E431" i="16"/>
  <c r="E175" i="16"/>
  <c r="E174" i="16"/>
  <c r="E63" i="16"/>
  <c r="E62" i="16"/>
  <c r="E61" i="16"/>
  <c r="E486" i="16"/>
  <c r="E483" i="16"/>
  <c r="E482" i="16"/>
  <c r="E480" i="16"/>
  <c r="E317" i="16"/>
  <c r="E315" i="16"/>
  <c r="E313" i="16"/>
  <c r="E311" i="16"/>
  <c r="E71" i="16"/>
  <c r="E70" i="16"/>
  <c r="E69" i="16"/>
  <c r="E68" i="16"/>
  <c r="E173" i="16"/>
  <c r="E172" i="16"/>
  <c r="E53" i="16"/>
  <c r="E67" i="16"/>
  <c r="E66" i="16"/>
  <c r="E65" i="16"/>
  <c r="E64" i="16"/>
  <c r="E51" i="16"/>
  <c r="E291" i="16"/>
  <c r="E209" i="16"/>
  <c r="E23" i="16"/>
  <c r="E50" i="16"/>
  <c r="E465" i="16"/>
  <c r="E464" i="16"/>
  <c r="E463" i="16"/>
  <c r="E290" i="16"/>
  <c r="E289" i="16"/>
  <c r="E288" i="16"/>
  <c r="E102" i="16"/>
  <c r="E20" i="16"/>
  <c r="E19" i="16"/>
  <c r="E18" i="16"/>
  <c r="E49" i="16"/>
  <c r="E249" i="16"/>
  <c r="E48" i="16"/>
  <c r="E101" i="16"/>
  <c r="E248" i="16"/>
  <c r="E47" i="16"/>
  <c r="E17" i="16"/>
  <c r="E15" i="16"/>
  <c r="E247" i="16"/>
  <c r="E284" i="16"/>
  <c r="E283" i="16"/>
  <c r="E14" i="16"/>
  <c r="E13" i="16"/>
  <c r="E12" i="16"/>
  <c r="E11" i="16"/>
  <c r="E601" i="16"/>
  <c r="E440" i="16"/>
  <c r="E251" i="16"/>
  <c r="E250" i="16"/>
  <c r="E179" i="16"/>
  <c r="E233" i="16"/>
  <c r="E246" i="16"/>
  <c r="E7" i="16"/>
  <c r="E108" i="16"/>
  <c r="E24" i="16"/>
  <c r="E237" i="16"/>
  <c r="E264" i="16"/>
  <c r="E263" i="16"/>
  <c r="E262" i="16"/>
  <c r="E261" i="16"/>
  <c r="E260" i="16"/>
  <c r="E21" i="16"/>
  <c r="E244" i="16"/>
  <c r="E6" i="16"/>
  <c r="E178" i="16"/>
  <c r="E231" i="16"/>
  <c r="E216" i="16"/>
  <c r="E46" i="16"/>
  <c r="E45" i="16"/>
  <c r="E44" i="16"/>
  <c r="E43" i="16"/>
  <c r="E42" i="16"/>
  <c r="E41" i="16"/>
  <c r="E242" i="16"/>
  <c r="E269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460" i="16"/>
  <c r="E459" i="16"/>
  <c r="E458" i="16"/>
  <c r="E16" i="16"/>
  <c r="E456" i="16"/>
  <c r="E282" i="16"/>
  <c r="E281" i="16"/>
  <c r="E280" i="16"/>
  <c r="E240" i="16"/>
  <c r="E176" i="16"/>
  <c r="E278" i="16"/>
  <c r="E10" i="16"/>
  <c r="E9" i="16"/>
  <c r="E8" i="16"/>
  <c r="E214" i="16"/>
  <c r="E22" i="16"/>
  <c r="E5" i="16"/>
  <c r="E4" i="16"/>
  <c r="E3" i="16"/>
  <c r="D394" i="16"/>
  <c r="D393" i="16"/>
  <c r="D392" i="16"/>
  <c r="D395" i="16"/>
  <c r="D553" i="16"/>
  <c r="D552" i="16"/>
  <c r="D548" i="16"/>
  <c r="D551" i="16"/>
  <c r="D389" i="16"/>
  <c r="D186" i="16"/>
  <c r="D185" i="16"/>
  <c r="D184" i="16"/>
  <c r="D183" i="16"/>
  <c r="D182" i="16"/>
  <c r="D181" i="16"/>
  <c r="D180" i="16"/>
  <c r="D547" i="16"/>
  <c r="D527" i="16"/>
  <c r="D489" i="16"/>
  <c r="D177" i="16"/>
  <c r="D574" i="16"/>
  <c r="D550" i="16"/>
  <c r="D546" i="16"/>
  <c r="D571" i="16"/>
  <c r="D403" i="16"/>
  <c r="D541" i="16"/>
  <c r="D476" i="16"/>
  <c r="D400" i="16"/>
  <c r="D196" i="16"/>
  <c r="D195" i="16"/>
  <c r="D194" i="16"/>
  <c r="D193" i="16"/>
  <c r="D192" i="16"/>
  <c r="D477" i="16"/>
  <c r="D599" i="16"/>
  <c r="D462" i="16"/>
  <c r="D545" i="16"/>
  <c r="D488" i="16"/>
  <c r="D461" i="16"/>
  <c r="D549" i="16"/>
  <c r="D544" i="16"/>
  <c r="D540" i="16"/>
  <c r="D524" i="16"/>
  <c r="D245" i="16"/>
  <c r="D243" i="16"/>
  <c r="D241" i="16"/>
  <c r="D239" i="16"/>
  <c r="D238" i="16"/>
  <c r="D591" i="16"/>
  <c r="D590" i="16"/>
  <c r="D294" i="16"/>
  <c r="D292" i="16"/>
  <c r="D40" i="16"/>
  <c r="D39" i="16"/>
  <c r="D38" i="16"/>
  <c r="D37" i="16"/>
  <c r="D565" i="16"/>
  <c r="D521" i="16"/>
  <c r="D272" i="16"/>
  <c r="D126" i="16"/>
  <c r="D125" i="16"/>
  <c r="D124" i="16"/>
  <c r="D123" i="16"/>
  <c r="D122" i="16"/>
  <c r="D502" i="16"/>
  <c r="D520" i="16"/>
  <c r="D501" i="16"/>
  <c r="D533" i="16"/>
  <c r="D211" i="16"/>
  <c r="D511" i="16"/>
  <c r="D485" i="16"/>
  <c r="D499" i="16"/>
  <c r="D569" i="16"/>
  <c r="D515" i="16"/>
  <c r="D495" i="16"/>
  <c r="D534" i="16"/>
  <c r="D560" i="16"/>
  <c r="D509" i="16"/>
  <c r="D494" i="16"/>
  <c r="D316" i="16"/>
  <c r="D314" i="16"/>
  <c r="D207" i="16"/>
  <c r="D508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500" i="16"/>
  <c r="D612" i="16"/>
  <c r="D493" i="16"/>
  <c r="D610" i="16"/>
  <c r="D559" i="16"/>
  <c r="D507" i="16"/>
  <c r="D505" i="16"/>
  <c r="D271" i="16"/>
  <c r="D270" i="16"/>
  <c r="D492" i="16"/>
  <c r="D268" i="16"/>
  <c r="D519" i="16"/>
  <c r="D558" i="16"/>
  <c r="D513" i="16"/>
  <c r="D355" i="16"/>
  <c r="D600" i="16"/>
  <c r="D113" i="16"/>
  <c r="D112" i="16"/>
  <c r="D111" i="16"/>
  <c r="D110" i="16"/>
  <c r="D109" i="16"/>
  <c r="D478" i="16"/>
  <c r="D107" i="16"/>
  <c r="D106" i="16"/>
  <c r="D105" i="16"/>
  <c r="D491" i="16"/>
  <c r="D522" i="16"/>
  <c r="D203" i="16"/>
  <c r="D518" i="16"/>
  <c r="D517" i="16"/>
  <c r="D606" i="16"/>
  <c r="D512" i="16"/>
  <c r="D514" i="16"/>
  <c r="D573" i="16"/>
  <c r="D350" i="16"/>
  <c r="D349" i="16"/>
  <c r="D348" i="16"/>
  <c r="D578" i="16"/>
  <c r="D346" i="16"/>
  <c r="D104" i="16"/>
  <c r="D103" i="16"/>
  <c r="D487" i="16"/>
  <c r="D475" i="16"/>
  <c r="D100" i="16"/>
  <c r="D99" i="16"/>
  <c r="D98" i="16"/>
  <c r="D97" i="16"/>
  <c r="D96" i="16"/>
  <c r="D95" i="16"/>
  <c r="D613" i="16"/>
  <c r="D575" i="16"/>
  <c r="D592" i="16"/>
  <c r="D605" i="16"/>
  <c r="D504" i="16"/>
  <c r="D572" i="16"/>
  <c r="D598" i="16"/>
  <c r="D467" i="16"/>
  <c r="D468" i="16"/>
  <c r="D414" i="16"/>
  <c r="D484" i="16"/>
  <c r="D412" i="16"/>
  <c r="D411" i="16"/>
  <c r="D410" i="16"/>
  <c r="D409" i="16"/>
  <c r="D408" i="16"/>
  <c r="D407" i="16"/>
  <c r="D406" i="16"/>
  <c r="D405" i="16"/>
  <c r="D404" i="16"/>
  <c r="D210" i="16"/>
  <c r="D516" i="16"/>
  <c r="D208" i="16"/>
  <c r="D206" i="16"/>
  <c r="D205" i="16"/>
  <c r="D204" i="16"/>
  <c r="D202" i="16"/>
  <c r="D201" i="16"/>
  <c r="D199" i="16"/>
  <c r="D198" i="16"/>
  <c r="D197" i="16"/>
  <c r="D200" i="16"/>
  <c r="D430" i="16"/>
  <c r="D604" i="16"/>
  <c r="D232" i="16"/>
  <c r="D503" i="16"/>
  <c r="D230" i="16"/>
  <c r="D229" i="16"/>
  <c r="D254" i="16"/>
  <c r="D253" i="16"/>
  <c r="D252" i="16"/>
  <c r="D595" i="16"/>
  <c r="D570" i="16"/>
  <c r="D576" i="16"/>
  <c r="D588" i="16"/>
  <c r="D587" i="16"/>
  <c r="D586" i="16"/>
  <c r="D585" i="16"/>
  <c r="D584" i="16"/>
  <c r="D583" i="16"/>
  <c r="D581" i="16"/>
  <c r="D597" i="16"/>
  <c r="D481" i="16"/>
  <c r="D439" i="16"/>
  <c r="D428" i="16"/>
  <c r="D490" i="16"/>
  <c r="D611" i="16"/>
  <c r="D523" i="16"/>
  <c r="D557" i="16"/>
  <c r="D580" i="16"/>
  <c r="D510" i="16"/>
  <c r="D567" i="16"/>
  <c r="D607" i="16"/>
  <c r="D596" i="16"/>
  <c r="D466" i="16"/>
  <c r="D452" i="16"/>
  <c r="D479" i="16"/>
  <c r="D556" i="16"/>
  <c r="D506" i="16"/>
  <c r="D422" i="16"/>
  <c r="D566" i="16"/>
  <c r="D228" i="16"/>
  <c r="D227" i="16"/>
  <c r="D225" i="16"/>
  <c r="D222" i="16"/>
  <c r="D221" i="16"/>
  <c r="D219" i="16"/>
  <c r="D217" i="16"/>
  <c r="D309" i="16"/>
  <c r="D215" i="16"/>
  <c r="D285" i="16"/>
  <c r="D364" i="16"/>
  <c r="D603" i="16"/>
  <c r="D602" i="16"/>
  <c r="D444" i="16"/>
  <c r="D305" i="16"/>
  <c r="D443" i="16"/>
  <c r="D442" i="16"/>
  <c r="D441" i="16"/>
  <c r="D259" i="16"/>
  <c r="D258" i="16"/>
  <c r="D257" i="16"/>
  <c r="D256" i="16"/>
  <c r="D255" i="16"/>
  <c r="D308" i="16"/>
  <c r="D287" i="16"/>
  <c r="D279" i="16"/>
  <c r="D304" i="16"/>
  <c r="D307" i="16"/>
  <c r="D286" i="16"/>
  <c r="D303" i="16"/>
  <c r="D306" i="16"/>
  <c r="D343" i="16"/>
  <c r="D341" i="16"/>
  <c r="D340" i="16"/>
  <c r="D339" i="16"/>
  <c r="D337" i="16"/>
  <c r="D336" i="16"/>
  <c r="D398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594" i="16"/>
  <c r="D593" i="16"/>
  <c r="D326" i="16"/>
  <c r="D432" i="16"/>
  <c r="D236" i="16"/>
  <c r="D235" i="16"/>
  <c r="D234" i="16"/>
  <c r="D347" i="16"/>
  <c r="D325" i="16"/>
  <c r="D345" i="16"/>
  <c r="D324" i="16"/>
  <c r="D353" i="16"/>
  <c r="D397" i="16"/>
  <c r="D396" i="16"/>
  <c r="D191" i="16"/>
  <c r="D190" i="16"/>
  <c r="D189" i="16"/>
  <c r="D188" i="16"/>
  <c r="D187" i="16"/>
  <c r="D220" i="16"/>
  <c r="D323" i="16"/>
  <c r="D419" i="16"/>
  <c r="D223" i="16"/>
  <c r="D344" i="16"/>
  <c r="D322" i="16"/>
  <c r="D357" i="16"/>
  <c r="D391" i="16"/>
  <c r="D321" i="16"/>
  <c r="D356" i="16"/>
  <c r="D427" i="16"/>
  <c r="D390" i="16"/>
  <c r="D320" i="16"/>
  <c r="D426" i="16"/>
  <c r="D332" i="16"/>
  <c r="D319" i="16"/>
  <c r="D351" i="16"/>
  <c r="D425" i="16"/>
  <c r="D342" i="16"/>
  <c r="D453" i="16"/>
  <c r="D318" i="16"/>
  <c r="D338" i="16"/>
  <c r="D402" i="16"/>
  <c r="D418" i="16"/>
  <c r="D438" i="16"/>
  <c r="D609" i="16"/>
  <c r="D608" i="16"/>
  <c r="D295" i="16"/>
  <c r="D447" i="16"/>
  <c r="D446" i="16"/>
  <c r="D445" i="16"/>
  <c r="D267" i="16"/>
  <c r="D266" i="16"/>
  <c r="D265" i="16"/>
  <c r="D457" i="16"/>
  <c r="D423" i="16"/>
  <c r="D498" i="16"/>
  <c r="D497" i="16"/>
  <c r="D496" i="16"/>
  <c r="D454" i="16"/>
  <c r="D333" i="16"/>
  <c r="D331" i="16"/>
  <c r="D330" i="16"/>
  <c r="D329" i="16"/>
  <c r="D401" i="16"/>
  <c r="D327" i="16"/>
  <c r="D81" i="16"/>
  <c r="D80" i="16"/>
  <c r="D79" i="16"/>
  <c r="D78" i="16"/>
  <c r="D77" i="16"/>
  <c r="D76" i="16"/>
  <c r="D75" i="16"/>
  <c r="D72" i="16"/>
  <c r="D555" i="16"/>
  <c r="D554" i="16"/>
  <c r="D417" i="16"/>
  <c r="D437" i="16"/>
  <c r="D275" i="16"/>
  <c r="D450" i="16"/>
  <c r="D388" i="16"/>
  <c r="D387" i="16"/>
  <c r="D386" i="16"/>
  <c r="D385" i="16"/>
  <c r="D384" i="16"/>
  <c r="D433" i="16"/>
  <c r="D383" i="16"/>
  <c r="D151" i="16"/>
  <c r="D150" i="16"/>
  <c r="D149" i="16"/>
  <c r="D148" i="16"/>
  <c r="D147" i="16"/>
  <c r="D146" i="16"/>
  <c r="D145" i="16"/>
  <c r="D399" i="16"/>
  <c r="D328" i="16"/>
  <c r="D413" i="16"/>
  <c r="D451" i="16"/>
  <c r="D293" i="16"/>
  <c r="D382" i="16"/>
  <c r="D381" i="16"/>
  <c r="D380" i="16"/>
  <c r="D379" i="16"/>
  <c r="D378" i="16"/>
  <c r="D144" i="16"/>
  <c r="D143" i="16"/>
  <c r="D142" i="16"/>
  <c r="D141" i="16"/>
  <c r="D140" i="16"/>
  <c r="D543" i="16"/>
  <c r="D542" i="16"/>
  <c r="D312" i="16"/>
  <c r="D455" i="16"/>
  <c r="D354" i="16"/>
  <c r="D377" i="16"/>
  <c r="D376" i="16"/>
  <c r="D375" i="16"/>
  <c r="D352" i="16"/>
  <c r="D374" i="16"/>
  <c r="D421" i="16"/>
  <c r="D139" i="16"/>
  <c r="D138" i="16"/>
  <c r="D137" i="16"/>
  <c r="D335" i="16"/>
  <c r="D136" i="16"/>
  <c r="D449" i="16"/>
  <c r="D526" i="16"/>
  <c r="D525" i="16"/>
  <c r="D273" i="16"/>
  <c r="D361" i="16"/>
  <c r="D360" i="16"/>
  <c r="D359" i="16"/>
  <c r="D358" i="16"/>
  <c r="D117" i="16"/>
  <c r="D116" i="16"/>
  <c r="D115" i="16"/>
  <c r="D114" i="16"/>
  <c r="D530" i="16"/>
  <c r="D310" i="16"/>
  <c r="D529" i="16"/>
  <c r="D528" i="16"/>
  <c r="D365" i="16"/>
  <c r="D448" i="16"/>
  <c r="D363" i="16"/>
  <c r="D362" i="16"/>
  <c r="D121" i="16"/>
  <c r="D119" i="16"/>
  <c r="D118" i="16"/>
  <c r="D334" i="16"/>
  <c r="D431" i="16"/>
  <c r="D175" i="16"/>
  <c r="D174" i="16"/>
  <c r="D63" i="16"/>
  <c r="D62" i="16"/>
  <c r="D61" i="16"/>
  <c r="D486" i="16"/>
  <c r="D483" i="16"/>
  <c r="D482" i="16"/>
  <c r="D480" i="16"/>
  <c r="D317" i="16"/>
  <c r="D315" i="16"/>
  <c r="D313" i="16"/>
  <c r="D311" i="16"/>
  <c r="D71" i="16"/>
  <c r="D70" i="16"/>
  <c r="D69" i="16"/>
  <c r="D68" i="16"/>
  <c r="D173" i="16"/>
  <c r="D172" i="16"/>
  <c r="D53" i="16"/>
  <c r="D67" i="16"/>
  <c r="D66" i="16"/>
  <c r="D65" i="16"/>
  <c r="D64" i="16"/>
  <c r="D51" i="16"/>
  <c r="D291" i="16"/>
  <c r="D209" i="16"/>
  <c r="D23" i="16"/>
  <c r="D50" i="16"/>
  <c r="D465" i="16"/>
  <c r="D464" i="16"/>
  <c r="D463" i="16"/>
  <c r="D290" i="16"/>
  <c r="D289" i="16"/>
  <c r="D288" i="16"/>
  <c r="D102" i="16"/>
  <c r="D20" i="16"/>
  <c r="D19" i="16"/>
  <c r="D18" i="16"/>
  <c r="D49" i="16"/>
  <c r="D249" i="16"/>
  <c r="D48" i="16"/>
  <c r="D101" i="16"/>
  <c r="D248" i="16"/>
  <c r="D47" i="16"/>
  <c r="D17" i="16"/>
  <c r="D15" i="16"/>
  <c r="D247" i="16"/>
  <c r="D284" i="16"/>
  <c r="D283" i="16"/>
  <c r="D14" i="16"/>
  <c r="D13" i="16"/>
  <c r="D12" i="16"/>
  <c r="D11" i="16"/>
  <c r="D474" i="16"/>
  <c r="D473" i="16"/>
  <c r="D472" i="16"/>
  <c r="D471" i="16"/>
  <c r="D470" i="16"/>
  <c r="D469" i="16"/>
  <c r="D302" i="16"/>
  <c r="D301" i="16"/>
  <c r="D300" i="16"/>
  <c r="D299" i="16"/>
  <c r="D298" i="16"/>
  <c r="D297" i="16"/>
  <c r="D60" i="16"/>
  <c r="D59" i="16"/>
  <c r="D58" i="16"/>
  <c r="D57" i="16"/>
  <c r="D56" i="16"/>
  <c r="D601" i="16"/>
  <c r="D440" i="16"/>
  <c r="D251" i="16"/>
  <c r="D250" i="16"/>
  <c r="D179" i="16"/>
  <c r="D233" i="16"/>
  <c r="D246" i="16"/>
  <c r="D7" i="16"/>
  <c r="D108" i="16"/>
  <c r="D24" i="16"/>
  <c r="D237" i="16"/>
  <c r="D264" i="16"/>
  <c r="D263" i="16"/>
  <c r="D262" i="16"/>
  <c r="D261" i="16"/>
  <c r="D260" i="16"/>
  <c r="D21" i="16"/>
  <c r="D244" i="16"/>
  <c r="D6" i="16"/>
  <c r="D178" i="16"/>
  <c r="D231" i="16"/>
  <c r="D216" i="16"/>
  <c r="D46" i="16"/>
  <c r="D45" i="16"/>
  <c r="D44" i="16"/>
  <c r="D43" i="16"/>
  <c r="D42" i="16"/>
  <c r="D41" i="16"/>
  <c r="D120" i="16"/>
  <c r="D242" i="16"/>
  <c r="D269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460" i="16"/>
  <c r="D459" i="16"/>
  <c r="D458" i="16"/>
  <c r="D16" i="16"/>
  <c r="D456" i="16"/>
  <c r="D282" i="16"/>
  <c r="D281" i="16"/>
  <c r="D280" i="16"/>
  <c r="D240" i="16"/>
  <c r="D176" i="16"/>
  <c r="D278" i="16"/>
  <c r="D10" i="16"/>
  <c r="D9" i="16"/>
  <c r="D8" i="16"/>
  <c r="D214" i="16"/>
  <c r="D22" i="16"/>
  <c r="D5" i="16"/>
  <c r="D4" i="16"/>
  <c r="D3" i="16"/>
  <c r="I3" i="16" l="1"/>
  <c r="I394" i="16"/>
  <c r="L394" i="16" s="1"/>
  <c r="I393" i="16"/>
  <c r="I392" i="16"/>
  <c r="L392" i="16" s="1"/>
  <c r="I395" i="16"/>
  <c r="I553" i="16"/>
  <c r="L553" i="16" s="1"/>
  <c r="I552" i="16"/>
  <c r="L552" i="16" s="1"/>
  <c r="I548" i="16"/>
  <c r="L548" i="16" s="1"/>
  <c r="I551" i="16"/>
  <c r="I389" i="16"/>
  <c r="I186" i="16"/>
  <c r="I185" i="16"/>
  <c r="L185" i="16" s="1"/>
  <c r="I184" i="16"/>
  <c r="I183" i="16"/>
  <c r="L183" i="16" s="1"/>
  <c r="I182" i="16"/>
  <c r="I181" i="16"/>
  <c r="I180" i="16"/>
  <c r="I547" i="16"/>
  <c r="L547" i="16" s="1"/>
  <c r="I527" i="16"/>
  <c r="L527" i="16" s="1"/>
  <c r="I489" i="16"/>
  <c r="I177" i="16"/>
  <c r="I574" i="16"/>
  <c r="I550" i="16"/>
  <c r="I546" i="16"/>
  <c r="L546" i="16" s="1"/>
  <c r="I571" i="16"/>
  <c r="L571" i="16" s="1"/>
  <c r="I403" i="16"/>
  <c r="I541" i="16"/>
  <c r="I476" i="16"/>
  <c r="I400" i="16"/>
  <c r="L400" i="16" s="1"/>
  <c r="I196" i="16"/>
  <c r="I195" i="16"/>
  <c r="I194" i="16"/>
  <c r="I193" i="16"/>
  <c r="I192" i="16"/>
  <c r="L192" i="16" s="1"/>
  <c r="I477" i="16"/>
  <c r="L477" i="16" s="1"/>
  <c r="I599" i="16"/>
  <c r="I462" i="16"/>
  <c r="L462" i="16" s="1"/>
  <c r="I545" i="16"/>
  <c r="I488" i="16"/>
  <c r="I461" i="16"/>
  <c r="L461" i="16" s="1"/>
  <c r="I549" i="16"/>
  <c r="I544" i="16"/>
  <c r="I540" i="16"/>
  <c r="L540" i="16" s="1"/>
  <c r="I524" i="16"/>
  <c r="L524" i="16" s="1"/>
  <c r="I245" i="16"/>
  <c r="I243" i="16"/>
  <c r="I241" i="16"/>
  <c r="I239" i="16"/>
  <c r="I238" i="16"/>
  <c r="I591" i="16"/>
  <c r="I590" i="16"/>
  <c r="I294" i="16"/>
  <c r="L294" i="16" s="1"/>
  <c r="I292" i="16"/>
  <c r="I40" i="16"/>
  <c r="I39" i="16"/>
  <c r="L39" i="16" s="1"/>
  <c r="I38" i="16"/>
  <c r="L38" i="16" s="1"/>
  <c r="I37" i="16"/>
  <c r="I565" i="16"/>
  <c r="L565" i="16" s="1"/>
  <c r="I521" i="16"/>
  <c r="I272" i="16"/>
  <c r="L272" i="16" s="1"/>
  <c r="I126" i="16"/>
  <c r="I125" i="16"/>
  <c r="I124" i="16"/>
  <c r="I123" i="16"/>
  <c r="I122" i="16"/>
  <c r="L122" i="16" s="1"/>
  <c r="I502" i="16"/>
  <c r="I520" i="16"/>
  <c r="I501" i="16"/>
  <c r="I533" i="16"/>
  <c r="I211" i="16"/>
  <c r="I511" i="16"/>
  <c r="I485" i="16"/>
  <c r="L485" i="16" s="1"/>
  <c r="I499" i="16"/>
  <c r="I569" i="16"/>
  <c r="I515" i="16"/>
  <c r="I495" i="16"/>
  <c r="I534" i="16"/>
  <c r="I560" i="16"/>
  <c r="I509" i="16"/>
  <c r="I494" i="16"/>
  <c r="I316" i="16"/>
  <c r="L316" i="16" s="1"/>
  <c r="I314" i="16"/>
  <c r="L314" i="16" s="1"/>
  <c r="I207" i="16"/>
  <c r="I508" i="16"/>
  <c r="I36" i="16"/>
  <c r="I35" i="16"/>
  <c r="I34" i="16"/>
  <c r="I33" i="16"/>
  <c r="I32" i="16"/>
  <c r="I31" i="16"/>
  <c r="I30" i="16"/>
  <c r="I29" i="16"/>
  <c r="I28" i="16"/>
  <c r="L28" i="16" s="1"/>
  <c r="I27" i="16"/>
  <c r="L27" i="16" s="1"/>
  <c r="I26" i="16"/>
  <c r="I25" i="16"/>
  <c r="L25" i="16" s="1"/>
  <c r="I500" i="16"/>
  <c r="I612" i="16"/>
  <c r="I493" i="16"/>
  <c r="I610" i="16"/>
  <c r="I559" i="16"/>
  <c r="I507" i="16"/>
  <c r="I505" i="16"/>
  <c r="I271" i="16"/>
  <c r="I270" i="16"/>
  <c r="I492" i="16"/>
  <c r="I268" i="16"/>
  <c r="I519" i="16"/>
  <c r="I558" i="16"/>
  <c r="I513" i="16"/>
  <c r="I355" i="16"/>
  <c r="I600" i="16"/>
  <c r="I113" i="16"/>
  <c r="I112" i="16"/>
  <c r="I111" i="16"/>
  <c r="I110" i="16"/>
  <c r="I109" i="16"/>
  <c r="I478" i="16"/>
  <c r="I107" i="16"/>
  <c r="I106" i="16"/>
  <c r="I105" i="16"/>
  <c r="I491" i="16"/>
  <c r="I522" i="16"/>
  <c r="I203" i="16"/>
  <c r="I518" i="16"/>
  <c r="I517" i="16"/>
  <c r="I606" i="16"/>
  <c r="I512" i="16"/>
  <c r="I514" i="16"/>
  <c r="I573" i="16"/>
  <c r="I350" i="16"/>
  <c r="I349" i="16"/>
  <c r="I348" i="16"/>
  <c r="I578" i="16"/>
  <c r="I346" i="16"/>
  <c r="I104" i="16"/>
  <c r="I103" i="16"/>
  <c r="I487" i="16"/>
  <c r="I475" i="16"/>
  <c r="I100" i="16"/>
  <c r="I99" i="16"/>
  <c r="I98" i="16"/>
  <c r="I97" i="16"/>
  <c r="I96" i="16"/>
  <c r="I95" i="16"/>
  <c r="I613" i="16"/>
  <c r="I575" i="16"/>
  <c r="I592" i="16"/>
  <c r="I605" i="16"/>
  <c r="I504" i="16"/>
  <c r="I572" i="16"/>
  <c r="I598" i="16"/>
  <c r="I467" i="16"/>
  <c r="L467" i="16" s="1"/>
  <c r="I468" i="16"/>
  <c r="I414" i="16"/>
  <c r="I484" i="16"/>
  <c r="L484" i="16" s="1"/>
  <c r="I412" i="16"/>
  <c r="I411" i="16"/>
  <c r="I410" i="16"/>
  <c r="I409" i="16"/>
  <c r="I408" i="16"/>
  <c r="I407" i="16"/>
  <c r="I406" i="16"/>
  <c r="I405" i="16"/>
  <c r="I404" i="16"/>
  <c r="I210" i="16"/>
  <c r="I516" i="16"/>
  <c r="I208" i="16"/>
  <c r="I206" i="16"/>
  <c r="I205" i="16"/>
  <c r="I204" i="16"/>
  <c r="I202" i="16"/>
  <c r="I201" i="16"/>
  <c r="I199" i="16"/>
  <c r="I198" i="16"/>
  <c r="I197" i="16"/>
  <c r="I200" i="16"/>
  <c r="I430" i="16"/>
  <c r="I604" i="16"/>
  <c r="I232" i="16"/>
  <c r="I503" i="16"/>
  <c r="I230" i="16"/>
  <c r="I229" i="16"/>
  <c r="I254" i="16"/>
  <c r="I253" i="16"/>
  <c r="I252" i="16"/>
  <c r="I595" i="16"/>
  <c r="I570" i="16"/>
  <c r="I576" i="16"/>
  <c r="I588" i="16"/>
  <c r="I587" i="16"/>
  <c r="I586" i="16"/>
  <c r="I585" i="16"/>
  <c r="I584" i="16"/>
  <c r="I583" i="16"/>
  <c r="I581" i="16"/>
  <c r="I597" i="16"/>
  <c r="I481" i="16"/>
  <c r="L481" i="16" s="1"/>
  <c r="I439" i="16"/>
  <c r="I428" i="16"/>
  <c r="I490" i="16"/>
  <c r="I611" i="16"/>
  <c r="I523" i="16"/>
  <c r="I557" i="16"/>
  <c r="I580" i="16"/>
  <c r="I510" i="16"/>
  <c r="I567" i="16"/>
  <c r="I607" i="16"/>
  <c r="L607" i="16" s="1"/>
  <c r="I596" i="16"/>
  <c r="I466" i="16"/>
  <c r="I452" i="16"/>
  <c r="L452" i="16" s="1"/>
  <c r="I479" i="16"/>
  <c r="L479" i="16" s="1"/>
  <c r="I556" i="16"/>
  <c r="I506" i="16"/>
  <c r="I422" i="16"/>
  <c r="I566" i="16"/>
  <c r="I228" i="16"/>
  <c r="I227" i="16"/>
  <c r="I225" i="16"/>
  <c r="I222" i="16"/>
  <c r="I221" i="16"/>
  <c r="I219" i="16"/>
  <c r="I217" i="16"/>
  <c r="I309" i="16"/>
  <c r="I215" i="16"/>
  <c r="I285" i="16"/>
  <c r="I364" i="16"/>
  <c r="I603" i="16"/>
  <c r="I602" i="16"/>
  <c r="I444" i="16"/>
  <c r="I305" i="16"/>
  <c r="I443" i="16"/>
  <c r="I442" i="16"/>
  <c r="I441" i="16"/>
  <c r="I259" i="16"/>
  <c r="I258" i="16"/>
  <c r="I257" i="16"/>
  <c r="I256" i="16"/>
  <c r="I255" i="16"/>
  <c r="I308" i="16"/>
  <c r="L308" i="16" s="1"/>
  <c r="I287" i="16"/>
  <c r="L287" i="16" s="1"/>
  <c r="I279" i="16"/>
  <c r="L279" i="16" s="1"/>
  <c r="I304" i="16"/>
  <c r="I307" i="16"/>
  <c r="L307" i="16" s="1"/>
  <c r="I286" i="16"/>
  <c r="L286" i="16" s="1"/>
  <c r="I303" i="16"/>
  <c r="I306" i="16"/>
  <c r="I343" i="16"/>
  <c r="I341" i="16"/>
  <c r="I340" i="16"/>
  <c r="I339" i="16"/>
  <c r="I337" i="16"/>
  <c r="I336" i="16"/>
  <c r="I398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594" i="16"/>
  <c r="I593" i="16"/>
  <c r="I326" i="16"/>
  <c r="I432" i="16"/>
  <c r="I236" i="16"/>
  <c r="I235" i="16"/>
  <c r="I234" i="16"/>
  <c r="I347" i="16"/>
  <c r="I325" i="16"/>
  <c r="I345" i="16"/>
  <c r="I324" i="16"/>
  <c r="I353" i="16"/>
  <c r="I397" i="16"/>
  <c r="I396" i="16"/>
  <c r="I191" i="16"/>
  <c r="I190" i="16"/>
  <c r="I189" i="16"/>
  <c r="I188" i="16"/>
  <c r="I187" i="16"/>
  <c r="I220" i="16"/>
  <c r="I323" i="16"/>
  <c r="I419" i="16"/>
  <c r="I344" i="16"/>
  <c r="I322" i="16"/>
  <c r="I357" i="16"/>
  <c r="I391" i="16"/>
  <c r="I321" i="16"/>
  <c r="I356" i="16"/>
  <c r="I427" i="16"/>
  <c r="I390" i="16"/>
  <c r="I320" i="16"/>
  <c r="I426" i="16"/>
  <c r="I332" i="16"/>
  <c r="I319" i="16"/>
  <c r="I351" i="16"/>
  <c r="I425" i="16"/>
  <c r="I342" i="16"/>
  <c r="I453" i="16"/>
  <c r="I318" i="16"/>
  <c r="I338" i="16"/>
  <c r="I402" i="16"/>
  <c r="I418" i="16"/>
  <c r="I438" i="16"/>
  <c r="I609" i="16"/>
  <c r="I608" i="16"/>
  <c r="I295" i="16"/>
  <c r="I447" i="16"/>
  <c r="I446" i="16"/>
  <c r="I445" i="16"/>
  <c r="I267" i="16"/>
  <c r="I266" i="16"/>
  <c r="I265" i="16"/>
  <c r="I457" i="16"/>
  <c r="I423" i="16"/>
  <c r="I498" i="16"/>
  <c r="I497" i="16"/>
  <c r="I496" i="16"/>
  <c r="I454" i="16"/>
  <c r="I333" i="16"/>
  <c r="I331" i="16"/>
  <c r="I330" i="16"/>
  <c r="I329" i="16"/>
  <c r="I401" i="16"/>
  <c r="I327" i="16"/>
  <c r="I81" i="16"/>
  <c r="I80" i="16"/>
  <c r="I79" i="16"/>
  <c r="I78" i="16"/>
  <c r="I77" i="16"/>
  <c r="I76" i="16"/>
  <c r="I75" i="16"/>
  <c r="I72" i="16"/>
  <c r="I555" i="16"/>
  <c r="I554" i="16"/>
  <c r="I417" i="16"/>
  <c r="I437" i="16"/>
  <c r="I275" i="16"/>
  <c r="I450" i="16"/>
  <c r="I388" i="16"/>
  <c r="I387" i="16"/>
  <c r="I386" i="16"/>
  <c r="L386" i="16" s="1"/>
  <c r="I385" i="16"/>
  <c r="L385" i="16" s="1"/>
  <c r="I384" i="16"/>
  <c r="I433" i="16"/>
  <c r="I383" i="16"/>
  <c r="I151" i="16"/>
  <c r="I150" i="16"/>
  <c r="I149" i="16"/>
  <c r="L149" i="16" s="1"/>
  <c r="I148" i="16"/>
  <c r="L148" i="16" s="1"/>
  <c r="I147" i="16"/>
  <c r="I146" i="16"/>
  <c r="I145" i="16"/>
  <c r="I399" i="16"/>
  <c r="I328" i="16"/>
  <c r="I413" i="16"/>
  <c r="I451" i="16"/>
  <c r="I293" i="16"/>
  <c r="L293" i="16" s="1"/>
  <c r="I382" i="16"/>
  <c r="L382" i="16" s="1"/>
  <c r="I381" i="16"/>
  <c r="L381" i="16" s="1"/>
  <c r="I380" i="16"/>
  <c r="L380" i="16" s="1"/>
  <c r="I379" i="16"/>
  <c r="I378" i="16"/>
  <c r="I144" i="16"/>
  <c r="L144" i="16" s="1"/>
  <c r="I143" i="16"/>
  <c r="L143" i="16" s="1"/>
  <c r="I142" i="16"/>
  <c r="L142" i="16" s="1"/>
  <c r="I141" i="16"/>
  <c r="I140" i="16"/>
  <c r="I543" i="16"/>
  <c r="L543" i="16" s="1"/>
  <c r="I542" i="16"/>
  <c r="L542" i="16" s="1"/>
  <c r="I455" i="16"/>
  <c r="I354" i="16"/>
  <c r="I377" i="16"/>
  <c r="L377" i="16" s="1"/>
  <c r="I376" i="16"/>
  <c r="L376" i="16" s="1"/>
  <c r="I375" i="16"/>
  <c r="I352" i="16"/>
  <c r="I374" i="16"/>
  <c r="L374" i="16" s="1"/>
  <c r="I421" i="16"/>
  <c r="I139" i="16"/>
  <c r="L139" i="16" s="1"/>
  <c r="I138" i="16"/>
  <c r="L138" i="16" s="1"/>
  <c r="I137" i="16"/>
  <c r="I335" i="16"/>
  <c r="I136" i="16"/>
  <c r="L136" i="16" s="1"/>
  <c r="I449" i="16"/>
  <c r="I526" i="16"/>
  <c r="L526" i="16" s="1"/>
  <c r="I525" i="16"/>
  <c r="L525" i="16" s="1"/>
  <c r="I273" i="16"/>
  <c r="I361" i="16"/>
  <c r="L361" i="16" s="1"/>
  <c r="I360" i="16"/>
  <c r="L360" i="16" s="1"/>
  <c r="I359" i="16"/>
  <c r="L359" i="16" s="1"/>
  <c r="I358" i="16"/>
  <c r="L358" i="16" s="1"/>
  <c r="I117" i="16"/>
  <c r="L117" i="16" s="1"/>
  <c r="I116" i="16"/>
  <c r="L116" i="16" s="1"/>
  <c r="I115" i="16"/>
  <c r="L115" i="16" s="1"/>
  <c r="I114" i="16"/>
  <c r="L114" i="16" s="1"/>
  <c r="I530" i="16"/>
  <c r="L530" i="16" s="1"/>
  <c r="I310" i="16"/>
  <c r="L310" i="16" s="1"/>
  <c r="I529" i="16"/>
  <c r="L529" i="16" s="1"/>
  <c r="I528" i="16"/>
  <c r="L528" i="16" s="1"/>
  <c r="I365" i="16"/>
  <c r="L365" i="16" s="1"/>
  <c r="I448" i="16"/>
  <c r="I363" i="16"/>
  <c r="L363" i="16" s="1"/>
  <c r="I362" i="16"/>
  <c r="L362" i="16" s="1"/>
  <c r="I121" i="16"/>
  <c r="L121" i="16" s="1"/>
  <c r="I119" i="16"/>
  <c r="L119" i="16" s="1"/>
  <c r="I118" i="16"/>
  <c r="L118" i="16" s="1"/>
  <c r="I334" i="16"/>
  <c r="I431" i="16"/>
  <c r="I175" i="16"/>
  <c r="I174" i="16"/>
  <c r="I63" i="16"/>
  <c r="I62" i="16"/>
  <c r="I61" i="16"/>
  <c r="I486" i="16"/>
  <c r="L486" i="16" s="1"/>
  <c r="I483" i="16"/>
  <c r="L483" i="16" s="1"/>
  <c r="I482" i="16"/>
  <c r="L482" i="16" s="1"/>
  <c r="I480" i="16"/>
  <c r="L480" i="16" s="1"/>
  <c r="I317" i="16"/>
  <c r="L317" i="16" s="1"/>
  <c r="I315" i="16"/>
  <c r="L315" i="16" s="1"/>
  <c r="I313" i="16"/>
  <c r="L313" i="16" s="1"/>
  <c r="I311" i="16"/>
  <c r="L311" i="16" s="1"/>
  <c r="I71" i="16"/>
  <c r="L71" i="16" s="1"/>
  <c r="I70" i="16"/>
  <c r="L70" i="16" s="1"/>
  <c r="I69" i="16"/>
  <c r="L69" i="16" s="1"/>
  <c r="I68" i="16"/>
  <c r="L68" i="16" s="1"/>
  <c r="I173" i="16"/>
  <c r="I172" i="16"/>
  <c r="I53" i="16"/>
  <c r="I67" i="16"/>
  <c r="I66" i="16"/>
  <c r="L66" i="16" s="1"/>
  <c r="I65" i="16"/>
  <c r="L65" i="16" s="1"/>
  <c r="I64" i="16"/>
  <c r="I51" i="16"/>
  <c r="I291" i="16"/>
  <c r="I209" i="16"/>
  <c r="I23" i="16"/>
  <c r="I50" i="16"/>
  <c r="I465" i="16"/>
  <c r="I464" i="16"/>
  <c r="I463" i="16"/>
  <c r="I290" i="16"/>
  <c r="I289" i="16"/>
  <c r="I288" i="16"/>
  <c r="I102" i="16"/>
  <c r="I20" i="16"/>
  <c r="I19" i="16"/>
  <c r="I18" i="16"/>
  <c r="I49" i="16"/>
  <c r="I249" i="16"/>
  <c r="I48" i="16"/>
  <c r="I101" i="16"/>
  <c r="I248" i="16"/>
  <c r="I47" i="16"/>
  <c r="I17" i="16"/>
  <c r="L17" i="16" s="1"/>
  <c r="I15" i="16"/>
  <c r="I247" i="16"/>
  <c r="I284" i="16"/>
  <c r="I283" i="16"/>
  <c r="I14" i="16"/>
  <c r="I13" i="16"/>
  <c r="I12" i="16"/>
  <c r="I11" i="16"/>
  <c r="I601" i="16"/>
  <c r="I440" i="16"/>
  <c r="I251" i="16"/>
  <c r="I250" i="16"/>
  <c r="I179" i="16"/>
  <c r="I233" i="16"/>
  <c r="I246" i="16"/>
  <c r="I7" i="16"/>
  <c r="I108" i="16"/>
  <c r="I24" i="16"/>
  <c r="I237" i="16"/>
  <c r="I264" i="16"/>
  <c r="I263" i="16"/>
  <c r="I262" i="16"/>
  <c r="I261" i="16"/>
  <c r="I260" i="16"/>
  <c r="I21" i="16"/>
  <c r="I244" i="16"/>
  <c r="I6" i="16"/>
  <c r="I178" i="16"/>
  <c r="I231" i="16"/>
  <c r="I216" i="16"/>
  <c r="I46" i="16"/>
  <c r="I45" i="16"/>
  <c r="I44" i="16"/>
  <c r="I43" i="16"/>
  <c r="I42" i="16"/>
  <c r="I41" i="16"/>
  <c r="L41" i="16" s="1"/>
  <c r="I120" i="16"/>
  <c r="I242" i="16"/>
  <c r="I269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460" i="16"/>
  <c r="I459" i="16"/>
  <c r="L459" i="16" s="1"/>
  <c r="I458" i="16"/>
  <c r="I16" i="16"/>
  <c r="L16" i="16" s="1"/>
  <c r="I456" i="16"/>
  <c r="I282" i="16"/>
  <c r="I281" i="16"/>
  <c r="L281" i="16" s="1"/>
  <c r="I280" i="16"/>
  <c r="I240" i="16"/>
  <c r="I176" i="16"/>
  <c r="I278" i="16"/>
  <c r="I10" i="16"/>
  <c r="I9" i="16"/>
  <c r="L9" i="16" s="1"/>
  <c r="I8" i="16"/>
  <c r="I214" i="16"/>
  <c r="I22" i="16"/>
  <c r="I5" i="16"/>
  <c r="L5" i="16" s="1"/>
  <c r="I4" i="16"/>
  <c r="K76" i="16" l="1"/>
  <c r="L76" i="16" s="1"/>
  <c r="K328" i="16"/>
  <c r="L328" i="16" s="1"/>
  <c r="P189" i="4" l="1"/>
  <c r="T189" i="4" s="1"/>
  <c r="P77" i="4"/>
  <c r="P71" i="4"/>
  <c r="P60" i="4"/>
  <c r="P107" i="5"/>
  <c r="T107" i="5" s="1"/>
  <c r="T96" i="5"/>
  <c r="P90" i="5"/>
  <c r="T90" i="5" s="1"/>
  <c r="P74" i="5"/>
  <c r="T74" i="5" s="1"/>
  <c r="P49" i="5"/>
  <c r="T49" i="5" s="1"/>
  <c r="P113" i="7"/>
  <c r="R113" i="7" s="1"/>
  <c r="T113" i="7" s="1"/>
  <c r="P106" i="7"/>
  <c r="R106" i="7" s="1"/>
  <c r="T106" i="7" s="1"/>
  <c r="P100" i="7"/>
  <c r="R100" i="7" s="1"/>
  <c r="T100" i="7" s="1"/>
  <c r="P94" i="7"/>
  <c r="R94" i="7" s="1"/>
  <c r="T94" i="7" s="1"/>
  <c r="P89" i="7"/>
  <c r="R89" i="7" s="1"/>
  <c r="T89" i="7" s="1"/>
  <c r="P85" i="7"/>
  <c r="R85" i="7" s="1"/>
  <c r="T85" i="7" s="1"/>
  <c r="P80" i="7"/>
  <c r="R80" i="7" s="1"/>
  <c r="T80" i="7" s="1"/>
  <c r="R75" i="7"/>
  <c r="T75" i="7" s="1"/>
  <c r="P73" i="7"/>
  <c r="R73" i="7" s="1"/>
  <c r="T73" i="7" s="1"/>
  <c r="P68" i="7"/>
  <c r="R68" i="7" s="1"/>
  <c r="T68" i="7" s="1"/>
  <c r="P63" i="7"/>
  <c r="R63" i="7" s="1"/>
  <c r="T63" i="7" s="1"/>
  <c r="P59" i="7"/>
  <c r="R59" i="7" s="1"/>
  <c r="T59" i="7" s="1"/>
  <c r="P54" i="7"/>
  <c r="R54" i="7" s="1"/>
  <c r="T54" i="7" s="1"/>
  <c r="P45" i="7"/>
  <c r="P60" i="8"/>
  <c r="P58" i="8"/>
  <c r="P44" i="8"/>
  <c r="P55" i="9"/>
  <c r="R55" i="9" s="1"/>
  <c r="P49" i="9"/>
  <c r="R49" i="9" s="1"/>
  <c r="P43" i="9"/>
  <c r="T43" i="9" s="1"/>
  <c r="P38" i="9"/>
  <c r="R38" i="9" s="1"/>
  <c r="P41" i="10"/>
  <c r="T41" i="10" s="1"/>
  <c r="P31" i="10"/>
  <c r="T31" i="10" s="1"/>
  <c r="F51" i="17"/>
  <c r="J51" i="17" s="1"/>
  <c r="F52" i="17"/>
  <c r="J52" i="17" s="1"/>
  <c r="F29" i="17"/>
  <c r="J29" i="17" s="1"/>
  <c r="F35" i="17"/>
  <c r="J35" i="17" s="1"/>
  <c r="P179" i="4"/>
  <c r="T179" i="4" s="1"/>
  <c r="P168" i="4"/>
  <c r="R168" i="4" s="1"/>
  <c r="P156" i="4"/>
  <c r="R156" i="4" s="1"/>
  <c r="P150" i="4"/>
  <c r="R150" i="4" s="1"/>
  <c r="P146" i="4"/>
  <c r="R146" i="4" s="1"/>
  <c r="P131" i="4"/>
  <c r="P125" i="4"/>
  <c r="P111" i="4"/>
  <c r="T111" i="4" s="1"/>
  <c r="P107" i="4"/>
  <c r="T107" i="4" s="1"/>
  <c r="P101" i="4"/>
  <c r="R101" i="4" s="1"/>
  <c r="R74" i="7"/>
  <c r="T74" i="7" s="1"/>
  <c r="R131" i="4" l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P132" i="4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P143" i="4" s="1"/>
  <c r="P144" i="4" s="1"/>
  <c r="P145" i="4" s="1"/>
  <c r="R60" i="4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P61" i="4"/>
  <c r="P62" i="4" s="1"/>
  <c r="P63" i="4" s="1"/>
  <c r="P64" i="4" s="1"/>
  <c r="P65" i="4" s="1"/>
  <c r="P66" i="4" s="1"/>
  <c r="P67" i="4" s="1"/>
  <c r="P68" i="4" s="1"/>
  <c r="P69" i="4" s="1"/>
  <c r="P70" i="4" s="1"/>
  <c r="R125" i="4"/>
  <c r="R126" i="4" s="1"/>
  <c r="R127" i="4" s="1"/>
  <c r="R128" i="4" s="1"/>
  <c r="R129" i="4" s="1"/>
  <c r="R130" i="4" s="1"/>
  <c r="P126" i="4"/>
  <c r="P127" i="4" s="1"/>
  <c r="P128" i="4" s="1"/>
  <c r="P129" i="4" s="1"/>
  <c r="P130" i="4" s="1"/>
  <c r="R71" i="4"/>
  <c r="R72" i="4" s="1"/>
  <c r="R73" i="4" s="1"/>
  <c r="R74" i="4" s="1"/>
  <c r="R75" i="4" s="1"/>
  <c r="R76" i="4" s="1"/>
  <c r="P72" i="4"/>
  <c r="P73" i="4" s="1"/>
  <c r="P74" i="4" s="1"/>
  <c r="P75" i="4" s="1"/>
  <c r="P76" i="4" s="1"/>
  <c r="R77" i="4"/>
  <c r="R78" i="4" s="1"/>
  <c r="P78" i="4"/>
  <c r="T38" i="9"/>
  <c r="T49" i="9"/>
  <c r="T55" i="9"/>
  <c r="R43" i="9"/>
  <c r="R31" i="10"/>
  <c r="R41" i="10"/>
  <c r="R74" i="5"/>
  <c r="R107" i="4"/>
  <c r="R179" i="4"/>
  <c r="T125" i="4"/>
  <c r="T126" i="4" s="1"/>
  <c r="T127" i="4" s="1"/>
  <c r="T128" i="4" s="1"/>
  <c r="T129" i="4" s="1"/>
  <c r="T130" i="4" s="1"/>
  <c r="R111" i="4"/>
  <c r="R189" i="4"/>
  <c r="T131" i="4"/>
  <c r="T132" i="4" s="1"/>
  <c r="T133" i="4" s="1"/>
  <c r="T134" i="4" s="1"/>
  <c r="T135" i="4" s="1"/>
  <c r="T136" i="4" s="1"/>
  <c r="T137" i="4" s="1"/>
  <c r="T138" i="4" s="1"/>
  <c r="T139" i="4" s="1"/>
  <c r="T140" i="4" s="1"/>
  <c r="T141" i="4" s="1"/>
  <c r="T142" i="4" s="1"/>
  <c r="T143" i="4" s="1"/>
  <c r="T144" i="4" s="1"/>
  <c r="T145" i="4" s="1"/>
  <c r="R96" i="5"/>
  <c r="T60" i="4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146" i="4"/>
  <c r="T71" i="4"/>
  <c r="T72" i="4" s="1"/>
  <c r="T73" i="4" s="1"/>
  <c r="T74" i="4" s="1"/>
  <c r="T75" i="4" s="1"/>
  <c r="T76" i="4" s="1"/>
  <c r="T150" i="4"/>
  <c r="R90" i="5"/>
  <c r="T77" i="4"/>
  <c r="T78" i="4" s="1"/>
  <c r="T156" i="4"/>
  <c r="R107" i="5"/>
  <c r="T101" i="4"/>
  <c r="T168" i="4"/>
  <c r="R49" i="5"/>
  <c r="L65" i="7"/>
  <c r="Q64" i="7" l="1"/>
  <c r="U64" i="7"/>
  <c r="Q65" i="7"/>
  <c r="U65" i="7"/>
  <c r="K288" i="16"/>
  <c r="L288" i="16" s="1"/>
  <c r="K463" i="16"/>
  <c r="L463" i="16" s="1"/>
  <c r="K18" i="16"/>
  <c r="L18" i="16" s="1"/>
  <c r="K289" i="16"/>
  <c r="L289" i="16" s="1"/>
  <c r="K464" i="16"/>
  <c r="L464" i="16" s="1"/>
  <c r="K19" i="16"/>
  <c r="L19" i="16" s="1"/>
  <c r="F50" i="17"/>
  <c r="J50" i="17" s="1"/>
  <c r="F49" i="17"/>
  <c r="J49" i="17" s="1"/>
  <c r="F48" i="17"/>
  <c r="J48" i="17" s="1"/>
  <c r="F47" i="17"/>
  <c r="J47" i="17" s="1"/>
  <c r="F46" i="17"/>
  <c r="J46" i="17" s="1"/>
  <c r="F44" i="17"/>
  <c r="J44" i="17" s="1"/>
  <c r="F43" i="17"/>
  <c r="J43" i="17" s="1"/>
  <c r="F42" i="17"/>
  <c r="J42" i="17" s="1"/>
  <c r="F41" i="17"/>
  <c r="J41" i="17" s="1"/>
  <c r="F40" i="17"/>
  <c r="J40" i="17" s="1"/>
  <c r="F45" i="17"/>
  <c r="J45" i="17" s="1"/>
  <c r="F39" i="17"/>
  <c r="J39" i="17" s="1"/>
  <c r="F37" i="17"/>
  <c r="J37" i="17" s="1"/>
  <c r="F36" i="17"/>
  <c r="J36" i="17" s="1"/>
  <c r="F38" i="17"/>
  <c r="J38" i="17" s="1"/>
  <c r="F33" i="17"/>
  <c r="J33" i="17" s="1"/>
  <c r="F34" i="17"/>
  <c r="J34" i="17" s="1"/>
  <c r="F28" i="17"/>
  <c r="J28" i="17" s="1"/>
  <c r="F32" i="17"/>
  <c r="J32" i="17" s="1"/>
  <c r="F31" i="17"/>
  <c r="J31" i="17" s="1"/>
  <c r="F30" i="17"/>
  <c r="J30" i="17" s="1"/>
  <c r="F27" i="17"/>
  <c r="J27" i="17" s="1"/>
  <c r="F26" i="17"/>
  <c r="J26" i="17" s="1"/>
  <c r="F25" i="17"/>
  <c r="J25" i="17" s="1"/>
  <c r="F24" i="17"/>
  <c r="J24" i="17" s="1"/>
  <c r="F23" i="17"/>
  <c r="J23" i="17" s="1"/>
  <c r="F22" i="17"/>
  <c r="J22" i="17" s="1"/>
  <c r="F21" i="17"/>
  <c r="J21" i="17" s="1"/>
  <c r="F14" i="17"/>
  <c r="J14" i="17" s="1"/>
  <c r="F20" i="17"/>
  <c r="J20" i="17" s="1"/>
  <c r="F19" i="17"/>
  <c r="J19" i="17" s="1"/>
  <c r="F18" i="17"/>
  <c r="J18" i="17" s="1"/>
  <c r="F17" i="17"/>
  <c r="J17" i="17" s="1"/>
  <c r="F16" i="17"/>
  <c r="J16" i="17" s="1"/>
  <c r="F15" i="17"/>
  <c r="J15" i="17" s="1"/>
  <c r="F13" i="17"/>
  <c r="J13" i="17" s="1"/>
  <c r="F12" i="17"/>
  <c r="J12" i="17" s="1"/>
  <c r="F11" i="17"/>
  <c r="J11" i="17" s="1"/>
  <c r="F10" i="17"/>
  <c r="J10" i="17" s="1"/>
  <c r="F9" i="17"/>
  <c r="J9" i="17" s="1"/>
  <c r="I28" i="10" l="1"/>
  <c r="I27" i="10"/>
  <c r="I33" i="7"/>
  <c r="L145" i="4" l="1"/>
  <c r="M145" i="4" s="1"/>
  <c r="S145" i="4" l="1"/>
  <c r="U145" i="4"/>
  <c r="Q145" i="4"/>
  <c r="N228" i="16" s="1"/>
  <c r="K591" i="16"/>
  <c r="L591" i="16" s="1"/>
  <c r="K228" i="16"/>
  <c r="L228" i="16" s="1"/>
  <c r="K439" i="16"/>
  <c r="L439" i="16" s="1"/>
  <c r="J42" i="7" l="1"/>
  <c r="J41" i="7"/>
  <c r="K35" i="3" s="1"/>
  <c r="J40" i="7"/>
  <c r="K34" i="3" s="1"/>
  <c r="J39" i="7"/>
  <c r="K33" i="3" s="1"/>
  <c r="J38" i="7"/>
  <c r="K32" i="3" s="1"/>
  <c r="J37" i="7"/>
  <c r="K31" i="3" s="1"/>
  <c r="J36" i="7"/>
  <c r="K30" i="3" s="1"/>
  <c r="J35" i="7"/>
  <c r="K29" i="3" s="1"/>
  <c r="J32" i="7"/>
  <c r="K26" i="3" s="1"/>
  <c r="J31" i="7"/>
  <c r="K25" i="3" s="1"/>
  <c r="J30" i="7"/>
  <c r="K24" i="3" s="1"/>
  <c r="J29" i="7"/>
  <c r="K23" i="3" s="1"/>
  <c r="J40" i="8"/>
  <c r="K39" i="3" s="1"/>
  <c r="J39" i="8"/>
  <c r="J38" i="8"/>
  <c r="K38" i="3" s="1"/>
  <c r="J33" i="9"/>
  <c r="K42" i="3" s="1"/>
  <c r="J32" i="9"/>
  <c r="K43" i="3" s="1"/>
  <c r="J31" i="9"/>
  <c r="K41" i="3" s="1"/>
  <c r="J30" i="9"/>
  <c r="K40" i="3" s="1"/>
  <c r="J47" i="6"/>
  <c r="J46" i="6"/>
  <c r="J45" i="6"/>
  <c r="J44" i="6"/>
  <c r="J43" i="6"/>
  <c r="J42" i="6"/>
  <c r="K37" i="3" l="1"/>
  <c r="J74" i="7"/>
  <c r="J34" i="7" s="1"/>
  <c r="K28" i="3" s="1"/>
  <c r="K36" i="3"/>
  <c r="J46" i="5"/>
  <c r="K21" i="3" s="1"/>
  <c r="J45" i="5"/>
  <c r="J44" i="5"/>
  <c r="K22" i="3" s="1"/>
  <c r="J43" i="5"/>
  <c r="K20" i="3" s="1"/>
  <c r="K18" i="3"/>
  <c r="J55" i="4"/>
  <c r="K17" i="3" s="1"/>
  <c r="J54" i="4"/>
  <c r="J53" i="4"/>
  <c r="K15" i="3" s="1"/>
  <c r="J52" i="4"/>
  <c r="K14" i="3" s="1"/>
  <c r="J51" i="4"/>
  <c r="K13" i="3" s="1"/>
  <c r="J50" i="4"/>
  <c r="K12" i="3" s="1"/>
  <c r="J49" i="4"/>
  <c r="K11" i="3" s="1"/>
  <c r="J48" i="4"/>
  <c r="K10" i="3" s="1"/>
  <c r="J47" i="4"/>
  <c r="K9" i="3" s="1"/>
  <c r="J46" i="4"/>
  <c r="K8" i="3" s="1"/>
  <c r="J45" i="4"/>
  <c r="K7" i="3" s="1"/>
  <c r="J44" i="4"/>
  <c r="K6" i="3" s="1"/>
  <c r="J43" i="4"/>
  <c r="J42" i="4"/>
  <c r="K4" i="3" s="1"/>
  <c r="K16" i="3" l="1"/>
  <c r="K5" i="3"/>
  <c r="K19" i="3"/>
  <c r="J33" i="7"/>
  <c r="K27" i="3" s="1"/>
  <c r="L101" i="7"/>
  <c r="U101" i="7" s="1"/>
  <c r="L103" i="7"/>
  <c r="L100" i="4" s="1"/>
  <c r="L105" i="7"/>
  <c r="U105" i="7" s="1"/>
  <c r="U103" i="7" l="1"/>
  <c r="U100" i="4" s="1"/>
  <c r="K543" i="16"/>
  <c r="K139" i="16"/>
  <c r="K377" i="16"/>
  <c r="K541" i="16"/>
  <c r="L541" i="16" s="1"/>
  <c r="K137" i="16"/>
  <c r="L137" i="16" s="1"/>
  <c r="K375" i="16"/>
  <c r="L375" i="16" s="1"/>
  <c r="K136" i="16"/>
  <c r="K540" i="16"/>
  <c r="K374" i="16"/>
  <c r="S105" i="7"/>
  <c r="Q105" i="7"/>
  <c r="Q103" i="7"/>
  <c r="Q100" i="4" s="1"/>
  <c r="S103" i="7"/>
  <c r="S100" i="4" s="1"/>
  <c r="Q101" i="7"/>
  <c r="S101" i="7"/>
  <c r="L25" i="10"/>
  <c r="L28" i="9"/>
  <c r="L36" i="8"/>
  <c r="L27" i="7"/>
  <c r="L40" i="6"/>
  <c r="L40" i="5"/>
  <c r="L40" i="4"/>
  <c r="K50" i="4" l="1"/>
  <c r="I50" i="4"/>
  <c r="F50" i="4"/>
  <c r="E50" i="4"/>
  <c r="D50" i="4"/>
  <c r="I33" i="9" l="1"/>
  <c r="I32" i="9"/>
  <c r="I31" i="9"/>
  <c r="I30" i="9"/>
  <c r="I40" i="8"/>
  <c r="I39" i="8"/>
  <c r="I38" i="8"/>
  <c r="I32" i="7"/>
  <c r="D112" i="7"/>
  <c r="E112" i="7"/>
  <c r="F112" i="7"/>
  <c r="L109" i="7"/>
  <c r="U109" i="7" s="1"/>
  <c r="D92" i="7"/>
  <c r="E92" i="7"/>
  <c r="L87" i="7"/>
  <c r="L86" i="7"/>
  <c r="I74" i="7" l="1"/>
  <c r="S87" i="7"/>
  <c r="U87" i="7"/>
  <c r="Q87" i="7"/>
  <c r="Q86" i="7"/>
  <c r="S86" i="7"/>
  <c r="K62" i="16"/>
  <c r="L62" i="16" s="1"/>
  <c r="K488" i="16"/>
  <c r="L488" i="16" s="1"/>
  <c r="K304" i="16"/>
  <c r="L304" i="16" s="1"/>
  <c r="U86" i="7"/>
  <c r="K303" i="16"/>
  <c r="L303" i="16" s="1"/>
  <c r="K61" i="16"/>
  <c r="L61" i="16" s="1"/>
  <c r="K142" i="16"/>
  <c r="K546" i="16"/>
  <c r="K380" i="16"/>
  <c r="G120" i="16"/>
  <c r="G364" i="16"/>
  <c r="F364" i="16"/>
  <c r="F120" i="16"/>
  <c r="E364" i="16"/>
  <c r="E120" i="16"/>
  <c r="S109" i="7"/>
  <c r="Q109" i="7"/>
  <c r="M2" i="3"/>
  <c r="D43" i="5"/>
  <c r="F44" i="5"/>
  <c r="E22" i="3" s="1"/>
  <c r="F71" i="7"/>
  <c r="F33" i="7" s="1"/>
  <c r="E44" i="5"/>
  <c r="D44" i="5"/>
  <c r="F43" i="5"/>
  <c r="E43" i="5"/>
  <c r="L53" i="3" l="1"/>
  <c r="H25" i="10"/>
  <c r="G25" i="10"/>
  <c r="H28" i="9"/>
  <c r="G28" i="9"/>
  <c r="H36" i="8"/>
  <c r="G36" i="8"/>
  <c r="H40" i="6"/>
  <c r="G40" i="6"/>
  <c r="H40" i="5"/>
  <c r="I46" i="5"/>
  <c r="I45" i="5"/>
  <c r="I44" i="5"/>
  <c r="I43" i="5"/>
  <c r="I42" i="5"/>
  <c r="I42" i="7"/>
  <c r="I40" i="7"/>
  <c r="I39" i="7"/>
  <c r="I38" i="7"/>
  <c r="I37" i="7"/>
  <c r="I36" i="7"/>
  <c r="I35" i="7"/>
  <c r="I34" i="7"/>
  <c r="I31" i="7"/>
  <c r="I30" i="7"/>
  <c r="I29" i="7"/>
  <c r="I55" i="4"/>
  <c r="I54" i="4"/>
  <c r="I53" i="4"/>
  <c r="I52" i="4"/>
  <c r="I51" i="4"/>
  <c r="I49" i="4"/>
  <c r="I48" i="4"/>
  <c r="I47" i="4"/>
  <c r="I46" i="4"/>
  <c r="I45" i="4"/>
  <c r="I44" i="4"/>
  <c r="I43" i="4"/>
  <c r="I42" i="4"/>
  <c r="I3" i="3" s="1"/>
  <c r="D99" i="4"/>
  <c r="B99" i="4"/>
  <c r="D98" i="4"/>
  <c r="C98" i="4"/>
  <c r="B98" i="4"/>
  <c r="E97" i="4"/>
  <c r="D97" i="4"/>
  <c r="C97" i="4"/>
  <c r="B97" i="4"/>
  <c r="L116" i="7"/>
  <c r="U116" i="7" s="1"/>
  <c r="L115" i="7"/>
  <c r="U115" i="7" s="1"/>
  <c r="L107" i="7"/>
  <c r="U107" i="7" s="1"/>
  <c r="L46" i="8"/>
  <c r="L45" i="8"/>
  <c r="S46" i="8" l="1"/>
  <c r="U46" i="8"/>
  <c r="Q46" i="8"/>
  <c r="S45" i="8"/>
  <c r="U45" i="8"/>
  <c r="Q45" i="8"/>
  <c r="K25" i="16"/>
  <c r="K310" i="16"/>
  <c r="K479" i="16"/>
  <c r="K26" i="16"/>
  <c r="L26" i="16" s="1"/>
  <c r="K490" i="16"/>
  <c r="L490" i="16" s="1"/>
  <c r="K312" i="16"/>
  <c r="L312" i="16" s="1"/>
  <c r="K146" i="16"/>
  <c r="L146" i="16" s="1"/>
  <c r="K550" i="16"/>
  <c r="L550" i="16" s="1"/>
  <c r="K384" i="16"/>
  <c r="L384" i="16" s="1"/>
  <c r="K147" i="16"/>
  <c r="L147" i="16" s="1"/>
  <c r="K551" i="16"/>
  <c r="L551" i="16" s="1"/>
  <c r="K140" i="16"/>
  <c r="L140" i="16" s="1"/>
  <c r="K544" i="16"/>
  <c r="L544" i="16" s="1"/>
  <c r="K378" i="16"/>
  <c r="L378" i="16" s="1"/>
  <c r="Q107" i="7"/>
  <c r="S107" i="7"/>
  <c r="Q116" i="7"/>
  <c r="S116" i="7"/>
  <c r="Q115" i="7"/>
  <c r="S115" i="7"/>
  <c r="L26" i="3"/>
  <c r="L60" i="7" l="1"/>
  <c r="Q60" i="7" s="1"/>
  <c r="L47" i="7"/>
  <c r="L46" i="7"/>
  <c r="Q46" i="7" s="1"/>
  <c r="Q47" i="7" l="1"/>
  <c r="U47" i="7"/>
  <c r="S47" i="7"/>
  <c r="K15" i="16"/>
  <c r="L15" i="16" s="1"/>
  <c r="K3" i="16"/>
  <c r="L3" i="16" s="1"/>
  <c r="K456" i="16"/>
  <c r="L456" i="16" s="1"/>
  <c r="K278" i="16"/>
  <c r="L278" i="16" s="1"/>
  <c r="F16" i="18"/>
  <c r="K4" i="16"/>
  <c r="L4" i="16" s="1"/>
  <c r="L40" i="10"/>
  <c r="L39" i="10"/>
  <c r="L38" i="10"/>
  <c r="L37" i="10"/>
  <c r="L36" i="10"/>
  <c r="L35" i="10"/>
  <c r="L34" i="10"/>
  <c r="L33" i="10"/>
  <c r="L32" i="10"/>
  <c r="L43" i="10"/>
  <c r="L42" i="10"/>
  <c r="L67" i="9"/>
  <c r="L92" i="4" s="1"/>
  <c r="L66" i="9"/>
  <c r="L65" i="9"/>
  <c r="L64" i="9"/>
  <c r="L63" i="9"/>
  <c r="L99" i="7" s="1"/>
  <c r="L62" i="9"/>
  <c r="L92" i="7" s="1"/>
  <c r="L61" i="9"/>
  <c r="L60" i="9"/>
  <c r="L59" i="9"/>
  <c r="L58" i="9"/>
  <c r="L57" i="9"/>
  <c r="K562" i="16" s="1"/>
  <c r="L562" i="16" s="1"/>
  <c r="L56" i="9"/>
  <c r="L54" i="9"/>
  <c r="U54" i="9" s="1"/>
  <c r="L53" i="9"/>
  <c r="Q53" i="9" s="1"/>
  <c r="L52" i="9"/>
  <c r="S52" i="9" s="1"/>
  <c r="L51" i="9"/>
  <c r="L50" i="9"/>
  <c r="L48" i="9"/>
  <c r="L47" i="9"/>
  <c r="L46" i="9"/>
  <c r="L45" i="9"/>
  <c r="L44" i="9"/>
  <c r="L42" i="9"/>
  <c r="S42" i="9" s="1"/>
  <c r="L41" i="9"/>
  <c r="L39" i="9"/>
  <c r="L65" i="8"/>
  <c r="L64" i="8"/>
  <c r="L63" i="8"/>
  <c r="L87" i="4" s="1"/>
  <c r="L62" i="8"/>
  <c r="L61" i="8"/>
  <c r="L80" i="4" s="1"/>
  <c r="L59" i="8"/>
  <c r="L57" i="8"/>
  <c r="L56" i="8"/>
  <c r="L90" i="4" s="1"/>
  <c r="L55" i="8"/>
  <c r="L54" i="8"/>
  <c r="L53" i="8"/>
  <c r="L52" i="8"/>
  <c r="L51" i="8"/>
  <c r="L50" i="8"/>
  <c r="L49" i="8"/>
  <c r="L48" i="8"/>
  <c r="S48" i="8" s="1"/>
  <c r="L47" i="8"/>
  <c r="L54" i="6"/>
  <c r="L106" i="5"/>
  <c r="Q106" i="5" s="1"/>
  <c r="L105" i="5"/>
  <c r="Q105" i="5" s="1"/>
  <c r="L104" i="5"/>
  <c r="Q104" i="5" s="1"/>
  <c r="L103" i="5"/>
  <c r="Q103" i="5" s="1"/>
  <c r="L102" i="5"/>
  <c r="Q102" i="5" s="1"/>
  <c r="L101" i="5"/>
  <c r="Q101" i="5" s="1"/>
  <c r="L100" i="5"/>
  <c r="Q100" i="5" s="1"/>
  <c r="L99" i="5"/>
  <c r="Q99" i="5" s="1"/>
  <c r="L98" i="5"/>
  <c r="Q98" i="5" s="1"/>
  <c r="L97" i="5"/>
  <c r="L95" i="5"/>
  <c r="L94" i="5"/>
  <c r="L93" i="5"/>
  <c r="L92" i="5"/>
  <c r="Q92" i="5" s="1"/>
  <c r="L91" i="5"/>
  <c r="Q91" i="5" s="1"/>
  <c r="L87" i="5"/>
  <c r="Q87" i="5" s="1"/>
  <c r="L85" i="5"/>
  <c r="Q85" i="5" s="1"/>
  <c r="L84" i="5"/>
  <c r="Q84" i="5" s="1"/>
  <c r="L83" i="5"/>
  <c r="Q83" i="5" s="1"/>
  <c r="L82" i="5"/>
  <c r="Q82" i="5" s="1"/>
  <c r="L81" i="5"/>
  <c r="Q81" i="5" s="1"/>
  <c r="L80" i="5"/>
  <c r="Q80" i="5" s="1"/>
  <c r="L79" i="5"/>
  <c r="Q79" i="5" s="1"/>
  <c r="L78" i="5"/>
  <c r="Q78" i="5" s="1"/>
  <c r="L77" i="5"/>
  <c r="L76" i="5"/>
  <c r="L73" i="5"/>
  <c r="Q73" i="5" s="1"/>
  <c r="L72" i="5"/>
  <c r="Q72" i="5" s="1"/>
  <c r="N174" i="16" s="1"/>
  <c r="L71" i="5"/>
  <c r="Q71" i="5" s="1"/>
  <c r="L70" i="5"/>
  <c r="Q70" i="5" s="1"/>
  <c r="L69" i="5"/>
  <c r="Q69" i="5" s="1"/>
  <c r="L68" i="5"/>
  <c r="Q68" i="5" s="1"/>
  <c r="L67" i="5"/>
  <c r="Q67" i="5" s="1"/>
  <c r="L66" i="5"/>
  <c r="Q66" i="5" s="1"/>
  <c r="L65" i="5"/>
  <c r="Q65" i="5" s="1"/>
  <c r="L63" i="5"/>
  <c r="Q63" i="5" s="1"/>
  <c r="L62" i="5"/>
  <c r="L61" i="5"/>
  <c r="Q61" i="5" s="1"/>
  <c r="L60" i="5"/>
  <c r="Q60" i="5" s="1"/>
  <c r="L58" i="5"/>
  <c r="Q58" i="5" s="1"/>
  <c r="L57" i="5"/>
  <c r="Q57" i="5" s="1"/>
  <c r="L56" i="5"/>
  <c r="Q56" i="5" s="1"/>
  <c r="L55" i="5"/>
  <c r="Q55" i="5" s="1"/>
  <c r="L54" i="5"/>
  <c r="Q54" i="5" s="1"/>
  <c r="L53" i="5"/>
  <c r="Q53" i="5" s="1"/>
  <c r="L51" i="5"/>
  <c r="Q51" i="5" s="1"/>
  <c r="L50" i="5"/>
  <c r="Q50" i="5" s="1"/>
  <c r="L53" i="7"/>
  <c r="L99" i="4" s="1"/>
  <c r="L51" i="7"/>
  <c r="L50" i="7"/>
  <c r="Q50" i="7" s="1"/>
  <c r="L49" i="7"/>
  <c r="L58" i="7"/>
  <c r="L57" i="7"/>
  <c r="L56" i="7"/>
  <c r="L55" i="7"/>
  <c r="L67" i="7"/>
  <c r="L66" i="7"/>
  <c r="L72" i="7"/>
  <c r="Q72" i="7" s="1"/>
  <c r="L70" i="7"/>
  <c r="L69" i="7"/>
  <c r="Q69" i="7" s="1"/>
  <c r="L79" i="7"/>
  <c r="L78" i="7"/>
  <c r="L77" i="7"/>
  <c r="L76" i="7"/>
  <c r="J22" i="18" s="1"/>
  <c r="L84" i="7"/>
  <c r="L83" i="7"/>
  <c r="L82" i="7"/>
  <c r="L81" i="7"/>
  <c r="L88" i="7"/>
  <c r="L93" i="7"/>
  <c r="L91" i="7"/>
  <c r="J25" i="18" s="1"/>
  <c r="L90" i="7"/>
  <c r="L98" i="7"/>
  <c r="U98" i="7" s="1"/>
  <c r="L97" i="7"/>
  <c r="L96" i="7"/>
  <c r="U96" i="7" s="1"/>
  <c r="L95" i="7"/>
  <c r="U95" i="7" s="1"/>
  <c r="L111" i="7"/>
  <c r="U111" i="7" s="1"/>
  <c r="U110" i="7"/>
  <c r="L108" i="7"/>
  <c r="U108" i="7" s="1"/>
  <c r="L119" i="7"/>
  <c r="U119" i="7" s="1"/>
  <c r="L118" i="7"/>
  <c r="U118" i="7" s="1"/>
  <c r="L117" i="7"/>
  <c r="U117" i="7" s="1"/>
  <c r="L114" i="7"/>
  <c r="U114" i="7" s="1"/>
  <c r="L193" i="4"/>
  <c r="L192" i="4"/>
  <c r="L191" i="4"/>
  <c r="L190" i="4"/>
  <c r="L188" i="4"/>
  <c r="M188" i="4" s="1"/>
  <c r="L187" i="4"/>
  <c r="Q187" i="4" s="1"/>
  <c r="L186" i="4"/>
  <c r="L185" i="4"/>
  <c r="L184" i="4"/>
  <c r="L183" i="4"/>
  <c r="L182" i="4"/>
  <c r="L181" i="4"/>
  <c r="L180" i="4"/>
  <c r="L178" i="4"/>
  <c r="Q178" i="4" s="1"/>
  <c r="L177" i="4"/>
  <c r="L176" i="4"/>
  <c r="L175" i="4"/>
  <c r="L174" i="4"/>
  <c r="L173" i="4"/>
  <c r="L172" i="4"/>
  <c r="L171" i="4"/>
  <c r="L170" i="4"/>
  <c r="L169" i="4"/>
  <c r="L167" i="4"/>
  <c r="L166" i="4"/>
  <c r="L165" i="4"/>
  <c r="L164" i="4"/>
  <c r="K207" i="16" s="1"/>
  <c r="L207" i="16" s="1"/>
  <c r="L163" i="4"/>
  <c r="L162" i="4"/>
  <c r="L161" i="4"/>
  <c r="L160" i="4"/>
  <c r="L159" i="4"/>
  <c r="L158" i="4"/>
  <c r="L157" i="4"/>
  <c r="Q157" i="4" s="1"/>
  <c r="L155" i="4"/>
  <c r="L154" i="4"/>
  <c r="U154" i="4" s="1"/>
  <c r="L153" i="4"/>
  <c r="Q153" i="4" s="1"/>
  <c r="L152" i="4"/>
  <c r="L151" i="4"/>
  <c r="L149" i="4"/>
  <c r="L148" i="4"/>
  <c r="Q148" i="4" s="1"/>
  <c r="L147" i="4"/>
  <c r="L144" i="4"/>
  <c r="M144" i="4" s="1"/>
  <c r="L143" i="4"/>
  <c r="M143" i="4" s="1"/>
  <c r="K435" i="16"/>
  <c r="L435" i="16" s="1"/>
  <c r="J14" i="18"/>
  <c r="K218" i="16"/>
  <c r="L218" i="16" s="1"/>
  <c r="L96" i="4"/>
  <c r="L124" i="4"/>
  <c r="M124" i="4" s="1"/>
  <c r="L123" i="4"/>
  <c r="M123" i="4" s="1"/>
  <c r="L121" i="4"/>
  <c r="M121" i="4" s="1"/>
  <c r="L120" i="4"/>
  <c r="M120" i="4" s="1"/>
  <c r="L118" i="4"/>
  <c r="L117" i="4"/>
  <c r="L116" i="4"/>
  <c r="M116" i="4" s="1"/>
  <c r="L115" i="4"/>
  <c r="M115" i="4" s="1"/>
  <c r="L114" i="4"/>
  <c r="Q114" i="4" s="1"/>
  <c r="L113" i="4"/>
  <c r="L112" i="4"/>
  <c r="L110" i="4"/>
  <c r="J9" i="18"/>
  <c r="L108" i="4"/>
  <c r="Q108" i="4" s="1"/>
  <c r="L106" i="4"/>
  <c r="L105" i="4"/>
  <c r="M105" i="4" s="1"/>
  <c r="L104" i="4"/>
  <c r="M104" i="4" s="1"/>
  <c r="L103" i="4"/>
  <c r="L102" i="4"/>
  <c r="L93" i="4"/>
  <c r="J31" i="18"/>
  <c r="L72" i="6"/>
  <c r="L94" i="4" l="1"/>
  <c r="M106" i="4"/>
  <c r="Q117" i="4"/>
  <c r="M117" i="4"/>
  <c r="L102" i="7"/>
  <c r="M118" i="4"/>
  <c r="M102" i="7" s="1"/>
  <c r="K416" i="16"/>
  <c r="K213" i="16"/>
  <c r="K577" i="16"/>
  <c r="K579" i="16"/>
  <c r="K212" i="16"/>
  <c r="K415" i="16"/>
  <c r="Q57" i="8"/>
  <c r="U57" i="8"/>
  <c r="S57" i="8"/>
  <c r="K564" i="16"/>
  <c r="L564" i="16" s="1"/>
  <c r="L120" i="7"/>
  <c r="Q77" i="5"/>
  <c r="Q76" i="5"/>
  <c r="L85" i="4"/>
  <c r="S39" i="9"/>
  <c r="S85" i="4" s="1"/>
  <c r="K563" i="16"/>
  <c r="L112" i="7"/>
  <c r="Q49" i="7"/>
  <c r="S49" i="7"/>
  <c r="U49" i="7"/>
  <c r="U158" i="4"/>
  <c r="S158" i="4"/>
  <c r="Q158" i="4"/>
  <c r="U143" i="4"/>
  <c r="N589" i="16" s="1"/>
  <c r="S143" i="4"/>
  <c r="N436" i="16" s="1"/>
  <c r="Q143" i="4"/>
  <c r="U113" i="4"/>
  <c r="S113" i="4"/>
  <c r="S144" i="4"/>
  <c r="U144" i="4"/>
  <c r="Q67" i="7"/>
  <c r="L32" i="7"/>
  <c r="K429" i="16"/>
  <c r="L429" i="16" s="1"/>
  <c r="K223" i="16"/>
  <c r="L223" i="16" s="1"/>
  <c r="K436" i="16"/>
  <c r="L436" i="16" s="1"/>
  <c r="K589" i="16"/>
  <c r="L589" i="16" s="1"/>
  <c r="K224" i="16"/>
  <c r="L224" i="16" s="1"/>
  <c r="K434" i="16"/>
  <c r="L434" i="16" s="1"/>
  <c r="K420" i="16"/>
  <c r="L420" i="16" s="1"/>
  <c r="K424" i="16"/>
  <c r="L424" i="16" s="1"/>
  <c r="K582" i="16"/>
  <c r="L582" i="16" s="1"/>
  <c r="Q97" i="5"/>
  <c r="K226" i="16"/>
  <c r="L226" i="16" s="1"/>
  <c r="J577" i="16"/>
  <c r="L577" i="16" s="1"/>
  <c r="J213" i="16"/>
  <c r="L213" i="16" s="1"/>
  <c r="J416" i="16"/>
  <c r="L416" i="16" s="1"/>
  <c r="J579" i="16"/>
  <c r="L579" i="16" s="1"/>
  <c r="J212" i="16"/>
  <c r="L212" i="16" s="1"/>
  <c r="J415" i="16"/>
  <c r="L415" i="16" s="1"/>
  <c r="L83" i="4"/>
  <c r="Q51" i="9"/>
  <c r="Q83" i="4" s="1"/>
  <c r="U51" i="9"/>
  <c r="U83" i="4" s="1"/>
  <c r="S51" i="9"/>
  <c r="S83" i="4" s="1"/>
  <c r="U52" i="9"/>
  <c r="Q52" i="9"/>
  <c r="L86" i="4"/>
  <c r="Q86" i="4"/>
  <c r="U53" i="9"/>
  <c r="U86" i="4" s="1"/>
  <c r="S53" i="9"/>
  <c r="S86" i="4" s="1"/>
  <c r="U50" i="9"/>
  <c r="S50" i="9"/>
  <c r="Q50" i="9"/>
  <c r="Q54" i="9"/>
  <c r="S54" i="9"/>
  <c r="Q41" i="9"/>
  <c r="S41" i="9"/>
  <c r="U41" i="9"/>
  <c r="U42" i="9"/>
  <c r="Q42" i="9"/>
  <c r="L91" i="4"/>
  <c r="U46" i="9"/>
  <c r="U91" i="4" s="1"/>
  <c r="Q46" i="9"/>
  <c r="Q91" i="4" s="1"/>
  <c r="S46" i="9"/>
  <c r="S91" i="4" s="1"/>
  <c r="L84" i="4"/>
  <c r="Q47" i="9"/>
  <c r="Q84" i="4" s="1"/>
  <c r="S47" i="9"/>
  <c r="S84" i="4" s="1"/>
  <c r="U47" i="9"/>
  <c r="U84" i="4" s="1"/>
  <c r="U44" i="9"/>
  <c r="S44" i="9"/>
  <c r="Q44" i="9"/>
  <c r="S48" i="9"/>
  <c r="U48" i="9"/>
  <c r="Q48" i="9"/>
  <c r="U45" i="9"/>
  <c r="Q45" i="9"/>
  <c r="S45" i="9"/>
  <c r="L88" i="4"/>
  <c r="K276" i="16"/>
  <c r="L276" i="16" s="1"/>
  <c r="L89" i="4"/>
  <c r="K277" i="16"/>
  <c r="L277" i="16" s="1"/>
  <c r="S65" i="8"/>
  <c r="S62" i="8"/>
  <c r="L81" i="4"/>
  <c r="K274" i="16"/>
  <c r="L274" i="16" s="1"/>
  <c r="J17" i="18"/>
  <c r="S51" i="7"/>
  <c r="S97" i="4" s="1"/>
  <c r="L97" i="4"/>
  <c r="S88" i="7"/>
  <c r="S78" i="4" s="1"/>
  <c r="L78" i="4"/>
  <c r="J15" i="18"/>
  <c r="L95" i="4"/>
  <c r="J18" i="18"/>
  <c r="U39" i="9"/>
  <c r="U85" i="4" s="1"/>
  <c r="Q39" i="9"/>
  <c r="Q85" i="4" s="1"/>
  <c r="L42" i="5"/>
  <c r="K130" i="16"/>
  <c r="L130" i="16" s="1"/>
  <c r="K536" i="16"/>
  <c r="L536" i="16" s="1"/>
  <c r="K369" i="16"/>
  <c r="L369" i="16" s="1"/>
  <c r="K134" i="16"/>
  <c r="L134" i="16" s="1"/>
  <c r="K561" i="16"/>
  <c r="L561" i="16" s="1"/>
  <c r="K372" i="16"/>
  <c r="L372" i="16" s="1"/>
  <c r="K531" i="16"/>
  <c r="K366" i="16"/>
  <c r="K127" i="16"/>
  <c r="K537" i="16"/>
  <c r="L537" i="16" s="1"/>
  <c r="K131" i="16"/>
  <c r="L131" i="16" s="1"/>
  <c r="K373" i="16"/>
  <c r="L373" i="16" s="1"/>
  <c r="K568" i="16"/>
  <c r="L568" i="16" s="1"/>
  <c r="K135" i="16"/>
  <c r="L135" i="16" s="1"/>
  <c r="K128" i="16"/>
  <c r="K532" i="16"/>
  <c r="K367" i="16"/>
  <c r="K132" i="16"/>
  <c r="L132" i="16" s="1"/>
  <c r="K538" i="16"/>
  <c r="L538" i="16" s="1"/>
  <c r="K370" i="16"/>
  <c r="L370" i="16" s="1"/>
  <c r="K535" i="16"/>
  <c r="L535" i="16" s="1"/>
  <c r="K368" i="16"/>
  <c r="L368" i="16" s="1"/>
  <c r="K129" i="16"/>
  <c r="L129" i="16" s="1"/>
  <c r="K539" i="16"/>
  <c r="L539" i="16" s="1"/>
  <c r="K371" i="16"/>
  <c r="L371" i="16" s="1"/>
  <c r="K133" i="16"/>
  <c r="L133" i="16" s="1"/>
  <c r="J19" i="18"/>
  <c r="J12" i="18"/>
  <c r="J16" i="18"/>
  <c r="U97" i="7"/>
  <c r="J26" i="18"/>
  <c r="J11" i="18"/>
  <c r="Q88" i="7"/>
  <c r="Q78" i="4" s="1"/>
  <c r="J24" i="18"/>
  <c r="J13" i="18"/>
  <c r="U88" i="7"/>
  <c r="U78" i="4" s="1"/>
  <c r="Q62" i="5"/>
  <c r="J8" i="18"/>
  <c r="J6" i="18"/>
  <c r="J20" i="18"/>
  <c r="J7" i="18"/>
  <c r="J10" i="18"/>
  <c r="U34" i="10"/>
  <c r="N535" i="16" s="1"/>
  <c r="S34" i="10"/>
  <c r="N368" i="16" s="1"/>
  <c r="Q34" i="10"/>
  <c r="N129" i="16" s="1"/>
  <c r="U35" i="10"/>
  <c r="N536" i="16" s="1"/>
  <c r="S35" i="10"/>
  <c r="N369" i="16" s="1"/>
  <c r="Q35" i="10"/>
  <c r="N130" i="16" s="1"/>
  <c r="U36" i="10"/>
  <c r="N537" i="16" s="1"/>
  <c r="S36" i="10"/>
  <c r="Q36" i="10"/>
  <c r="N131" i="16" s="1"/>
  <c r="S37" i="10"/>
  <c r="N370" i="16" s="1"/>
  <c r="Q37" i="10"/>
  <c r="N132" i="16" s="1"/>
  <c r="U37" i="10"/>
  <c r="N538" i="16" s="1"/>
  <c r="U43" i="10"/>
  <c r="N577" i="16" s="1"/>
  <c r="Q43" i="10"/>
  <c r="N213" i="16" s="1"/>
  <c r="U39" i="10"/>
  <c r="N561" i="16" s="1"/>
  <c r="S39" i="10"/>
  <c r="N372" i="16" s="1"/>
  <c r="Q39" i="10"/>
  <c r="N134" i="16" s="1"/>
  <c r="Q38" i="10"/>
  <c r="N133" i="16" s="1"/>
  <c r="U38" i="10"/>
  <c r="N539" i="16" s="1"/>
  <c r="S38" i="10"/>
  <c r="N371" i="16" s="1"/>
  <c r="U32" i="10"/>
  <c r="N531" i="16" s="1"/>
  <c r="S32" i="10"/>
  <c r="N366" i="16" s="1"/>
  <c r="Q32" i="10"/>
  <c r="N127" i="16" s="1"/>
  <c r="S40" i="10"/>
  <c r="N373" i="16" s="1"/>
  <c r="U40" i="10"/>
  <c r="N568" i="16" s="1"/>
  <c r="Q40" i="10"/>
  <c r="N135" i="16" s="1"/>
  <c r="Q42" i="10"/>
  <c r="N212" i="16" s="1"/>
  <c r="S42" i="10"/>
  <c r="N415" i="16" s="1"/>
  <c r="U42" i="10"/>
  <c r="N579" i="16" s="1"/>
  <c r="S33" i="10"/>
  <c r="N367" i="16" s="1"/>
  <c r="U33" i="10"/>
  <c r="N532" i="16" s="1"/>
  <c r="Q33" i="10"/>
  <c r="N128" i="16" s="1"/>
  <c r="Q59" i="9"/>
  <c r="S59" i="9"/>
  <c r="U59" i="9"/>
  <c r="Q65" i="9"/>
  <c r="S65" i="9"/>
  <c r="U65" i="9"/>
  <c r="N564" i="16" s="1"/>
  <c r="U60" i="9"/>
  <c r="Q60" i="9"/>
  <c r="S60" i="9"/>
  <c r="U67" i="9"/>
  <c r="U92" i="4" s="1"/>
  <c r="Q67" i="9"/>
  <c r="Q92" i="4" s="1"/>
  <c r="S67" i="9"/>
  <c r="S92" i="4" s="1"/>
  <c r="U61" i="9"/>
  <c r="S61" i="9"/>
  <c r="Q61" i="9"/>
  <c r="S66" i="9"/>
  <c r="U66" i="9"/>
  <c r="N565" i="16" s="1"/>
  <c r="Q66" i="9"/>
  <c r="Q56" i="9"/>
  <c r="U56" i="9"/>
  <c r="S56" i="9"/>
  <c r="Q57" i="9"/>
  <c r="S57" i="9"/>
  <c r="U57" i="9"/>
  <c r="N562" i="16" s="1"/>
  <c r="Q62" i="9"/>
  <c r="Q92" i="7" s="1"/>
  <c r="S62" i="9"/>
  <c r="S92" i="7" s="1"/>
  <c r="U62" i="9"/>
  <c r="U92" i="7" s="1"/>
  <c r="Q58" i="9"/>
  <c r="S58" i="9"/>
  <c r="U58" i="9"/>
  <c r="Q63" i="9"/>
  <c r="Q99" i="7" s="1"/>
  <c r="S63" i="9"/>
  <c r="S99" i="7" s="1"/>
  <c r="U63" i="9"/>
  <c r="U99" i="7" s="1"/>
  <c r="Q64" i="9"/>
  <c r="Q112" i="7" s="1"/>
  <c r="S64" i="9"/>
  <c r="S112" i="7" s="1"/>
  <c r="U64" i="9"/>
  <c r="U61" i="8"/>
  <c r="U80" i="4" s="1"/>
  <c r="S61" i="8"/>
  <c r="S80" i="4" s="1"/>
  <c r="U63" i="8"/>
  <c r="U87" i="4" s="1"/>
  <c r="S63" i="8"/>
  <c r="S87" i="4" s="1"/>
  <c r="U64" i="8"/>
  <c r="U88" i="4" s="1"/>
  <c r="S64" i="8"/>
  <c r="U65" i="8"/>
  <c r="U89" i="4" s="1"/>
  <c r="S59" i="8"/>
  <c r="Q59" i="8"/>
  <c r="U49" i="8"/>
  <c r="S49" i="8"/>
  <c r="S50" i="8"/>
  <c r="U50" i="8"/>
  <c r="S51" i="8"/>
  <c r="U51" i="8"/>
  <c r="S52" i="8"/>
  <c r="U52" i="8"/>
  <c r="U53" i="8"/>
  <c r="S53" i="8"/>
  <c r="U54" i="8"/>
  <c r="S54" i="8"/>
  <c r="U47" i="8"/>
  <c r="S47" i="8"/>
  <c r="Q47" i="8"/>
  <c r="Q55" i="8"/>
  <c r="U55" i="8"/>
  <c r="S55" i="8"/>
  <c r="U56" i="8"/>
  <c r="U90" i="4" s="1"/>
  <c r="S56" i="8"/>
  <c r="S90" i="4" s="1"/>
  <c r="U90" i="7"/>
  <c r="S90" i="7"/>
  <c r="Q90" i="7"/>
  <c r="U91" i="7"/>
  <c r="S91" i="7"/>
  <c r="Q91" i="7"/>
  <c r="U93" i="7"/>
  <c r="S93" i="7"/>
  <c r="Q93" i="7"/>
  <c r="S83" i="7"/>
  <c r="U83" i="7"/>
  <c r="Q83" i="7"/>
  <c r="U84" i="7"/>
  <c r="S84" i="7"/>
  <c r="Q84" i="7"/>
  <c r="S82" i="7"/>
  <c r="U82" i="7"/>
  <c r="Q82" i="7"/>
  <c r="S81" i="7"/>
  <c r="Q81" i="7"/>
  <c r="U81" i="7"/>
  <c r="S76" i="7"/>
  <c r="Q76" i="7"/>
  <c r="S77" i="7"/>
  <c r="Q77" i="7"/>
  <c r="U78" i="7"/>
  <c r="S78" i="7"/>
  <c r="Q78" i="7"/>
  <c r="U79" i="7"/>
  <c r="S79" i="7"/>
  <c r="Q79" i="7"/>
  <c r="S70" i="7"/>
  <c r="Q70" i="7"/>
  <c r="U70" i="7"/>
  <c r="S66" i="7"/>
  <c r="Q66" i="7"/>
  <c r="Q55" i="7"/>
  <c r="U55" i="7"/>
  <c r="S55" i="7"/>
  <c r="Q56" i="7"/>
  <c r="U56" i="7"/>
  <c r="U57" i="7"/>
  <c r="S57" i="7"/>
  <c r="Q57" i="7"/>
  <c r="S58" i="7"/>
  <c r="Q58" i="7"/>
  <c r="Q53" i="7"/>
  <c r="Q99" i="4" s="1"/>
  <c r="S53" i="7"/>
  <c r="S99" i="4" s="1"/>
  <c r="O54" i="6"/>
  <c r="Q94" i="5"/>
  <c r="K263" i="16"/>
  <c r="L263" i="16" s="1"/>
  <c r="Q95" i="5"/>
  <c r="K264" i="16"/>
  <c r="L264" i="16" s="1"/>
  <c r="K260" i="16"/>
  <c r="L260" i="16" s="1"/>
  <c r="K261" i="16"/>
  <c r="L261" i="16" s="1"/>
  <c r="Q93" i="5"/>
  <c r="K262" i="16"/>
  <c r="L262" i="16" s="1"/>
  <c r="Q186" i="4"/>
  <c r="S186" i="4"/>
  <c r="U186" i="4"/>
  <c r="S180" i="4"/>
  <c r="U180" i="4"/>
  <c r="Q180" i="4"/>
  <c r="S188" i="4"/>
  <c r="U188" i="4"/>
  <c r="Q188" i="4"/>
  <c r="Q181" i="4"/>
  <c r="U181" i="4"/>
  <c r="S181" i="4"/>
  <c r="S190" i="4"/>
  <c r="U190" i="4"/>
  <c r="Q190" i="4"/>
  <c r="U182" i="4"/>
  <c r="S182" i="4"/>
  <c r="Q182" i="4"/>
  <c r="U191" i="4"/>
  <c r="Q191" i="4"/>
  <c r="S191" i="4"/>
  <c r="U183" i="4"/>
  <c r="S183" i="4"/>
  <c r="U192" i="4"/>
  <c r="Q192" i="4"/>
  <c r="S192" i="4"/>
  <c r="U187" i="4"/>
  <c r="S187" i="4"/>
  <c r="U184" i="4"/>
  <c r="Q184" i="4"/>
  <c r="S184" i="4"/>
  <c r="U193" i="4"/>
  <c r="Q193" i="4"/>
  <c r="S193" i="4"/>
  <c r="S185" i="4"/>
  <c r="Q185" i="4"/>
  <c r="U185" i="4"/>
  <c r="U171" i="4"/>
  <c r="S171" i="4"/>
  <c r="Q171" i="4"/>
  <c r="U170" i="4"/>
  <c r="Q170" i="4"/>
  <c r="S170" i="4"/>
  <c r="U177" i="4"/>
  <c r="S177" i="4"/>
  <c r="Q177" i="4"/>
  <c r="N103" i="16" s="1"/>
  <c r="S172" i="4"/>
  <c r="Q172" i="4"/>
  <c r="U172" i="4"/>
  <c r="U178" i="4"/>
  <c r="S178" i="4"/>
  <c r="Q173" i="4"/>
  <c r="S173" i="4"/>
  <c r="U173" i="4"/>
  <c r="S174" i="4"/>
  <c r="Q174" i="4"/>
  <c r="U174" i="4"/>
  <c r="U175" i="4"/>
  <c r="Q175" i="4"/>
  <c r="S175" i="4"/>
  <c r="Q169" i="4"/>
  <c r="U169" i="4"/>
  <c r="S169" i="4"/>
  <c r="Q176" i="4"/>
  <c r="U176" i="4"/>
  <c r="S176" i="4"/>
  <c r="S161" i="4"/>
  <c r="Q161" i="4"/>
  <c r="U161" i="4"/>
  <c r="S162" i="4"/>
  <c r="U162" i="4"/>
  <c r="S163" i="4"/>
  <c r="U163" i="4"/>
  <c r="Q164" i="4"/>
  <c r="U164" i="4"/>
  <c r="S164" i="4"/>
  <c r="U157" i="4"/>
  <c r="S157" i="4"/>
  <c r="U165" i="4"/>
  <c r="Q165" i="4"/>
  <c r="S165" i="4"/>
  <c r="U166" i="4"/>
  <c r="S166" i="4"/>
  <c r="Q166" i="4"/>
  <c r="S159" i="4"/>
  <c r="Q159" i="4"/>
  <c r="U159" i="4"/>
  <c r="S167" i="4"/>
  <c r="Q167" i="4"/>
  <c r="U167" i="4"/>
  <c r="U160" i="4"/>
  <c r="S160" i="4"/>
  <c r="Q160" i="4"/>
  <c r="U152" i="4"/>
  <c r="S152" i="4"/>
  <c r="Q154" i="4"/>
  <c r="S154" i="4"/>
  <c r="S155" i="4"/>
  <c r="U155" i="4"/>
  <c r="U153" i="4"/>
  <c r="S153" i="4"/>
  <c r="S151" i="4"/>
  <c r="U151" i="4"/>
  <c r="Q151" i="4"/>
  <c r="S147" i="4"/>
  <c r="U147" i="4"/>
  <c r="U148" i="4"/>
  <c r="S148" i="4"/>
  <c r="U149" i="4"/>
  <c r="S149" i="4"/>
  <c r="Q149" i="4"/>
  <c r="N435" i="16"/>
  <c r="Q144" i="4"/>
  <c r="N227" i="16" s="1"/>
  <c r="N420" i="16"/>
  <c r="K587" i="16"/>
  <c r="L587" i="16" s="1"/>
  <c r="N224" i="16"/>
  <c r="N434" i="16"/>
  <c r="U96" i="4"/>
  <c r="S96" i="4"/>
  <c r="N218" i="16"/>
  <c r="N424" i="16"/>
  <c r="N582" i="16"/>
  <c r="N223" i="16"/>
  <c r="N429" i="16"/>
  <c r="Q124" i="4"/>
  <c r="S124" i="4"/>
  <c r="U124" i="4"/>
  <c r="Q118" i="4"/>
  <c r="S118" i="4"/>
  <c r="U118" i="4"/>
  <c r="Q116" i="4"/>
  <c r="U116" i="4"/>
  <c r="S116" i="4"/>
  <c r="S112" i="4"/>
  <c r="U112" i="4"/>
  <c r="Q112" i="4"/>
  <c r="S120" i="4"/>
  <c r="Q120" i="4"/>
  <c r="U120" i="4"/>
  <c r="U121" i="4"/>
  <c r="Q121" i="4"/>
  <c r="S121" i="4"/>
  <c r="U114" i="4"/>
  <c r="S114" i="4"/>
  <c r="S117" i="4"/>
  <c r="U117" i="4"/>
  <c r="U115" i="4"/>
  <c r="S115" i="4"/>
  <c r="U123" i="4"/>
  <c r="Q123" i="4"/>
  <c r="S123" i="4"/>
  <c r="S108" i="4"/>
  <c r="U108" i="4"/>
  <c r="U110" i="4"/>
  <c r="Q110" i="4"/>
  <c r="S110" i="4"/>
  <c r="U106" i="4"/>
  <c r="U94" i="4" s="1"/>
  <c r="Q106" i="4"/>
  <c r="Q94" i="4" s="1"/>
  <c r="S106" i="4"/>
  <c r="S94" i="4" s="1"/>
  <c r="S102" i="4"/>
  <c r="U102" i="4"/>
  <c r="Q102" i="4"/>
  <c r="S103" i="4"/>
  <c r="S95" i="4" s="1"/>
  <c r="Q103" i="4"/>
  <c r="Q95" i="4" s="1"/>
  <c r="U103" i="4"/>
  <c r="U95" i="4" s="1"/>
  <c r="S104" i="4"/>
  <c r="U104" i="4"/>
  <c r="Q104" i="4"/>
  <c r="U105" i="4"/>
  <c r="Q105" i="4"/>
  <c r="S105" i="4"/>
  <c r="U93" i="4"/>
  <c r="S93" i="4"/>
  <c r="K607" i="16"/>
  <c r="Q93" i="4"/>
  <c r="K446" i="16"/>
  <c r="L446" i="16" s="1"/>
  <c r="K266" i="16"/>
  <c r="L266" i="16" s="1"/>
  <c r="K608" i="16"/>
  <c r="L608" i="16" s="1"/>
  <c r="K447" i="16"/>
  <c r="L447" i="16" s="1"/>
  <c r="K267" i="16"/>
  <c r="L267" i="16" s="1"/>
  <c r="K609" i="16"/>
  <c r="L609" i="16" s="1"/>
  <c r="K445" i="16"/>
  <c r="L445" i="16" s="1"/>
  <c r="K265" i="16"/>
  <c r="L265" i="16" s="1"/>
  <c r="K452" i="16"/>
  <c r="K122" i="16"/>
  <c r="K272" i="16"/>
  <c r="K123" i="16"/>
  <c r="L123" i="16" s="1"/>
  <c r="K468" i="16"/>
  <c r="L468" i="16" s="1"/>
  <c r="K275" i="16"/>
  <c r="L275" i="16" s="1"/>
  <c r="K124" i="16"/>
  <c r="L124" i="16" s="1"/>
  <c r="K475" i="16"/>
  <c r="L475" i="16" s="1"/>
  <c r="K125" i="16"/>
  <c r="L125" i="16" s="1"/>
  <c r="K478" i="16"/>
  <c r="L478" i="16" s="1"/>
  <c r="K126" i="16"/>
  <c r="L126" i="16" s="1"/>
  <c r="K273" i="16"/>
  <c r="L273" i="16" s="1"/>
  <c r="K29" i="16"/>
  <c r="L29" i="16" s="1"/>
  <c r="K491" i="16"/>
  <c r="L491" i="16" s="1"/>
  <c r="K318" i="16"/>
  <c r="L318" i="16" s="1"/>
  <c r="K492" i="16"/>
  <c r="L492" i="16" s="1"/>
  <c r="K30" i="16"/>
  <c r="L30" i="16" s="1"/>
  <c r="K319" i="16"/>
  <c r="L319" i="16" s="1"/>
  <c r="K31" i="16"/>
  <c r="L31" i="16" s="1"/>
  <c r="K493" i="16"/>
  <c r="L493" i="16" s="1"/>
  <c r="K320" i="16"/>
  <c r="L320" i="16" s="1"/>
  <c r="F18" i="18"/>
  <c r="K494" i="16"/>
  <c r="L494" i="16" s="1"/>
  <c r="K32" i="16"/>
  <c r="L32" i="16" s="1"/>
  <c r="K321" i="16"/>
  <c r="L321" i="16" s="1"/>
  <c r="K495" i="16"/>
  <c r="L495" i="16" s="1"/>
  <c r="K33" i="16"/>
  <c r="L33" i="16" s="1"/>
  <c r="K322" i="16"/>
  <c r="L322" i="16" s="1"/>
  <c r="K34" i="16"/>
  <c r="L34" i="16" s="1"/>
  <c r="K499" i="16"/>
  <c r="L499" i="16" s="1"/>
  <c r="K323" i="16"/>
  <c r="L323" i="16" s="1"/>
  <c r="K484" i="16"/>
  <c r="K314" i="16"/>
  <c r="K27" i="16"/>
  <c r="K35" i="16"/>
  <c r="L35" i="16" s="1"/>
  <c r="K501" i="16"/>
  <c r="L501" i="16" s="1"/>
  <c r="K324" i="16"/>
  <c r="L324" i="16" s="1"/>
  <c r="F17" i="18"/>
  <c r="K326" i="16"/>
  <c r="L326" i="16" s="1"/>
  <c r="K485" i="16"/>
  <c r="K28" i="16"/>
  <c r="K316" i="16"/>
  <c r="K502" i="16"/>
  <c r="L502" i="16" s="1"/>
  <c r="K36" i="16"/>
  <c r="L36" i="16" s="1"/>
  <c r="K325" i="16"/>
  <c r="L325" i="16" s="1"/>
  <c r="K69" i="16"/>
  <c r="K313" i="16"/>
  <c r="K482" i="16"/>
  <c r="K71" i="16"/>
  <c r="K486" i="16"/>
  <c r="K317" i="16"/>
  <c r="K70" i="16"/>
  <c r="K483" i="16"/>
  <c r="K315" i="16"/>
  <c r="K68" i="16"/>
  <c r="K480" i="16"/>
  <c r="K311" i="16"/>
  <c r="K496" i="16"/>
  <c r="L496" i="16" s="1"/>
  <c r="K329" i="16"/>
  <c r="L329" i="16" s="1"/>
  <c r="K77" i="16"/>
  <c r="L77" i="16" s="1"/>
  <c r="K78" i="16"/>
  <c r="L78" i="16" s="1"/>
  <c r="K497" i="16"/>
  <c r="L497" i="16" s="1"/>
  <c r="K330" i="16"/>
  <c r="L330" i="16" s="1"/>
  <c r="K498" i="16"/>
  <c r="L498" i="16" s="1"/>
  <c r="K79" i="16"/>
  <c r="L79" i="16" s="1"/>
  <c r="K331" i="16"/>
  <c r="L331" i="16" s="1"/>
  <c r="K505" i="16"/>
  <c r="L505" i="16" s="1"/>
  <c r="K80" i="16"/>
  <c r="L80" i="16" s="1"/>
  <c r="K332" i="16"/>
  <c r="L332" i="16" s="1"/>
  <c r="K333" i="16"/>
  <c r="L333" i="16" s="1"/>
  <c r="K81" i="16"/>
  <c r="L81" i="16" s="1"/>
  <c r="K500" i="16"/>
  <c r="L500" i="16" s="1"/>
  <c r="K75" i="16"/>
  <c r="L75" i="16" s="1"/>
  <c r="K327" i="16"/>
  <c r="L327" i="16" s="1"/>
  <c r="K248" i="16"/>
  <c r="L248" i="16" s="1"/>
  <c r="K247" i="16"/>
  <c r="L247" i="16" s="1"/>
  <c r="K249" i="16"/>
  <c r="L249" i="16" s="1"/>
  <c r="K237" i="16"/>
  <c r="L237" i="16" s="1"/>
  <c r="K250" i="16"/>
  <c r="L250" i="16" s="1"/>
  <c r="K242" i="16"/>
  <c r="L242" i="16" s="1"/>
  <c r="K240" i="16"/>
  <c r="L240" i="16" s="1"/>
  <c r="K244" i="16"/>
  <c r="L244" i="16" s="1"/>
  <c r="K601" i="16"/>
  <c r="L601" i="16" s="1"/>
  <c r="K251" i="16"/>
  <c r="L251" i="16" s="1"/>
  <c r="K440" i="16"/>
  <c r="L440" i="16" s="1"/>
  <c r="K246" i="16"/>
  <c r="L246" i="16" s="1"/>
  <c r="J28" i="10"/>
  <c r="K45" i="3" s="1"/>
  <c r="S43" i="10"/>
  <c r="N416" i="16" s="1"/>
  <c r="K87" i="16"/>
  <c r="L87" i="16" s="1"/>
  <c r="K513" i="16"/>
  <c r="L513" i="16" s="1"/>
  <c r="K342" i="16"/>
  <c r="L342" i="16" s="1"/>
  <c r="K507" i="16"/>
  <c r="L507" i="16" s="1"/>
  <c r="K88" i="16"/>
  <c r="L88" i="16" s="1"/>
  <c r="K339" i="16"/>
  <c r="L339" i="16" s="1"/>
  <c r="K86" i="16"/>
  <c r="L86" i="16" s="1"/>
  <c r="K512" i="16"/>
  <c r="L512" i="16" s="1"/>
  <c r="K338" i="16"/>
  <c r="L338" i="16" s="1"/>
  <c r="K508" i="16"/>
  <c r="L508" i="16" s="1"/>
  <c r="K89" i="16"/>
  <c r="L89" i="16" s="1"/>
  <c r="K340" i="16"/>
  <c r="L340" i="16" s="1"/>
  <c r="K506" i="16"/>
  <c r="L506" i="16" s="1"/>
  <c r="K82" i="16"/>
  <c r="L82" i="16" s="1"/>
  <c r="K334" i="16"/>
  <c r="L334" i="16" s="1"/>
  <c r="K341" i="16"/>
  <c r="L341" i="16" s="1"/>
  <c r="K509" i="16"/>
  <c r="L509" i="16" s="1"/>
  <c r="K90" i="16"/>
  <c r="L90" i="16" s="1"/>
  <c r="K521" i="16"/>
  <c r="L521" i="16" s="1"/>
  <c r="K94" i="16"/>
  <c r="L94" i="16" s="1"/>
  <c r="K347" i="16"/>
  <c r="L347" i="16" s="1"/>
  <c r="K83" i="16"/>
  <c r="L83" i="16" s="1"/>
  <c r="K510" i="16"/>
  <c r="L510" i="16" s="1"/>
  <c r="K335" i="16"/>
  <c r="L335" i="16" s="1"/>
  <c r="K91" i="16"/>
  <c r="L91" i="16" s="1"/>
  <c r="K515" i="16"/>
  <c r="L515" i="16" s="1"/>
  <c r="K344" i="16"/>
  <c r="L344" i="16" s="1"/>
  <c r="K84" i="16"/>
  <c r="L84" i="16" s="1"/>
  <c r="K336" i="16"/>
  <c r="L336" i="16" s="1"/>
  <c r="K503" i="16"/>
  <c r="L503" i="16" s="1"/>
  <c r="K92" i="16"/>
  <c r="L92" i="16" s="1"/>
  <c r="K343" i="16"/>
  <c r="L343" i="16" s="1"/>
  <c r="K511" i="16"/>
  <c r="L511" i="16" s="1"/>
  <c r="K504" i="16"/>
  <c r="L504" i="16" s="1"/>
  <c r="K85" i="16"/>
  <c r="L85" i="16" s="1"/>
  <c r="K337" i="16"/>
  <c r="L337" i="16" s="1"/>
  <c r="K93" i="16"/>
  <c r="L93" i="16" s="1"/>
  <c r="K520" i="16"/>
  <c r="L520" i="16" s="1"/>
  <c r="K345" i="16"/>
  <c r="L345" i="16" s="1"/>
  <c r="K441" i="16"/>
  <c r="L441" i="16" s="1"/>
  <c r="K255" i="16"/>
  <c r="L255" i="16" s="1"/>
  <c r="K602" i="16"/>
  <c r="L602" i="16" s="1"/>
  <c r="K256" i="16"/>
  <c r="L256" i="16" s="1"/>
  <c r="K442" i="16"/>
  <c r="L442" i="16" s="1"/>
  <c r="K603" i="16"/>
  <c r="L603" i="16" s="1"/>
  <c r="K604" i="16"/>
  <c r="L604" i="16" s="1"/>
  <c r="K443" i="16"/>
  <c r="L443" i="16" s="1"/>
  <c r="K257" i="16"/>
  <c r="L257" i="16" s="1"/>
  <c r="K258" i="16"/>
  <c r="L258" i="16" s="1"/>
  <c r="K605" i="16"/>
  <c r="L605" i="16" s="1"/>
  <c r="K454" i="16"/>
  <c r="L454" i="16" s="1"/>
  <c r="K259" i="16"/>
  <c r="L259" i="16" s="1"/>
  <c r="K606" i="16"/>
  <c r="L606" i="16" s="1"/>
  <c r="K444" i="16"/>
  <c r="L444" i="16" s="1"/>
  <c r="K204" i="16"/>
  <c r="L204" i="16" s="1"/>
  <c r="K409" i="16"/>
  <c r="L409" i="16" s="1"/>
  <c r="K558" i="16"/>
  <c r="L558" i="16" s="1"/>
  <c r="K202" i="16"/>
  <c r="L202" i="16" s="1"/>
  <c r="K203" i="16"/>
  <c r="L203" i="16" s="1"/>
  <c r="K408" i="16"/>
  <c r="L408" i="16" s="1"/>
  <c r="K559" i="16"/>
  <c r="L559" i="16" s="1"/>
  <c r="K205" i="16"/>
  <c r="L205" i="16" s="1"/>
  <c r="K410" i="16"/>
  <c r="L410" i="16" s="1"/>
  <c r="K206" i="16"/>
  <c r="L206" i="16" s="1"/>
  <c r="K411" i="16"/>
  <c r="L411" i="16" s="1"/>
  <c r="K556" i="16"/>
  <c r="L556" i="16" s="1"/>
  <c r="K404" i="16"/>
  <c r="L404" i="16" s="1"/>
  <c r="K197" i="16"/>
  <c r="L197" i="16" s="1"/>
  <c r="K560" i="16"/>
  <c r="L560" i="16" s="1"/>
  <c r="K208" i="16"/>
  <c r="L208" i="16" s="1"/>
  <c r="K412" i="16"/>
  <c r="L412" i="16" s="1"/>
  <c r="K405" i="16"/>
  <c r="L405" i="16" s="1"/>
  <c r="K557" i="16"/>
  <c r="L557" i="16" s="1"/>
  <c r="K198" i="16"/>
  <c r="L198" i="16" s="1"/>
  <c r="K569" i="16"/>
  <c r="L569" i="16" s="1"/>
  <c r="K209" i="16"/>
  <c r="L209" i="16" s="1"/>
  <c r="K419" i="16"/>
  <c r="L419" i="16" s="1"/>
  <c r="K406" i="16"/>
  <c r="L406" i="16" s="1"/>
  <c r="K199" i="16"/>
  <c r="L199" i="16" s="1"/>
  <c r="K200" i="16"/>
  <c r="L200" i="16" s="1"/>
  <c r="K414" i="16"/>
  <c r="L414" i="16" s="1"/>
  <c r="K211" i="16"/>
  <c r="L211" i="16" s="1"/>
  <c r="K210" i="16"/>
  <c r="L210" i="16" s="1"/>
  <c r="K201" i="16"/>
  <c r="L201" i="16" s="1"/>
  <c r="K407" i="16"/>
  <c r="L407" i="16" s="1"/>
  <c r="K575" i="16"/>
  <c r="L575" i="16" s="1"/>
  <c r="K230" i="16"/>
  <c r="L230" i="16" s="1"/>
  <c r="K430" i="16"/>
  <c r="L430" i="16" s="1"/>
  <c r="K232" i="16"/>
  <c r="L232" i="16" s="1"/>
  <c r="K592" i="16"/>
  <c r="L592" i="16" s="1"/>
  <c r="K233" i="16"/>
  <c r="L233" i="16" s="1"/>
  <c r="K231" i="16"/>
  <c r="L231" i="16" s="1"/>
  <c r="K229" i="16"/>
  <c r="L229" i="16" s="1"/>
  <c r="K448" i="16"/>
  <c r="L448" i="16" s="1"/>
  <c r="K610" i="16"/>
  <c r="L610" i="16" s="1"/>
  <c r="K268" i="16"/>
  <c r="L268" i="16" s="1"/>
  <c r="K611" i="16"/>
  <c r="L611" i="16" s="1"/>
  <c r="K269" i="16"/>
  <c r="L269" i="16" s="1"/>
  <c r="K455" i="16"/>
  <c r="L455" i="16" s="1"/>
  <c r="K612" i="16"/>
  <c r="L612" i="16" s="1"/>
  <c r="K450" i="16"/>
  <c r="L450" i="16" s="1"/>
  <c r="K270" i="16"/>
  <c r="L270" i="16" s="1"/>
  <c r="K271" i="16"/>
  <c r="L271" i="16" s="1"/>
  <c r="K613" i="16"/>
  <c r="L613" i="16" s="1"/>
  <c r="K457" i="16"/>
  <c r="L457" i="16" s="1"/>
  <c r="K252" i="16"/>
  <c r="L252" i="16" s="1"/>
  <c r="K253" i="16"/>
  <c r="L253" i="16" s="1"/>
  <c r="K254" i="16"/>
  <c r="L254" i="16" s="1"/>
  <c r="K553" i="16"/>
  <c r="K386" i="16"/>
  <c r="K149" i="16"/>
  <c r="K150" i="16"/>
  <c r="L150" i="16" s="1"/>
  <c r="K554" i="16"/>
  <c r="L554" i="16" s="1"/>
  <c r="K387" i="16"/>
  <c r="L387" i="16" s="1"/>
  <c r="K385" i="16"/>
  <c r="K148" i="16"/>
  <c r="K552" i="16"/>
  <c r="K383" i="16"/>
  <c r="L383" i="16" s="1"/>
  <c r="K145" i="16"/>
  <c r="L145" i="16" s="1"/>
  <c r="K549" i="16"/>
  <c r="L549" i="16" s="1"/>
  <c r="K360" i="16"/>
  <c r="K526" i="16"/>
  <c r="K116" i="16"/>
  <c r="K361" i="16"/>
  <c r="K117" i="16"/>
  <c r="K527" i="16"/>
  <c r="K525" i="16"/>
  <c r="K115" i="16"/>
  <c r="K359" i="16"/>
  <c r="K114" i="16"/>
  <c r="K524" i="16"/>
  <c r="K358" i="16"/>
  <c r="K63" i="16"/>
  <c r="L63" i="16" s="1"/>
  <c r="K476" i="16"/>
  <c r="L476" i="16" s="1"/>
  <c r="K305" i="16"/>
  <c r="L305" i="16" s="1"/>
  <c r="K22" i="16"/>
  <c r="L22" i="16" s="1"/>
  <c r="K24" i="16"/>
  <c r="L24" i="16" s="1"/>
  <c r="K23" i="16"/>
  <c r="L23" i="16" s="1"/>
  <c r="K291" i="16"/>
  <c r="L291" i="16" s="1"/>
  <c r="K290" i="16"/>
  <c r="L290" i="16" s="1"/>
  <c r="K465" i="16"/>
  <c r="L465" i="16" s="1"/>
  <c r="K20" i="16"/>
  <c r="L20" i="16" s="1"/>
  <c r="K21" i="16"/>
  <c r="L21" i="16" s="1"/>
  <c r="K11" i="16"/>
  <c r="L11" i="16" s="1"/>
  <c r="K283" i="16"/>
  <c r="L283" i="16" s="1"/>
  <c r="K12" i="16"/>
  <c r="L12" i="16" s="1"/>
  <c r="K284" i="16"/>
  <c r="L284" i="16" s="1"/>
  <c r="K13" i="16"/>
  <c r="L13" i="16" s="1"/>
  <c r="K14" i="16"/>
  <c r="L14" i="16" s="1"/>
  <c r="K285" i="16"/>
  <c r="L285" i="16" s="1"/>
  <c r="K141" i="16"/>
  <c r="L141" i="16" s="1"/>
  <c r="K379" i="16"/>
  <c r="L379" i="16" s="1"/>
  <c r="K545" i="16"/>
  <c r="L545" i="16" s="1"/>
  <c r="K381" i="16"/>
  <c r="K143" i="16"/>
  <c r="K547" i="16"/>
  <c r="K382" i="16"/>
  <c r="K548" i="16"/>
  <c r="K144" i="16"/>
  <c r="K66" i="16"/>
  <c r="K308" i="16"/>
  <c r="K477" i="16"/>
  <c r="K67" i="16"/>
  <c r="L67" i="16" s="1"/>
  <c r="K489" i="16"/>
  <c r="L489" i="16" s="1"/>
  <c r="K309" i="16"/>
  <c r="L309" i="16" s="1"/>
  <c r="F10" i="18"/>
  <c r="K64" i="16"/>
  <c r="L64" i="16" s="1"/>
  <c r="K306" i="16"/>
  <c r="L306" i="16" s="1"/>
  <c r="K65" i="16"/>
  <c r="K307" i="16"/>
  <c r="K389" i="16"/>
  <c r="L389" i="16" s="1"/>
  <c r="K177" i="16"/>
  <c r="L177" i="16" s="1"/>
  <c r="K178" i="16"/>
  <c r="L178" i="16" s="1"/>
  <c r="K182" i="16"/>
  <c r="L182" i="16" s="1"/>
  <c r="K395" i="16"/>
  <c r="L395" i="16" s="1"/>
  <c r="K392" i="16"/>
  <c r="K183" i="16"/>
  <c r="K179" i="16"/>
  <c r="L179" i="16" s="1"/>
  <c r="K184" i="16"/>
  <c r="L184" i="16" s="1"/>
  <c r="K393" i="16"/>
  <c r="L393" i="16" s="1"/>
  <c r="K185" i="16"/>
  <c r="K394" i="16"/>
  <c r="K565" i="16"/>
  <c r="K180" i="16"/>
  <c r="L180" i="16" s="1"/>
  <c r="K390" i="16"/>
  <c r="L390" i="16" s="1"/>
  <c r="K398" i="16"/>
  <c r="L398" i="16" s="1"/>
  <c r="K186" i="16"/>
  <c r="L186" i="16" s="1"/>
  <c r="K181" i="16"/>
  <c r="L181" i="16" s="1"/>
  <c r="K391" i="16"/>
  <c r="L391" i="16" s="1"/>
  <c r="K176" i="16"/>
  <c r="L176" i="16" s="1"/>
  <c r="K571" i="16"/>
  <c r="K400" i="16"/>
  <c r="K192" i="16"/>
  <c r="K576" i="16"/>
  <c r="L576" i="16" s="1"/>
  <c r="K193" i="16"/>
  <c r="L193" i="16" s="1"/>
  <c r="K413" i="16"/>
  <c r="L413" i="16" s="1"/>
  <c r="K194" i="16"/>
  <c r="L194" i="16" s="1"/>
  <c r="K417" i="16"/>
  <c r="L417" i="16" s="1"/>
  <c r="K195" i="16"/>
  <c r="L195" i="16" s="1"/>
  <c r="K578" i="16"/>
  <c r="L578" i="16" s="1"/>
  <c r="K418" i="16"/>
  <c r="L418" i="16" s="1"/>
  <c r="K196" i="16"/>
  <c r="L196" i="16" s="1"/>
  <c r="K574" i="16"/>
  <c r="L574" i="16" s="1"/>
  <c r="K403" i="16"/>
  <c r="L403" i="16" s="1"/>
  <c r="K245" i="16"/>
  <c r="L245" i="16" s="1"/>
  <c r="K600" i="16"/>
  <c r="L600" i="16" s="1"/>
  <c r="K453" i="16"/>
  <c r="L453" i="16" s="1"/>
  <c r="K243" i="16"/>
  <c r="L243" i="16" s="1"/>
  <c r="K599" i="16"/>
  <c r="L599" i="16" s="1"/>
  <c r="K438" i="16"/>
  <c r="L438" i="16" s="1"/>
  <c r="K596" i="16"/>
  <c r="L596" i="16" s="1"/>
  <c r="K238" i="16"/>
  <c r="L238" i="16" s="1"/>
  <c r="K449" i="16"/>
  <c r="L449" i="16" s="1"/>
  <c r="K597" i="16"/>
  <c r="L597" i="16" s="1"/>
  <c r="K239" i="16"/>
  <c r="L239" i="16" s="1"/>
  <c r="K451" i="16"/>
  <c r="L451" i="16" s="1"/>
  <c r="K241" i="16"/>
  <c r="L241" i="16" s="1"/>
  <c r="K598" i="16"/>
  <c r="L598" i="16" s="1"/>
  <c r="K437" i="16"/>
  <c r="L437" i="16" s="1"/>
  <c r="K37" i="16"/>
  <c r="L37" i="16" s="1"/>
  <c r="K466" i="16"/>
  <c r="L466" i="16" s="1"/>
  <c r="K292" i="16"/>
  <c r="L292" i="16" s="1"/>
  <c r="K294" i="16"/>
  <c r="K467" i="16"/>
  <c r="K39" i="16"/>
  <c r="K487" i="16"/>
  <c r="L487" i="16" s="1"/>
  <c r="K40" i="16"/>
  <c r="L40" i="16" s="1"/>
  <c r="K295" i="16"/>
  <c r="L295" i="16" s="1"/>
  <c r="K397" i="16"/>
  <c r="L397" i="16" s="1"/>
  <c r="K567" i="16"/>
  <c r="L567" i="16" s="1"/>
  <c r="K188" i="16"/>
  <c r="L188" i="16" s="1"/>
  <c r="K189" i="16"/>
  <c r="L189" i="16" s="1"/>
  <c r="K570" i="16"/>
  <c r="L570" i="16" s="1"/>
  <c r="K399" i="16"/>
  <c r="L399" i="16" s="1"/>
  <c r="K190" i="16"/>
  <c r="L190" i="16" s="1"/>
  <c r="K572" i="16"/>
  <c r="L572" i="16" s="1"/>
  <c r="K401" i="16"/>
  <c r="L401" i="16" s="1"/>
  <c r="K191" i="16"/>
  <c r="L191" i="16" s="1"/>
  <c r="K402" i="16"/>
  <c r="L402" i="16" s="1"/>
  <c r="K573" i="16"/>
  <c r="L573" i="16" s="1"/>
  <c r="K396" i="16"/>
  <c r="L396" i="16" s="1"/>
  <c r="K187" i="16"/>
  <c r="L187" i="16" s="1"/>
  <c r="K566" i="16"/>
  <c r="L566" i="16" s="1"/>
  <c r="J27" i="10"/>
  <c r="K121" i="16"/>
  <c r="K530" i="16"/>
  <c r="K365" i="16"/>
  <c r="K528" i="16"/>
  <c r="K118" i="16"/>
  <c r="K362" i="16"/>
  <c r="K529" i="16"/>
  <c r="K119" i="16"/>
  <c r="K363" i="16"/>
  <c r="K280" i="16"/>
  <c r="L280" i="16" s="1"/>
  <c r="K8" i="16"/>
  <c r="L8" i="16" s="1"/>
  <c r="K458" i="16"/>
  <c r="L458" i="16" s="1"/>
  <c r="K460" i="16"/>
  <c r="L460" i="16" s="1"/>
  <c r="K282" i="16"/>
  <c r="L282" i="16" s="1"/>
  <c r="K10" i="16"/>
  <c r="L10" i="16" s="1"/>
  <c r="K103" i="16"/>
  <c r="L103" i="16" s="1"/>
  <c r="K516" i="16"/>
  <c r="L516" i="16" s="1"/>
  <c r="K97" i="16"/>
  <c r="L97" i="16" s="1"/>
  <c r="K348" i="16"/>
  <c r="L348" i="16" s="1"/>
  <c r="K104" i="16"/>
  <c r="L104" i="16" s="1"/>
  <c r="K533" i="16"/>
  <c r="L533" i="16" s="1"/>
  <c r="K353" i="16"/>
  <c r="L353" i="16" s="1"/>
  <c r="K517" i="16"/>
  <c r="L517" i="16" s="1"/>
  <c r="K98" i="16"/>
  <c r="L98" i="16" s="1"/>
  <c r="K349" i="16"/>
  <c r="L349" i="16" s="1"/>
  <c r="K518" i="16"/>
  <c r="L518" i="16" s="1"/>
  <c r="K350" i="16"/>
  <c r="L350" i="16" s="1"/>
  <c r="K99" i="16"/>
  <c r="L99" i="16" s="1"/>
  <c r="K351" i="16"/>
  <c r="L351" i="16" s="1"/>
  <c r="K519" i="16"/>
  <c r="L519" i="16" s="1"/>
  <c r="K100" i="16"/>
  <c r="L100" i="16" s="1"/>
  <c r="K101" i="16"/>
  <c r="L101" i="16" s="1"/>
  <c r="K96" i="16"/>
  <c r="L96" i="16" s="1"/>
  <c r="K523" i="16"/>
  <c r="L523" i="16" s="1"/>
  <c r="K352" i="16"/>
  <c r="L352" i="16" s="1"/>
  <c r="K95" i="16"/>
  <c r="L95" i="16" s="1"/>
  <c r="K346" i="16"/>
  <c r="L346" i="16" s="1"/>
  <c r="K514" i="16"/>
  <c r="L514" i="16" s="1"/>
  <c r="K102" i="16"/>
  <c r="L102" i="16" s="1"/>
  <c r="K112" i="16"/>
  <c r="L112" i="16" s="1"/>
  <c r="K356" i="16"/>
  <c r="L356" i="16" s="1"/>
  <c r="K111" i="16"/>
  <c r="L111" i="16" s="1"/>
  <c r="F7" i="18"/>
  <c r="K105" i="16"/>
  <c r="L105" i="16" s="1"/>
  <c r="K113" i="16"/>
  <c r="L113" i="16" s="1"/>
  <c r="K534" i="16"/>
  <c r="L534" i="16" s="1"/>
  <c r="K357" i="16"/>
  <c r="L357" i="16" s="1"/>
  <c r="K106" i="16"/>
  <c r="L106" i="16" s="1"/>
  <c r="K354" i="16"/>
  <c r="L354" i="16" s="1"/>
  <c r="K107" i="16"/>
  <c r="L107" i="16" s="1"/>
  <c r="F9" i="18"/>
  <c r="K108" i="16"/>
  <c r="L108" i="16" s="1"/>
  <c r="K522" i="16"/>
  <c r="L522" i="16" s="1"/>
  <c r="K109" i="16"/>
  <c r="L109" i="16" s="1"/>
  <c r="K355" i="16"/>
  <c r="L355" i="16" s="1"/>
  <c r="K110" i="16"/>
  <c r="L110" i="16" s="1"/>
  <c r="F5" i="18"/>
  <c r="K594" i="16"/>
  <c r="L594" i="16" s="1"/>
  <c r="K432" i="16"/>
  <c r="L432" i="16" s="1"/>
  <c r="K235" i="16"/>
  <c r="L235" i="16" s="1"/>
  <c r="K433" i="16"/>
  <c r="L433" i="16" s="1"/>
  <c r="K236" i="16"/>
  <c r="L236" i="16" s="1"/>
  <c r="K595" i="16"/>
  <c r="L595" i="16" s="1"/>
  <c r="K234" i="16"/>
  <c r="L234" i="16" s="1"/>
  <c r="K593" i="16"/>
  <c r="L593" i="16" s="1"/>
  <c r="K431" i="16"/>
  <c r="L431" i="16" s="1"/>
  <c r="K225" i="16"/>
  <c r="L225" i="16" s="1"/>
  <c r="K588" i="16"/>
  <c r="L588" i="16" s="1"/>
  <c r="K428" i="16"/>
  <c r="L428" i="16" s="1"/>
  <c r="K227" i="16"/>
  <c r="L227" i="16" s="1"/>
  <c r="K590" i="16"/>
  <c r="L590" i="16" s="1"/>
  <c r="K220" i="16"/>
  <c r="L220" i="16" s="1"/>
  <c r="K584" i="16"/>
  <c r="L584" i="16" s="1"/>
  <c r="K221" i="16"/>
  <c r="L221" i="16" s="1"/>
  <c r="K222" i="16"/>
  <c r="L222" i="16" s="1"/>
  <c r="K585" i="16"/>
  <c r="L585" i="16" s="1"/>
  <c r="K217" i="16"/>
  <c r="L217" i="16" s="1"/>
  <c r="K581" i="16"/>
  <c r="L581" i="16" s="1"/>
  <c r="K219" i="16"/>
  <c r="L219" i="16" s="1"/>
  <c r="K583" i="16"/>
  <c r="L583" i="16" s="1"/>
  <c r="K214" i="16"/>
  <c r="L214" i="16" s="1"/>
  <c r="K586" i="16"/>
  <c r="L586" i="16" s="1"/>
  <c r="K216" i="16"/>
  <c r="L216" i="16" s="1"/>
  <c r="K580" i="16"/>
  <c r="L580" i="16" s="1"/>
  <c r="K215" i="16"/>
  <c r="L215" i="16" s="1"/>
  <c r="K49" i="16"/>
  <c r="L49" i="16" s="1"/>
  <c r="F4" i="18"/>
  <c r="K42" i="16"/>
  <c r="L42" i="16" s="1"/>
  <c r="K50" i="16"/>
  <c r="L50" i="16" s="1"/>
  <c r="K43" i="16"/>
  <c r="L43" i="16" s="1"/>
  <c r="K51" i="16"/>
  <c r="L51" i="16" s="1"/>
  <c r="K44" i="16"/>
  <c r="L44" i="16" s="1"/>
  <c r="K53" i="16"/>
  <c r="L53" i="16" s="1"/>
  <c r="K48" i="16"/>
  <c r="L48" i="16" s="1"/>
  <c r="K45" i="16"/>
  <c r="L45" i="16" s="1"/>
  <c r="K46" i="16"/>
  <c r="L46" i="16" s="1"/>
  <c r="K47" i="16"/>
  <c r="L47" i="16" s="1"/>
  <c r="K175" i="16"/>
  <c r="L175" i="16" s="1"/>
  <c r="K154" i="16"/>
  <c r="L154" i="16" s="1"/>
  <c r="K159" i="16"/>
  <c r="L159" i="16" s="1"/>
  <c r="K161" i="16"/>
  <c r="L161" i="16" s="1"/>
  <c r="K174" i="16"/>
  <c r="L174" i="16" s="1"/>
  <c r="K168" i="16"/>
  <c r="L168" i="16" s="1"/>
  <c r="K169" i="16"/>
  <c r="L169" i="16" s="1"/>
  <c r="K170" i="16"/>
  <c r="L170" i="16" s="1"/>
  <c r="K171" i="16"/>
  <c r="L171" i="16" s="1"/>
  <c r="K158" i="16"/>
  <c r="L158" i="16" s="1"/>
  <c r="K166" i="16"/>
  <c r="L166" i="16" s="1"/>
  <c r="K155" i="16"/>
  <c r="L155" i="16" s="1"/>
  <c r="K162" i="16"/>
  <c r="L162" i="16" s="1"/>
  <c r="K167" i="16"/>
  <c r="L167" i="16" s="1"/>
  <c r="K163" i="16"/>
  <c r="L163" i="16" s="1"/>
  <c r="K156" i="16"/>
  <c r="L156" i="16" s="1"/>
  <c r="K160" i="16"/>
  <c r="L160" i="16" s="1"/>
  <c r="K164" i="16"/>
  <c r="L164" i="16" s="1"/>
  <c r="K152" i="16"/>
  <c r="L152" i="16" s="1"/>
  <c r="K157" i="16"/>
  <c r="L157" i="16" s="1"/>
  <c r="K153" i="16"/>
  <c r="L153" i="16" s="1"/>
  <c r="K165" i="16"/>
  <c r="L165" i="16" s="1"/>
  <c r="K172" i="16"/>
  <c r="L172" i="16" s="1"/>
  <c r="K173" i="16"/>
  <c r="L173" i="16" s="1"/>
  <c r="K6" i="16"/>
  <c r="L6" i="16" s="1"/>
  <c r="K7" i="16"/>
  <c r="L7" i="16" s="1"/>
  <c r="K422" i="16"/>
  <c r="L422" i="16" s="1"/>
  <c r="K423" i="16"/>
  <c r="L423" i="16" s="1"/>
  <c r="K421" i="16"/>
  <c r="L421" i="16" s="1"/>
  <c r="K425" i="16"/>
  <c r="L425" i="16" s="1"/>
  <c r="K426" i="16"/>
  <c r="L426" i="16" s="1"/>
  <c r="K427" i="16"/>
  <c r="L427" i="16" s="1"/>
  <c r="U58" i="7"/>
  <c r="Q53" i="8"/>
  <c r="Q51" i="8"/>
  <c r="Q54" i="8"/>
  <c r="Q52" i="8"/>
  <c r="Q49" i="8"/>
  <c r="Q50" i="8"/>
  <c r="U76" i="7"/>
  <c r="U77" i="7"/>
  <c r="U59" i="8"/>
  <c r="S120" i="7"/>
  <c r="L104" i="7"/>
  <c r="S104" i="7" s="1"/>
  <c r="Q65" i="8"/>
  <c r="Q89" i="4" s="1"/>
  <c r="Q48" i="8"/>
  <c r="U48" i="8"/>
  <c r="Q56" i="8"/>
  <c r="Q90" i="4" s="1"/>
  <c r="Q61" i="8"/>
  <c r="Q80" i="4" s="1"/>
  <c r="U62" i="8"/>
  <c r="U81" i="4" s="1"/>
  <c r="Q62" i="8"/>
  <c r="Q81" i="4" s="1"/>
  <c r="Q63" i="8"/>
  <c r="Q87" i="4" s="1"/>
  <c r="Q64" i="8"/>
  <c r="Q88" i="4" s="1"/>
  <c r="Q98" i="7"/>
  <c r="S98" i="7"/>
  <c r="U72" i="7"/>
  <c r="S72" i="7"/>
  <c r="S108" i="7"/>
  <c r="Q108" i="7"/>
  <c r="Q119" i="7"/>
  <c r="S119" i="7"/>
  <c r="Q111" i="7"/>
  <c r="S111" i="7"/>
  <c r="Q110" i="7"/>
  <c r="S110" i="7"/>
  <c r="S114" i="7"/>
  <c r="Q114" i="7"/>
  <c r="S95" i="7"/>
  <c r="Q95" i="7"/>
  <c r="U69" i="7"/>
  <c r="S69" i="7"/>
  <c r="Q117" i="7"/>
  <c r="S117" i="7"/>
  <c r="S96" i="7"/>
  <c r="Q96" i="7"/>
  <c r="S118" i="7"/>
  <c r="Q118" i="7"/>
  <c r="S97" i="7"/>
  <c r="Q97" i="7"/>
  <c r="N225" i="16"/>
  <c r="Q96" i="4"/>
  <c r="M63" i="9"/>
  <c r="M99" i="7" s="1"/>
  <c r="L50" i="4"/>
  <c r="U104" i="7" l="1"/>
  <c r="N563" i="16"/>
  <c r="U112" i="7"/>
  <c r="L40" i="7"/>
  <c r="Q104" i="7"/>
  <c r="K44" i="3"/>
  <c r="K3" i="3" s="1"/>
  <c r="S81" i="4"/>
  <c r="N274" i="16"/>
  <c r="S88" i="4"/>
  <c r="N276" i="16"/>
  <c r="S89" i="4"/>
  <c r="N277" i="16"/>
  <c r="J5" i="18"/>
  <c r="L71" i="6"/>
  <c r="Q120" i="7"/>
  <c r="U120" i="7"/>
  <c r="L41" i="7"/>
  <c r="K72" i="16"/>
  <c r="L72" i="16" s="1"/>
  <c r="K388" i="16"/>
  <c r="L388" i="16" s="1"/>
  <c r="K151" i="16"/>
  <c r="L151" i="16" s="1"/>
  <c r="K555" i="16"/>
  <c r="L555" i="16" s="1"/>
  <c r="K138" i="16"/>
  <c r="K376" i="16"/>
  <c r="K542" i="16"/>
  <c r="K120" i="16"/>
  <c r="L120" i="16" s="1"/>
  <c r="K364" i="16"/>
  <c r="L364" i="16" s="1"/>
  <c r="O65" i="6"/>
  <c r="P65" i="6" s="1"/>
  <c r="Q65" i="6" s="1"/>
  <c r="B80" i="4" l="1"/>
  <c r="N220" i="16" l="1"/>
  <c r="S102" i="7" l="1"/>
  <c r="Q102" i="7"/>
  <c r="T42" i="10" l="1"/>
  <c r="R42" i="10"/>
  <c r="P42" i="10"/>
  <c r="T32" i="10"/>
  <c r="R32" i="10"/>
  <c r="P32" i="10"/>
  <c r="N403" i="16"/>
  <c r="N418" i="16"/>
  <c r="N417" i="16"/>
  <c r="N413" i="16"/>
  <c r="T56" i="9"/>
  <c r="N393" i="16"/>
  <c r="N394" i="16"/>
  <c r="N392" i="16"/>
  <c r="N398" i="16"/>
  <c r="N395" i="16"/>
  <c r="N391" i="16"/>
  <c r="N390" i="16"/>
  <c r="N389" i="16"/>
  <c r="R56" i="9"/>
  <c r="N179" i="16"/>
  <c r="N178" i="16"/>
  <c r="N177" i="16"/>
  <c r="N176" i="16"/>
  <c r="P56" i="9"/>
  <c r="H176" i="16" s="1"/>
  <c r="M176" i="16" s="1"/>
  <c r="N180" i="16"/>
  <c r="N181" i="16"/>
  <c r="N182" i="16"/>
  <c r="N183" i="16"/>
  <c r="N184" i="16"/>
  <c r="N185" i="16"/>
  <c r="N186" i="16"/>
  <c r="N574" i="16"/>
  <c r="N578" i="16"/>
  <c r="N571" i="16"/>
  <c r="N576" i="16"/>
  <c r="N400" i="16"/>
  <c r="T50" i="9"/>
  <c r="H571" i="16" s="1"/>
  <c r="M571" i="16" s="1"/>
  <c r="R50" i="9"/>
  <c r="H400" i="16" s="1"/>
  <c r="M400" i="16" s="1"/>
  <c r="N195" i="16"/>
  <c r="N196" i="16"/>
  <c r="N194" i="16"/>
  <c r="N193" i="16"/>
  <c r="N192" i="16"/>
  <c r="P50" i="9"/>
  <c r="P51" i="9" s="1"/>
  <c r="N600" i="16"/>
  <c r="N599" i="16"/>
  <c r="N598" i="16"/>
  <c r="N597" i="16"/>
  <c r="N596" i="16"/>
  <c r="T44" i="9"/>
  <c r="T45" i="9" s="1"/>
  <c r="N453" i="16"/>
  <c r="N438" i="16"/>
  <c r="N437" i="16"/>
  <c r="N451" i="16"/>
  <c r="N449" i="16"/>
  <c r="R44" i="9"/>
  <c r="H449" i="16" s="1"/>
  <c r="M449" i="16" s="1"/>
  <c r="N245" i="16"/>
  <c r="N243" i="16"/>
  <c r="N39" i="16"/>
  <c r="N40" i="16"/>
  <c r="N239" i="16"/>
  <c r="N241" i="16"/>
  <c r="N238" i="16"/>
  <c r="P44" i="9"/>
  <c r="H238" i="16" s="1"/>
  <c r="M238" i="16" s="1"/>
  <c r="N487" i="16"/>
  <c r="N295" i="16"/>
  <c r="N467" i="16"/>
  <c r="N293" i="16"/>
  <c r="N294" i="16"/>
  <c r="N481" i="16"/>
  <c r="N466" i="16"/>
  <c r="N38" i="16"/>
  <c r="N292" i="16"/>
  <c r="N37" i="16"/>
  <c r="T39" i="9"/>
  <c r="H466" i="16" s="1"/>
  <c r="M466" i="16" s="1"/>
  <c r="R39" i="9"/>
  <c r="H292" i="16" s="1"/>
  <c r="M292" i="16" s="1"/>
  <c r="P39" i="9"/>
  <c r="P40" i="9" s="1"/>
  <c r="T33" i="10" l="1"/>
  <c r="H531" i="16"/>
  <c r="M531" i="16" s="1"/>
  <c r="P43" i="10"/>
  <c r="H213" i="16" s="1"/>
  <c r="M213" i="16" s="1"/>
  <c r="H212" i="16"/>
  <c r="M212" i="16" s="1"/>
  <c r="P33" i="10"/>
  <c r="H127" i="16"/>
  <c r="M127" i="16" s="1"/>
  <c r="R43" i="10"/>
  <c r="H416" i="16" s="1"/>
  <c r="M416" i="16" s="1"/>
  <c r="H415" i="16"/>
  <c r="M415" i="16" s="1"/>
  <c r="R33" i="10"/>
  <c r="H366" i="16"/>
  <c r="M366" i="16" s="1"/>
  <c r="T43" i="10"/>
  <c r="H577" i="16" s="1"/>
  <c r="M577" i="16" s="1"/>
  <c r="H579" i="16"/>
  <c r="M579" i="16" s="1"/>
  <c r="T34" i="10"/>
  <c r="H532" i="16"/>
  <c r="M532" i="16" s="1"/>
  <c r="P34" i="10"/>
  <c r="H128" i="16"/>
  <c r="M128" i="16" s="1"/>
  <c r="R34" i="10"/>
  <c r="H367" i="16"/>
  <c r="M367" i="16" s="1"/>
  <c r="T51" i="9"/>
  <c r="T52" i="9" s="1"/>
  <c r="T53" i="9" s="1"/>
  <c r="T54" i="9" s="1"/>
  <c r="H574" i="16" s="1"/>
  <c r="M574" i="16" s="1"/>
  <c r="H192" i="16"/>
  <c r="M192" i="16" s="1"/>
  <c r="P57" i="9"/>
  <c r="R45" i="9"/>
  <c r="R46" i="9" s="1"/>
  <c r="R47" i="9" s="1"/>
  <c r="R48" i="9" s="1"/>
  <c r="H453" i="16" s="1"/>
  <c r="M453" i="16" s="1"/>
  <c r="P52" i="9"/>
  <c r="H193" i="16"/>
  <c r="M193" i="16" s="1"/>
  <c r="T46" i="9"/>
  <c r="H597" i="16"/>
  <c r="M597" i="16" s="1"/>
  <c r="P41" i="9"/>
  <c r="H38" i="16"/>
  <c r="M38" i="16" s="1"/>
  <c r="R57" i="9"/>
  <c r="H596" i="16"/>
  <c r="M596" i="16" s="1"/>
  <c r="T40" i="9"/>
  <c r="T57" i="9"/>
  <c r="H562" i="16" s="1"/>
  <c r="M562" i="16" s="1"/>
  <c r="H37" i="16"/>
  <c r="M37" i="16" s="1"/>
  <c r="P45" i="9"/>
  <c r="R51" i="9"/>
  <c r="R40" i="9"/>
  <c r="N544" i="16"/>
  <c r="P58" i="9" l="1"/>
  <c r="P59" i="9" s="1"/>
  <c r="P60" i="9" s="1"/>
  <c r="P61" i="9" s="1"/>
  <c r="P62" i="9" s="1"/>
  <c r="P63" i="9" s="1"/>
  <c r="P64" i="9" s="1"/>
  <c r="P65" i="9" s="1"/>
  <c r="P66" i="9" s="1"/>
  <c r="P67" i="9" s="1"/>
  <c r="P35" i="10"/>
  <c r="H129" i="16"/>
  <c r="M129" i="16" s="1"/>
  <c r="R35" i="10"/>
  <c r="H368" i="16"/>
  <c r="M368" i="16" s="1"/>
  <c r="T35" i="10"/>
  <c r="H535" i="16"/>
  <c r="M535" i="16" s="1"/>
  <c r="H576" i="16"/>
  <c r="M576" i="16" s="1"/>
  <c r="H578" i="16"/>
  <c r="M578" i="16" s="1"/>
  <c r="H177" i="16"/>
  <c r="M177" i="16" s="1"/>
  <c r="H178" i="16"/>
  <c r="M178" i="16" s="1"/>
  <c r="H437" i="16"/>
  <c r="M437" i="16" s="1"/>
  <c r="H184" i="16"/>
  <c r="M184" i="16" s="1"/>
  <c r="H182" i="16"/>
  <c r="M182" i="16" s="1"/>
  <c r="H186" i="16"/>
  <c r="M186" i="16" s="1"/>
  <c r="H183" i="16"/>
  <c r="M183" i="16" s="1"/>
  <c r="H180" i="16"/>
  <c r="M180" i="16" s="1"/>
  <c r="H179" i="16"/>
  <c r="M179" i="16" s="1"/>
  <c r="H438" i="16"/>
  <c r="M438" i="16" s="1"/>
  <c r="H181" i="16"/>
  <c r="M181" i="16" s="1"/>
  <c r="H451" i="16"/>
  <c r="M451" i="16" s="1"/>
  <c r="R58" i="9"/>
  <c r="R59" i="9" s="1"/>
  <c r="R60" i="9" s="1"/>
  <c r="R61" i="9" s="1"/>
  <c r="R62" i="9" s="1"/>
  <c r="R63" i="9" s="1"/>
  <c r="R64" i="9" s="1"/>
  <c r="R65" i="9" s="1"/>
  <c r="R66" i="9" s="1"/>
  <c r="R67" i="9" s="1"/>
  <c r="H389" i="16"/>
  <c r="M389" i="16" s="1"/>
  <c r="P42" i="9"/>
  <c r="H40" i="16" s="1"/>
  <c r="M40" i="16" s="1"/>
  <c r="H39" i="16"/>
  <c r="M39" i="16" s="1"/>
  <c r="T58" i="9"/>
  <c r="T59" i="9" s="1"/>
  <c r="T60" i="9" s="1"/>
  <c r="T61" i="9" s="1"/>
  <c r="T62" i="9" s="1"/>
  <c r="T63" i="9" s="1"/>
  <c r="T64" i="9" s="1"/>
  <c r="T65" i="9" s="1"/>
  <c r="T66" i="9" s="1"/>
  <c r="T67" i="9" s="1"/>
  <c r="R41" i="9"/>
  <c r="H293" i="16"/>
  <c r="M293" i="16" s="1"/>
  <c r="R52" i="9"/>
  <c r="H413" i="16"/>
  <c r="M413" i="16" s="1"/>
  <c r="T41" i="9"/>
  <c r="H481" i="16"/>
  <c r="M481" i="16" s="1"/>
  <c r="T47" i="9"/>
  <c r="H598" i="16"/>
  <c r="M598" i="16" s="1"/>
  <c r="P46" i="9"/>
  <c r="H239" i="16"/>
  <c r="M239" i="16" s="1"/>
  <c r="P53" i="9"/>
  <c r="H194" i="16"/>
  <c r="M194" i="16" s="1"/>
  <c r="N468" i="16"/>
  <c r="N475" i="16"/>
  <c r="N478" i="16"/>
  <c r="N275" i="16"/>
  <c r="T59" i="8"/>
  <c r="R59" i="8"/>
  <c r="H273" i="16" s="1"/>
  <c r="M273" i="16" s="1"/>
  <c r="P59" i="8"/>
  <c r="T61" i="8"/>
  <c r="H452" i="16" s="1"/>
  <c r="M452" i="16" s="1"/>
  <c r="R61" i="8"/>
  <c r="H272" i="16" s="1"/>
  <c r="M272" i="16" s="1"/>
  <c r="P61" i="8"/>
  <c r="H122" i="16" s="1"/>
  <c r="M122" i="16" s="1"/>
  <c r="N29" i="16"/>
  <c r="N30" i="16"/>
  <c r="N31" i="16"/>
  <c r="N32" i="16"/>
  <c r="N33" i="16"/>
  <c r="N34" i="16"/>
  <c r="N28" i="16"/>
  <c r="N36" i="16"/>
  <c r="N123" i="16"/>
  <c r="N124" i="16"/>
  <c r="N125" i="16"/>
  <c r="N126" i="16"/>
  <c r="N122" i="16"/>
  <c r="N452" i="16"/>
  <c r="N272" i="16"/>
  <c r="N273" i="16"/>
  <c r="N501" i="16"/>
  <c r="N499" i="16"/>
  <c r="N495" i="16"/>
  <c r="N494" i="16"/>
  <c r="N493" i="16"/>
  <c r="N492" i="16"/>
  <c r="N491" i="16"/>
  <c r="N485" i="16"/>
  <c r="N484" i="16"/>
  <c r="N490" i="16"/>
  <c r="N502" i="16"/>
  <c r="N479" i="16"/>
  <c r="N326" i="16"/>
  <c r="N325" i="16"/>
  <c r="N324" i="16"/>
  <c r="N323" i="16"/>
  <c r="N322" i="16"/>
  <c r="N321" i="16"/>
  <c r="N320" i="16"/>
  <c r="N319" i="16"/>
  <c r="N318" i="16"/>
  <c r="N316" i="16"/>
  <c r="N314" i="16"/>
  <c r="N312" i="16"/>
  <c r="N310" i="16"/>
  <c r="N35" i="16"/>
  <c r="N26" i="16"/>
  <c r="N27" i="16"/>
  <c r="N25" i="16"/>
  <c r="H185" i="16" l="1"/>
  <c r="M185" i="16" s="1"/>
  <c r="R36" i="10"/>
  <c r="H369" i="16"/>
  <c r="M369" i="16" s="1"/>
  <c r="T36" i="10"/>
  <c r="H536" i="16"/>
  <c r="M536" i="16" s="1"/>
  <c r="P36" i="10"/>
  <c r="H130" i="16"/>
  <c r="M130" i="16" s="1"/>
  <c r="T62" i="8"/>
  <c r="T63" i="8" s="1"/>
  <c r="T64" i="8" s="1"/>
  <c r="T65" i="8" s="1"/>
  <c r="H478" i="16" s="1"/>
  <c r="M478" i="16" s="1"/>
  <c r="P62" i="8"/>
  <c r="P63" i="8" s="1"/>
  <c r="P64" i="8" s="1"/>
  <c r="P65" i="8" s="1"/>
  <c r="H126" i="16" s="1"/>
  <c r="M126" i="16" s="1"/>
  <c r="R62" i="8"/>
  <c r="T48" i="9"/>
  <c r="H600" i="16" s="1"/>
  <c r="M600" i="16" s="1"/>
  <c r="H599" i="16"/>
  <c r="M599" i="16" s="1"/>
  <c r="R42" i="9"/>
  <c r="H295" i="16" s="1"/>
  <c r="M295" i="16" s="1"/>
  <c r="H294" i="16"/>
  <c r="M294" i="16" s="1"/>
  <c r="T42" i="9"/>
  <c r="H487" i="16" s="1"/>
  <c r="M487" i="16" s="1"/>
  <c r="H467" i="16"/>
  <c r="M467" i="16" s="1"/>
  <c r="P47" i="9"/>
  <c r="H241" i="16"/>
  <c r="M241" i="16" s="1"/>
  <c r="P54" i="9"/>
  <c r="H196" i="16" s="1"/>
  <c r="M196" i="16" s="1"/>
  <c r="H195" i="16"/>
  <c r="M195" i="16" s="1"/>
  <c r="R53" i="9"/>
  <c r="H417" i="16"/>
  <c r="M417" i="16" s="1"/>
  <c r="T45" i="8"/>
  <c r="R45" i="8"/>
  <c r="P45" i="8"/>
  <c r="R63" i="8" l="1"/>
  <c r="R64" i="8" s="1"/>
  <c r="H274" i="16"/>
  <c r="M274" i="16" s="1"/>
  <c r="T37" i="10"/>
  <c r="H537" i="16"/>
  <c r="M537" i="16" s="1"/>
  <c r="P37" i="10"/>
  <c r="H131" i="16"/>
  <c r="M131" i="16" s="1"/>
  <c r="R37" i="10"/>
  <c r="H468" i="16"/>
  <c r="M468" i="16" s="1"/>
  <c r="H475" i="16"/>
  <c r="M475" i="16" s="1"/>
  <c r="H275" i="16"/>
  <c r="M275" i="16" s="1"/>
  <c r="H124" i="16"/>
  <c r="M124" i="16" s="1"/>
  <c r="H125" i="16"/>
  <c r="M125" i="16" s="1"/>
  <c r="H123" i="16"/>
  <c r="M123" i="16" s="1"/>
  <c r="R46" i="8"/>
  <c r="H310" i="16"/>
  <c r="M310" i="16" s="1"/>
  <c r="P46" i="8"/>
  <c r="H25" i="16"/>
  <c r="M25" i="16" s="1"/>
  <c r="T46" i="8"/>
  <c r="H490" i="16" s="1"/>
  <c r="M490" i="16" s="1"/>
  <c r="H479" i="16"/>
  <c r="M479" i="16" s="1"/>
  <c r="R54" i="9"/>
  <c r="H403" i="16" s="1"/>
  <c r="M403" i="16" s="1"/>
  <c r="H418" i="16"/>
  <c r="M418" i="16" s="1"/>
  <c r="P48" i="9"/>
  <c r="H245" i="16" s="1"/>
  <c r="M245" i="16" s="1"/>
  <c r="H243" i="16"/>
  <c r="M243" i="16" s="1"/>
  <c r="T147" i="4"/>
  <c r="N580" i="16"/>
  <c r="N581" i="16"/>
  <c r="N583" i="16"/>
  <c r="N584" i="16"/>
  <c r="N585" i="16"/>
  <c r="N586" i="16"/>
  <c r="N587" i="16"/>
  <c r="N588" i="16"/>
  <c r="N590" i="16"/>
  <c r="N591" i="16"/>
  <c r="N421" i="16"/>
  <c r="N422" i="16"/>
  <c r="N423" i="16"/>
  <c r="N425" i="16"/>
  <c r="N426" i="16"/>
  <c r="N427" i="16"/>
  <c r="N428" i="16"/>
  <c r="N439" i="16"/>
  <c r="N215" i="16"/>
  <c r="N216" i="16"/>
  <c r="N217" i="16"/>
  <c r="N219" i="16"/>
  <c r="N221" i="16"/>
  <c r="N222" i="16"/>
  <c r="N214" i="16"/>
  <c r="N603" i="16"/>
  <c r="N604" i="16"/>
  <c r="N605" i="16"/>
  <c r="N606" i="16"/>
  <c r="N602" i="16"/>
  <c r="N442" i="16"/>
  <c r="N443" i="16"/>
  <c r="N454" i="16"/>
  <c r="N444" i="16"/>
  <c r="N441" i="16"/>
  <c r="N613" i="16"/>
  <c r="N612" i="16"/>
  <c r="N611" i="16"/>
  <c r="N610" i="16"/>
  <c r="N457" i="16"/>
  <c r="N450" i="16"/>
  <c r="N455" i="16"/>
  <c r="N448" i="16"/>
  <c r="T190" i="4"/>
  <c r="H610" i="16" s="1"/>
  <c r="M610" i="16" s="1"/>
  <c r="R190" i="4"/>
  <c r="H448" i="16" s="1"/>
  <c r="M448" i="16" s="1"/>
  <c r="P190" i="4"/>
  <c r="P191" i="4" s="1"/>
  <c r="P192" i="4" s="1"/>
  <c r="P193" i="4" s="1"/>
  <c r="H271" i="16" s="1"/>
  <c r="M271" i="16" s="1"/>
  <c r="N271" i="16"/>
  <c r="N270" i="16"/>
  <c r="N269" i="16"/>
  <c r="N268" i="16"/>
  <c r="N534" i="16"/>
  <c r="N522" i="16"/>
  <c r="N357" i="16"/>
  <c r="N356" i="16"/>
  <c r="N355" i="16"/>
  <c r="N354" i="16"/>
  <c r="N113" i="16"/>
  <c r="N112" i="16"/>
  <c r="N111" i="16"/>
  <c r="N110" i="16"/>
  <c r="N109" i="16"/>
  <c r="N108" i="16"/>
  <c r="N107" i="16"/>
  <c r="N106" i="16"/>
  <c r="N105" i="16"/>
  <c r="T180" i="4"/>
  <c r="R180" i="4"/>
  <c r="P180" i="4"/>
  <c r="P181" i="4" s="1"/>
  <c r="P182" i="4" s="1"/>
  <c r="P183" i="4" s="1"/>
  <c r="P184" i="4" s="1"/>
  <c r="P185" i="4" s="1"/>
  <c r="P186" i="4" s="1"/>
  <c r="P187" i="4" s="1"/>
  <c r="P188" i="4" s="1"/>
  <c r="H113" i="16" s="1"/>
  <c r="M113" i="16" s="1"/>
  <c r="N533" i="16"/>
  <c r="N519" i="16"/>
  <c r="N518" i="16"/>
  <c r="N517" i="16"/>
  <c r="N516" i="16"/>
  <c r="N523" i="16"/>
  <c r="N514" i="16"/>
  <c r="N353" i="16"/>
  <c r="N351" i="16"/>
  <c r="N350" i="16"/>
  <c r="N349" i="16"/>
  <c r="N348" i="16"/>
  <c r="N352" i="16"/>
  <c r="N346" i="16"/>
  <c r="N104" i="16"/>
  <c r="N102" i="16"/>
  <c r="N101" i="16"/>
  <c r="N100" i="16"/>
  <c r="N99" i="16"/>
  <c r="N98" i="16"/>
  <c r="N97" i="16"/>
  <c r="N96" i="16"/>
  <c r="N95" i="16"/>
  <c r="T169" i="4"/>
  <c r="H514" i="16" s="1"/>
  <c r="M514" i="16" s="1"/>
  <c r="R169" i="4"/>
  <c r="R170" i="4" s="1"/>
  <c r="R171" i="4" s="1"/>
  <c r="R172" i="4" s="1"/>
  <c r="R173" i="4" s="1"/>
  <c r="R174" i="4" s="1"/>
  <c r="R175" i="4" s="1"/>
  <c r="P169" i="4"/>
  <c r="H95" i="16" s="1"/>
  <c r="M95" i="16" s="1"/>
  <c r="R176" i="4" l="1"/>
  <c r="R177" i="4" s="1"/>
  <c r="R178" i="4" s="1"/>
  <c r="H353" i="16" s="1"/>
  <c r="M353" i="16" s="1"/>
  <c r="R65" i="8"/>
  <c r="H277" i="16" s="1"/>
  <c r="M277" i="16" s="1"/>
  <c r="H276" i="16"/>
  <c r="M276" i="16" s="1"/>
  <c r="P38" i="10"/>
  <c r="H132" i="16"/>
  <c r="M132" i="16" s="1"/>
  <c r="R38" i="10"/>
  <c r="H370" i="16"/>
  <c r="M370" i="16" s="1"/>
  <c r="T38" i="10"/>
  <c r="H538" i="16"/>
  <c r="M538" i="16" s="1"/>
  <c r="P170" i="4"/>
  <c r="P171" i="4" s="1"/>
  <c r="P172" i="4" s="1"/>
  <c r="P173" i="4" s="1"/>
  <c r="P174" i="4" s="1"/>
  <c r="P175" i="4" s="1"/>
  <c r="T181" i="4"/>
  <c r="T182" i="4" s="1"/>
  <c r="T183" i="4" s="1"/>
  <c r="T47" i="8"/>
  <c r="H484" i="16" s="1"/>
  <c r="M484" i="16" s="1"/>
  <c r="P47" i="8"/>
  <c r="H26" i="16"/>
  <c r="M26" i="16" s="1"/>
  <c r="R47" i="8"/>
  <c r="H312" i="16"/>
  <c r="M312" i="16" s="1"/>
  <c r="R191" i="4"/>
  <c r="R192" i="4" s="1"/>
  <c r="R193" i="4" s="1"/>
  <c r="H457" i="16" s="1"/>
  <c r="M457" i="16" s="1"/>
  <c r="R181" i="4"/>
  <c r="R182" i="4" s="1"/>
  <c r="R183" i="4" s="1"/>
  <c r="R184" i="4" s="1"/>
  <c r="R185" i="4" s="1"/>
  <c r="R186" i="4" s="1"/>
  <c r="R187" i="4" s="1"/>
  <c r="R188" i="4" s="1"/>
  <c r="H357" i="16" s="1"/>
  <c r="M357" i="16" s="1"/>
  <c r="H105" i="16"/>
  <c r="M105" i="16" s="1"/>
  <c r="T191" i="4"/>
  <c r="T192" i="4" s="1"/>
  <c r="T193" i="4" s="1"/>
  <c r="H613" i="16" s="1"/>
  <c r="M613" i="16" s="1"/>
  <c r="H268" i="16"/>
  <c r="M268" i="16" s="1"/>
  <c r="T170" i="4"/>
  <c r="T171" i="4" s="1"/>
  <c r="T172" i="4" s="1"/>
  <c r="T173" i="4" s="1"/>
  <c r="T174" i="4" s="1"/>
  <c r="T175" i="4" s="1"/>
  <c r="T176" i="4" s="1"/>
  <c r="T177" i="4" s="1"/>
  <c r="T178" i="4" s="1"/>
  <c r="T148" i="4"/>
  <c r="T149" i="4" s="1"/>
  <c r="H346" i="16"/>
  <c r="M346" i="16" s="1"/>
  <c r="H270" i="16"/>
  <c r="M270" i="16" s="1"/>
  <c r="H269" i="16"/>
  <c r="M269" i="16" s="1"/>
  <c r="H348" i="16"/>
  <c r="M348" i="16" s="1"/>
  <c r="H107" i="16"/>
  <c r="M107" i="16" s="1"/>
  <c r="H108" i="16"/>
  <c r="M108" i="16" s="1"/>
  <c r="H106" i="16"/>
  <c r="M106" i="16" s="1"/>
  <c r="H112" i="16"/>
  <c r="M112" i="16" s="1"/>
  <c r="H111" i="16"/>
  <c r="M111" i="16" s="1"/>
  <c r="H110" i="16"/>
  <c r="M110" i="16" s="1"/>
  <c r="H109" i="16"/>
  <c r="M109" i="16" s="1"/>
  <c r="H350" i="16"/>
  <c r="M350" i="16" s="1"/>
  <c r="H349" i="16"/>
  <c r="M349" i="16" s="1"/>
  <c r="H352" i="16"/>
  <c r="M352" i="16" s="1"/>
  <c r="H351" i="16"/>
  <c r="M351" i="16" s="1"/>
  <c r="P176" i="4" l="1"/>
  <c r="P177" i="4" s="1"/>
  <c r="P178" i="4" s="1"/>
  <c r="H104" i="16" s="1"/>
  <c r="M104" i="16" s="1"/>
  <c r="T184" i="4"/>
  <c r="T185" i="4" s="1"/>
  <c r="T186" i="4" s="1"/>
  <c r="T187" i="4" s="1"/>
  <c r="T188" i="4" s="1"/>
  <c r="H534" i="16" s="1"/>
  <c r="M534" i="16" s="1"/>
  <c r="R39" i="10"/>
  <c r="H371" i="16"/>
  <c r="M371" i="16" s="1"/>
  <c r="T39" i="10"/>
  <c r="H539" i="16"/>
  <c r="M539" i="16" s="1"/>
  <c r="P39" i="10"/>
  <c r="H133" i="16"/>
  <c r="M133" i="16" s="1"/>
  <c r="H455" i="16"/>
  <c r="M455" i="16" s="1"/>
  <c r="H96" i="16"/>
  <c r="M96" i="16" s="1"/>
  <c r="H100" i="16"/>
  <c r="M100" i="16" s="1"/>
  <c r="H101" i="16"/>
  <c r="M101" i="16" s="1"/>
  <c r="H97" i="16"/>
  <c r="M97" i="16" s="1"/>
  <c r="H98" i="16"/>
  <c r="M98" i="16" s="1"/>
  <c r="H99" i="16"/>
  <c r="M99" i="16" s="1"/>
  <c r="H450" i="16"/>
  <c r="M450" i="16" s="1"/>
  <c r="H356" i="16"/>
  <c r="M356" i="16" s="1"/>
  <c r="H355" i="16"/>
  <c r="M355" i="16" s="1"/>
  <c r="H354" i="16"/>
  <c r="M354" i="16" s="1"/>
  <c r="T48" i="8"/>
  <c r="T49" i="8" s="1"/>
  <c r="R48" i="8"/>
  <c r="H314" i="16"/>
  <c r="M314" i="16" s="1"/>
  <c r="P48" i="8"/>
  <c r="H27" i="16"/>
  <c r="M27" i="16" s="1"/>
  <c r="H611" i="16"/>
  <c r="M611" i="16" s="1"/>
  <c r="H516" i="16"/>
  <c r="M516" i="16" s="1"/>
  <c r="H523" i="16"/>
  <c r="M523" i="16" s="1"/>
  <c r="H519" i="16"/>
  <c r="M519" i="16" s="1"/>
  <c r="H518" i="16"/>
  <c r="M518" i="16" s="1"/>
  <c r="H612" i="16"/>
  <c r="M612" i="16" s="1"/>
  <c r="H517" i="16"/>
  <c r="M517" i="16" s="1"/>
  <c r="N211" i="16"/>
  <c r="N558" i="16"/>
  <c r="N559" i="16"/>
  <c r="N207" i="16"/>
  <c r="N560" i="16"/>
  <c r="N569" i="16"/>
  <c r="N203" i="16"/>
  <c r="N575" i="16"/>
  <c r="N200" i="16"/>
  <c r="N557" i="16"/>
  <c r="N556" i="16"/>
  <c r="N414" i="16"/>
  <c r="N411" i="16"/>
  <c r="N412" i="16"/>
  <c r="N419" i="16"/>
  <c r="N410" i="16"/>
  <c r="N409" i="16"/>
  <c r="N408" i="16"/>
  <c r="N407" i="16"/>
  <c r="N406" i="16"/>
  <c r="N405" i="16"/>
  <c r="N404" i="16"/>
  <c r="N210" i="16"/>
  <c r="N209" i="16"/>
  <c r="N208" i="16"/>
  <c r="N206" i="16"/>
  <c r="N205" i="16"/>
  <c r="N204" i="16"/>
  <c r="N202" i="16"/>
  <c r="N201" i="16"/>
  <c r="N199" i="16"/>
  <c r="N198" i="16"/>
  <c r="T157" i="4"/>
  <c r="T158" i="4" s="1"/>
  <c r="T159" i="4" s="1"/>
  <c r="T160" i="4" s="1"/>
  <c r="R157" i="4"/>
  <c r="H404" i="16" s="1"/>
  <c r="M404" i="16" s="1"/>
  <c r="N197" i="16"/>
  <c r="H103" i="16" l="1"/>
  <c r="M103" i="16" s="1"/>
  <c r="H522" i="16"/>
  <c r="M522" i="16" s="1"/>
  <c r="H102" i="16"/>
  <c r="M102" i="16" s="1"/>
  <c r="T40" i="10"/>
  <c r="H568" i="16" s="1"/>
  <c r="M568" i="16" s="1"/>
  <c r="H561" i="16"/>
  <c r="M561" i="16" s="1"/>
  <c r="P40" i="10"/>
  <c r="H135" i="16" s="1"/>
  <c r="M135" i="16" s="1"/>
  <c r="H134" i="16"/>
  <c r="M134" i="16" s="1"/>
  <c r="R40" i="10"/>
  <c r="H373" i="16" s="1"/>
  <c r="M373" i="16" s="1"/>
  <c r="H372" i="16"/>
  <c r="M372" i="16" s="1"/>
  <c r="T161" i="4"/>
  <c r="T162" i="4" s="1"/>
  <c r="T163" i="4" s="1"/>
  <c r="T164" i="4" s="1"/>
  <c r="T165" i="4" s="1"/>
  <c r="T166" i="4" s="1"/>
  <c r="T167" i="4" s="1"/>
  <c r="H575" i="16"/>
  <c r="M575" i="16" s="1"/>
  <c r="H485" i="16"/>
  <c r="M485" i="16" s="1"/>
  <c r="T50" i="8"/>
  <c r="H491" i="16"/>
  <c r="M491" i="16" s="1"/>
  <c r="P49" i="8"/>
  <c r="H28" i="16"/>
  <c r="M28" i="16" s="1"/>
  <c r="R49" i="8"/>
  <c r="H316" i="16"/>
  <c r="M316" i="16" s="1"/>
  <c r="H390" i="16"/>
  <c r="M390" i="16" s="1"/>
  <c r="R158" i="4"/>
  <c r="R159" i="4" s="1"/>
  <c r="P157" i="4"/>
  <c r="H197" i="16" s="1"/>
  <c r="M197" i="16" s="1"/>
  <c r="N592" i="16"/>
  <c r="N430" i="16"/>
  <c r="N233" i="16"/>
  <c r="N232" i="16"/>
  <c r="N231" i="16"/>
  <c r="N230" i="16"/>
  <c r="N229" i="16"/>
  <c r="T151" i="4"/>
  <c r="R151" i="4"/>
  <c r="P151" i="4"/>
  <c r="N254" i="16"/>
  <c r="N253" i="16"/>
  <c r="N252" i="16"/>
  <c r="N72" i="16"/>
  <c r="R147" i="4"/>
  <c r="P147" i="4"/>
  <c r="H252" i="16" s="1"/>
  <c r="M252" i="16" s="1"/>
  <c r="H441" i="16"/>
  <c r="M441" i="16" s="1"/>
  <c r="H255" i="16"/>
  <c r="M255" i="16" s="1"/>
  <c r="T112" i="4"/>
  <c r="R112" i="4"/>
  <c r="H334" i="16" s="1"/>
  <c r="M334" i="16" s="1"/>
  <c r="P112" i="4"/>
  <c r="H82" i="16" s="1"/>
  <c r="M82" i="16" s="1"/>
  <c r="N595" i="16"/>
  <c r="N594" i="16"/>
  <c r="N593" i="16"/>
  <c r="N433" i="16"/>
  <c r="N432" i="16"/>
  <c r="N431" i="16"/>
  <c r="N235" i="16"/>
  <c r="N234" i="16"/>
  <c r="T108" i="4"/>
  <c r="R108" i="4"/>
  <c r="R109" i="4" s="1"/>
  <c r="P108" i="4"/>
  <c r="P109" i="4" s="1"/>
  <c r="N236" i="16"/>
  <c r="N573" i="16"/>
  <c r="N572" i="16"/>
  <c r="N570" i="16"/>
  <c r="N567" i="16"/>
  <c r="N566" i="16"/>
  <c r="N402" i="16"/>
  <c r="N401" i="16"/>
  <c r="N399" i="16"/>
  <c r="N397" i="16"/>
  <c r="N396" i="16"/>
  <c r="N190" i="16"/>
  <c r="N191" i="16"/>
  <c r="N189" i="16"/>
  <c r="N188" i="16"/>
  <c r="N187" i="16"/>
  <c r="H593" i="16" l="1"/>
  <c r="M593" i="16" s="1"/>
  <c r="T109" i="4"/>
  <c r="T110" i="4" s="1"/>
  <c r="P113" i="4"/>
  <c r="P114" i="4" s="1"/>
  <c r="R50" i="8"/>
  <c r="H318" i="16"/>
  <c r="M318" i="16" s="1"/>
  <c r="P50" i="8"/>
  <c r="H29" i="16"/>
  <c r="M29" i="16" s="1"/>
  <c r="T51" i="8"/>
  <c r="H492" i="16"/>
  <c r="M492" i="16" s="1"/>
  <c r="H391" i="16"/>
  <c r="M391" i="16" s="1"/>
  <c r="R113" i="4"/>
  <c r="R114" i="4" s="1"/>
  <c r="H421" i="16"/>
  <c r="M421" i="16" s="1"/>
  <c r="H420" i="16"/>
  <c r="M420" i="16" s="1"/>
  <c r="P152" i="4"/>
  <c r="H230" i="16" s="1"/>
  <c r="M230" i="16" s="1"/>
  <c r="H229" i="16"/>
  <c r="M229" i="16" s="1"/>
  <c r="R110" i="4"/>
  <c r="H431" i="16"/>
  <c r="M431" i="16" s="1"/>
  <c r="R152" i="4"/>
  <c r="R153" i="4" s="1"/>
  <c r="H214" i="16"/>
  <c r="M214" i="16" s="1"/>
  <c r="T152" i="4"/>
  <c r="T153" i="4" s="1"/>
  <c r="H580" i="16"/>
  <c r="M580" i="16" s="1"/>
  <c r="P148" i="4"/>
  <c r="P149" i="4" s="1"/>
  <c r="H254" i="16" s="1"/>
  <c r="M254" i="16" s="1"/>
  <c r="P158" i="4"/>
  <c r="H198" i="16" s="1"/>
  <c r="M198" i="16" s="1"/>
  <c r="H602" i="16"/>
  <c r="M602" i="16" s="1"/>
  <c r="T113" i="4"/>
  <c r="T114" i="4" s="1"/>
  <c r="H506" i="16"/>
  <c r="M506" i="16" s="1"/>
  <c r="R148" i="4"/>
  <c r="R149" i="4" s="1"/>
  <c r="H405" i="16"/>
  <c r="M405" i="16" s="1"/>
  <c r="P110" i="4"/>
  <c r="H234" i="16"/>
  <c r="M234" i="16" s="1"/>
  <c r="R160" i="4"/>
  <c r="H406" i="16"/>
  <c r="M406" i="16" s="1"/>
  <c r="T102" i="4"/>
  <c r="R102" i="4"/>
  <c r="P102" i="4"/>
  <c r="N607" i="16"/>
  <c r="N445" i="16"/>
  <c r="N446" i="16"/>
  <c r="N447" i="16"/>
  <c r="N265" i="16"/>
  <c r="H533" i="16" l="1"/>
  <c r="M533" i="16" s="1"/>
  <c r="H594" i="16"/>
  <c r="M594" i="16" s="1"/>
  <c r="H83" i="16"/>
  <c r="M83" i="16" s="1"/>
  <c r="H442" i="16"/>
  <c r="M442" i="16" s="1"/>
  <c r="P51" i="8"/>
  <c r="H30" i="16"/>
  <c r="M30" i="16" s="1"/>
  <c r="T52" i="8"/>
  <c r="H493" i="16"/>
  <c r="M493" i="16" s="1"/>
  <c r="R51" i="8"/>
  <c r="H319" i="16"/>
  <c r="M319" i="16" s="1"/>
  <c r="P153" i="4"/>
  <c r="P154" i="4" s="1"/>
  <c r="H253" i="16"/>
  <c r="M253" i="16" s="1"/>
  <c r="H510" i="16"/>
  <c r="M510" i="16" s="1"/>
  <c r="H335" i="16"/>
  <c r="M335" i="16" s="1"/>
  <c r="H432" i="16"/>
  <c r="M432" i="16" s="1"/>
  <c r="H603" i="16"/>
  <c r="M603" i="16" s="1"/>
  <c r="H235" i="16"/>
  <c r="M235" i="16" s="1"/>
  <c r="H256" i="16"/>
  <c r="M256" i="16" s="1"/>
  <c r="H215" i="16"/>
  <c r="M215" i="16" s="1"/>
  <c r="P79" i="4"/>
  <c r="P80" i="4" s="1"/>
  <c r="R79" i="4"/>
  <c r="R80" i="4" s="1"/>
  <c r="P103" i="4"/>
  <c r="H188" i="16" s="1"/>
  <c r="M188" i="16" s="1"/>
  <c r="H187" i="16"/>
  <c r="M187" i="16" s="1"/>
  <c r="P159" i="4"/>
  <c r="R103" i="4"/>
  <c r="R104" i="4" s="1"/>
  <c r="H396" i="16"/>
  <c r="M396" i="16" s="1"/>
  <c r="T79" i="4"/>
  <c r="T103" i="4"/>
  <c r="T104" i="4" s="1"/>
  <c r="H566" i="16"/>
  <c r="M566" i="16" s="1"/>
  <c r="R161" i="4"/>
  <c r="H407" i="16"/>
  <c r="M407" i="16" s="1"/>
  <c r="T154" i="4"/>
  <c r="R154" i="4"/>
  <c r="H216" i="16"/>
  <c r="M216" i="16" s="1"/>
  <c r="H604" i="16"/>
  <c r="M604" i="16" s="1"/>
  <c r="H257" i="16"/>
  <c r="M257" i="16" s="1"/>
  <c r="H443" i="16"/>
  <c r="M443" i="16" s="1"/>
  <c r="T115" i="4"/>
  <c r="H503" i="16"/>
  <c r="M503" i="16" s="1"/>
  <c r="R115" i="4"/>
  <c r="H336" i="16"/>
  <c r="M336" i="16" s="1"/>
  <c r="P115" i="4"/>
  <c r="H84" i="16"/>
  <c r="M84" i="16" s="1"/>
  <c r="H433" i="16"/>
  <c r="M433" i="16" s="1"/>
  <c r="H595" i="16"/>
  <c r="M595" i="16" s="1"/>
  <c r="H236" i="16"/>
  <c r="M236" i="16" s="1"/>
  <c r="H265" i="16"/>
  <c r="M265" i="16" s="1"/>
  <c r="N608" i="16"/>
  <c r="N609" i="16"/>
  <c r="N266" i="16"/>
  <c r="N267" i="16"/>
  <c r="N500" i="16"/>
  <c r="N505" i="16"/>
  <c r="N497" i="16"/>
  <c r="N496" i="16"/>
  <c r="N329" i="16"/>
  <c r="N498" i="16"/>
  <c r="N333" i="16"/>
  <c r="N332" i="16"/>
  <c r="N331" i="16"/>
  <c r="N330" i="16"/>
  <c r="N328" i="16"/>
  <c r="N327" i="16"/>
  <c r="N78" i="16"/>
  <c r="N79" i="16"/>
  <c r="N80" i="16"/>
  <c r="N81" i="16"/>
  <c r="N77" i="16"/>
  <c r="N76" i="16"/>
  <c r="N75" i="16"/>
  <c r="H199" i="16" l="1"/>
  <c r="M199" i="16" s="1"/>
  <c r="H200" i="16"/>
  <c r="M200" i="16" s="1"/>
  <c r="H231" i="16"/>
  <c r="M231" i="16" s="1"/>
  <c r="P160" i="4"/>
  <c r="P161" i="4" s="1"/>
  <c r="H203" i="16" s="1"/>
  <c r="M203" i="16" s="1"/>
  <c r="T53" i="8"/>
  <c r="H494" i="16"/>
  <c r="M494" i="16" s="1"/>
  <c r="R52" i="8"/>
  <c r="H320" i="16"/>
  <c r="M320" i="16" s="1"/>
  <c r="P52" i="8"/>
  <c r="H31" i="16"/>
  <c r="M31" i="16" s="1"/>
  <c r="T80" i="4"/>
  <c r="T81" i="4" s="1"/>
  <c r="P104" i="4"/>
  <c r="P105" i="4" s="1"/>
  <c r="H422" i="16"/>
  <c r="M422" i="16" s="1"/>
  <c r="H397" i="16"/>
  <c r="M397" i="16" s="1"/>
  <c r="H567" i="16"/>
  <c r="M567" i="16" s="1"/>
  <c r="R162" i="4"/>
  <c r="H408" i="16"/>
  <c r="M408" i="16" s="1"/>
  <c r="R155" i="4"/>
  <c r="H430" i="16"/>
  <c r="M430" i="16" s="1"/>
  <c r="T155" i="4"/>
  <c r="H592" i="16"/>
  <c r="M592" i="16" s="1"/>
  <c r="P155" i="4"/>
  <c r="H233" i="16" s="1"/>
  <c r="M233" i="16" s="1"/>
  <c r="H232" i="16"/>
  <c r="M232" i="16" s="1"/>
  <c r="H423" i="16"/>
  <c r="M423" i="16" s="1"/>
  <c r="H217" i="16"/>
  <c r="M217" i="16" s="1"/>
  <c r="H259" i="16"/>
  <c r="M259" i="16" s="1"/>
  <c r="H258" i="16"/>
  <c r="M258" i="16" s="1"/>
  <c r="H444" i="16"/>
  <c r="M444" i="16" s="1"/>
  <c r="H454" i="16"/>
  <c r="M454" i="16" s="1"/>
  <c r="H606" i="16"/>
  <c r="M606" i="16" s="1"/>
  <c r="H605" i="16"/>
  <c r="M605" i="16" s="1"/>
  <c r="P116" i="4"/>
  <c r="H85" i="16"/>
  <c r="M85" i="16" s="1"/>
  <c r="R116" i="4"/>
  <c r="H337" i="16"/>
  <c r="M337" i="16" s="1"/>
  <c r="T116" i="4"/>
  <c r="H504" i="16"/>
  <c r="M504" i="16" s="1"/>
  <c r="R105" i="4"/>
  <c r="H399" i="16"/>
  <c r="M399" i="16" s="1"/>
  <c r="T105" i="4"/>
  <c r="H570" i="16"/>
  <c r="M570" i="16" s="1"/>
  <c r="P81" i="4"/>
  <c r="R81" i="4"/>
  <c r="H72" i="16" l="1"/>
  <c r="M72" i="16" s="1"/>
  <c r="H201" i="16"/>
  <c r="M201" i="16" s="1"/>
  <c r="H581" i="16"/>
  <c r="M581" i="16" s="1"/>
  <c r="R53" i="8"/>
  <c r="H321" i="16"/>
  <c r="M321" i="16" s="1"/>
  <c r="P53" i="8"/>
  <c r="H32" i="16"/>
  <c r="M32" i="16" s="1"/>
  <c r="T54" i="8"/>
  <c r="H495" i="16"/>
  <c r="M495" i="16" s="1"/>
  <c r="H395" i="16"/>
  <c r="M395" i="16" s="1"/>
  <c r="H563" i="16"/>
  <c r="M563" i="16" s="1"/>
  <c r="H189" i="16"/>
  <c r="M189" i="16" s="1"/>
  <c r="H607" i="16"/>
  <c r="M607" i="16" s="1"/>
  <c r="R163" i="4"/>
  <c r="H409" i="16"/>
  <c r="M409" i="16" s="1"/>
  <c r="P162" i="4"/>
  <c r="H202" i="16"/>
  <c r="M202" i="16" s="1"/>
  <c r="H582" i="16"/>
  <c r="M582" i="16" s="1"/>
  <c r="H218" i="16"/>
  <c r="M218" i="16" s="1"/>
  <c r="H424" i="16"/>
  <c r="M424" i="16" s="1"/>
  <c r="T117" i="4"/>
  <c r="H512" i="16"/>
  <c r="M512" i="16" s="1"/>
  <c r="R117" i="4"/>
  <c r="H338" i="16"/>
  <c r="M338" i="16" s="1"/>
  <c r="P117" i="4"/>
  <c r="H86" i="16"/>
  <c r="M86" i="16" s="1"/>
  <c r="T106" i="4"/>
  <c r="H573" i="16" s="1"/>
  <c r="M573" i="16" s="1"/>
  <c r="H572" i="16"/>
  <c r="M572" i="16" s="1"/>
  <c r="P106" i="4"/>
  <c r="H191" i="16" s="1"/>
  <c r="M191" i="16" s="1"/>
  <c r="H190" i="16"/>
  <c r="M190" i="16" s="1"/>
  <c r="R106" i="4"/>
  <c r="H402" i="16" s="1"/>
  <c r="M402" i="16" s="1"/>
  <c r="H401" i="16"/>
  <c r="M401" i="16" s="1"/>
  <c r="T82" i="4"/>
  <c r="R82" i="4"/>
  <c r="P82" i="4"/>
  <c r="H445" i="16"/>
  <c r="M445" i="16" s="1"/>
  <c r="H73" i="16" l="1"/>
  <c r="M73" i="16" s="1"/>
  <c r="T55" i="8"/>
  <c r="H499" i="16"/>
  <c r="M499" i="16" s="1"/>
  <c r="P54" i="8"/>
  <c r="H33" i="16"/>
  <c r="M33" i="16" s="1"/>
  <c r="R54" i="8"/>
  <c r="H322" i="16"/>
  <c r="M322" i="16" s="1"/>
  <c r="H564" i="16"/>
  <c r="M564" i="16" s="1"/>
  <c r="H392" i="16"/>
  <c r="M392" i="16" s="1"/>
  <c r="P163" i="4"/>
  <c r="H204" i="16"/>
  <c r="M204" i="16" s="1"/>
  <c r="R164" i="4"/>
  <c r="H410" i="16"/>
  <c r="M410" i="16" s="1"/>
  <c r="H425" i="16"/>
  <c r="M425" i="16" s="1"/>
  <c r="H220" i="16"/>
  <c r="M220" i="16" s="1"/>
  <c r="H219" i="16"/>
  <c r="M219" i="16" s="1"/>
  <c r="H583" i="16"/>
  <c r="M583" i="16" s="1"/>
  <c r="R118" i="4"/>
  <c r="R119" i="4" s="1"/>
  <c r="H342" i="16"/>
  <c r="M342" i="16" s="1"/>
  <c r="P118" i="4"/>
  <c r="P119" i="4" s="1"/>
  <c r="H87" i="16"/>
  <c r="M87" i="16" s="1"/>
  <c r="T118" i="4"/>
  <c r="T119" i="4" s="1"/>
  <c r="H513" i="16"/>
  <c r="M513" i="16" s="1"/>
  <c r="T83" i="4"/>
  <c r="T84" i="4" s="1"/>
  <c r="T85" i="4" s="1"/>
  <c r="R83" i="4"/>
  <c r="R84" i="4" s="1"/>
  <c r="P83" i="4"/>
  <c r="P84" i="4" s="1"/>
  <c r="P85" i="4" s="1"/>
  <c r="H327" i="16"/>
  <c r="M327" i="16" s="1"/>
  <c r="H267" i="16"/>
  <c r="M267" i="16" s="1"/>
  <c r="H266" i="16"/>
  <c r="M266" i="16" s="1"/>
  <c r="H447" i="16"/>
  <c r="M447" i="16" s="1"/>
  <c r="H446" i="16"/>
  <c r="M446" i="16" s="1"/>
  <c r="H609" i="16"/>
  <c r="M609" i="16" s="1"/>
  <c r="H608" i="16"/>
  <c r="M608" i="16" s="1"/>
  <c r="H328" i="16"/>
  <c r="M328" i="16" s="1"/>
  <c r="H74" i="16" l="1"/>
  <c r="M74" i="16" s="1"/>
  <c r="R85" i="4"/>
  <c r="P55" i="8"/>
  <c r="H34" i="16"/>
  <c r="M34" i="16" s="1"/>
  <c r="R55" i="8"/>
  <c r="H323" i="16"/>
  <c r="M323" i="16" s="1"/>
  <c r="T56" i="8"/>
  <c r="H501" i="16"/>
  <c r="M501" i="16" s="1"/>
  <c r="H393" i="16"/>
  <c r="M393" i="16" s="1"/>
  <c r="R165" i="4"/>
  <c r="H411" i="16"/>
  <c r="M411" i="16" s="1"/>
  <c r="P164" i="4"/>
  <c r="H207" i="16" s="1"/>
  <c r="M207" i="16" s="1"/>
  <c r="H205" i="16"/>
  <c r="M205" i="16" s="1"/>
  <c r="H221" i="16"/>
  <c r="M221" i="16" s="1"/>
  <c r="H584" i="16"/>
  <c r="M584" i="16" s="1"/>
  <c r="H426" i="16"/>
  <c r="M426" i="16" s="1"/>
  <c r="H88" i="16"/>
  <c r="M88" i="16" s="1"/>
  <c r="H507" i="16"/>
  <c r="M507" i="16" s="1"/>
  <c r="H339" i="16"/>
  <c r="M339" i="16" s="1"/>
  <c r="H329" i="16"/>
  <c r="M329" i="16" s="1"/>
  <c r="H496" i="16"/>
  <c r="M496" i="16" s="1"/>
  <c r="T108" i="5"/>
  <c r="H469" i="16" s="1"/>
  <c r="R108" i="5"/>
  <c r="H297" i="16" s="1"/>
  <c r="P108" i="5"/>
  <c r="H56" i="16" s="1"/>
  <c r="U97" i="5"/>
  <c r="S97" i="5"/>
  <c r="H429" i="16" l="1"/>
  <c r="M429" i="16" s="1"/>
  <c r="H223" i="16"/>
  <c r="M223" i="16" s="1"/>
  <c r="H75" i="16"/>
  <c r="M75" i="16" s="1"/>
  <c r="T57" i="8"/>
  <c r="H502" i="16"/>
  <c r="M502" i="16" s="1"/>
  <c r="R56" i="8"/>
  <c r="H324" i="16"/>
  <c r="M324" i="16" s="1"/>
  <c r="P56" i="8"/>
  <c r="H35" i="16"/>
  <c r="M35" i="16" s="1"/>
  <c r="H565" i="16"/>
  <c r="M565" i="16" s="1"/>
  <c r="H398" i="16"/>
  <c r="M398" i="16" s="1"/>
  <c r="H394" i="16"/>
  <c r="M394" i="16" s="1"/>
  <c r="P165" i="4"/>
  <c r="H206" i="16"/>
  <c r="M206" i="16" s="1"/>
  <c r="R166" i="4"/>
  <c r="H412" i="16"/>
  <c r="M412" i="16" s="1"/>
  <c r="H427" i="16"/>
  <c r="M427" i="16" s="1"/>
  <c r="H585" i="16"/>
  <c r="M585" i="16" s="1"/>
  <c r="H222" i="16"/>
  <c r="M222" i="16" s="1"/>
  <c r="R120" i="4"/>
  <c r="H340" i="16"/>
  <c r="M340" i="16" s="1"/>
  <c r="T120" i="4"/>
  <c r="H508" i="16"/>
  <c r="M508" i="16" s="1"/>
  <c r="P120" i="4"/>
  <c r="H89" i="16"/>
  <c r="M89" i="16" s="1"/>
  <c r="H330" i="16"/>
  <c r="M330" i="16" s="1"/>
  <c r="H497" i="16"/>
  <c r="M497" i="16" s="1"/>
  <c r="P109" i="5"/>
  <c r="T109" i="5"/>
  <c r="T110" i="5" s="1"/>
  <c r="T111" i="5" s="1"/>
  <c r="T112" i="5" s="1"/>
  <c r="T113" i="5" s="1"/>
  <c r="H474" i="16" s="1"/>
  <c r="R109" i="5"/>
  <c r="H224" i="16" l="1"/>
  <c r="M224" i="16" s="1"/>
  <c r="H434" i="16"/>
  <c r="M434" i="16" s="1"/>
  <c r="H76" i="16"/>
  <c r="M76" i="16" s="1"/>
  <c r="R57" i="8"/>
  <c r="H326" i="16" s="1"/>
  <c r="M326" i="16" s="1"/>
  <c r="H325" i="16"/>
  <c r="M325" i="16" s="1"/>
  <c r="P57" i="8"/>
  <c r="H36" i="16"/>
  <c r="M36" i="16" s="1"/>
  <c r="R167" i="4"/>
  <c r="H414" i="16" s="1"/>
  <c r="M414" i="16" s="1"/>
  <c r="H419" i="16"/>
  <c r="M419" i="16" s="1"/>
  <c r="P166" i="4"/>
  <c r="H208" i="16"/>
  <c r="M208" i="16" s="1"/>
  <c r="P121" i="4"/>
  <c r="P122" i="4" s="1"/>
  <c r="H90" i="16"/>
  <c r="M90" i="16" s="1"/>
  <c r="T121" i="4"/>
  <c r="T122" i="4" s="1"/>
  <c r="H509" i="16"/>
  <c r="M509" i="16" s="1"/>
  <c r="R121" i="4"/>
  <c r="R122" i="4" s="1"/>
  <c r="H341" i="16"/>
  <c r="M341" i="16" s="1"/>
  <c r="T86" i="4"/>
  <c r="R86" i="4"/>
  <c r="P86" i="4"/>
  <c r="H331" i="16"/>
  <c r="M331" i="16" s="1"/>
  <c r="H498" i="16"/>
  <c r="M498" i="16" s="1"/>
  <c r="H470" i="16"/>
  <c r="H471" i="16"/>
  <c r="H472" i="16"/>
  <c r="H473" i="16"/>
  <c r="P110" i="5"/>
  <c r="H57" i="16"/>
  <c r="H298" i="16"/>
  <c r="R110" i="5"/>
  <c r="H435" i="16" l="1"/>
  <c r="M435" i="16" s="1"/>
  <c r="H226" i="16"/>
  <c r="M226" i="16" s="1"/>
  <c r="H77" i="16"/>
  <c r="M77" i="16" s="1"/>
  <c r="P167" i="4"/>
  <c r="H209" i="16"/>
  <c r="M209" i="16" s="1"/>
  <c r="H586" i="16"/>
  <c r="M586" i="16" s="1"/>
  <c r="H344" i="16"/>
  <c r="M344" i="16" s="1"/>
  <c r="H515" i="16"/>
  <c r="M515" i="16" s="1"/>
  <c r="H91" i="16"/>
  <c r="M91" i="16" s="1"/>
  <c r="T87" i="4"/>
  <c r="T88" i="4" s="1"/>
  <c r="T89" i="4" s="1"/>
  <c r="R87" i="4"/>
  <c r="R88" i="4" s="1"/>
  <c r="R89" i="4" s="1"/>
  <c r="P87" i="4"/>
  <c r="P88" i="4" s="1"/>
  <c r="P89" i="4" s="1"/>
  <c r="H505" i="16"/>
  <c r="M505" i="16" s="1"/>
  <c r="H332" i="16"/>
  <c r="M332" i="16" s="1"/>
  <c r="P111" i="5"/>
  <c r="H58" i="16"/>
  <c r="R111" i="5"/>
  <c r="H299" i="16"/>
  <c r="H78" i="16" l="1"/>
  <c r="M78" i="16" s="1"/>
  <c r="H210" i="16"/>
  <c r="M210" i="16" s="1"/>
  <c r="H211" i="16"/>
  <c r="M211" i="16" s="1"/>
  <c r="T123" i="4"/>
  <c r="H511" i="16"/>
  <c r="M511" i="16" s="1"/>
  <c r="P123" i="4"/>
  <c r="H92" i="16"/>
  <c r="M92" i="16" s="1"/>
  <c r="R123" i="4"/>
  <c r="H343" i="16"/>
  <c r="M343" i="16" s="1"/>
  <c r="H333" i="16"/>
  <c r="M333" i="16" s="1"/>
  <c r="H500" i="16"/>
  <c r="M500" i="16" s="1"/>
  <c r="P112" i="5"/>
  <c r="R112" i="5"/>
  <c r="H300" i="16"/>
  <c r="H79" i="16" l="1"/>
  <c r="M79" i="16" s="1"/>
  <c r="R124" i="4"/>
  <c r="H347" i="16" s="1"/>
  <c r="M347" i="16" s="1"/>
  <c r="H345" i="16"/>
  <c r="M345" i="16" s="1"/>
  <c r="P124" i="4"/>
  <c r="H94" i="16" s="1"/>
  <c r="M94" i="16" s="1"/>
  <c r="H93" i="16"/>
  <c r="M93" i="16" s="1"/>
  <c r="T124" i="4"/>
  <c r="H521" i="16" s="1"/>
  <c r="M521" i="16" s="1"/>
  <c r="H520" i="16"/>
  <c r="M520" i="16" s="1"/>
  <c r="P113" i="5"/>
  <c r="H60" i="16" s="1"/>
  <c r="H59" i="16"/>
  <c r="R113" i="5"/>
  <c r="H302" i="16" s="1"/>
  <c r="H301" i="16"/>
  <c r="H436" i="16" l="1"/>
  <c r="M436" i="16" s="1"/>
  <c r="H80" i="16"/>
  <c r="M80" i="16" s="1"/>
  <c r="H587" i="16"/>
  <c r="M587" i="16" s="1"/>
  <c r="T90" i="4"/>
  <c r="P90" i="4"/>
  <c r="R90" i="4"/>
  <c r="N463" i="16"/>
  <c r="N23" i="16"/>
  <c r="N555" i="16"/>
  <c r="N554" i="16"/>
  <c r="N388" i="16"/>
  <c r="N151" i="16"/>
  <c r="T114" i="7"/>
  <c r="R114" i="7"/>
  <c r="P114" i="7"/>
  <c r="P107" i="7"/>
  <c r="N543" i="16"/>
  <c r="N542" i="16"/>
  <c r="N540" i="16"/>
  <c r="N376" i="16"/>
  <c r="N377" i="16"/>
  <c r="N374" i="16"/>
  <c r="N138" i="16"/>
  <c r="N139" i="16"/>
  <c r="N136" i="16"/>
  <c r="P101" i="7"/>
  <c r="N526" i="16"/>
  <c r="N525" i="16"/>
  <c r="N524" i="16"/>
  <c r="N360" i="16"/>
  <c r="N359" i="16"/>
  <c r="N358" i="16"/>
  <c r="N116" i="16"/>
  <c r="N115" i="16"/>
  <c r="N114" i="16"/>
  <c r="P95" i="7"/>
  <c r="N120" i="16"/>
  <c r="N530" i="16"/>
  <c r="N365" i="16"/>
  <c r="N529" i="16"/>
  <c r="N363" i="16"/>
  <c r="N528" i="16"/>
  <c r="N362" i="16"/>
  <c r="P90" i="7"/>
  <c r="N121" i="16"/>
  <c r="N119" i="16"/>
  <c r="N118" i="16"/>
  <c r="P86" i="7"/>
  <c r="N486" i="16"/>
  <c r="N317" i="16"/>
  <c r="N313" i="16"/>
  <c r="N315" i="16"/>
  <c r="N482" i="16"/>
  <c r="N311" i="16"/>
  <c r="N71" i="16"/>
  <c r="N70" i="16"/>
  <c r="N69" i="16"/>
  <c r="N68" i="16"/>
  <c r="P81" i="7"/>
  <c r="P76" i="7"/>
  <c r="N291" i="16"/>
  <c r="P69" i="7"/>
  <c r="N290" i="16"/>
  <c r="N20" i="16"/>
  <c r="N464" i="16"/>
  <c r="N19" i="16"/>
  <c r="N18" i="16"/>
  <c r="P64" i="7"/>
  <c r="N17" i="16"/>
  <c r="N462" i="16"/>
  <c r="N287" i="16"/>
  <c r="N15" i="16"/>
  <c r="P60" i="7"/>
  <c r="N284" i="16"/>
  <c r="N13" i="16"/>
  <c r="P55" i="7"/>
  <c r="N12" i="16"/>
  <c r="N283" i="16"/>
  <c r="N11" i="16"/>
  <c r="H145" i="16" l="1"/>
  <c r="M145" i="16" s="1"/>
  <c r="P115" i="7"/>
  <c r="H383" i="16"/>
  <c r="M383" i="16" s="1"/>
  <c r="R115" i="7"/>
  <c r="H549" i="16"/>
  <c r="M549" i="16" s="1"/>
  <c r="T115" i="7"/>
  <c r="H81" i="16"/>
  <c r="M81" i="16" s="1"/>
  <c r="H140" i="16"/>
  <c r="M140" i="16" s="1"/>
  <c r="R107" i="7"/>
  <c r="H136" i="16"/>
  <c r="M136" i="16" s="1"/>
  <c r="R101" i="7"/>
  <c r="H114" i="16"/>
  <c r="M114" i="16" s="1"/>
  <c r="R95" i="7"/>
  <c r="H118" i="16"/>
  <c r="M118" i="16" s="1"/>
  <c r="R90" i="7"/>
  <c r="H61" i="16"/>
  <c r="M61" i="16" s="1"/>
  <c r="R86" i="7"/>
  <c r="H64" i="16"/>
  <c r="M64" i="16" s="1"/>
  <c r="R76" i="7"/>
  <c r="H68" i="16"/>
  <c r="M68" i="16" s="1"/>
  <c r="R81" i="7"/>
  <c r="H22" i="16"/>
  <c r="M22" i="16" s="1"/>
  <c r="R69" i="7"/>
  <c r="H18" i="16"/>
  <c r="M18" i="16" s="1"/>
  <c r="R64" i="7"/>
  <c r="H15" i="16"/>
  <c r="M15" i="16" s="1"/>
  <c r="R60" i="7"/>
  <c r="T60" i="7" s="1"/>
  <c r="H11" i="16"/>
  <c r="M11" i="16" s="1"/>
  <c r="R55" i="7"/>
  <c r="T55" i="7" s="1"/>
  <c r="P65" i="7"/>
  <c r="P56" i="7"/>
  <c r="P91" i="7"/>
  <c r="P92" i="7" s="1"/>
  <c r="P61" i="7"/>
  <c r="P96" i="7"/>
  <c r="P108" i="7"/>
  <c r="P70" i="7"/>
  <c r="P82" i="7"/>
  <c r="P87" i="7"/>
  <c r="P77" i="7"/>
  <c r="P102" i="7"/>
  <c r="H225" i="16"/>
  <c r="M225" i="16" s="1"/>
  <c r="H588" i="16"/>
  <c r="M588" i="16" s="1"/>
  <c r="R91" i="4"/>
  <c r="R92" i="4" s="1"/>
  <c r="P91" i="4"/>
  <c r="P92" i="4" s="1"/>
  <c r="T91" i="4"/>
  <c r="T92" i="4" s="1"/>
  <c r="N150" i="16"/>
  <c r="N387" i="16"/>
  <c r="N364" i="16"/>
  <c r="P93" i="7" l="1"/>
  <c r="R93" i="7" s="1"/>
  <c r="R92" i="7"/>
  <c r="T92" i="7" s="1"/>
  <c r="H283" i="16"/>
  <c r="M283" i="16" s="1"/>
  <c r="H141" i="16"/>
  <c r="M141" i="16" s="1"/>
  <c r="R108" i="7"/>
  <c r="T107" i="7"/>
  <c r="H544" i="16" s="1"/>
  <c r="M544" i="16" s="1"/>
  <c r="H378" i="16"/>
  <c r="M378" i="16" s="1"/>
  <c r="P103" i="7"/>
  <c r="R103" i="7" s="1"/>
  <c r="T103" i="7" s="1"/>
  <c r="H541" i="16" s="1"/>
  <c r="M541" i="16" s="1"/>
  <c r="R102" i="7"/>
  <c r="T102" i="7" s="1"/>
  <c r="T101" i="7"/>
  <c r="H540" i="16" s="1"/>
  <c r="M540" i="16" s="1"/>
  <c r="H374" i="16"/>
  <c r="M374" i="16" s="1"/>
  <c r="P97" i="7"/>
  <c r="R97" i="7" s="1"/>
  <c r="T97" i="7" s="1"/>
  <c r="H526" i="16" s="1"/>
  <c r="M526" i="16" s="1"/>
  <c r="R96" i="7"/>
  <c r="T96" i="7" s="1"/>
  <c r="H525" i="16" s="1"/>
  <c r="M525" i="16" s="1"/>
  <c r="T95" i="7"/>
  <c r="H524" i="16" s="1"/>
  <c r="M524" i="16" s="1"/>
  <c r="H358" i="16"/>
  <c r="M358" i="16" s="1"/>
  <c r="R91" i="7"/>
  <c r="T91" i="7" s="1"/>
  <c r="H529" i="16" s="1"/>
  <c r="M529" i="16" s="1"/>
  <c r="T90" i="7"/>
  <c r="H528" i="16" s="1"/>
  <c r="M528" i="16" s="1"/>
  <c r="H362" i="16"/>
  <c r="M362" i="16" s="1"/>
  <c r="P88" i="7"/>
  <c r="R87" i="7"/>
  <c r="T86" i="7"/>
  <c r="H303" i="16"/>
  <c r="M303" i="16" s="1"/>
  <c r="T76" i="7"/>
  <c r="H306" i="16"/>
  <c r="M306" i="16" s="1"/>
  <c r="P78" i="7"/>
  <c r="R78" i="7" s="1"/>
  <c r="T78" i="7" s="1"/>
  <c r="H477" i="16" s="1"/>
  <c r="M477" i="16" s="1"/>
  <c r="R77" i="7"/>
  <c r="T77" i="7" s="1"/>
  <c r="T81" i="7"/>
  <c r="H480" i="16" s="1"/>
  <c r="M480" i="16" s="1"/>
  <c r="H311" i="16"/>
  <c r="M311" i="16" s="1"/>
  <c r="P83" i="7"/>
  <c r="R83" i="7" s="1"/>
  <c r="T83" i="7" s="1"/>
  <c r="H483" i="16" s="1"/>
  <c r="M483" i="16" s="1"/>
  <c r="R82" i="7"/>
  <c r="T82" i="7" s="1"/>
  <c r="H482" i="16" s="1"/>
  <c r="M482" i="16" s="1"/>
  <c r="T69" i="7"/>
  <c r="P71" i="7"/>
  <c r="R71" i="7" s="1"/>
  <c r="T71" i="7" s="1"/>
  <c r="R70" i="7"/>
  <c r="T70" i="7" s="1"/>
  <c r="P66" i="7"/>
  <c r="R66" i="7" s="1"/>
  <c r="T66" i="7" s="1"/>
  <c r="H465" i="16" s="1"/>
  <c r="M465" i="16" s="1"/>
  <c r="R65" i="7"/>
  <c r="T64" i="7"/>
  <c r="H463" i="16" s="1"/>
  <c r="M463" i="16" s="1"/>
  <c r="H288" i="16"/>
  <c r="M288" i="16" s="1"/>
  <c r="H16" i="16"/>
  <c r="M16" i="16" s="1"/>
  <c r="R61" i="7"/>
  <c r="T61" i="7" s="1"/>
  <c r="H461" i="16" s="1"/>
  <c r="M461" i="16" s="1"/>
  <c r="H12" i="16"/>
  <c r="M12" i="16" s="1"/>
  <c r="R56" i="7"/>
  <c r="T56" i="7" s="1"/>
  <c r="H115" i="16"/>
  <c r="M115" i="16" s="1"/>
  <c r="H19" i="16"/>
  <c r="M19" i="16" s="1"/>
  <c r="P62" i="7"/>
  <c r="P109" i="7"/>
  <c r="H119" i="16"/>
  <c r="M119" i="16" s="1"/>
  <c r="H69" i="16"/>
  <c r="M69" i="16" s="1"/>
  <c r="H65" i="16"/>
  <c r="M65" i="16" s="1"/>
  <c r="H23" i="16"/>
  <c r="M23" i="16" s="1"/>
  <c r="P57" i="7"/>
  <c r="H62" i="16"/>
  <c r="M62" i="16" s="1"/>
  <c r="T116" i="7"/>
  <c r="H550" i="16"/>
  <c r="M550" i="16" s="1"/>
  <c r="R116" i="7"/>
  <c r="P116" i="7"/>
  <c r="H146" i="16"/>
  <c r="M146" i="16" s="1"/>
  <c r="H116" i="16" l="1"/>
  <c r="M116" i="16" s="1"/>
  <c r="H315" i="16"/>
  <c r="M315" i="16" s="1"/>
  <c r="H307" i="16"/>
  <c r="M307" i="16" s="1"/>
  <c r="H360" i="16"/>
  <c r="M360" i="16" s="1"/>
  <c r="P98" i="7"/>
  <c r="R98" i="7" s="1"/>
  <c r="T98" i="7" s="1"/>
  <c r="H527" i="16" s="1"/>
  <c r="M527" i="16" s="1"/>
  <c r="H291" i="16"/>
  <c r="M291" i="16" s="1"/>
  <c r="H20" i="16"/>
  <c r="M20" i="16" s="1"/>
  <c r="P67" i="7"/>
  <c r="H21" i="16" s="1"/>
  <c r="M21" i="16" s="1"/>
  <c r="H70" i="16"/>
  <c r="M70" i="16" s="1"/>
  <c r="P84" i="7"/>
  <c r="H71" i="16" s="1"/>
  <c r="M71" i="16" s="1"/>
  <c r="H313" i="16"/>
  <c r="M313" i="16" s="1"/>
  <c r="H137" i="16"/>
  <c r="M137" i="16" s="1"/>
  <c r="H375" i="16"/>
  <c r="M375" i="16" s="1"/>
  <c r="H364" i="16"/>
  <c r="M364" i="16" s="1"/>
  <c r="H120" i="16"/>
  <c r="M120" i="16" s="1"/>
  <c r="P72" i="7"/>
  <c r="H24" i="16" s="1"/>
  <c r="M24" i="16" s="1"/>
  <c r="H286" i="16"/>
  <c r="M286" i="16" s="1"/>
  <c r="H66" i="16"/>
  <c r="M66" i="16" s="1"/>
  <c r="T93" i="7"/>
  <c r="P104" i="7"/>
  <c r="R104" i="7" s="1"/>
  <c r="T104" i="7" s="1"/>
  <c r="H542" i="16" s="1"/>
  <c r="M542" i="16" s="1"/>
  <c r="P79" i="7"/>
  <c r="H67" i="16" s="1"/>
  <c r="M67" i="16" s="1"/>
  <c r="H308" i="16"/>
  <c r="M308" i="16" s="1"/>
  <c r="H363" i="16"/>
  <c r="M363" i="16" s="1"/>
  <c r="P110" i="7"/>
  <c r="R110" i="7" s="1"/>
  <c r="T110" i="7" s="1"/>
  <c r="H547" i="16" s="1"/>
  <c r="M547" i="16" s="1"/>
  <c r="R109" i="7"/>
  <c r="T108" i="7"/>
  <c r="H545" i="16" s="1"/>
  <c r="M545" i="16" s="1"/>
  <c r="H379" i="16"/>
  <c r="M379" i="16" s="1"/>
  <c r="H359" i="16"/>
  <c r="M359" i="16" s="1"/>
  <c r="T87" i="7"/>
  <c r="H488" i="16" s="1"/>
  <c r="M488" i="16" s="1"/>
  <c r="H304" i="16"/>
  <c r="M304" i="16" s="1"/>
  <c r="H63" i="16"/>
  <c r="M63" i="16" s="1"/>
  <c r="R88" i="7"/>
  <c r="T65" i="7"/>
  <c r="H464" i="16" s="1"/>
  <c r="M464" i="16" s="1"/>
  <c r="H289" i="16"/>
  <c r="M289" i="16" s="1"/>
  <c r="R62" i="7"/>
  <c r="P58" i="7"/>
  <c r="R57" i="7"/>
  <c r="H142" i="16"/>
  <c r="M142" i="16" s="1"/>
  <c r="H17" i="16"/>
  <c r="M17" i="16" s="1"/>
  <c r="H290" i="16"/>
  <c r="M290" i="16" s="1"/>
  <c r="H13" i="16"/>
  <c r="M13" i="16" s="1"/>
  <c r="R93" i="4"/>
  <c r="P93" i="4"/>
  <c r="T93" i="4"/>
  <c r="T117" i="7"/>
  <c r="H551" i="16"/>
  <c r="M551" i="16" s="1"/>
  <c r="R117" i="7"/>
  <c r="H384" i="16"/>
  <c r="M384" i="16" s="1"/>
  <c r="P117" i="7"/>
  <c r="H147" i="16"/>
  <c r="M147" i="16" s="1"/>
  <c r="U105" i="5"/>
  <c r="S105" i="5"/>
  <c r="P97" i="5"/>
  <c r="P91" i="5"/>
  <c r="P75" i="5"/>
  <c r="H361" i="16" l="1"/>
  <c r="M361" i="16" s="1"/>
  <c r="H117" i="16"/>
  <c r="M117" i="16" s="1"/>
  <c r="P99" i="7"/>
  <c r="R67" i="7"/>
  <c r="R84" i="7"/>
  <c r="T84" i="7" s="1"/>
  <c r="H486" i="16" s="1"/>
  <c r="M486" i="16" s="1"/>
  <c r="R79" i="7"/>
  <c r="H309" i="16" s="1"/>
  <c r="M309" i="16" s="1"/>
  <c r="P111" i="7"/>
  <c r="R111" i="7" s="1"/>
  <c r="T111" i="7" s="1"/>
  <c r="H548" i="16" s="1"/>
  <c r="M548" i="16" s="1"/>
  <c r="R72" i="7"/>
  <c r="T72" i="7" s="1"/>
  <c r="H376" i="16"/>
  <c r="M376" i="16" s="1"/>
  <c r="H138" i="16"/>
  <c r="M138" i="16" s="1"/>
  <c r="P105" i="7"/>
  <c r="R105" i="7" s="1"/>
  <c r="T105" i="7" s="1"/>
  <c r="H543" i="16" s="1"/>
  <c r="M543" i="16" s="1"/>
  <c r="H121" i="16"/>
  <c r="M121" i="16" s="1"/>
  <c r="H381" i="16"/>
  <c r="M381" i="16" s="1"/>
  <c r="H143" i="16"/>
  <c r="M143" i="16" s="1"/>
  <c r="H237" i="16"/>
  <c r="M237" i="16" s="1"/>
  <c r="T97" i="5"/>
  <c r="R97" i="5"/>
  <c r="H260" i="16"/>
  <c r="M260" i="16" s="1"/>
  <c r="T91" i="5"/>
  <c r="R91" i="5"/>
  <c r="H41" i="16"/>
  <c r="M41" i="16" s="1"/>
  <c r="T75" i="5"/>
  <c r="R75" i="5"/>
  <c r="T109" i="7"/>
  <c r="H546" i="16" s="1"/>
  <c r="M546" i="16" s="1"/>
  <c r="H380" i="16"/>
  <c r="M380" i="16" s="1"/>
  <c r="H530" i="16"/>
  <c r="M530" i="16" s="1"/>
  <c r="H365" i="16"/>
  <c r="M365" i="16" s="1"/>
  <c r="T88" i="7"/>
  <c r="H476" i="16" s="1"/>
  <c r="M476" i="16" s="1"/>
  <c r="H305" i="16"/>
  <c r="M305" i="16" s="1"/>
  <c r="T62" i="7"/>
  <c r="H462" i="16" s="1"/>
  <c r="M462" i="16" s="1"/>
  <c r="H287" i="16"/>
  <c r="M287" i="16" s="1"/>
  <c r="T57" i="7"/>
  <c r="H284" i="16"/>
  <c r="M284" i="16" s="1"/>
  <c r="H14" i="16"/>
  <c r="M14" i="16" s="1"/>
  <c r="R58" i="7"/>
  <c r="P98" i="5"/>
  <c r="P76" i="5"/>
  <c r="R94" i="4"/>
  <c r="T94" i="4"/>
  <c r="P94" i="4"/>
  <c r="P118" i="7"/>
  <c r="H148" i="16"/>
  <c r="M148" i="16" s="1"/>
  <c r="R118" i="7"/>
  <c r="H385" i="16"/>
  <c r="M385" i="16" s="1"/>
  <c r="T118" i="7"/>
  <c r="H552" i="16"/>
  <c r="M552" i="16" s="1"/>
  <c r="P92" i="5"/>
  <c r="T50" i="5"/>
  <c r="R50" i="5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P50" i="5"/>
  <c r="H152" i="16" s="1"/>
  <c r="M152" i="16" s="1"/>
  <c r="T67" i="7" l="1"/>
  <c r="H317" i="16"/>
  <c r="M317" i="16" s="1"/>
  <c r="R99" i="7"/>
  <c r="T99" i="7" s="1"/>
  <c r="T79" i="7"/>
  <c r="H489" i="16" s="1"/>
  <c r="M489" i="16" s="1"/>
  <c r="H382" i="16"/>
  <c r="M382" i="16" s="1"/>
  <c r="H144" i="16"/>
  <c r="M144" i="16" s="1"/>
  <c r="P112" i="7"/>
  <c r="R112" i="7" s="1"/>
  <c r="H377" i="16"/>
  <c r="M377" i="16" s="1"/>
  <c r="H139" i="16"/>
  <c r="M139" i="16" s="1"/>
  <c r="H42" i="16"/>
  <c r="M42" i="16" s="1"/>
  <c r="T76" i="5"/>
  <c r="R76" i="5"/>
  <c r="P93" i="5"/>
  <c r="H262" i="16" s="1"/>
  <c r="M262" i="16" s="1"/>
  <c r="T92" i="5"/>
  <c r="R92" i="5"/>
  <c r="H240" i="16"/>
  <c r="M240" i="16" s="1"/>
  <c r="T98" i="5"/>
  <c r="R98" i="5"/>
  <c r="T58" i="7"/>
  <c r="H285" i="16"/>
  <c r="M285" i="16" s="1"/>
  <c r="P99" i="5"/>
  <c r="P77" i="5"/>
  <c r="T51" i="5"/>
  <c r="T52" i="5" s="1"/>
  <c r="H556" i="16"/>
  <c r="M556" i="16" s="1"/>
  <c r="R95" i="4"/>
  <c r="R96" i="4" s="1"/>
  <c r="R97" i="4" s="1"/>
  <c r="R98" i="4" s="1"/>
  <c r="R99" i="4" s="1"/>
  <c r="R100" i="4" s="1"/>
  <c r="P95" i="4"/>
  <c r="P96" i="4" s="1"/>
  <c r="P97" i="4" s="1"/>
  <c r="P98" i="4" s="1"/>
  <c r="P99" i="4" s="1"/>
  <c r="P100" i="4" s="1"/>
  <c r="T95" i="4"/>
  <c r="T96" i="4" s="1"/>
  <c r="T97" i="4" s="1"/>
  <c r="T98" i="4" s="1"/>
  <c r="T99" i="4" s="1"/>
  <c r="T100" i="4" s="1"/>
  <c r="T119" i="7"/>
  <c r="H553" i="16"/>
  <c r="M553" i="16" s="1"/>
  <c r="R119" i="7"/>
  <c r="H386" i="16"/>
  <c r="M386" i="16" s="1"/>
  <c r="P119" i="7"/>
  <c r="H149" i="16"/>
  <c r="M149" i="16" s="1"/>
  <c r="H261" i="16"/>
  <c r="M261" i="16" s="1"/>
  <c r="P51" i="5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T53" i="5" l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P94" i="5"/>
  <c r="H263" i="16" s="1"/>
  <c r="M263" i="16" s="1"/>
  <c r="H43" i="16"/>
  <c r="M43" i="16" s="1"/>
  <c r="T77" i="5"/>
  <c r="R77" i="5"/>
  <c r="T93" i="5"/>
  <c r="R93" i="5"/>
  <c r="H242" i="16"/>
  <c r="M242" i="16" s="1"/>
  <c r="T99" i="5"/>
  <c r="R99" i="5"/>
  <c r="T112" i="7"/>
  <c r="P100" i="5"/>
  <c r="H557" i="16"/>
  <c r="M557" i="16" s="1"/>
  <c r="P78" i="5"/>
  <c r="H589" i="16"/>
  <c r="M589" i="16" s="1"/>
  <c r="P120" i="7"/>
  <c r="H151" i="16" s="1"/>
  <c r="M151" i="16" s="1"/>
  <c r="H150" i="16"/>
  <c r="M150" i="16" s="1"/>
  <c r="R120" i="7"/>
  <c r="H388" i="16" s="1"/>
  <c r="M388" i="16" s="1"/>
  <c r="H387" i="16"/>
  <c r="M387" i="16" s="1"/>
  <c r="T120" i="7"/>
  <c r="H555" i="16" s="1"/>
  <c r="M555" i="16" s="1"/>
  <c r="H554" i="16"/>
  <c r="M554" i="16" s="1"/>
  <c r="H153" i="16"/>
  <c r="M153" i="16" s="1"/>
  <c r="Q54" i="7"/>
  <c r="Q59" i="7"/>
  <c r="Q63" i="7"/>
  <c r="Q68" i="7"/>
  <c r="P46" i="7"/>
  <c r="P47" i="7" s="1"/>
  <c r="P48" i="7" s="1"/>
  <c r="P49" i="7" s="1"/>
  <c r="P50" i="7" s="1"/>
  <c r="P51" i="7" s="1"/>
  <c r="P52" i="7" s="1"/>
  <c r="P53" i="7" s="1"/>
  <c r="P95" i="5" l="1"/>
  <c r="H264" i="16" s="1"/>
  <c r="M264" i="16" s="1"/>
  <c r="R94" i="5"/>
  <c r="T94" i="5"/>
  <c r="P101" i="5"/>
  <c r="P102" i="5" s="1"/>
  <c r="T100" i="5"/>
  <c r="R100" i="5"/>
  <c r="P79" i="5"/>
  <c r="T78" i="5"/>
  <c r="R78" i="5"/>
  <c r="H244" i="16"/>
  <c r="M244" i="16" s="1"/>
  <c r="H44" i="16"/>
  <c r="M44" i="16" s="1"/>
  <c r="H154" i="16"/>
  <c r="M154" i="16" s="1"/>
  <c r="H3" i="16"/>
  <c r="M3" i="16" s="1"/>
  <c r="R45" i="7"/>
  <c r="H6" i="16"/>
  <c r="M6" i="16" s="1"/>
  <c r="H7" i="16"/>
  <c r="M7" i="16" s="1"/>
  <c r="H8" i="16"/>
  <c r="M8" i="16" s="1"/>
  <c r="H9" i="16"/>
  <c r="M9" i="16" s="1"/>
  <c r="H4" i="16"/>
  <c r="M4" i="16" s="1"/>
  <c r="H10" i="16"/>
  <c r="M10" i="16" s="1"/>
  <c r="H5" i="16"/>
  <c r="M5" i="16" s="1"/>
  <c r="R95" i="5" l="1"/>
  <c r="T95" i="5"/>
  <c r="H246" i="16"/>
  <c r="M246" i="16" s="1"/>
  <c r="P80" i="5"/>
  <c r="T79" i="5"/>
  <c r="R79" i="5"/>
  <c r="T102" i="5"/>
  <c r="R102" i="5"/>
  <c r="T101" i="5"/>
  <c r="R101" i="5"/>
  <c r="H155" i="16"/>
  <c r="M155" i="16" s="1"/>
  <c r="R46" i="7"/>
  <c r="T45" i="7"/>
  <c r="T46" i="7" s="1"/>
  <c r="H428" i="16"/>
  <c r="M428" i="16" s="1"/>
  <c r="H590" i="16"/>
  <c r="M590" i="16" s="1"/>
  <c r="H227" i="16"/>
  <c r="M227" i="16" s="1"/>
  <c r="P103" i="5"/>
  <c r="H247" i="16"/>
  <c r="M247" i="16" s="1"/>
  <c r="H45" i="16"/>
  <c r="M45" i="16" s="1"/>
  <c r="T103" i="5" l="1"/>
  <c r="R103" i="5"/>
  <c r="P81" i="5"/>
  <c r="T80" i="5"/>
  <c r="R80" i="5"/>
  <c r="T47" i="7"/>
  <c r="R47" i="7"/>
  <c r="H558" i="16"/>
  <c r="M558" i="16" s="1"/>
  <c r="H228" i="16"/>
  <c r="M228" i="16" s="1"/>
  <c r="H591" i="16"/>
  <c r="M591" i="16" s="1"/>
  <c r="H439" i="16"/>
  <c r="M439" i="16" s="1"/>
  <c r="P104" i="5"/>
  <c r="H248" i="16"/>
  <c r="M248" i="16" s="1"/>
  <c r="H46" i="16"/>
  <c r="M46" i="16" s="1"/>
  <c r="P82" i="5" l="1"/>
  <c r="T81" i="5"/>
  <c r="R81" i="5"/>
  <c r="T104" i="5"/>
  <c r="R104" i="5"/>
  <c r="H156" i="16"/>
  <c r="M156" i="16" s="1"/>
  <c r="R48" i="7"/>
  <c r="H278" i="16"/>
  <c r="M278" i="16" s="1"/>
  <c r="T48" i="7"/>
  <c r="H456" i="16"/>
  <c r="M456" i="16" s="1"/>
  <c r="H559" i="16"/>
  <c r="M559" i="16" s="1"/>
  <c r="P105" i="5"/>
  <c r="H249" i="16"/>
  <c r="M249" i="16" s="1"/>
  <c r="H47" i="16"/>
  <c r="M47" i="16" s="1"/>
  <c r="T105" i="5" l="1"/>
  <c r="R105" i="5"/>
  <c r="P83" i="5"/>
  <c r="T82" i="5"/>
  <c r="R82" i="5"/>
  <c r="H157" i="16"/>
  <c r="M157" i="16" s="1"/>
  <c r="T49" i="7"/>
  <c r="R49" i="7"/>
  <c r="H279" i="16"/>
  <c r="M279" i="16" s="1"/>
  <c r="P106" i="5"/>
  <c r="H250" i="16"/>
  <c r="M250" i="16" s="1"/>
  <c r="H48" i="16"/>
  <c r="M48" i="16" s="1"/>
  <c r="H251" i="16" l="1"/>
  <c r="M251" i="16" s="1"/>
  <c r="T106" i="5"/>
  <c r="H601" i="16" s="1"/>
  <c r="M601" i="16" s="1"/>
  <c r="R106" i="5"/>
  <c r="H440" i="16" s="1"/>
  <c r="M440" i="16" s="1"/>
  <c r="P84" i="5"/>
  <c r="R83" i="5"/>
  <c r="T83" i="5"/>
  <c r="R50" i="7"/>
  <c r="T50" i="7"/>
  <c r="H560" i="16"/>
  <c r="M560" i="16" s="1"/>
  <c r="H49" i="16"/>
  <c r="M49" i="16" s="1"/>
  <c r="P85" i="5" l="1"/>
  <c r="P86" i="5" s="1"/>
  <c r="T84" i="5"/>
  <c r="R84" i="5"/>
  <c r="T51" i="7"/>
  <c r="R51" i="7"/>
  <c r="H569" i="16"/>
  <c r="M569" i="16" s="1"/>
  <c r="H50" i="16"/>
  <c r="M50" i="16" s="1"/>
  <c r="U113" i="7"/>
  <c r="S113" i="7"/>
  <c r="Q113" i="7"/>
  <c r="U106" i="7"/>
  <c r="S106" i="7"/>
  <c r="Q106" i="7"/>
  <c r="U100" i="7"/>
  <c r="S100" i="7"/>
  <c r="Q100" i="7"/>
  <c r="U94" i="7"/>
  <c r="S94" i="7"/>
  <c r="Q94" i="7"/>
  <c r="U89" i="7"/>
  <c r="S89" i="7"/>
  <c r="Q89" i="7"/>
  <c r="U85" i="7"/>
  <c r="S85" i="7"/>
  <c r="Q85" i="7"/>
  <c r="U80" i="7"/>
  <c r="S80" i="7"/>
  <c r="Q80" i="7"/>
  <c r="U75" i="7"/>
  <c r="S75" i="7"/>
  <c r="Q75" i="7"/>
  <c r="U73" i="7"/>
  <c r="S73" i="7"/>
  <c r="U68" i="7"/>
  <c r="S68" i="7"/>
  <c r="U63" i="7"/>
  <c r="S63" i="7"/>
  <c r="U59" i="7"/>
  <c r="S59" i="7"/>
  <c r="U54" i="7"/>
  <c r="S54" i="7"/>
  <c r="U45" i="7"/>
  <c r="S45" i="7"/>
  <c r="Q45" i="7"/>
  <c r="U60" i="7"/>
  <c r="S60" i="7"/>
  <c r="S56" i="7"/>
  <c r="P87" i="5" l="1"/>
  <c r="P88" i="5" s="1"/>
  <c r="H52" i="16"/>
  <c r="M52" i="16" s="1"/>
  <c r="T85" i="5"/>
  <c r="R85" i="5"/>
  <c r="H158" i="16"/>
  <c r="M158" i="16" s="1"/>
  <c r="R52" i="7"/>
  <c r="H280" i="16"/>
  <c r="M280" i="16" s="1"/>
  <c r="H458" i="16"/>
  <c r="M458" i="16" s="1"/>
  <c r="T52" i="7"/>
  <c r="H51" i="16"/>
  <c r="M51" i="16" s="1"/>
  <c r="P89" i="5" l="1"/>
  <c r="H55" i="16" s="1"/>
  <c r="M55" i="16" s="1"/>
  <c r="H54" i="16"/>
  <c r="M54" i="16" s="1"/>
  <c r="H53" i="16"/>
  <c r="M53" i="16" s="1"/>
  <c r="T87" i="5"/>
  <c r="R87" i="5"/>
  <c r="H159" i="16"/>
  <c r="M159" i="16" s="1"/>
  <c r="H459" i="16"/>
  <c r="M459" i="16" s="1"/>
  <c r="T53" i="7"/>
  <c r="H281" i="16"/>
  <c r="M281" i="16" s="1"/>
  <c r="R53" i="7"/>
  <c r="H282" i="16" s="1"/>
  <c r="M282" i="16" s="1"/>
  <c r="M105" i="7"/>
  <c r="T89" i="5" l="1"/>
  <c r="R89" i="5"/>
  <c r="H296" i="16" s="1"/>
  <c r="M296" i="16" s="1"/>
  <c r="H460" i="16"/>
  <c r="M460" i="16" s="1"/>
  <c r="N550" i="16"/>
  <c r="N146" i="16"/>
  <c r="N145" i="16"/>
  <c r="N383" i="16"/>
  <c r="N549" i="16"/>
  <c r="N541" i="16"/>
  <c r="N137" i="16"/>
  <c r="N375" i="16"/>
  <c r="N117" i="16"/>
  <c r="N361" i="16"/>
  <c r="N527" i="16"/>
  <c r="M115" i="7"/>
  <c r="M103" i="7"/>
  <c r="M96" i="7"/>
  <c r="M97" i="7"/>
  <c r="M98" i="7"/>
  <c r="D102" i="7" l="1"/>
  <c r="C102" i="7"/>
  <c r="B102" i="7"/>
  <c r="U102" i="7" l="1"/>
  <c r="H160" i="16"/>
  <c r="M160" i="16" s="1"/>
  <c r="C99" i="7"/>
  <c r="B99" i="7"/>
  <c r="M91" i="7" l="1"/>
  <c r="N1" i="10"/>
  <c r="N1" i="9"/>
  <c r="N32" i="8"/>
  <c r="N41" i="6"/>
  <c r="N1" i="5"/>
  <c r="N1" i="7"/>
  <c r="N1" i="4"/>
  <c r="E1" i="13" l="1"/>
  <c r="D4" i="13"/>
  <c r="D5" i="13"/>
  <c r="D6" i="13"/>
  <c r="D8" i="13"/>
  <c r="D9" i="13"/>
  <c r="D10" i="13"/>
  <c r="D12" i="13"/>
  <c r="D11" i="13" s="1"/>
  <c r="D14" i="13"/>
  <c r="D13" i="13" s="1"/>
  <c r="D16" i="13"/>
  <c r="D17" i="13"/>
  <c r="D19" i="13"/>
  <c r="D18" i="13" s="1"/>
  <c r="D21" i="13"/>
  <c r="D22" i="13"/>
  <c r="D24" i="13"/>
  <c r="D25" i="13"/>
  <c r="D26" i="13"/>
  <c r="D28" i="13"/>
  <c r="D29" i="13"/>
  <c r="D31" i="13"/>
  <c r="D32" i="13"/>
  <c r="D34" i="13"/>
  <c r="D35" i="13"/>
  <c r="D37" i="13"/>
  <c r="D38" i="13"/>
  <c r="D40" i="13"/>
  <c r="D39" i="13" s="1"/>
  <c r="D42" i="13"/>
  <c r="D41" i="13" s="1"/>
  <c r="D45" i="13"/>
  <c r="D44" i="13" s="1"/>
  <c r="D47" i="13"/>
  <c r="D48" i="13"/>
  <c r="D50" i="13"/>
  <c r="D51" i="13"/>
  <c r="D53" i="13"/>
  <c r="D54" i="13"/>
  <c r="D56" i="13"/>
  <c r="D55" i="13" s="1"/>
  <c r="D52" i="13" l="1"/>
  <c r="D49" i="13"/>
  <c r="D46" i="13"/>
  <c r="D3" i="13"/>
  <c r="D15" i="13"/>
  <c r="D36" i="13"/>
  <c r="D30" i="13"/>
  <c r="D33" i="13"/>
  <c r="D20" i="13"/>
  <c r="D23" i="13"/>
  <c r="D7" i="13"/>
  <c r="D27" i="13"/>
  <c r="D108" i="13"/>
  <c r="D74" i="13"/>
  <c r="D100" i="13"/>
  <c r="D99" i="13"/>
  <c r="D97" i="13"/>
  <c r="D96" i="13"/>
  <c r="D94" i="13"/>
  <c r="D93" i="13"/>
  <c r="D90" i="13"/>
  <c r="D91" i="13"/>
  <c r="D88" i="13"/>
  <c r="D85" i="13"/>
  <c r="D84" i="13"/>
  <c r="D83" i="13"/>
  <c r="D81" i="13"/>
  <c r="D80" i="13" s="1"/>
  <c r="D79" i="13"/>
  <c r="D78" i="13" s="1"/>
  <c r="D102" i="13"/>
  <c r="D87" i="13"/>
  <c r="D76" i="13"/>
  <c r="D73" i="13"/>
  <c r="D71" i="13"/>
  <c r="D70" i="13" s="1"/>
  <c r="D68" i="13"/>
  <c r="D67" i="13"/>
  <c r="D65" i="13"/>
  <c r="D64" i="13"/>
  <c r="D60" i="13"/>
  <c r="D59" i="13"/>
  <c r="D89" i="13" l="1"/>
  <c r="D95" i="13"/>
  <c r="D98" i="13"/>
  <c r="D92" i="13"/>
  <c r="D82" i="13"/>
  <c r="D72" i="13"/>
  <c r="D43" i="13"/>
  <c r="D86" i="13"/>
  <c r="D69" i="13"/>
  <c r="D66" i="13" s="1"/>
  <c r="D63" i="13"/>
  <c r="D62" i="13" s="1"/>
  <c r="D61" i="13"/>
  <c r="D58" i="13" s="1"/>
  <c r="H161" i="16" l="1"/>
  <c r="M161" i="16" s="1"/>
  <c r="D57" i="13"/>
  <c r="D112" i="13"/>
  <c r="D111" i="13"/>
  <c r="D110" i="13"/>
  <c r="D107" i="13"/>
  <c r="D106" i="13"/>
  <c r="D104" i="13"/>
  <c r="D103" i="13"/>
  <c r="M33" i="10"/>
  <c r="M35" i="10"/>
  <c r="M67" i="9"/>
  <c r="M66" i="9"/>
  <c r="M104" i="7" s="1"/>
  <c r="M65" i="9"/>
  <c r="M120" i="7" s="1"/>
  <c r="M64" i="9"/>
  <c r="M112" i="7" s="1"/>
  <c r="M62" i="9"/>
  <c r="M92" i="7" s="1"/>
  <c r="M61" i="9"/>
  <c r="M60" i="9"/>
  <c r="M59" i="9"/>
  <c r="M58" i="9"/>
  <c r="G39" i="8"/>
  <c r="G31" i="9"/>
  <c r="K33" i="9"/>
  <c r="L42" i="3" s="1"/>
  <c r="K32" i="9"/>
  <c r="L43" i="3" s="1"/>
  <c r="K31" i="9"/>
  <c r="L41" i="3" s="1"/>
  <c r="K30" i="9"/>
  <c r="L40" i="3" s="1"/>
  <c r="G33" i="9"/>
  <c r="G32" i="9"/>
  <c r="G30" i="9"/>
  <c r="B33" i="9"/>
  <c r="H33" i="9"/>
  <c r="H32" i="9"/>
  <c r="M52" i="9"/>
  <c r="M41" i="9"/>
  <c r="M50" i="9"/>
  <c r="M45" i="9"/>
  <c r="M44" i="9"/>
  <c r="M54" i="9"/>
  <c r="M56" i="9"/>
  <c r="H30" i="9"/>
  <c r="E88" i="4"/>
  <c r="D88" i="4"/>
  <c r="C88" i="4"/>
  <c r="B88" i="4"/>
  <c r="M64" i="8"/>
  <c r="M40" i="9"/>
  <c r="H162" i="16" l="1"/>
  <c r="M162" i="16" s="1"/>
  <c r="M114" i="4"/>
  <c r="N503" i="16"/>
  <c r="N84" i="16"/>
  <c r="N336" i="16"/>
  <c r="S65" i="7"/>
  <c r="N289" i="16" s="1"/>
  <c r="D105" i="13"/>
  <c r="D101" i="13"/>
  <c r="D77" i="13" s="1"/>
  <c r="D109" i="13"/>
  <c r="H163" i="16" l="1"/>
  <c r="M163" i="16" s="1"/>
  <c r="D75" i="13"/>
  <c r="M49" i="9"/>
  <c r="M43" i="9"/>
  <c r="M38" i="9"/>
  <c r="M36" i="9"/>
  <c r="M35" i="9"/>
  <c r="M60" i="8"/>
  <c r="M47" i="8"/>
  <c r="H164" i="16" l="1"/>
  <c r="M164" i="16" s="1"/>
  <c r="M74" i="5"/>
  <c r="M151" i="4"/>
  <c r="M166" i="4"/>
  <c r="M184" i="4"/>
  <c r="M187" i="4"/>
  <c r="M186" i="4"/>
  <c r="M185" i="4"/>
  <c r="M183" i="4"/>
  <c r="M182" i="4"/>
  <c r="M181" i="4"/>
  <c r="M180" i="4"/>
  <c r="N257" i="16" l="1"/>
  <c r="U72" i="5"/>
  <c r="S72" i="5"/>
  <c r="M72" i="5"/>
  <c r="M177" i="4"/>
  <c r="M170" i="4"/>
  <c r="M171" i="4"/>
  <c r="H165" i="16" l="1"/>
  <c r="M165" i="16" s="1"/>
  <c r="D78" i="4"/>
  <c r="C78" i="4"/>
  <c r="B78" i="4"/>
  <c r="D79" i="4"/>
  <c r="C79" i="4"/>
  <c r="B79" i="4"/>
  <c r="C80" i="4"/>
  <c r="C81" i="4"/>
  <c r="C82" i="4"/>
  <c r="C83" i="4"/>
  <c r="C84" i="4"/>
  <c r="C86" i="4"/>
  <c r="C87" i="4"/>
  <c r="C89" i="4"/>
  <c r="C90" i="4"/>
  <c r="C91" i="4"/>
  <c r="C92" i="4"/>
  <c r="C94" i="4"/>
  <c r="N338" i="16" l="1"/>
  <c r="N512" i="16"/>
  <c r="N86" i="16"/>
  <c r="N513" i="16"/>
  <c r="N87" i="16"/>
  <c r="N342" i="16"/>
  <c r="N344" i="16"/>
  <c r="N515" i="16"/>
  <c r="N91" i="16"/>
  <c r="N511" i="16"/>
  <c r="N92" i="16"/>
  <c r="N343" i="16"/>
  <c r="M113" i="4"/>
  <c r="N335" i="16"/>
  <c r="N510" i="16"/>
  <c r="N83" i="16"/>
  <c r="N339" i="16"/>
  <c r="N507" i="16"/>
  <c r="N88" i="16"/>
  <c r="N504" i="16"/>
  <c r="N85" i="16"/>
  <c r="N337" i="16"/>
  <c r="M189" i="4"/>
  <c r="M179" i="4"/>
  <c r="M156" i="4"/>
  <c r="M131" i="4"/>
  <c r="M125" i="4"/>
  <c r="M77" i="4"/>
  <c r="M71" i="4"/>
  <c r="B29" i="7"/>
  <c r="B42" i="4"/>
  <c r="B42" i="3"/>
  <c r="N7" i="16" l="1"/>
  <c r="U50" i="7"/>
  <c r="S50" i="7"/>
  <c r="M50" i="7"/>
  <c r="D2" i="13"/>
  <c r="D1" i="13" s="1"/>
  <c r="A55" i="3"/>
  <c r="H166" i="16" l="1"/>
  <c r="M166" i="16" s="1"/>
  <c r="K49" i="4"/>
  <c r="L11" i="3" s="1"/>
  <c r="H49" i="4"/>
  <c r="G49" i="4"/>
  <c r="F49" i="4"/>
  <c r="E11" i="3" s="1"/>
  <c r="E49" i="4"/>
  <c r="D49" i="4"/>
  <c r="C11" i="3" s="1"/>
  <c r="C49" i="4"/>
  <c r="B49" i="4"/>
  <c r="B11" i="3" s="1"/>
  <c r="H48" i="4"/>
  <c r="G48" i="4"/>
  <c r="F48" i="4"/>
  <c r="E10" i="3" s="1"/>
  <c r="E48" i="4"/>
  <c r="D48" i="4"/>
  <c r="C10" i="3" s="1"/>
  <c r="C48" i="4"/>
  <c r="B48" i="4"/>
  <c r="B10" i="3" s="1"/>
  <c r="C47" i="4"/>
  <c r="K47" i="4"/>
  <c r="L9" i="3" s="1"/>
  <c r="H47" i="4"/>
  <c r="G47" i="4"/>
  <c r="F47" i="4"/>
  <c r="E9" i="3" s="1"/>
  <c r="E47" i="4"/>
  <c r="D47" i="4"/>
  <c r="C9" i="3" s="1"/>
  <c r="B47" i="4"/>
  <c r="B9" i="3" s="1"/>
  <c r="K52" i="4"/>
  <c r="L14" i="3" s="1"/>
  <c r="H52" i="4"/>
  <c r="G52" i="4"/>
  <c r="F52" i="4"/>
  <c r="E14" i="3" s="1"/>
  <c r="E52" i="4"/>
  <c r="D52" i="4"/>
  <c r="C14" i="3" s="1"/>
  <c r="C52" i="4"/>
  <c r="B52" i="4"/>
  <c r="B14" i="3" s="1"/>
  <c r="M174" i="4"/>
  <c r="M173" i="4"/>
  <c r="M172" i="4"/>
  <c r="M191" i="4"/>
  <c r="M37" i="10"/>
  <c r="M36" i="10"/>
  <c r="M165" i="4"/>
  <c r="M164" i="4"/>
  <c r="M163" i="4"/>
  <c r="M162" i="4"/>
  <c r="M161" i="4"/>
  <c r="M160" i="4"/>
  <c r="M159" i="4"/>
  <c r="M167" i="4"/>
  <c r="M158" i="4"/>
  <c r="M157" i="4"/>
  <c r="M193" i="4"/>
  <c r="M192" i="4"/>
  <c r="M178" i="4"/>
  <c r="M169" i="4"/>
  <c r="M176" i="4"/>
  <c r="M175" i="4"/>
  <c r="B112" i="7"/>
  <c r="M54" i="8"/>
  <c r="M53" i="8"/>
  <c r="M65" i="7"/>
  <c r="M56" i="7"/>
  <c r="M55" i="7"/>
  <c r="D9" i="3" l="1"/>
  <c r="D11" i="3"/>
  <c r="D14" i="3"/>
  <c r="D10" i="3"/>
  <c r="H167" i="16"/>
  <c r="M167" i="16" s="1"/>
  <c r="N259" i="16"/>
  <c r="N258" i="16"/>
  <c r="N140" i="16"/>
  <c r="N378" i="16"/>
  <c r="N144" i="16"/>
  <c r="N548" i="16"/>
  <c r="N382" i="16"/>
  <c r="N379" i="16"/>
  <c r="N545" i="16"/>
  <c r="N141" i="16"/>
  <c r="N380" i="16"/>
  <c r="N546" i="16"/>
  <c r="N142" i="16"/>
  <c r="N143" i="16"/>
  <c r="N381" i="16"/>
  <c r="N547" i="16"/>
  <c r="N488" i="16"/>
  <c r="N304" i="16"/>
  <c r="N62" i="16"/>
  <c r="N476" i="16"/>
  <c r="N305" i="16"/>
  <c r="N63" i="16"/>
  <c r="N303" i="16"/>
  <c r="N61" i="16"/>
  <c r="N306" i="16"/>
  <c r="N64" i="16"/>
  <c r="N65" i="16"/>
  <c r="N307" i="16"/>
  <c r="N22" i="16"/>
  <c r="N24" i="16"/>
  <c r="M110" i="7"/>
  <c r="M109" i="7"/>
  <c r="M107" i="7"/>
  <c r="M108" i="7"/>
  <c r="M111" i="7"/>
  <c r="M101" i="7"/>
  <c r="M93" i="7"/>
  <c r="M90" i="7"/>
  <c r="M86" i="7"/>
  <c r="M87" i="7"/>
  <c r="M81" i="7"/>
  <c r="N480" i="16"/>
  <c r="M76" i="7"/>
  <c r="M77" i="7"/>
  <c r="M72" i="7"/>
  <c r="M70" i="7"/>
  <c r="M69" i="7"/>
  <c r="M190" i="4"/>
  <c r="M62" i="7"/>
  <c r="M88" i="7"/>
  <c r="L49" i="4"/>
  <c r="L47" i="4"/>
  <c r="L52" i="4"/>
  <c r="L48" i="4"/>
  <c r="K42" i="7"/>
  <c r="L36" i="3" s="1"/>
  <c r="H42" i="7"/>
  <c r="G42" i="7"/>
  <c r="F42" i="7"/>
  <c r="E36" i="3" s="1"/>
  <c r="E42" i="7"/>
  <c r="K41" i="7"/>
  <c r="L35" i="3" s="1"/>
  <c r="H41" i="7"/>
  <c r="G41" i="7"/>
  <c r="F41" i="7"/>
  <c r="E41" i="7"/>
  <c r="D42" i="7"/>
  <c r="C36" i="3" s="1"/>
  <c r="D41" i="7"/>
  <c r="C35" i="3" s="1"/>
  <c r="K40" i="7"/>
  <c r="L34" i="3" s="1"/>
  <c r="H40" i="7"/>
  <c r="G40" i="7"/>
  <c r="F40" i="7"/>
  <c r="E34" i="3" s="1"/>
  <c r="E40" i="7"/>
  <c r="K39" i="7"/>
  <c r="L33" i="3" s="1"/>
  <c r="H39" i="7"/>
  <c r="G39" i="7"/>
  <c r="F39" i="7"/>
  <c r="E33" i="3" s="1"/>
  <c r="E39" i="7"/>
  <c r="D40" i="7"/>
  <c r="C34" i="3" s="1"/>
  <c r="D39" i="7"/>
  <c r="C33" i="3" s="1"/>
  <c r="K38" i="7"/>
  <c r="L32" i="3" s="1"/>
  <c r="H38" i="7"/>
  <c r="G38" i="7"/>
  <c r="F38" i="7"/>
  <c r="E32" i="3" s="1"/>
  <c r="E38" i="7"/>
  <c r="D38" i="7"/>
  <c r="C32" i="3" s="1"/>
  <c r="K37" i="7"/>
  <c r="L31" i="3" s="1"/>
  <c r="H37" i="7"/>
  <c r="G37" i="7"/>
  <c r="F37" i="7"/>
  <c r="E31" i="3" s="1"/>
  <c r="E37" i="7"/>
  <c r="D37" i="7"/>
  <c r="C31" i="3" s="1"/>
  <c r="K36" i="7"/>
  <c r="L30" i="3" s="1"/>
  <c r="H36" i="7"/>
  <c r="G36" i="7"/>
  <c r="F36" i="7"/>
  <c r="E30" i="3" s="1"/>
  <c r="E36" i="7"/>
  <c r="K35" i="7"/>
  <c r="L29" i="3" s="1"/>
  <c r="H35" i="7"/>
  <c r="G35" i="7"/>
  <c r="F35" i="7"/>
  <c r="E29" i="3" s="1"/>
  <c r="E35" i="7"/>
  <c r="H33" i="7"/>
  <c r="G33" i="7"/>
  <c r="E27" i="3"/>
  <c r="F32" i="7"/>
  <c r="E26" i="3" s="1"/>
  <c r="E32" i="7"/>
  <c r="K31" i="7"/>
  <c r="L25" i="3" s="1"/>
  <c r="H31" i="7"/>
  <c r="G31" i="7"/>
  <c r="F31" i="7"/>
  <c r="E25" i="3" s="1"/>
  <c r="E31" i="7"/>
  <c r="K30" i="7"/>
  <c r="L24" i="3" s="1"/>
  <c r="H30" i="7"/>
  <c r="G30" i="7"/>
  <c r="F30" i="7"/>
  <c r="E30" i="7"/>
  <c r="D36" i="7"/>
  <c r="C30" i="3" s="1"/>
  <c r="D35" i="7"/>
  <c r="C29" i="3" s="1"/>
  <c r="D32" i="7"/>
  <c r="C26" i="3" s="1"/>
  <c r="D31" i="7"/>
  <c r="C25" i="3" s="1"/>
  <c r="D30" i="7"/>
  <c r="C24" i="3" s="1"/>
  <c r="D29" i="7"/>
  <c r="C23" i="3" s="1"/>
  <c r="M57" i="7"/>
  <c r="M114" i="7"/>
  <c r="L38" i="7"/>
  <c r="N21" i="16"/>
  <c r="M60" i="7"/>
  <c r="K51" i="4"/>
  <c r="L13" i="3" s="1"/>
  <c r="B36" i="3"/>
  <c r="B35" i="3"/>
  <c r="B34" i="3"/>
  <c r="B33" i="3"/>
  <c r="B32" i="3"/>
  <c r="B31" i="3"/>
  <c r="B30" i="3"/>
  <c r="B28" i="3"/>
  <c r="B27" i="3"/>
  <c r="B26" i="3"/>
  <c r="B25" i="3"/>
  <c r="B24" i="3"/>
  <c r="P3" i="2"/>
  <c r="D36" i="3" l="1"/>
  <c r="M42" i="7"/>
  <c r="D34" i="3"/>
  <c r="M40" i="7"/>
  <c r="D31" i="3"/>
  <c r="M37" i="7"/>
  <c r="D32" i="3"/>
  <c r="M38" i="7"/>
  <c r="D33" i="3"/>
  <c r="M39" i="7"/>
  <c r="D35" i="3"/>
  <c r="M41" i="7"/>
  <c r="D30" i="3"/>
  <c r="M36" i="7"/>
  <c r="D29" i="3"/>
  <c r="M35" i="7"/>
  <c r="D26" i="3"/>
  <c r="M32" i="7"/>
  <c r="D24" i="3"/>
  <c r="M30" i="7"/>
  <c r="D25" i="3"/>
  <c r="M31" i="7"/>
  <c r="F14" i="18"/>
  <c r="H168" i="16"/>
  <c r="M168" i="16" s="1"/>
  <c r="N149" i="16"/>
  <c r="N553" i="16"/>
  <c r="N386" i="16"/>
  <c r="N552" i="16"/>
  <c r="N385" i="16"/>
  <c r="N148" i="16"/>
  <c r="N551" i="16"/>
  <c r="N147" i="16"/>
  <c r="N384" i="16"/>
  <c r="N477" i="16"/>
  <c r="N308" i="16"/>
  <c r="N66" i="16"/>
  <c r="N489" i="16"/>
  <c r="N67" i="16"/>
  <c r="N309" i="16"/>
  <c r="M61" i="7"/>
  <c r="N286" i="16"/>
  <c r="N16" i="16"/>
  <c r="N461" i="16"/>
  <c r="M119" i="7"/>
  <c r="M116" i="7"/>
  <c r="M117" i="7"/>
  <c r="M118" i="7"/>
  <c r="M95" i="7"/>
  <c r="M82" i="7"/>
  <c r="M83" i="7"/>
  <c r="N483" i="16"/>
  <c r="M84" i="7"/>
  <c r="M78" i="7"/>
  <c r="M79" i="7"/>
  <c r="M66" i="7"/>
  <c r="U66" i="7"/>
  <c r="N465" i="16" s="1"/>
  <c r="M67" i="7"/>
  <c r="U67" i="7"/>
  <c r="S67" i="7"/>
  <c r="M64" i="7"/>
  <c r="S64" i="7"/>
  <c r="N288" i="16" s="1"/>
  <c r="M58" i="7"/>
  <c r="N14" i="16"/>
  <c r="N285" i="16"/>
  <c r="M11" i="3"/>
  <c r="T11" i="3" s="1"/>
  <c r="M10" i="3"/>
  <c r="M14" i="3"/>
  <c r="T14" i="3" s="1"/>
  <c r="M9" i="3"/>
  <c r="T9" i="3" s="1"/>
  <c r="L37" i="7"/>
  <c r="L36" i="7"/>
  <c r="M30" i="3" s="1"/>
  <c r="T30" i="3" s="1"/>
  <c r="L42" i="7"/>
  <c r="M36" i="3" s="1"/>
  <c r="L35" i="7"/>
  <c r="L31" i="7"/>
  <c r="L39" i="7"/>
  <c r="L30" i="7"/>
  <c r="E35" i="3"/>
  <c r="E24" i="3"/>
  <c r="M32" i="3"/>
  <c r="T32" i="3" s="1"/>
  <c r="F84" i="4"/>
  <c r="E84" i="4"/>
  <c r="D84" i="4"/>
  <c r="D83" i="4"/>
  <c r="B83" i="4"/>
  <c r="B84" i="4"/>
  <c r="A18" i="3"/>
  <c r="K55" i="4"/>
  <c r="L17" i="3" s="1"/>
  <c r="H55" i="4"/>
  <c r="G55" i="4"/>
  <c r="F55" i="4"/>
  <c r="E17" i="3" s="1"/>
  <c r="E55" i="4"/>
  <c r="D55" i="4"/>
  <c r="C17" i="3" s="1"/>
  <c r="C55" i="4"/>
  <c r="B51" i="4"/>
  <c r="B13" i="3" s="1"/>
  <c r="B55" i="4"/>
  <c r="B17" i="3" s="1"/>
  <c r="M155" i="4"/>
  <c r="M154" i="4"/>
  <c r="M153" i="4"/>
  <c r="M152" i="4"/>
  <c r="M149" i="4"/>
  <c r="M148" i="4"/>
  <c r="M147" i="4"/>
  <c r="H51" i="4"/>
  <c r="G51" i="4"/>
  <c r="F51" i="4"/>
  <c r="E13" i="3" s="1"/>
  <c r="E51" i="4"/>
  <c r="D51" i="4"/>
  <c r="C13" i="3" s="1"/>
  <c r="K42" i="4"/>
  <c r="L4" i="3" s="1"/>
  <c r="H42" i="4"/>
  <c r="G42" i="4"/>
  <c r="F42" i="4"/>
  <c r="E4" i="3" s="1"/>
  <c r="E42" i="4"/>
  <c r="D42" i="4"/>
  <c r="C4" i="3" s="1"/>
  <c r="C51" i="4"/>
  <c r="K46" i="4"/>
  <c r="L8" i="3" s="1"/>
  <c r="H46" i="4"/>
  <c r="G46" i="4"/>
  <c r="F46" i="4"/>
  <c r="E8" i="3" s="1"/>
  <c r="E46" i="4"/>
  <c r="E94" i="4"/>
  <c r="D94" i="4"/>
  <c r="B94" i="4"/>
  <c r="M59" i="8"/>
  <c r="M48" i="8"/>
  <c r="M49" i="8"/>
  <c r="E87" i="4"/>
  <c r="D87" i="4"/>
  <c r="B87" i="4"/>
  <c r="E82" i="4"/>
  <c r="D82" i="4"/>
  <c r="E81" i="4"/>
  <c r="D81" i="4"/>
  <c r="E80" i="4"/>
  <c r="D80" i="4"/>
  <c r="E90" i="4"/>
  <c r="D90" i="4"/>
  <c r="F89" i="4"/>
  <c r="E89" i="4"/>
  <c r="D89" i="4"/>
  <c r="B90" i="4"/>
  <c r="B89" i="4"/>
  <c r="B82" i="4"/>
  <c r="B81" i="4"/>
  <c r="D39" i="8"/>
  <c r="M46" i="8"/>
  <c r="M45" i="8"/>
  <c r="D86" i="4"/>
  <c r="B86" i="4"/>
  <c r="M39" i="9"/>
  <c r="F91" i="4"/>
  <c r="E91" i="4"/>
  <c r="D91" i="4"/>
  <c r="D92" i="4"/>
  <c r="E92" i="4"/>
  <c r="M50" i="8"/>
  <c r="M51" i="8"/>
  <c r="O36" i="3" l="1"/>
  <c r="T36" i="3"/>
  <c r="O10" i="3"/>
  <c r="T10" i="3"/>
  <c r="N32" i="3"/>
  <c r="O32" i="3"/>
  <c r="N30" i="3"/>
  <c r="O30" i="3"/>
  <c r="O14" i="3"/>
  <c r="D13" i="3"/>
  <c r="N9" i="3"/>
  <c r="O9" i="3"/>
  <c r="D17" i="3"/>
  <c r="N11" i="3"/>
  <c r="O11" i="3"/>
  <c r="D4" i="3"/>
  <c r="D8" i="3"/>
  <c r="F12" i="18"/>
  <c r="F8" i="18"/>
  <c r="M33" i="3"/>
  <c r="T33" i="3" s="1"/>
  <c r="F15" i="18"/>
  <c r="F11" i="18"/>
  <c r="M34" i="3"/>
  <c r="T34" i="3" s="1"/>
  <c r="N36" i="3"/>
  <c r="N14" i="3"/>
  <c r="H169" i="16"/>
  <c r="M169" i="16" s="1"/>
  <c r="M79" i="5"/>
  <c r="N45" i="16"/>
  <c r="S79" i="5"/>
  <c r="U79" i="5"/>
  <c r="S9" i="3"/>
  <c r="R9" i="3"/>
  <c r="S14" i="3"/>
  <c r="R14" i="3"/>
  <c r="S10" i="3"/>
  <c r="R10" i="3"/>
  <c r="R11" i="3"/>
  <c r="S11" i="3"/>
  <c r="S30" i="3"/>
  <c r="R30" i="3"/>
  <c r="S32" i="3"/>
  <c r="R32" i="3"/>
  <c r="S36" i="3"/>
  <c r="R36" i="3"/>
  <c r="P30" i="3"/>
  <c r="P32" i="3"/>
  <c r="P36" i="3"/>
  <c r="P11" i="3"/>
  <c r="P9" i="3"/>
  <c r="P14" i="3"/>
  <c r="M51" i="9"/>
  <c r="M35" i="3"/>
  <c r="T35" i="3" s="1"/>
  <c r="M31" i="3"/>
  <c r="T31" i="3" s="1"/>
  <c r="L51" i="4"/>
  <c r="L55" i="4"/>
  <c r="D53" i="4"/>
  <c r="C15" i="3" s="1"/>
  <c r="C40" i="8"/>
  <c r="B40" i="8"/>
  <c r="B39" i="3" s="1"/>
  <c r="K40" i="8"/>
  <c r="L39" i="3" s="1"/>
  <c r="H40" i="8"/>
  <c r="G40" i="8"/>
  <c r="F40" i="8"/>
  <c r="E39" i="3" s="1"/>
  <c r="E40" i="8"/>
  <c r="D39" i="3" s="1"/>
  <c r="D40" i="8"/>
  <c r="C39" i="3" s="1"/>
  <c r="N33" i="3" l="1"/>
  <c r="O33" i="3"/>
  <c r="R34" i="3"/>
  <c r="O34" i="3"/>
  <c r="N35" i="3"/>
  <c r="O35" i="3"/>
  <c r="N31" i="3"/>
  <c r="O31" i="3"/>
  <c r="S33" i="3"/>
  <c r="P33" i="3"/>
  <c r="R33" i="3"/>
  <c r="P34" i="3"/>
  <c r="S34" i="3"/>
  <c r="N34" i="3"/>
  <c r="H170" i="16"/>
  <c r="M170" i="16" s="1"/>
  <c r="S35" i="3"/>
  <c r="R35" i="3"/>
  <c r="S31" i="3"/>
  <c r="R31" i="3"/>
  <c r="P35" i="3"/>
  <c r="P31" i="3"/>
  <c r="M62" i="8"/>
  <c r="M61" i="8"/>
  <c r="M63" i="8"/>
  <c r="M65" i="8"/>
  <c r="M56" i="8"/>
  <c r="M17" i="3"/>
  <c r="T17" i="3" s="1"/>
  <c r="M13" i="3"/>
  <c r="T13" i="3" s="1"/>
  <c r="L40" i="8"/>
  <c r="L56" i="6"/>
  <c r="O56" i="6" s="1"/>
  <c r="L55" i="6"/>
  <c r="O55" i="6" s="1"/>
  <c r="M54" i="6"/>
  <c r="N17" i="3" l="1"/>
  <c r="O17" i="3"/>
  <c r="N13" i="3"/>
  <c r="O13" i="3"/>
  <c r="M56" i="6"/>
  <c r="M55" i="6"/>
  <c r="H171" i="16"/>
  <c r="M171" i="16" s="1"/>
  <c r="S13" i="3"/>
  <c r="R13" i="3"/>
  <c r="S17" i="3"/>
  <c r="R17" i="3"/>
  <c r="P17" i="3"/>
  <c r="P13" i="3"/>
  <c r="M40" i="8"/>
  <c r="M39" i="3"/>
  <c r="T39" i="3" s="1"/>
  <c r="M47" i="9"/>
  <c r="L32" i="9"/>
  <c r="M102" i="4"/>
  <c r="M110" i="4"/>
  <c r="M108" i="4"/>
  <c r="N39" i="3" l="1"/>
  <c r="O39" i="3"/>
  <c r="H172" i="16"/>
  <c r="M172" i="16" s="1"/>
  <c r="S39" i="3"/>
  <c r="R39" i="3"/>
  <c r="N340" i="16"/>
  <c r="N508" i="16"/>
  <c r="N89" i="16"/>
  <c r="P39" i="3"/>
  <c r="M46" i="9"/>
  <c r="M53" i="9"/>
  <c r="M57" i="8"/>
  <c r="M55" i="8"/>
  <c r="M52" i="8"/>
  <c r="F19" i="18"/>
  <c r="L69" i="6"/>
  <c r="O69" i="6" s="1"/>
  <c r="L68" i="6"/>
  <c r="O68" i="6" s="1"/>
  <c r="L67" i="6"/>
  <c r="O67" i="6" s="1"/>
  <c r="L66" i="6"/>
  <c r="O66" i="6" s="1"/>
  <c r="L64" i="6"/>
  <c r="O64" i="6" s="1"/>
  <c r="L63" i="6"/>
  <c r="O63" i="6" s="1"/>
  <c r="L60" i="6"/>
  <c r="O60" i="6" s="1"/>
  <c r="L59" i="6"/>
  <c r="O59" i="6" s="1"/>
  <c r="L58" i="6"/>
  <c r="O58" i="6" s="1"/>
  <c r="L57" i="6"/>
  <c r="O57" i="6" s="1"/>
  <c r="L30" i="9"/>
  <c r="M43" i="10"/>
  <c r="M42" i="10"/>
  <c r="M40" i="10"/>
  <c r="M38" i="10"/>
  <c r="M34" i="10"/>
  <c r="M32" i="10"/>
  <c r="M103" i="4"/>
  <c r="L43" i="4"/>
  <c r="K54" i="4"/>
  <c r="L16" i="3" s="1"/>
  <c r="G54" i="4"/>
  <c r="E16" i="3"/>
  <c r="C16" i="3"/>
  <c r="B54" i="4"/>
  <c r="B16" i="3" s="1"/>
  <c r="C54" i="4"/>
  <c r="D16" i="3" l="1"/>
  <c r="M94" i="6"/>
  <c r="M95" i="6"/>
  <c r="M60" i="6"/>
  <c r="M90" i="6"/>
  <c r="M91" i="6"/>
  <c r="M75" i="6"/>
  <c r="M64" i="6"/>
  <c r="M85" i="6"/>
  <c r="M57" i="6"/>
  <c r="M67" i="6"/>
  <c r="M78" i="6"/>
  <c r="M86" i="6"/>
  <c r="M96" i="6"/>
  <c r="M73" i="6"/>
  <c r="M82" i="6"/>
  <c r="M83" i="6"/>
  <c r="M76" i="6"/>
  <c r="M77" i="6"/>
  <c r="M58" i="6"/>
  <c r="M68" i="6"/>
  <c r="M79" i="6"/>
  <c r="M88" i="6"/>
  <c r="M97" i="6"/>
  <c r="M81" i="6"/>
  <c r="M74" i="6"/>
  <c r="M63" i="6"/>
  <c r="M92" i="6"/>
  <c r="M84" i="6"/>
  <c r="M66" i="6"/>
  <c r="M59" i="6"/>
  <c r="M69" i="6"/>
  <c r="M80" i="6"/>
  <c r="M89" i="6"/>
  <c r="M98" i="6"/>
  <c r="H173" i="16"/>
  <c r="M173" i="16" s="1"/>
  <c r="N520" i="16"/>
  <c r="N93" i="16"/>
  <c r="N345" i="16"/>
  <c r="N90" i="16"/>
  <c r="N341" i="16"/>
  <c r="N509" i="16"/>
  <c r="N506" i="16"/>
  <c r="N82" i="16"/>
  <c r="N334" i="16"/>
  <c r="N347" i="16"/>
  <c r="N521" i="16"/>
  <c r="N94" i="16"/>
  <c r="N255" i="16"/>
  <c r="N256" i="16"/>
  <c r="U100" i="5"/>
  <c r="S100" i="5"/>
  <c r="S101" i="5"/>
  <c r="U101" i="5"/>
  <c r="U102" i="5"/>
  <c r="S102" i="5"/>
  <c r="S103" i="5"/>
  <c r="U103" i="5"/>
  <c r="U104" i="5"/>
  <c r="S104" i="5"/>
  <c r="S106" i="5"/>
  <c r="N440" i="16" s="1"/>
  <c r="U106" i="5"/>
  <c r="N601" i="16" s="1"/>
  <c r="N251" i="16"/>
  <c r="U98" i="5"/>
  <c r="S98" i="5"/>
  <c r="U99" i="5"/>
  <c r="S99" i="5"/>
  <c r="S95" i="5"/>
  <c r="U95" i="5"/>
  <c r="N53" i="16"/>
  <c r="S87" i="5"/>
  <c r="U87" i="5"/>
  <c r="M93" i="5"/>
  <c r="U93" i="5"/>
  <c r="S93" i="5"/>
  <c r="N262" i="16"/>
  <c r="M94" i="5"/>
  <c r="S94" i="5"/>
  <c r="U94" i="5"/>
  <c r="N263" i="16"/>
  <c r="M95" i="5"/>
  <c r="N264" i="16"/>
  <c r="M91" i="5"/>
  <c r="U91" i="5"/>
  <c r="N260" i="16"/>
  <c r="S91" i="5"/>
  <c r="M92" i="5"/>
  <c r="U92" i="5"/>
  <c r="N261" i="16"/>
  <c r="S92" i="5"/>
  <c r="N175" i="16"/>
  <c r="U73" i="5"/>
  <c r="S73" i="5"/>
  <c r="M80" i="5"/>
  <c r="N46" i="16"/>
  <c r="S80" i="5"/>
  <c r="U80" i="5"/>
  <c r="M81" i="5"/>
  <c r="N47" i="16"/>
  <c r="S81" i="5"/>
  <c r="U81" i="5"/>
  <c r="M82" i="5"/>
  <c r="N48" i="16"/>
  <c r="S82" i="5"/>
  <c r="U82" i="5"/>
  <c r="M75" i="5"/>
  <c r="S75" i="5"/>
  <c r="U75" i="5"/>
  <c r="N41" i="16"/>
  <c r="M84" i="5"/>
  <c r="U84" i="5"/>
  <c r="N50" i="16"/>
  <c r="S84" i="5"/>
  <c r="M76" i="5"/>
  <c r="S76" i="5"/>
  <c r="N42" i="16"/>
  <c r="U76" i="5"/>
  <c r="M85" i="5"/>
  <c r="U85" i="5"/>
  <c r="N51" i="16"/>
  <c r="S85" i="5"/>
  <c r="M87" i="5"/>
  <c r="M77" i="5"/>
  <c r="U77" i="5"/>
  <c r="N43" i="16"/>
  <c r="S77" i="5"/>
  <c r="M83" i="5"/>
  <c r="S83" i="5"/>
  <c r="U83" i="5"/>
  <c r="N49" i="16"/>
  <c r="M78" i="5"/>
  <c r="U78" i="5"/>
  <c r="S78" i="5"/>
  <c r="N44" i="16"/>
  <c r="M103" i="5"/>
  <c r="N248" i="16"/>
  <c r="M104" i="5"/>
  <c r="N249" i="16"/>
  <c r="M97" i="5"/>
  <c r="N237" i="16"/>
  <c r="M105" i="5"/>
  <c r="N250" i="16"/>
  <c r="M102" i="5"/>
  <c r="N247" i="16"/>
  <c r="M98" i="5"/>
  <c r="N240" i="16"/>
  <c r="M106" i="5"/>
  <c r="M101" i="5"/>
  <c r="N246" i="16"/>
  <c r="M99" i="5"/>
  <c r="N242" i="16"/>
  <c r="M100" i="5"/>
  <c r="N244" i="16"/>
  <c r="N155" i="16"/>
  <c r="U53" i="5"/>
  <c r="S53" i="5"/>
  <c r="N162" i="16"/>
  <c r="U60" i="5"/>
  <c r="S60" i="5"/>
  <c r="N167" i="16"/>
  <c r="U65" i="5"/>
  <c r="S65" i="5"/>
  <c r="N154" i="16"/>
  <c r="N163" i="16"/>
  <c r="S61" i="5"/>
  <c r="U61" i="5"/>
  <c r="N168" i="16"/>
  <c r="S66" i="5"/>
  <c r="U66" i="5"/>
  <c r="N152" i="16"/>
  <c r="U50" i="5"/>
  <c r="S50" i="5"/>
  <c r="N156" i="16"/>
  <c r="S54" i="5"/>
  <c r="U54" i="5"/>
  <c r="N160" i="16"/>
  <c r="S58" i="5"/>
  <c r="U58" i="5"/>
  <c r="N164" i="16"/>
  <c r="S62" i="5"/>
  <c r="U62" i="5"/>
  <c r="N169" i="16"/>
  <c r="S67" i="5"/>
  <c r="U67" i="5"/>
  <c r="N170" i="16"/>
  <c r="S68" i="5"/>
  <c r="U68" i="5"/>
  <c r="N159" i="16"/>
  <c r="U57" i="5"/>
  <c r="S57" i="5"/>
  <c r="N153" i="16"/>
  <c r="S51" i="5"/>
  <c r="U51" i="5"/>
  <c r="N165" i="16"/>
  <c r="S63" i="5"/>
  <c r="U63" i="5"/>
  <c r="N171" i="16"/>
  <c r="S69" i="5"/>
  <c r="U69" i="5"/>
  <c r="N161" i="16"/>
  <c r="N172" i="16"/>
  <c r="S70" i="5"/>
  <c r="U70" i="5"/>
  <c r="N166" i="16"/>
  <c r="N157" i="16"/>
  <c r="S55" i="5"/>
  <c r="U55" i="5"/>
  <c r="N158" i="16"/>
  <c r="S56" i="5"/>
  <c r="U56" i="5"/>
  <c r="N173" i="16"/>
  <c r="S71" i="5"/>
  <c r="U71" i="5"/>
  <c r="M51" i="5"/>
  <c r="M73" i="5"/>
  <c r="M53" i="5"/>
  <c r="M60" i="5"/>
  <c r="M61" i="5"/>
  <c r="M66" i="5"/>
  <c r="M57" i="5"/>
  <c r="M65" i="5"/>
  <c r="M50" i="5"/>
  <c r="M54" i="5"/>
  <c r="M58" i="5"/>
  <c r="M62" i="5"/>
  <c r="M67" i="5"/>
  <c r="M55" i="5"/>
  <c r="M68" i="5"/>
  <c r="M69" i="5"/>
  <c r="M70" i="5"/>
  <c r="M63" i="5"/>
  <c r="M56" i="5"/>
  <c r="M71" i="5"/>
  <c r="M48" i="9"/>
  <c r="L31" i="9"/>
  <c r="M42" i="9"/>
  <c r="M112" i="4"/>
  <c r="H96" i="4"/>
  <c r="L42" i="4"/>
  <c r="L54" i="4"/>
  <c r="J21" i="18" s="1"/>
  <c r="J32" i="18" s="1"/>
  <c r="J33" i="18" s="1"/>
  <c r="V12" i="2" s="1"/>
  <c r="L33" i="9"/>
  <c r="D33" i="9"/>
  <c r="C42" i="3" s="1"/>
  <c r="E42" i="3"/>
  <c r="E33" i="9"/>
  <c r="D42" i="3" s="1"/>
  <c r="C33" i="9"/>
  <c r="Q48" i="7"/>
  <c r="I46" i="6" l="1"/>
  <c r="I43" i="6"/>
  <c r="I44" i="6"/>
  <c r="I45" i="6"/>
  <c r="I42" i="6"/>
  <c r="I47" i="6"/>
  <c r="H175" i="16"/>
  <c r="M175" i="16" s="1"/>
  <c r="H174" i="16"/>
  <c r="M174" i="16" s="1"/>
  <c r="Q52" i="7"/>
  <c r="U52" i="7"/>
  <c r="N281" i="16"/>
  <c r="N282" i="16"/>
  <c r="N10" i="16"/>
  <c r="U53" i="7"/>
  <c r="N6" i="16"/>
  <c r="N280" i="16"/>
  <c r="U51" i="7"/>
  <c r="Q51" i="7"/>
  <c r="N278" i="16"/>
  <c r="N4" i="16"/>
  <c r="N279" i="16"/>
  <c r="N5" i="16"/>
  <c r="N456" i="16"/>
  <c r="U46" i="7"/>
  <c r="S46" i="7"/>
  <c r="N3" i="16"/>
  <c r="U48" i="7"/>
  <c r="M48" i="7"/>
  <c r="M51" i="7"/>
  <c r="M49" i="7"/>
  <c r="M52" i="7"/>
  <c r="M47" i="7"/>
  <c r="M46" i="7"/>
  <c r="A1" i="7"/>
  <c r="M53" i="7"/>
  <c r="M33" i="9"/>
  <c r="M42" i="3"/>
  <c r="T42" i="3" s="1"/>
  <c r="M57" i="9"/>
  <c r="L46" i="4"/>
  <c r="M4" i="3"/>
  <c r="M5" i="3"/>
  <c r="M16" i="3"/>
  <c r="M29" i="3"/>
  <c r="T29" i="3" s="1"/>
  <c r="M26" i="3"/>
  <c r="H54" i="4"/>
  <c r="C42" i="4"/>
  <c r="B4" i="3"/>
  <c r="O26" i="3" l="1"/>
  <c r="T26" i="3"/>
  <c r="O16" i="3"/>
  <c r="T16" i="3"/>
  <c r="O5" i="3"/>
  <c r="R4" i="3"/>
  <c r="P4" i="3"/>
  <c r="N42" i="3"/>
  <c r="O42" i="3"/>
  <c r="N29" i="3"/>
  <c r="O29" i="3"/>
  <c r="N4" i="3"/>
  <c r="O4" i="3"/>
  <c r="N460" i="16"/>
  <c r="U99" i="4"/>
  <c r="N8" i="16"/>
  <c r="Q97" i="4"/>
  <c r="N458" i="16"/>
  <c r="U97" i="4"/>
  <c r="N459" i="16"/>
  <c r="U98" i="4"/>
  <c r="N9" i="16"/>
  <c r="Q98" i="4"/>
  <c r="N26" i="3"/>
  <c r="N16" i="3"/>
  <c r="S16" i="3"/>
  <c r="R16" i="3"/>
  <c r="S4" i="3"/>
  <c r="T4" i="3"/>
  <c r="S42" i="3"/>
  <c r="R42" i="3"/>
  <c r="R26" i="3"/>
  <c r="S26" i="3"/>
  <c r="S29" i="3"/>
  <c r="R29" i="3"/>
  <c r="P42" i="3"/>
  <c r="P29" i="3"/>
  <c r="P26" i="3"/>
  <c r="P16" i="3"/>
  <c r="M8" i="3"/>
  <c r="L53" i="4"/>
  <c r="M24" i="3"/>
  <c r="M25" i="3"/>
  <c r="T25" i="3" s="1"/>
  <c r="L47" i="6"/>
  <c r="L113" i="5" s="1"/>
  <c r="L46" i="6"/>
  <c r="L112" i="5" s="1"/>
  <c r="L45" i="6"/>
  <c r="L111" i="5" s="1"/>
  <c r="L44" i="6"/>
  <c r="L110" i="5" s="1"/>
  <c r="L43" i="6"/>
  <c r="L109" i="5" s="1"/>
  <c r="L42" i="6"/>
  <c r="L108" i="5" s="1"/>
  <c r="L29" i="7"/>
  <c r="L39" i="8"/>
  <c r="L38" i="8"/>
  <c r="H38" i="8"/>
  <c r="M41" i="3"/>
  <c r="L28" i="10"/>
  <c r="L45" i="5"/>
  <c r="L71" i="7" s="1"/>
  <c r="L44" i="5"/>
  <c r="L43" i="5"/>
  <c r="L45" i="4"/>
  <c r="M43" i="3"/>
  <c r="M40" i="3"/>
  <c r="O8" i="3" l="1"/>
  <c r="T8" i="3"/>
  <c r="O24" i="3"/>
  <c r="T24" i="3"/>
  <c r="L74" i="7"/>
  <c r="O74" i="7"/>
  <c r="N40" i="3"/>
  <c r="O40" i="3"/>
  <c r="N41" i="3"/>
  <c r="O41" i="3"/>
  <c r="N25" i="3"/>
  <c r="O25" i="3"/>
  <c r="N43" i="3"/>
  <c r="O43" i="3"/>
  <c r="K302" i="16"/>
  <c r="K60" i="16"/>
  <c r="K474" i="16"/>
  <c r="K56" i="16"/>
  <c r="K469" i="16"/>
  <c r="K297" i="16"/>
  <c r="K57" i="16"/>
  <c r="K470" i="16"/>
  <c r="K298" i="16"/>
  <c r="K58" i="16"/>
  <c r="K471" i="16"/>
  <c r="K299" i="16"/>
  <c r="K301" i="16"/>
  <c r="K59" i="16"/>
  <c r="K473" i="16"/>
  <c r="K300" i="16"/>
  <c r="K472" i="16"/>
  <c r="F13" i="18"/>
  <c r="F20" i="18" s="1"/>
  <c r="V8" i="2" s="1"/>
  <c r="N24" i="3"/>
  <c r="N8" i="3"/>
  <c r="S8" i="3"/>
  <c r="S25" i="3"/>
  <c r="R25" i="3"/>
  <c r="S24" i="3"/>
  <c r="R24" i="3"/>
  <c r="P25" i="3"/>
  <c r="P24" i="3"/>
  <c r="P8" i="3"/>
  <c r="M45" i="3"/>
  <c r="K43" i="4"/>
  <c r="L5" i="3" s="1"/>
  <c r="L33" i="7"/>
  <c r="M27" i="3" s="1"/>
  <c r="T27" i="3" s="1"/>
  <c r="M59" i="3"/>
  <c r="M15" i="3"/>
  <c r="M12" i="3"/>
  <c r="M7" i="3"/>
  <c r="M23" i="3"/>
  <c r="M22" i="3"/>
  <c r="M20" i="3"/>
  <c r="M18" i="3"/>
  <c r="M38" i="3"/>
  <c r="M37" i="3"/>
  <c r="M19" i="3"/>
  <c r="O7" i="3" l="1"/>
  <c r="O37" i="3"/>
  <c r="O12" i="3"/>
  <c r="O38" i="3"/>
  <c r="O19" i="3"/>
  <c r="O18" i="3"/>
  <c r="O20" i="3"/>
  <c r="O22" i="3"/>
  <c r="T22" i="3"/>
  <c r="O45" i="3"/>
  <c r="O15" i="3"/>
  <c r="N5" i="3"/>
  <c r="P5" i="3"/>
  <c r="O27" i="3"/>
  <c r="O23" i="3"/>
  <c r="K1" i="16"/>
  <c r="R15" i="3"/>
  <c r="R23" i="3"/>
  <c r="L34" i="7"/>
  <c r="L46" i="5"/>
  <c r="M21" i="3" s="1"/>
  <c r="M58" i="3"/>
  <c r="O21" i="3" l="1"/>
  <c r="M56" i="3"/>
  <c r="M28" i="3"/>
  <c r="K28" i="10"/>
  <c r="L45" i="3" s="1"/>
  <c r="N45" i="3" s="1"/>
  <c r="H28" i="10"/>
  <c r="G28" i="10"/>
  <c r="F28" i="10"/>
  <c r="E45" i="3" s="1"/>
  <c r="T45" i="3" s="1"/>
  <c r="E28" i="10"/>
  <c r="D45" i="3" s="1"/>
  <c r="D28" i="10"/>
  <c r="C45" i="3" s="1"/>
  <c r="R45" i="3" s="1"/>
  <c r="C28" i="10"/>
  <c r="B28" i="10"/>
  <c r="K27" i="10"/>
  <c r="L44" i="3" s="1"/>
  <c r="H27" i="10"/>
  <c r="G27" i="10"/>
  <c r="F27" i="10"/>
  <c r="E44" i="3" s="1"/>
  <c r="E27" i="10"/>
  <c r="D44" i="3" s="1"/>
  <c r="D27" i="10"/>
  <c r="C44" i="3" s="1"/>
  <c r="C27" i="10"/>
  <c r="B27" i="10"/>
  <c r="F32" i="9"/>
  <c r="E43" i="3" s="1"/>
  <c r="T43" i="3" s="1"/>
  <c r="E32" i="9"/>
  <c r="D43" i="3" s="1"/>
  <c r="D32" i="9"/>
  <c r="C43" i="3" s="1"/>
  <c r="R43" i="3" s="1"/>
  <c r="C32" i="9"/>
  <c r="B32" i="9"/>
  <c r="B43" i="3" s="1"/>
  <c r="M31" i="9"/>
  <c r="H31" i="9"/>
  <c r="F31" i="9"/>
  <c r="E41" i="3" s="1"/>
  <c r="T41" i="3" s="1"/>
  <c r="E31" i="9"/>
  <c r="D41" i="3" s="1"/>
  <c r="D31" i="9"/>
  <c r="C41" i="3" s="1"/>
  <c r="R41" i="3" s="1"/>
  <c r="C31" i="9"/>
  <c r="B31" i="9"/>
  <c r="B41" i="3" s="1"/>
  <c r="F30" i="9"/>
  <c r="E40" i="3" s="1"/>
  <c r="E30" i="9"/>
  <c r="D40" i="3" s="1"/>
  <c r="D30" i="9"/>
  <c r="C40" i="3" s="1"/>
  <c r="R40" i="3" s="1"/>
  <c r="C30" i="9"/>
  <c r="B30" i="9"/>
  <c r="B40" i="3" s="1"/>
  <c r="K39" i="8"/>
  <c r="L37" i="3" s="1"/>
  <c r="N37" i="3" s="1"/>
  <c r="H39" i="8"/>
  <c r="F39" i="8"/>
  <c r="E39" i="8"/>
  <c r="C39" i="8"/>
  <c r="B39" i="8"/>
  <c r="B37" i="3" s="1"/>
  <c r="K38" i="8"/>
  <c r="G38" i="8"/>
  <c r="F38" i="8"/>
  <c r="E38" i="3" s="1"/>
  <c r="T38" i="3" s="1"/>
  <c r="E38" i="8"/>
  <c r="D38" i="8"/>
  <c r="C38" i="8"/>
  <c r="B38" i="8"/>
  <c r="B38" i="3" s="1"/>
  <c r="K29" i="7"/>
  <c r="H29" i="7"/>
  <c r="G29" i="7"/>
  <c r="F29" i="7"/>
  <c r="E29" i="7"/>
  <c r="C29" i="7"/>
  <c r="B23" i="3"/>
  <c r="H27" i="7"/>
  <c r="G27" i="7"/>
  <c r="K45" i="6"/>
  <c r="K111" i="5" s="1"/>
  <c r="K47" i="6"/>
  <c r="H47" i="6"/>
  <c r="G47" i="6"/>
  <c r="F47" i="6"/>
  <c r="F113" i="5" s="1"/>
  <c r="Q113" i="5" s="1"/>
  <c r="E47" i="6"/>
  <c r="E113" i="5" s="1"/>
  <c r="D47" i="6"/>
  <c r="D113" i="5" s="1"/>
  <c r="B47" i="6"/>
  <c r="B113" i="5" s="1"/>
  <c r="K46" i="6"/>
  <c r="H46" i="6"/>
  <c r="G46" i="6"/>
  <c r="F46" i="6"/>
  <c r="F112" i="5" s="1"/>
  <c r="Q112" i="5" s="1"/>
  <c r="E46" i="6"/>
  <c r="D46" i="6"/>
  <c r="D112" i="5" s="1"/>
  <c r="B46" i="6"/>
  <c r="B112" i="5" s="1"/>
  <c r="H45" i="6"/>
  <c r="G45" i="6"/>
  <c r="F45" i="6"/>
  <c r="F111" i="5" s="1"/>
  <c r="Q111" i="5" s="1"/>
  <c r="E45" i="6"/>
  <c r="D45" i="6"/>
  <c r="D111" i="5" s="1"/>
  <c r="B45" i="6"/>
  <c r="B111" i="5" s="1"/>
  <c r="K44" i="6"/>
  <c r="H44" i="6"/>
  <c r="G44" i="6"/>
  <c r="F44" i="6"/>
  <c r="F110" i="5" s="1"/>
  <c r="Q110" i="5" s="1"/>
  <c r="E44" i="6"/>
  <c r="D44" i="6"/>
  <c r="D110" i="5" s="1"/>
  <c r="B44" i="6"/>
  <c r="B110" i="5" s="1"/>
  <c r="K43" i="6"/>
  <c r="H43" i="6"/>
  <c r="G43" i="6"/>
  <c r="F43" i="6"/>
  <c r="F109" i="5" s="1"/>
  <c r="Q109" i="5" s="1"/>
  <c r="E43" i="6"/>
  <c r="D43" i="6"/>
  <c r="D109" i="5" s="1"/>
  <c r="B43" i="6"/>
  <c r="B109" i="5" s="1"/>
  <c r="K42" i="6"/>
  <c r="H42" i="6"/>
  <c r="G42" i="6"/>
  <c r="F42" i="6"/>
  <c r="F108" i="5" s="1"/>
  <c r="Q108" i="5" s="1"/>
  <c r="E42" i="6"/>
  <c r="D42" i="6"/>
  <c r="D108" i="5" s="1"/>
  <c r="B42" i="6"/>
  <c r="B108" i="5" s="1"/>
  <c r="C46" i="5"/>
  <c r="B46" i="5"/>
  <c r="B21" i="3" s="1"/>
  <c r="K45" i="5"/>
  <c r="K71" i="7" s="1"/>
  <c r="H45" i="5"/>
  <c r="G45" i="5"/>
  <c r="E19" i="3"/>
  <c r="T19" i="3" s="1"/>
  <c r="C45" i="5"/>
  <c r="B45" i="5"/>
  <c r="B19" i="3" s="1"/>
  <c r="K44" i="5"/>
  <c r="H44" i="5"/>
  <c r="G44" i="5"/>
  <c r="D22" i="3"/>
  <c r="C22" i="3"/>
  <c r="R22" i="3" s="1"/>
  <c r="C44" i="5"/>
  <c r="B44" i="5"/>
  <c r="B22" i="3" s="1"/>
  <c r="K43" i="5"/>
  <c r="H43" i="5"/>
  <c r="G43" i="5"/>
  <c r="E20" i="3"/>
  <c r="T20" i="3" s="1"/>
  <c r="D20" i="3"/>
  <c r="C20" i="3"/>
  <c r="C43" i="5"/>
  <c r="B43" i="5"/>
  <c r="B20" i="3" s="1"/>
  <c r="H42" i="5"/>
  <c r="G42" i="5"/>
  <c r="E18" i="3"/>
  <c r="T18" i="3" s="1"/>
  <c r="D18" i="3"/>
  <c r="C18" i="3"/>
  <c r="R18" i="3" s="1"/>
  <c r="C42" i="5"/>
  <c r="B42" i="5"/>
  <c r="B18" i="3" s="1"/>
  <c r="G40" i="5"/>
  <c r="K44" i="4"/>
  <c r="L6" i="3" s="1"/>
  <c r="H44" i="4"/>
  <c r="G44" i="4"/>
  <c r="F44" i="4"/>
  <c r="E6" i="3" s="1"/>
  <c r="E44" i="4"/>
  <c r="D44" i="4"/>
  <c r="C6" i="3" s="1"/>
  <c r="B44" i="4"/>
  <c r="B6" i="3" s="1"/>
  <c r="H50" i="4"/>
  <c r="G50" i="4"/>
  <c r="E12" i="3"/>
  <c r="T12" i="3" s="1"/>
  <c r="D12" i="3"/>
  <c r="C12" i="3"/>
  <c r="R12" i="3" s="1"/>
  <c r="C50" i="4"/>
  <c r="B50" i="4"/>
  <c r="B12" i="3" s="1"/>
  <c r="K45" i="4"/>
  <c r="H45" i="4"/>
  <c r="G45" i="4"/>
  <c r="F45" i="4"/>
  <c r="E7" i="3" s="1"/>
  <c r="T7" i="3" s="1"/>
  <c r="E45" i="4"/>
  <c r="D45" i="4"/>
  <c r="C7" i="3" s="1"/>
  <c r="R7" i="3" s="1"/>
  <c r="B45" i="4"/>
  <c r="B7" i="3" s="1"/>
  <c r="D46" i="4"/>
  <c r="C8" i="3" s="1"/>
  <c r="R8" i="3" s="1"/>
  <c r="B46" i="4"/>
  <c r="B8" i="3" s="1"/>
  <c r="K53" i="4"/>
  <c r="H53" i="4"/>
  <c r="G53" i="4"/>
  <c r="F53" i="4"/>
  <c r="E15" i="3" s="1"/>
  <c r="T15" i="3" s="1"/>
  <c r="E53" i="4"/>
  <c r="B53" i="4"/>
  <c r="B15" i="3" s="1"/>
  <c r="H43" i="4"/>
  <c r="G43" i="4"/>
  <c r="F43" i="4"/>
  <c r="E5" i="3" s="1"/>
  <c r="T5" i="3" s="1"/>
  <c r="E43" i="4"/>
  <c r="D43" i="4"/>
  <c r="C5" i="3" s="1"/>
  <c r="R5" i="3" s="1"/>
  <c r="B43" i="4"/>
  <c r="B5" i="3" s="1"/>
  <c r="H40" i="4"/>
  <c r="G40" i="4"/>
  <c r="B45" i="3"/>
  <c r="B44" i="3"/>
  <c r="C37" i="3"/>
  <c r="R37" i="3" s="1"/>
  <c r="O28" i="3" l="1"/>
  <c r="E59" i="3"/>
  <c r="T40" i="3"/>
  <c r="L38" i="3"/>
  <c r="N38" i="3" s="1"/>
  <c r="K74" i="7"/>
  <c r="G74" i="7"/>
  <c r="G34" i="7" s="1"/>
  <c r="G3" i="3" s="1"/>
  <c r="H74" i="7"/>
  <c r="H34" i="7" s="1"/>
  <c r="K108" i="5"/>
  <c r="K110" i="5"/>
  <c r="K113" i="5"/>
  <c r="K109" i="5"/>
  <c r="K112" i="5"/>
  <c r="I300" i="16"/>
  <c r="L300" i="16" s="1"/>
  <c r="I472" i="16"/>
  <c r="L472" i="16" s="1"/>
  <c r="E112" i="5"/>
  <c r="S112" i="5" s="1"/>
  <c r="N301" i="16" s="1"/>
  <c r="E110" i="5"/>
  <c r="F58" i="16" s="1"/>
  <c r="R20" i="3"/>
  <c r="E111" i="5"/>
  <c r="E108" i="5"/>
  <c r="F297" i="16" s="1"/>
  <c r="M42" i="6"/>
  <c r="E109" i="5"/>
  <c r="F470" i="16" s="1"/>
  <c r="D23" i="3"/>
  <c r="S23" i="3" s="1"/>
  <c r="M29" i="7"/>
  <c r="D7" i="3"/>
  <c r="S7" i="3" s="1"/>
  <c r="D6" i="3"/>
  <c r="D15" i="3"/>
  <c r="S15" i="3" s="1"/>
  <c r="D5" i="3"/>
  <c r="C58" i="16"/>
  <c r="C471" i="16"/>
  <c r="C299" i="16"/>
  <c r="C298" i="16"/>
  <c r="C57" i="16"/>
  <c r="C470" i="16"/>
  <c r="C59" i="16"/>
  <c r="C301" i="16"/>
  <c r="C473" i="16"/>
  <c r="C302" i="16"/>
  <c r="C474" i="16"/>
  <c r="C60" i="16"/>
  <c r="C297" i="16"/>
  <c r="C56" i="16"/>
  <c r="C469" i="16"/>
  <c r="C472" i="16"/>
  <c r="C300" i="16"/>
  <c r="U111" i="5"/>
  <c r="N472" i="16" s="1"/>
  <c r="E472" i="16"/>
  <c r="E300" i="16"/>
  <c r="N59" i="16"/>
  <c r="G59" i="16"/>
  <c r="G301" i="16"/>
  <c r="G473" i="16"/>
  <c r="G472" i="16"/>
  <c r="G300" i="16"/>
  <c r="U110" i="5"/>
  <c r="N471" i="16" s="1"/>
  <c r="E299" i="16"/>
  <c r="E471" i="16"/>
  <c r="E58" i="16"/>
  <c r="U109" i="5"/>
  <c r="N470" i="16" s="1"/>
  <c r="E298" i="16"/>
  <c r="E470" i="16"/>
  <c r="E57" i="16"/>
  <c r="E297" i="16"/>
  <c r="E469" i="16"/>
  <c r="E56" i="16"/>
  <c r="S111" i="5"/>
  <c r="N300" i="16" s="1"/>
  <c r="F300" i="16"/>
  <c r="F472" i="16"/>
  <c r="S109" i="5"/>
  <c r="N298" i="16" s="1"/>
  <c r="F57" i="16"/>
  <c r="F298" i="16"/>
  <c r="F469" i="16"/>
  <c r="F56" i="16"/>
  <c r="N57" i="16"/>
  <c r="G470" i="16"/>
  <c r="G57" i="16"/>
  <c r="G298" i="16"/>
  <c r="N58" i="16"/>
  <c r="G471" i="16"/>
  <c r="G58" i="16"/>
  <c r="G299" i="16"/>
  <c r="G297" i="16"/>
  <c r="G469" i="16"/>
  <c r="G56" i="16"/>
  <c r="U112" i="5"/>
  <c r="N473" i="16" s="1"/>
  <c r="E473" i="16"/>
  <c r="E301" i="16"/>
  <c r="E59" i="16"/>
  <c r="U113" i="5"/>
  <c r="N474" i="16" s="1"/>
  <c r="E474" i="16"/>
  <c r="E60" i="16"/>
  <c r="E302" i="16"/>
  <c r="S113" i="5"/>
  <c r="N302" i="16" s="1"/>
  <c r="F474" i="16"/>
  <c r="F60" i="16"/>
  <c r="F302" i="16"/>
  <c r="N60" i="16"/>
  <c r="G60" i="16"/>
  <c r="G474" i="16"/>
  <c r="G302" i="16"/>
  <c r="C19" i="3"/>
  <c r="R19" i="3" s="1"/>
  <c r="D71" i="7"/>
  <c r="D33" i="7" s="1"/>
  <c r="D19" i="3"/>
  <c r="S19" i="3" s="1"/>
  <c r="E71" i="7"/>
  <c r="E33" i="7" s="1"/>
  <c r="K33" i="7"/>
  <c r="L27" i="3" s="1"/>
  <c r="M71" i="7"/>
  <c r="S45" i="3"/>
  <c r="S20" i="3"/>
  <c r="S22" i="3"/>
  <c r="S18" i="3"/>
  <c r="S12" i="3"/>
  <c r="S5" i="3"/>
  <c r="S41" i="3"/>
  <c r="S43" i="3"/>
  <c r="S40" i="3"/>
  <c r="S108" i="5"/>
  <c r="N297" i="16" s="1"/>
  <c r="L19" i="3"/>
  <c r="N19" i="3" s="1"/>
  <c r="U108" i="5"/>
  <c r="N469" i="16" s="1"/>
  <c r="D46" i="5"/>
  <c r="C21" i="3" s="1"/>
  <c r="R21" i="3" s="1"/>
  <c r="N56" i="16"/>
  <c r="F46" i="5"/>
  <c r="E21" i="3" s="1"/>
  <c r="T21" i="3" s="1"/>
  <c r="L18" i="3"/>
  <c r="N18" i="3" s="1"/>
  <c r="L20" i="3"/>
  <c r="N20" i="3" s="1"/>
  <c r="L22" i="3"/>
  <c r="N22" i="3" s="1"/>
  <c r="L7" i="3"/>
  <c r="N7" i="3" s="1"/>
  <c r="L12" i="3"/>
  <c r="N12" i="3" s="1"/>
  <c r="L15" i="3"/>
  <c r="N15" i="3" s="1"/>
  <c r="L23" i="3"/>
  <c r="N23" i="3" s="1"/>
  <c r="P45" i="3"/>
  <c r="M28" i="10"/>
  <c r="F74" i="7"/>
  <c r="F34" i="7" s="1"/>
  <c r="E28" i="3" s="1"/>
  <c r="T28" i="3" s="1"/>
  <c r="M57" i="3"/>
  <c r="P41" i="3"/>
  <c r="D59" i="3"/>
  <c r="C59" i="3"/>
  <c r="P40" i="3"/>
  <c r="M30" i="9"/>
  <c r="P43" i="3"/>
  <c r="M32" i="9"/>
  <c r="D38" i="3"/>
  <c r="E74" i="7"/>
  <c r="E34" i="7" s="1"/>
  <c r="C38" i="3"/>
  <c r="R38" i="3" s="1"/>
  <c r="D74" i="7"/>
  <c r="D34" i="7" s="1"/>
  <c r="C28" i="3" s="1"/>
  <c r="P37" i="3"/>
  <c r="M39" i="8"/>
  <c r="P38" i="3"/>
  <c r="M38" i="8"/>
  <c r="E55" i="3"/>
  <c r="C55" i="3"/>
  <c r="E23" i="3"/>
  <c r="T23" i="3" s="1"/>
  <c r="F3" i="3"/>
  <c r="E37" i="3"/>
  <c r="T37" i="3" s="1"/>
  <c r="D37" i="3"/>
  <c r="M111" i="5"/>
  <c r="G46" i="5"/>
  <c r="F299" i="16" l="1"/>
  <c r="F471" i="16"/>
  <c r="D55" i="3"/>
  <c r="F473" i="16"/>
  <c r="E46" i="5"/>
  <c r="D21" i="3" s="1"/>
  <c r="D56" i="3" s="1"/>
  <c r="F59" i="16"/>
  <c r="F301" i="16"/>
  <c r="M301" i="16" s="1"/>
  <c r="M58" i="16"/>
  <c r="M74" i="7"/>
  <c r="I299" i="16"/>
  <c r="L299" i="16" s="1"/>
  <c r="I471" i="16"/>
  <c r="L471" i="16" s="1"/>
  <c r="I58" i="16"/>
  <c r="L58" i="16" s="1"/>
  <c r="M300" i="16"/>
  <c r="I470" i="16"/>
  <c r="L470" i="16" s="1"/>
  <c r="I298" i="16"/>
  <c r="L298" i="16" s="1"/>
  <c r="I57" i="16"/>
  <c r="L57" i="16" s="1"/>
  <c r="M472" i="16"/>
  <c r="M109" i="5"/>
  <c r="M110" i="5"/>
  <c r="I301" i="16"/>
  <c r="L301" i="16" s="1"/>
  <c r="I473" i="16"/>
  <c r="L473" i="16" s="1"/>
  <c r="I59" i="16"/>
  <c r="L59" i="16" s="1"/>
  <c r="I474" i="16"/>
  <c r="L474" i="16" s="1"/>
  <c r="I60" i="16"/>
  <c r="L60" i="16" s="1"/>
  <c r="I302" i="16"/>
  <c r="L302" i="16" s="1"/>
  <c r="I56" i="16"/>
  <c r="L56" i="16" s="1"/>
  <c r="I469" i="16"/>
  <c r="L469" i="16" s="1"/>
  <c r="I297" i="16"/>
  <c r="L297" i="16" s="1"/>
  <c r="M112" i="5"/>
  <c r="M113" i="5"/>
  <c r="M108" i="5"/>
  <c r="S110" i="5"/>
  <c r="N299" i="16" s="1"/>
  <c r="E3" i="3"/>
  <c r="T46" i="3"/>
  <c r="D28" i="3"/>
  <c r="S28" i="3" s="1"/>
  <c r="M34" i="7"/>
  <c r="N1" i="16"/>
  <c r="P27" i="3"/>
  <c r="N27" i="3"/>
  <c r="C27" i="3"/>
  <c r="C3" i="3" s="1"/>
  <c r="S38" i="3"/>
  <c r="S37" i="3"/>
  <c r="P18" i="3"/>
  <c r="P19" i="3"/>
  <c r="P22" i="3"/>
  <c r="P20" i="3"/>
  <c r="P15" i="3"/>
  <c r="P12" i="3"/>
  <c r="P7" i="3"/>
  <c r="P23" i="3"/>
  <c r="H46" i="5"/>
  <c r="C58" i="3"/>
  <c r="R28" i="3"/>
  <c r="E56" i="3"/>
  <c r="E58" i="3"/>
  <c r="E57" i="3"/>
  <c r="L59" i="3"/>
  <c r="D58" i="3"/>
  <c r="L58" i="3"/>
  <c r="K34" i="7"/>
  <c r="C56" i="3"/>
  <c r="K46" i="5"/>
  <c r="M298" i="16" l="1"/>
  <c r="M473" i="16"/>
  <c r="M471" i="16"/>
  <c r="M474" i="16"/>
  <c r="M299" i="16"/>
  <c r="M470" i="16"/>
  <c r="M60" i="16"/>
  <c r="M59" i="16"/>
  <c r="M302" i="16"/>
  <c r="M56" i="16"/>
  <c r="M57" i="16"/>
  <c r="M297" i="16"/>
  <c r="M469" i="16"/>
  <c r="R27" i="3"/>
  <c r="R46" i="3" s="1"/>
  <c r="S21" i="3"/>
  <c r="D27" i="3"/>
  <c r="D3" i="3" s="1"/>
  <c r="M33" i="7"/>
  <c r="M1" i="16"/>
  <c r="C57" i="3"/>
  <c r="L21" i="3"/>
  <c r="N21" i="3" s="1"/>
  <c r="L28" i="3"/>
  <c r="N28" i="3" s="1"/>
  <c r="H3" i="3"/>
  <c r="L60" i="3"/>
  <c r="D60" i="3"/>
  <c r="C60" i="3"/>
  <c r="E60" i="3"/>
  <c r="K48" i="4"/>
  <c r="S27" i="3" l="1"/>
  <c r="S46" i="3" s="1"/>
  <c r="D57" i="3"/>
  <c r="L57" i="3"/>
  <c r="P21" i="3"/>
  <c r="P28" i="3"/>
  <c r="L56" i="3"/>
  <c r="L10" i="3"/>
  <c r="L3" i="3" s="1"/>
  <c r="M39" i="10"/>
  <c r="L27" i="10"/>
  <c r="M44" i="3" s="1"/>
  <c r="T44" i="3" s="1"/>
  <c r="L44" i="4"/>
  <c r="M6" i="3" s="1"/>
  <c r="T6" i="3" s="1"/>
  <c r="T3" i="3" s="1"/>
  <c r="M3" i="3" l="1"/>
  <c r="O2" i="2" s="1"/>
  <c r="R6" i="3"/>
  <c r="P6" i="3"/>
  <c r="N44" i="3"/>
  <c r="O44" i="3"/>
  <c r="N10" i="3"/>
  <c r="N6" i="3"/>
  <c r="O6" i="3"/>
  <c r="L55" i="3"/>
  <c r="P10" i="3"/>
  <c r="P3" i="3" s="1"/>
  <c r="S44" i="3"/>
  <c r="R44" i="3"/>
  <c r="S6" i="3"/>
  <c r="P44" i="3"/>
  <c r="M55" i="3"/>
  <c r="M60" i="3"/>
  <c r="M27" i="10"/>
  <c r="R3" i="3" l="1"/>
  <c r="AA3" i="2" s="1"/>
  <c r="U3" i="2"/>
  <c r="S3" i="3"/>
  <c r="X3" i="2" s="1"/>
  <c r="S47" i="3"/>
  <c r="R47" i="3"/>
</calcChain>
</file>

<file path=xl/sharedStrings.xml><?xml version="1.0" encoding="utf-8"?>
<sst xmlns="http://schemas.openxmlformats.org/spreadsheetml/2006/main" count="3171" uniqueCount="1001">
  <si>
    <t>Индекс кибербезопаности</t>
  </si>
  <si>
    <t>Данный файл предназначен для проведения саммоценки состояния информационной безопасности и расчета итогового "Индекса кибербезопасности".</t>
  </si>
  <si>
    <t>Для работы с файлом необходимо заполнить данные в ячейках с желтым фоном на листах с зелеными ярлычками.</t>
  </si>
  <si>
    <t>На вкладке "ИТОГ" отображается сводный график достижения целевого уровня кибербезопасности.</t>
  </si>
  <si>
    <t xml:space="preserve">Лист "Расчет" - это итоговая служебная таблица, на которой осуществляется промежуточный расчет, он не предназначен для редактирования </t>
  </si>
  <si>
    <t>Рассчет индекса ведется как некоторая усредненная величина показателей по отдельным доменам кибербезопасности.</t>
  </si>
  <si>
    <t>В каждой отдельной вкладке доменеа строится своя диаграмма и рассчитывается свой локальный индекс.</t>
  </si>
  <si>
    <t>Итоговый рассчетный индекс кибербезопасности и диаграмма достижения целевых показателей в различных доменах информационной безопасности</t>
  </si>
  <si>
    <t>на</t>
  </si>
  <si>
    <t>тренд</t>
  </si>
  <si>
    <t>КБ3</t>
  </si>
  <si>
    <t>КБ2</t>
  </si>
  <si>
    <t>КБ1</t>
  </si>
  <si>
    <t xml:space="preserve"> Исторические данные</t>
  </si>
  <si>
    <t>Дата заполнения</t>
  </si>
  <si>
    <t>ИНДЕКС КИБЕРБЕЗОПАСНОСТИ</t>
  </si>
  <si>
    <t>Инвентаризация</t>
  </si>
  <si>
    <t>Обеспечение доступности</t>
  </si>
  <si>
    <t>Мониторинг</t>
  </si>
  <si>
    <t>Реагирование</t>
  </si>
  <si>
    <t>Восстановление</t>
  </si>
  <si>
    <t>Категория</t>
  </si>
  <si>
    <t>Сокращенное наименование</t>
  </si>
  <si>
    <t>Исторические данные</t>
  </si>
  <si>
    <t>Текущий показатель</t>
  </si>
  <si>
    <t xml:space="preserve">Расчетный показатель </t>
  </si>
  <si>
    <t>УР</t>
  </si>
  <si>
    <t>УА</t>
  </si>
  <si>
    <t>ИН</t>
  </si>
  <si>
    <t>ЦП</t>
  </si>
  <si>
    <t>Управление рисками</t>
  </si>
  <si>
    <t>Определены основные нежелательные события в ИБ</t>
  </si>
  <si>
    <t>УИБ.УР.1</t>
  </si>
  <si>
    <t>УИБ.УР.2</t>
  </si>
  <si>
    <t>УИБ.УР.3</t>
  </si>
  <si>
    <t>УИБ.УР.4</t>
  </si>
  <si>
    <t>Определены требования к отказоустойчивости компонент</t>
  </si>
  <si>
    <t>УИБ.УР.5</t>
  </si>
  <si>
    <t>Процессы</t>
  </si>
  <si>
    <t>ПР</t>
  </si>
  <si>
    <t>Процесс анализа информации о киберугрозах</t>
  </si>
  <si>
    <t>Процесс мониторинга событий ИБ</t>
  </si>
  <si>
    <t>Процесс расследования инцидентов</t>
  </si>
  <si>
    <t>Процесс пост-анализа инцидентов</t>
  </si>
  <si>
    <t>Процесс создания решающих правил</t>
  </si>
  <si>
    <t>Процесс контроля источников информации</t>
  </si>
  <si>
    <t>Процесс эскалации инцидентов</t>
  </si>
  <si>
    <t>Процесс отчетности</t>
  </si>
  <si>
    <t>Управление активами</t>
  </si>
  <si>
    <t>УИБ.УА.1</t>
  </si>
  <si>
    <t>УИБ.УА.2</t>
  </si>
  <si>
    <t>Описаны все сетевые взаимодействия между компонентами инфраструктуры и информационными системами</t>
  </si>
  <si>
    <t>УИБ.УА.3</t>
  </si>
  <si>
    <t>УИБ.УА.4</t>
  </si>
  <si>
    <t>УИБ.УА.5</t>
  </si>
  <si>
    <t>Управление рисками в цепочке поставок</t>
  </si>
  <si>
    <t>УИБ.ЦП.1</t>
  </si>
  <si>
    <t>УИБ.ЦП.2</t>
  </si>
  <si>
    <t>Поставщики и сторонние партнеры регулярно проходят оценку, чтобы подтвердить, что они выполняют свои договорные обязательства. Проводятся обзоры аудитов, резюме результатов испытаний или другие эквивалентные оценки поставщиков</t>
  </si>
  <si>
    <t>УИБ.ЦП.3</t>
  </si>
  <si>
    <t>УИБ.ИН.1</t>
  </si>
  <si>
    <t>УИБ.ИН.2</t>
  </si>
  <si>
    <t>УИБ.ИН.3</t>
  </si>
  <si>
    <t>ОД</t>
  </si>
  <si>
    <t>УИБ.ОД.1</t>
  </si>
  <si>
    <t>Осуществляется блокирование атак типа «отказ в обслуживании» в масштабе времени, близком к реальному</t>
  </si>
  <si>
    <t>УИБ.ОД.2</t>
  </si>
  <si>
    <t>УИБ.ОД.3</t>
  </si>
  <si>
    <t>Обеспечивается уровень доступности систем и средств защиты не ниже, чем уровень доступности защищаемых информационных систем</t>
  </si>
  <si>
    <t>Нормативное соответствие</t>
  </si>
  <si>
    <t>Утверждена политика информационной безопасности организации</t>
  </si>
  <si>
    <t>Определены цели обеспечения ИБ</t>
  </si>
  <si>
    <t>Персональные данные</t>
  </si>
  <si>
    <t>Обеспечивается ли прекращение обработки персональных данных в случае отзыва субъектом персональных данных согласия на обработку своих персональных данных в срок, установленный законодательством РФ?</t>
  </si>
  <si>
    <t>Учет машинных носителей персональных данных;</t>
  </si>
  <si>
    <t>Наличие оценки вреда, который может быть причинен субъектам персональных данных в случае нарушения законодательства в области персональных данных, в соответствии с требованиями, установленными Роскомнадзором.</t>
  </si>
  <si>
    <t>КИИ</t>
  </si>
  <si>
    <t>НС.КИИ.2</t>
  </si>
  <si>
    <t>НС.КИИ.3</t>
  </si>
  <si>
    <t>НС.КИИ.4</t>
  </si>
  <si>
    <t>НС.КИИ.6</t>
  </si>
  <si>
    <t>НС.КИИ.7</t>
  </si>
  <si>
    <t>Сведения о системах передаются в ФСТЭК России</t>
  </si>
  <si>
    <t>Подготовка к импортозамещению (до 1 января 2025г.) иностранного ПО на значимых объектах КИИ: в части общесистемного (ОС) и прикладного ПО</t>
  </si>
  <si>
    <t>Подготовка к импортозамещению (до 1 января 2025г.) иностранного ПО на значимых объектах КИИ: в части ПО входящего в состав средств (систем) обеспечения ИБ</t>
  </si>
  <si>
    <t>Информирование и обучение персонала</t>
  </si>
  <si>
    <t>НС.КИИ.11</t>
  </si>
  <si>
    <t>Коммерческая тайна</t>
  </si>
  <si>
    <t>КТ</t>
  </si>
  <si>
    <t>Определен перечень КТ</t>
  </si>
  <si>
    <t>НС.КТ.1</t>
  </si>
  <si>
    <t>Введен режим КТ</t>
  </si>
  <si>
    <t>НС.КТ.2</t>
  </si>
  <si>
    <t>Определен перечень лиц или перечень должностей, у которых есть доступ к КТ</t>
  </si>
  <si>
    <t>НС.КТ.4</t>
  </si>
  <si>
    <t>Существует соглашение о неразглашении КТ (для контрагентов и работников)</t>
  </si>
  <si>
    <t>НС.КТ.5</t>
  </si>
  <si>
    <t>СКЗИ</t>
  </si>
  <si>
    <t>Ведется поэкземплярный учет используемых СКЗИ, эксплуатационной и технической документации к ним, ключевых документов</t>
  </si>
  <si>
    <t>Ведется учет хранилищ ключевых документов</t>
  </si>
  <si>
    <t>Ведется учет спецпомещений</t>
  </si>
  <si>
    <t>250 указ</t>
  </si>
  <si>
    <t>НС.250.1</t>
  </si>
  <si>
    <t>НС.250.2</t>
  </si>
  <si>
    <t>НС.250.3</t>
  </si>
  <si>
    <t>НС.250.4</t>
  </si>
  <si>
    <t>НС.250.5</t>
  </si>
  <si>
    <t>НС.250.6</t>
  </si>
  <si>
    <t>250 приказ</t>
  </si>
  <si>
    <t>ОУ</t>
  </si>
  <si>
    <t>ПДР</t>
  </si>
  <si>
    <t>ПДРД</t>
  </si>
  <si>
    <t>ИБ</t>
  </si>
  <si>
    <t>СЗИ</t>
  </si>
  <si>
    <t>СОПКА</t>
  </si>
  <si>
    <t xml:space="preserve">Созданы органы управления </t>
  </si>
  <si>
    <t>НС.250.ОУ.2</t>
  </si>
  <si>
    <t>НС.250.ОУ.3</t>
  </si>
  <si>
    <t>НС.250.ОУ.4</t>
  </si>
  <si>
    <t>НС.250.ОУ.5</t>
  </si>
  <si>
    <t>НС.250.ОУ.6</t>
  </si>
  <si>
    <t>Документы по цифровой трансформации и т.п проходят согласование с ИБ</t>
  </si>
  <si>
    <t>НС.250.ОУ.7</t>
  </si>
  <si>
    <t>НС.250.ОУ.8</t>
  </si>
  <si>
    <t>Подразделение по ИБ</t>
  </si>
  <si>
    <t>Создано подразделение по ИБ или задачи возложены на подразделение</t>
  </si>
  <si>
    <t>НС.250.ПДР.2</t>
  </si>
  <si>
    <t>НС.250.ПДР.3</t>
  </si>
  <si>
    <t>Организованно взаимодействие с подрядчиками</t>
  </si>
  <si>
    <t>Все привлекаемые к осуществлению мероприятий по ИБ организации имеют лицензии</t>
  </si>
  <si>
    <t>НС.250.ПДРД.1</t>
  </si>
  <si>
    <t>Привлекаемый SOC имеет аккредитацию</t>
  </si>
  <si>
    <t>НС.250.ПДРД.2</t>
  </si>
  <si>
    <t>НС.250.ПДРД.3</t>
  </si>
  <si>
    <t>НС.250.ПДРД.4</t>
  </si>
  <si>
    <t>Обеспечена ИБ</t>
  </si>
  <si>
    <t>Разработана и утверждена политика ИБ</t>
  </si>
  <si>
    <t>Проведена оценка возможности возникновения событий путем моделирования атак</t>
  </si>
  <si>
    <t>НС.250.ИБ.3</t>
  </si>
  <si>
    <t>Проводятся мероприятия по недопущению недопустимых событий и негативных последствий</t>
  </si>
  <si>
    <t>НС.250.ИБ.4</t>
  </si>
  <si>
    <t>проводится контроль эффективности мероприятий по недопущению и отслеживанию недопустимых событий и негативных последствий</t>
  </si>
  <si>
    <t>НС.250.ИБ.5</t>
  </si>
  <si>
    <t>НС.250.ИБ.6</t>
  </si>
  <si>
    <t>НС.250.ИБ.7</t>
  </si>
  <si>
    <t>Организован контроль за соблюдением нормативных актов в области ИБ</t>
  </si>
  <si>
    <t>НС.250.ИБ.8</t>
  </si>
  <si>
    <t>НС.250.ИБ.9</t>
  </si>
  <si>
    <t>Спланированы мероприятия по обеспечению ИБ в подведомственных организациях</t>
  </si>
  <si>
    <t>НС.250.ИБ.10</t>
  </si>
  <si>
    <t>Проводится контроль состояния ИБ в подведомственных организациях</t>
  </si>
  <si>
    <t>НС.250.ИБ.11</t>
  </si>
  <si>
    <t>Проводятся регулярные практические учения по противодействию кибератакам</t>
  </si>
  <si>
    <t>НС.250.ИБ.12</t>
  </si>
  <si>
    <t>Проводится регулярный анализ и оценка новых угроз и способов проведения компьютерных атак</t>
  </si>
  <si>
    <t>НС.250.ИБ.13</t>
  </si>
  <si>
    <t>Выстроен непрерывный процесс выявления и устранения угроз безопасности информации и уязвимостей ИС, ПО, АПС</t>
  </si>
  <si>
    <t>НС.250.ИБ.14</t>
  </si>
  <si>
    <t>Проведена оценка практической возможности использования нарушителями недостатков (уязвимостей) средств ЗИ и ПО</t>
  </si>
  <si>
    <t>НС.250.ИБ.15</t>
  </si>
  <si>
    <t>Выстроен непрерывный процесс обнаружения и предотвращения и ликвидации последствий копьютерных атак и реагирования на компьютерные инциденты</t>
  </si>
  <si>
    <t>НС.250.ИБ.16</t>
  </si>
  <si>
    <t>Использование СЗИ</t>
  </si>
  <si>
    <t>Произведена инвентаризация СЗИ на предмет выявления импортного</t>
  </si>
  <si>
    <t>НС.250.СЗИ.1</t>
  </si>
  <si>
    <t>Проведена оценка возможности перехода на отечественное и OpenSource</t>
  </si>
  <si>
    <t>НС.250.СЗИ.2</t>
  </si>
  <si>
    <t>Подготовлен план перехода</t>
  </si>
  <si>
    <t>НС.250.СЗИ.3</t>
  </si>
  <si>
    <t>Осуществлено пилотирование</t>
  </si>
  <si>
    <t>НС.250.СЗИ.4</t>
  </si>
  <si>
    <t>НС.250.СЗИ.5</t>
  </si>
  <si>
    <t>Взаимодействие с ГОССОПКА</t>
  </si>
  <si>
    <t>Утвержден регламент взаимодействия с ГосСОПКА</t>
  </si>
  <si>
    <t>НС.250.СОПКА.1</t>
  </si>
  <si>
    <t>Осуществляется мониторинг ресурсов</t>
  </si>
  <si>
    <t>НС.250.СОПКА.2</t>
  </si>
  <si>
    <t>НС.250.СОПКА.3</t>
  </si>
  <si>
    <t>Заключено соглашение с НКЦКИ</t>
  </si>
  <si>
    <t>НС.250.СОПКА.4</t>
  </si>
  <si>
    <t>Организовано взаимодействие с НКЦКИ</t>
  </si>
  <si>
    <t>НС.250.СОПКА.5</t>
  </si>
  <si>
    <t xml:space="preserve">Управление доступом </t>
  </si>
  <si>
    <t>Существует возможность быстрого отзыва прав доступа</t>
  </si>
  <si>
    <t>Обеспечиваются возможности принудительного прерывания сессии доступа пользователем, а также прохождение процедуры повторной аутентификации после прерывания сессии</t>
  </si>
  <si>
    <t>Д</t>
  </si>
  <si>
    <t>Данные на носимых устройствах хранятся в зашифрованном виде</t>
  </si>
  <si>
    <t>Защита от ВПО</t>
  </si>
  <si>
    <t>ВПО</t>
  </si>
  <si>
    <t>СЗИ.ВПО.1</t>
  </si>
  <si>
    <t>СЗИ.ВПО.2</t>
  </si>
  <si>
    <t>СЗИ.ВПО.3</t>
  </si>
  <si>
    <t>СЗИ.ВПО.4</t>
  </si>
  <si>
    <t>Идентификация и аутентификация</t>
  </si>
  <si>
    <t>ИА</t>
  </si>
  <si>
    <t>Наличие ограничения количества параллельных сессий у одной учетной записи (пользователя, администратора, технической). Количество зависит от архитектуры защищаемого ИА и категории учетной записи.</t>
  </si>
  <si>
    <t>Аномалии и события</t>
  </si>
  <si>
    <t>А</t>
  </si>
  <si>
    <t>Осуществляется сбор событий, необходимых для детекта и обогащения в объеме, достаточном для решения задач            
(- создания, изменения, удаления субъектов и объектов доступа;
- аутентификации (вход и выход субъектов);
- авторизации (доступа субъектов к объектам);
- запуска и остановки, удаления и остановки служб (ПО);
- изменения настроек ПО и средств защиты информации;
- обработки сетевого трафика (netflow))</t>
  </si>
  <si>
    <t>Обеспечено хранение событий ИБ минимум в течении 6 месяцев</t>
  </si>
  <si>
    <t>МНТ.A.3</t>
  </si>
  <si>
    <t>Контролируются сетевые события</t>
  </si>
  <si>
    <t>Планирование реагирования</t>
  </si>
  <si>
    <t>Коммуникации</t>
  </si>
  <si>
    <t>КМНК</t>
  </si>
  <si>
    <t>РЕАГ.КМНК.1</t>
  </si>
  <si>
    <t>РЕАГ.КМНК.2</t>
  </si>
  <si>
    <t>РЕАГ.КМНК.3</t>
  </si>
  <si>
    <t>Для значимых инцидентов подготовлены планы коммуникаций</t>
  </si>
  <si>
    <t>РЕАГ.КМНК.5</t>
  </si>
  <si>
    <t>АНЛЗ</t>
  </si>
  <si>
    <t>РЕАГ.АНЛЗ.1</t>
  </si>
  <si>
    <t>РЕАГ.АНЛЗ.2</t>
  </si>
  <si>
    <t>РЕАГ.АНЛЗ.3</t>
  </si>
  <si>
    <t>Определен мандат на действие в ходе реагирования на инцидент</t>
  </si>
  <si>
    <t>РЕАГ.АНЛЗ.4</t>
  </si>
  <si>
    <t>Планирование восстановления</t>
  </si>
  <si>
    <t>ПЛН</t>
  </si>
  <si>
    <t>ВССТ.ПЛН.1</t>
  </si>
  <si>
    <t>ВССТ.ПЛН.2</t>
  </si>
  <si>
    <t>ВССТ.ПЛН.3</t>
  </si>
  <si>
    <t>ВССТ.ПЛН.4</t>
  </si>
  <si>
    <t>Подготовлены планы коммуникаций на случай сбоев в планах по восстановлению</t>
  </si>
  <si>
    <t>ВССТ.КМНК.1</t>
  </si>
  <si>
    <t>ВССТ.КМНК.2</t>
  </si>
  <si>
    <t>Типовые ответы</t>
  </si>
  <si>
    <t>Для оценки процессов</t>
  </si>
  <si>
    <t>Вопрос про ожидание</t>
  </si>
  <si>
    <t>Неопределенные ответы</t>
  </si>
  <si>
    <t>Степень задокументированности контроля</t>
  </si>
  <si>
    <t>Уровень покрытия (охвата) контролем</t>
  </si>
  <si>
    <t>Уровень автоматизации контроля</t>
  </si>
  <si>
    <t>Уровень отчетности о контроле (мониторинг реализации)</t>
  </si>
  <si>
    <t>Ответственность и обязанности по соблюдению информационной безопасности, которые остаются в силе после прекращения или изменения трудовых отношений, должны быть определены и сообщены соответствующему работникиу и иным заинтересованным сторонам, а также обеспечено их выполнение.</t>
  </si>
  <si>
    <t>Осуществляется обучение работников по теме многофакторной аутентификации, создании сильных паролей и управлении учетными записями.</t>
  </si>
  <si>
    <t>Осуществляется обучение работников о необходимости блокировать рабочие станции, стирать информацию с флипчартов и виртуальных досок после совещаний и хранить данные в защищенном месте.</t>
  </si>
  <si>
    <t>Осуществляется обучение работников по теме ошибочной отправки и публикации конфиденциальных данных, потери рабочих устройств и съемных носителей. </t>
  </si>
  <si>
    <t>Система управления ИБ</t>
  </si>
  <si>
    <t>0  - Мы не занимаемся этим вопросом</t>
  </si>
  <si>
    <t>1  - Мы делаем это только в тех случаях, когда оно необходимо</t>
  </si>
  <si>
    <t>2  - Мы делаем это постоянно, но процессы не регламентированы</t>
  </si>
  <si>
    <t>3  - Мы делаем это в рамках внутренних процессов ИБ, но опирраемся на свою интуицию</t>
  </si>
  <si>
    <t>4  - Мы делаем это хорошо, процессы описаны и согласованы с бизнесом</t>
  </si>
  <si>
    <t>5   - Я считаю, мы делаем это максимально эффективно</t>
  </si>
  <si>
    <t>3,2 -  скорее да</t>
  </si>
  <si>
    <t>0   - Процесс отсутствует</t>
  </si>
  <si>
    <t>5   - Оптимизированный. Лучшие практики внедрены и оптимизированы</t>
  </si>
  <si>
    <t>0  -совсем нет</t>
  </si>
  <si>
    <t>1  -не соответствует ожиданию</t>
  </si>
  <si>
    <t>2  -Не полностью соответствует ожиданию</t>
  </si>
  <si>
    <t>3  -Соответствует ожиданию</t>
  </si>
  <si>
    <t>4  -Лучше, чем ожидал</t>
  </si>
  <si>
    <t>5  -Превосходит ожидание</t>
  </si>
  <si>
    <t>1,6  -Документация по контролю частично сформирована</t>
  </si>
  <si>
    <t>3,2  -Документация по контролю сформирована</t>
  </si>
  <si>
    <t>0     -Документация по контролю отсутствует</t>
  </si>
  <si>
    <t>0      - Контроль не выполняется</t>
  </si>
  <si>
    <t>1,6   - Объем покрытия минимальный</t>
  </si>
  <si>
    <t>3,2   - Объем покрытия частичный</t>
  </si>
  <si>
    <t>5      - Объем покрытия полный</t>
  </si>
  <si>
    <t>0   - Контроль не выполняется</t>
  </si>
  <si>
    <t>0     - Отчетность отсутствует</t>
  </si>
  <si>
    <t>2,5  - Отчетность частично реализована</t>
  </si>
  <si>
    <t>5     - Отчетность реализована согласно лучшим практикам</t>
  </si>
  <si>
    <t>СУИБ</t>
  </si>
  <si>
    <t>СУИБ.УР.1</t>
  </si>
  <si>
    <t>СУИБ.УР.2</t>
  </si>
  <si>
    <t>СУИБ.УР.3</t>
  </si>
  <si>
    <t>СУИБ.УР.4</t>
  </si>
  <si>
    <t>СЗИ.ВПО.5</t>
  </si>
  <si>
    <t>СЗИ.ВПО.6</t>
  </si>
  <si>
    <t>СЗИ.ВПО.7</t>
  </si>
  <si>
    <t>Процент покрытия инфраструктуры лицензиями на антивирусное ПО</t>
  </si>
  <si>
    <t>1   - Начальный/Повторяющийся эпизодически и бессистемно. Процессы используются разово или в отдельных случаях по образцу.</t>
  </si>
  <si>
    <t>2  - Определенный. Процессы документально оформлены и доведены до сведения заинтересованных лиц</t>
  </si>
  <si>
    <t>3   - Автоматизированный. Процессы автоматизирован</t>
  </si>
  <si>
    <t>4   - Управляемый и измеряемый. Ведется мониторинг процесса в измеряемых показателях</t>
  </si>
  <si>
    <t>Процесс обновления антивирусных средств</t>
  </si>
  <si>
    <t>Процесс реагирования на события САВЗ</t>
  </si>
  <si>
    <t>Плейбуки</t>
  </si>
  <si>
    <t>ПЛР</t>
  </si>
  <si>
    <t>PB</t>
  </si>
  <si>
    <t>Логический ответ</t>
  </si>
  <si>
    <t>0    - нет</t>
  </si>
  <si>
    <t>5     -да</t>
  </si>
  <si>
    <t>1,6   - скорее нет</t>
  </si>
  <si>
    <t>Настроенные политики соответствуют ТТР Блока ИБ</t>
  </si>
  <si>
    <t>SIEM</t>
  </si>
  <si>
    <t>2FA</t>
  </si>
  <si>
    <t>WAF</t>
  </si>
  <si>
    <t>Безопасная разработка</t>
  </si>
  <si>
    <t>БР</t>
  </si>
  <si>
    <t>Проходит регулярный внешний аудит</t>
  </si>
  <si>
    <t>Проводится регулярное повышение осведомленности</t>
  </si>
  <si>
    <t>Количественная оценка рисков</t>
  </si>
  <si>
    <t>Производится регулярный контроль фактического состава созданных, используемых и (или) эксплуатируемых информационных активов и их корректного размещения в сегментах вычислительных сетей</t>
  </si>
  <si>
    <t>Наличие специализированного ПО для хранения инвентаризационных данных</t>
  </si>
  <si>
    <t>УИБ.ИН.4</t>
  </si>
  <si>
    <t>УИБ.ИН.5</t>
  </si>
  <si>
    <t>УИБ.ИН.6</t>
  </si>
  <si>
    <t>Ведется Учет созданных, используемых и (или) эксплуатируемых информационных активов (в том числе информация, информационные ресурсы, информационные системы, технические, программные средства, учетные записи пользователей, доступы и так далее)</t>
  </si>
  <si>
    <t>Используется инструментарий активного/пассивного обнаружения активов</t>
  </si>
  <si>
    <t>Утверждено положение о подразделении, обеспечивающим ИБ под 1272</t>
  </si>
  <si>
    <t>МНТ.ПР.1</t>
  </si>
  <si>
    <t>МНТ.ПР.2</t>
  </si>
  <si>
    <t>МНТ.ПР.3</t>
  </si>
  <si>
    <t>МНТ.ПР.5</t>
  </si>
  <si>
    <t>Контролируются  события ОС</t>
  </si>
  <si>
    <t>Процент покрытия инфраструктуры лицензиями на мониторинг</t>
  </si>
  <si>
    <t>МНТ.SIEM.1</t>
  </si>
  <si>
    <t>МНТ.SIEM.2</t>
  </si>
  <si>
    <t>МНТ.SIEM.4</t>
  </si>
  <si>
    <t>МНТ.SIEM.5</t>
  </si>
  <si>
    <t>МНТ.SIEM.6</t>
  </si>
  <si>
    <t>МНТ.SIEM.7</t>
  </si>
  <si>
    <t>МНТ.SIEM.8</t>
  </si>
  <si>
    <t>МНТ.SIEM.9</t>
  </si>
  <si>
    <t>Процент покрытия инфраструктуры мониторингом</t>
  </si>
  <si>
    <t>Настроенные решающие правила соответствуют ТТР Блока ИБ</t>
  </si>
  <si>
    <t>Люди</t>
  </si>
  <si>
    <t>Персонал</t>
  </si>
  <si>
    <t>УИБ.Л.1</t>
  </si>
  <si>
    <t>УИБ.Л.2</t>
  </si>
  <si>
    <t>УИБ.Л.3</t>
  </si>
  <si>
    <t>ФД</t>
  </si>
  <si>
    <t>УИБ.ФД.1</t>
  </si>
  <si>
    <t>УИБ.ФД.2</t>
  </si>
  <si>
    <t>УИБ.ФД.3</t>
  </si>
  <si>
    <t>Физический доступ</t>
  </si>
  <si>
    <t>Определен порядок обработки КТ</t>
  </si>
  <si>
    <t>Проведено категорирование объктов КИИ</t>
  </si>
  <si>
    <t>CPT</t>
  </si>
  <si>
    <t>Двухфакторная аутентификация пользователей (2FA)</t>
  </si>
  <si>
    <t>Защита внешнего инфраструктурного периметра (CPT)</t>
  </si>
  <si>
    <t>Защита удаленного доступа (RA VPN)</t>
  </si>
  <si>
    <t>Средства криптографической защиты информации (СКЗИ ГОСТ)</t>
  </si>
  <si>
    <t>Мониторинг, обнаружение, анализ и реагирование на инциденты в информационных системах (SOC)</t>
  </si>
  <si>
    <t>Сетевая безопасность (NGFW)</t>
  </si>
  <si>
    <t>Защита и фильтрация сетевого трафика (Прокси-сервер)</t>
  </si>
  <si>
    <t>Сканер уязвимостей</t>
  </si>
  <si>
    <t>Защита от вредоносного трафика (Anti-DDoS)</t>
  </si>
  <si>
    <t>Фильтрация нежелательных и вредоносных сообщений (Антиспам)</t>
  </si>
  <si>
    <t>Обнаружение и блокирование сетевых атак на web-приложении (WAF)</t>
  </si>
  <si>
    <t>Контроль учетных записей (PAM)</t>
  </si>
  <si>
    <t>Предотвращение утечки данных (Data Loss Prevention (DLP)</t>
  </si>
  <si>
    <t>RA VPN</t>
  </si>
  <si>
    <t>NGFW</t>
  </si>
  <si>
    <t>Proxy</t>
  </si>
  <si>
    <t>АВЗ</t>
  </si>
  <si>
    <t>DDoS</t>
  </si>
  <si>
    <t>SPAM</t>
  </si>
  <si>
    <t>PAM</t>
  </si>
  <si>
    <t>DLP</t>
  </si>
  <si>
    <t>СЗИ.2FA.1</t>
  </si>
  <si>
    <t>СЗИ.2FA.2</t>
  </si>
  <si>
    <t>СЗИ.2FA.3</t>
  </si>
  <si>
    <t>СЗИ.2FA.4</t>
  </si>
  <si>
    <t>СЗИ.CPT.1</t>
  </si>
  <si>
    <t>СЗИ.CPT.2</t>
  </si>
  <si>
    <t>СЗИ.CPT.3</t>
  </si>
  <si>
    <t>Наличие плейбука по реагированию на сработки АВЗ</t>
  </si>
  <si>
    <t>RA-VPN</t>
  </si>
  <si>
    <t>СЗИ.RA-VPN.1</t>
  </si>
  <si>
    <t>Двухфакторная аутентификация используется для привелигированных УЗ</t>
  </si>
  <si>
    <t>Использование OTP</t>
  </si>
  <si>
    <t>Процент охваченных регулярным сканированием активов</t>
  </si>
  <si>
    <t>Процент покрытия активов на внешнем периметре лицензиями/договорами</t>
  </si>
  <si>
    <t>СЗИ.RA-VPN.2</t>
  </si>
  <si>
    <t>СЗИ.RA-VPN.3</t>
  </si>
  <si>
    <t>СЗИ.RA-VPN.4</t>
  </si>
  <si>
    <t>Покрытие инфраструктуры средствами защищенного удаленного доступа</t>
  </si>
  <si>
    <t>Защищены взаимодействия между площадками и ЦОД</t>
  </si>
  <si>
    <t>СЗИ.СКЗИ.1</t>
  </si>
  <si>
    <t>СЗИ.СКЗИ.2</t>
  </si>
  <si>
    <t>СЗИ.СКЗИ.3</t>
  </si>
  <si>
    <t>Обеспечено нормативное соответствие</t>
  </si>
  <si>
    <t>СЗИ.SIEM.1</t>
  </si>
  <si>
    <t>МНТ.SIEM.3</t>
  </si>
  <si>
    <t>МНТ.SIEM.10</t>
  </si>
  <si>
    <t>Контролируются события СУБД</t>
  </si>
  <si>
    <t>Контролируются события прикладных ИС</t>
  </si>
  <si>
    <t>МНТ.SIEM.11</t>
  </si>
  <si>
    <t>Контроль событий СЗИ</t>
  </si>
  <si>
    <t>МНТ.SIEM.12</t>
  </si>
  <si>
    <t>СЗИ.NGFW.1</t>
  </si>
  <si>
    <t>СЗИ.NGFW.3</t>
  </si>
  <si>
    <t>СЗИ.NGFW.4</t>
  </si>
  <si>
    <t>Защита периметра и DMZ реализована с использованием аппаратных NGFW</t>
  </si>
  <si>
    <t>PROXY</t>
  </si>
  <si>
    <t>СЗИ.PROXY.1</t>
  </si>
  <si>
    <t>СЗИ.PROXY.2</t>
  </si>
  <si>
    <t>СЗИ.PROXY.3</t>
  </si>
  <si>
    <t>СЗИ.PROXY.4</t>
  </si>
  <si>
    <t>САЗ</t>
  </si>
  <si>
    <t>СЗИ.SPAM.3</t>
  </si>
  <si>
    <t>СЗИ.SPAM.4</t>
  </si>
  <si>
    <t>Доступ пользователей в интернет организован через PROXY</t>
  </si>
  <si>
    <t>Настроены политики разграничения доступа</t>
  </si>
  <si>
    <t>Проведена интеграция со средствами защиты от ВПО и AD</t>
  </si>
  <si>
    <t>Процент покрытия активов  лицензиями</t>
  </si>
  <si>
    <t>СЗИ.WAF.1</t>
  </si>
  <si>
    <t>СЗИ.WAF.2</t>
  </si>
  <si>
    <t>СЗИ.PAM.1</t>
  </si>
  <si>
    <t>СЗИ.PAM.2</t>
  </si>
  <si>
    <t>СЗИ.PAM.4</t>
  </si>
  <si>
    <t>СЗИ.PAM.5</t>
  </si>
  <si>
    <t>СЗИ.DLP.1</t>
  </si>
  <si>
    <t>СЗИ.DLP.3</t>
  </si>
  <si>
    <t>СЗИ.DLP.4</t>
  </si>
  <si>
    <t>СЗИ.DLP.5</t>
  </si>
  <si>
    <t>СЗИ.DLP.6</t>
  </si>
  <si>
    <t>Процент покрытия внешних активов лицензиями и/или услугами</t>
  </si>
  <si>
    <t>Процент активов, администрируемых через PAM</t>
  </si>
  <si>
    <t>Процент покрытия инфраструктуры лицензиями на DLP</t>
  </si>
  <si>
    <t>Процент покрытия инфраструктуры средствами DLP</t>
  </si>
  <si>
    <t>Процесс контроля работоспособности DLP</t>
  </si>
  <si>
    <t>Наличие плейбука по реагированию на события DLP</t>
  </si>
  <si>
    <t>СУИБ.УР.5</t>
  </si>
  <si>
    <t>СУИБ.УР.6</t>
  </si>
  <si>
    <t>СУИБ.УР.7</t>
  </si>
  <si>
    <t>СУИБ.УР.8</t>
  </si>
  <si>
    <t>Осведомленность пользователей и обучение персонала</t>
  </si>
  <si>
    <t xml:space="preserve">Инструктаж по информационной безопасности проводится при приеме на работу и повторяется раз в год или чаще. </t>
  </si>
  <si>
    <t>Учебные материалы пересматриваются раз в год или чаще.</t>
  </si>
  <si>
    <t>Осуществляется обучение работников распознавать атаки с использованием социальной инженерии</t>
  </si>
  <si>
    <t>AW</t>
  </si>
  <si>
    <t>УИБ.AW.5</t>
  </si>
  <si>
    <t>УИБ.AW.1</t>
  </si>
  <si>
    <t>УИБ.AW.2</t>
  </si>
  <si>
    <t>УИБ.AW.3</t>
  </si>
  <si>
    <t>УИБ.AW.4</t>
  </si>
  <si>
    <t>УИБ.AW.6</t>
  </si>
  <si>
    <t>УИБ.AW.7</t>
  </si>
  <si>
    <t>УИБ.AW.8</t>
  </si>
  <si>
    <t>УИБ.AW.9</t>
  </si>
  <si>
    <t>УИБ.AW.10</t>
  </si>
  <si>
    <t>УИБ.AW.11</t>
  </si>
  <si>
    <t>ВССТ.ПЛН.5</t>
  </si>
  <si>
    <t>ВССТ.ПЛН.6</t>
  </si>
  <si>
    <t>Защита данных и информации</t>
  </si>
  <si>
    <t>При приеме нового сотрудника, изменении должности или роли осуществляется автоматическое назначение прав доступа</t>
  </si>
  <si>
    <t>УД</t>
  </si>
  <si>
    <t>СЗИ.ВПО.8</t>
  </si>
  <si>
    <t>Архитектура решения соответствует ТТР Блока ИБ</t>
  </si>
  <si>
    <t>ФЛАГ ОТКЛОНЕНИЯ</t>
  </si>
  <si>
    <t>Наличие планов развития ИБ</t>
  </si>
  <si>
    <t>Насколько по 5 шкале вы обеспечиваете соответствие требованиям регуляторов</t>
  </si>
  <si>
    <t>Применимость требований</t>
  </si>
  <si>
    <t>0    - требование не применимо</t>
  </si>
  <si>
    <t>5     -требование применимо</t>
  </si>
  <si>
    <t>Применимы ли к вам требования</t>
  </si>
  <si>
    <t>Риски определены качественно</t>
  </si>
  <si>
    <t>Риски определены количественно</t>
  </si>
  <si>
    <t>Требования ИБ включены во все договоры с поставщиками и подрядчиками и проходят согласование в подразделениях ИБ</t>
  </si>
  <si>
    <t>Ведется учет использования адресных пространств (IP)</t>
  </si>
  <si>
    <t>Осуществляется разработка, ведение, актуализация, хранение проектной, рабочей, эксплуатационной документации на информационные системы</t>
  </si>
  <si>
    <t>УИБ.ИН.7</t>
  </si>
  <si>
    <t>УИБ.ИН.8</t>
  </si>
  <si>
    <t>УИБ.ИН.9</t>
  </si>
  <si>
    <t>Контроль белого (разрешенного) и черного (неразрешенного) списка программного обеспечения.</t>
  </si>
  <si>
    <t>УИБ.ИН.10</t>
  </si>
  <si>
    <t>УИБ.ИН.11</t>
  </si>
  <si>
    <t>УИБ.ИН.12</t>
  </si>
  <si>
    <t>Определены ли правила конфигурирования ативов (Хардеринг) и осуществляется ли контроль за ними</t>
  </si>
  <si>
    <t xml:space="preserve">Осуществляется ли проверка при приеме на работу </t>
  </si>
  <si>
    <t>Подписывается ли с работником соглашение о конфиденциальности</t>
  </si>
  <si>
    <t>Наличие политики/регламентов управления доступом к ИА</t>
  </si>
  <si>
    <t>5     -Документация по контролю соответствует лучшим практикам</t>
  </si>
  <si>
    <t>Привелигированные пользователи для администрирования используют дополнительные учетные запииси</t>
  </si>
  <si>
    <t>Доступ к ИА Осуществляется на основе согласованных с ИБ ролевых моделей (исключение SoD-конфликтов)</t>
  </si>
  <si>
    <t>Наличие и соблюдение политики/регламентов управления доступом к ИА</t>
  </si>
  <si>
    <t>Требования парольной политики соответствуют требованиям ПАО "Ростелеком"</t>
  </si>
  <si>
    <t>Запрещено использование предустановленных аутентификационных данных, создание учетных записей с пустыми паролями и предоставление доступа без идентификации</t>
  </si>
  <si>
    <t>Осуществляется запрет на хранение, использование и передачу аутентификационных данных в открытом виде</t>
  </si>
  <si>
    <t>Доступ пользователей осуществляется под уникальными и персонифицированными учетными записями</t>
  </si>
  <si>
    <t>Аутентификация программных сервисов, устройств и т.п. осуществляется с использованием технологических учетных записей</t>
  </si>
  <si>
    <t>Есть документ, регламентирующий категории конфиденциальности обрабатываемой информации</t>
  </si>
  <si>
    <t>Осуществляется контроль использования личных мобильных устройств</t>
  </si>
  <si>
    <t>Хранение (на мобильных устройствах) и передача данных между сетевыми сегментами защищена с использованием шифрования</t>
  </si>
  <si>
    <t>Осуществляется обучение работников распознавать инциденты безопасности и сообщать о них</t>
  </si>
  <si>
    <t>Осуществляется обучение привелигированных пользователей приемам безопасной работы</t>
  </si>
  <si>
    <t>Осуществляется ли резервирование критичных компонент</t>
  </si>
  <si>
    <t>УИБ.ФД.4</t>
  </si>
  <si>
    <t>УИБ.ФД.5</t>
  </si>
  <si>
    <t>Разработаны и применяются меры физической защиты безопасности для офисов и помещений</t>
  </si>
  <si>
    <t>Оцените зрелость процессов ИБ</t>
  </si>
  <si>
    <t>Насколько по 5 шкале вы обеспечиваете процессы безопасной разработки</t>
  </si>
  <si>
    <t>Просто оценка</t>
  </si>
  <si>
    <t>НС.КИИ.1</t>
  </si>
  <si>
    <t>НС.КИИ.8</t>
  </si>
  <si>
    <t>НС.КИИ.9</t>
  </si>
  <si>
    <t>НС.КИИ.10</t>
  </si>
  <si>
    <t>НС.КИИ.12</t>
  </si>
  <si>
    <t>НС.КИИ.13</t>
  </si>
  <si>
    <t>УИБ.DDoS.1</t>
  </si>
  <si>
    <t>УИБ.DDoS.2</t>
  </si>
  <si>
    <t>Процесс подключения источников информации</t>
  </si>
  <si>
    <t>МНТ.SIEM.13</t>
  </si>
  <si>
    <t>Мониторинг - Процессы</t>
  </si>
  <si>
    <t>Все предполагаемые вектора атак покрыты сценариями по реагированию</t>
  </si>
  <si>
    <t>Определен и обновляется список участников процессов реагирования (ИБ, ИТ, PR, HR, юристы, подрядчики)</t>
  </si>
  <si>
    <t>РЕАГ.КМНК.4</t>
  </si>
  <si>
    <t>Определены средства и каналы коммуникации и приоритет их использования</t>
  </si>
  <si>
    <t>Анализ и расследование</t>
  </si>
  <si>
    <t>РЕАГ.АНЛЗ.5</t>
  </si>
  <si>
    <t>Анализируются причины возникновения инцидентов</t>
  </si>
  <si>
    <t>РЕАГ.PB.10</t>
  </si>
  <si>
    <t>Наличие плейбука по реагированию на сработки (2FA)</t>
  </si>
  <si>
    <t>Наличие плейбука по реагированию на сработки(RA VPN)</t>
  </si>
  <si>
    <t>Наличие плейбука по реагированию на сработки (NGFW)</t>
  </si>
  <si>
    <t>Наличие плейбука по реагированию на сработки (Прокси-сервер)</t>
  </si>
  <si>
    <t>Наличие плейбука по реагированию на сработки (Anti-DDoS)</t>
  </si>
  <si>
    <t>Наличие плейбука по реагированию на сработки (Антиспам)</t>
  </si>
  <si>
    <t>Наличие плейбука по реагированию на сработки PAM</t>
  </si>
  <si>
    <t>Наличие плейбука по реагированию на сработки (WAF)</t>
  </si>
  <si>
    <t>Определены уровни и сроки восстановления систем в зависимости от критичности ИА</t>
  </si>
  <si>
    <t>Планы ОНИВД разработаны</t>
  </si>
  <si>
    <t>Разработан регламент резервного копирования</t>
  </si>
  <si>
    <t>ВССТ.ПЛН.7</t>
  </si>
  <si>
    <t>ВССТ.ПЛН.8</t>
  </si>
  <si>
    <t>ВССТ.ПЛН.9</t>
  </si>
  <si>
    <t>Восстановление - Коммуникации</t>
  </si>
  <si>
    <t>Планы восстановления протестированы</t>
  </si>
  <si>
    <t>УИБ.ИН.13</t>
  </si>
  <si>
    <t>Процент покрытия инфраструктуры средствами антивирусного ПО</t>
  </si>
  <si>
    <t>Охват АВЗ централизованным управлением</t>
  </si>
  <si>
    <t xml:space="preserve">Объем охвата регулярным сканированием ИА на внешнем периметре </t>
  </si>
  <si>
    <t>Оценка обеспечения нормативного соответствия</t>
  </si>
  <si>
    <t>Оцените зрелость процесса реагирования</t>
  </si>
  <si>
    <t>Оцените зрелость процесса мониторинга</t>
  </si>
  <si>
    <t>Все предполагаемые вектора атак покрыты сценариями реагирования</t>
  </si>
  <si>
    <t>Осуществляется ли блокирование атак типа «отказ в обслуживании» в масштабе времени, близком к реальному</t>
  </si>
  <si>
    <t>Объем ИА, администрируемых через PAM</t>
  </si>
  <si>
    <t>Покрытие инфраструктуры лицензиями на DLP</t>
  </si>
  <si>
    <t>Покрытие инфраструктуры средствами DLP</t>
  </si>
  <si>
    <t>Покрытие ИА  лицензиями на сканер</t>
  </si>
  <si>
    <t xml:space="preserve">Покрытие лицензиями на CPT ИА на внешнем периметре </t>
  </si>
  <si>
    <t>Покрытие инфраструктуры лицензиями на антивирусное ПО</t>
  </si>
  <si>
    <t>ИКБ итоговый</t>
  </si>
  <si>
    <t>Покрытие 2FA удаленного доступа  работников</t>
  </si>
  <si>
    <t>Покрытие 2FA удаленного доступа администраторов ИА</t>
  </si>
  <si>
    <t xml:space="preserve">Покрытие 2FA удаленного доступа подрядчиков </t>
  </si>
  <si>
    <t>Оцените выполнение SLA по устранению критичных уязвимостей ИА на внешнем периметре</t>
  </si>
  <si>
    <t>Покрытие защиты взаимодействия между площадками и ЦОД</t>
  </si>
  <si>
    <t>Покрытие защитой периметра и DMZ с использованием аппаратных NGFW</t>
  </si>
  <si>
    <t>Защита доступа пользователей в интернет через PROXY</t>
  </si>
  <si>
    <t>Объем охвата ИА внутренним регулярным сканированием</t>
  </si>
  <si>
    <t>Оцентите зрелость процесса управления уязвимостями</t>
  </si>
  <si>
    <t>Покрытие защитой почтовых шлюзов</t>
  </si>
  <si>
    <t>Покрытие защитой конечных станций</t>
  </si>
  <si>
    <t>Покрытие внешних ИА лицензиями и/или услугами WAF</t>
  </si>
  <si>
    <t>Охват защитой WAF внешних ИА</t>
  </si>
  <si>
    <t>Покрытие инфраструктуры лицензиями PAM</t>
  </si>
  <si>
    <t>Объем покрытия инфраструктуры мониторингом событий ИБ</t>
  </si>
  <si>
    <t>Определен набор решающих правил и пороги страбатывания</t>
  </si>
  <si>
    <t>Наличие собственной команды или договора на расследование инцидента</t>
  </si>
  <si>
    <t>Разработана Политика ОНИВД</t>
  </si>
  <si>
    <t>Разработаны регламенты резервного копирования</t>
  </si>
  <si>
    <t xml:space="preserve"> - число вопросов</t>
  </si>
  <si>
    <t>Оцените насколько вы обеспечиваете соответствие требованиям регулятора</t>
  </si>
  <si>
    <t>Являетесь ли субьектом  КИИ</t>
  </si>
  <si>
    <t>КБ 1</t>
  </si>
  <si>
    <t>КБ 2</t>
  </si>
  <si>
    <t>КБ 3</t>
  </si>
  <si>
    <t>1     - Да</t>
  </si>
  <si>
    <t>0    - Нет</t>
  </si>
  <si>
    <t>Имеются ли у вас  общедоступные ресурсы, критичные по доступности</t>
  </si>
  <si>
    <t>Проводится актуализация защищаемых ресурсов и порогов срабатывания защиты от отказа в обслуживании</t>
  </si>
  <si>
    <t>3,6 – раз в месяц</t>
  </si>
  <si>
    <t>Актуализация настроек</t>
  </si>
  <si>
    <t>0   - нет</t>
  </si>
  <si>
    <t>1   - раз в год или реже</t>
  </si>
  <si>
    <t>2,5  – раз в квартал</t>
  </si>
  <si>
    <t>5     – непрерывно</t>
  </si>
  <si>
    <t>СЗИ.SPAM.1</t>
  </si>
  <si>
    <t>Наличие антиспам решения, реализующего контентный, сигнатурный и динамический анализ писем и вложений</t>
  </si>
  <si>
    <t>Наличие антиспам решения, осуществляющего проверки писем на предмет вредоносного содержимого антивирусными средствами</t>
  </si>
  <si>
    <t>СЗИ.SPAM.2</t>
  </si>
  <si>
    <t>СЗИ.DLP.7</t>
  </si>
  <si>
    <t xml:space="preserve">Процедура публикации внешних ресурсов описана и контролируется службой ИБ </t>
  </si>
  <si>
    <t>СЗИ.WAF.3</t>
  </si>
  <si>
    <t>УИБ.DDoS.3</t>
  </si>
  <si>
    <t>тематика</t>
  </si>
  <si>
    <t>приоритет</t>
  </si>
  <si>
    <t>Нормативка</t>
  </si>
  <si>
    <t>Домен</t>
  </si>
  <si>
    <t>признак необходимости финансирования</t>
  </si>
  <si>
    <t>+</t>
  </si>
  <si>
    <t>Приоритет</t>
  </si>
  <si>
    <t>Очередь 1 (КБ1)</t>
  </si>
  <si>
    <t>Очередь 2 (КБ2)</t>
  </si>
  <si>
    <t>Очередь 3 (КБ3)</t>
  </si>
  <si>
    <t>Пункт плана</t>
  </si>
  <si>
    <t>Комм.тайна</t>
  </si>
  <si>
    <t>250 Указ</t>
  </si>
  <si>
    <t>Нормативное сответствие</t>
  </si>
  <si>
    <t>Перс.данные</t>
  </si>
  <si>
    <t>\</t>
  </si>
  <si>
    <t>СКЗИ ГОСТ</t>
  </si>
  <si>
    <t xml:space="preserve">Наиболее критичные замечания исправляются в первую очередь. </t>
  </si>
  <si>
    <t xml:space="preserve">Используются проверенные модули безопасности (шифрования, ведения журналов, идентификации/аутентификапции) </t>
  </si>
  <si>
    <t>УИБ.УД.1</t>
  </si>
  <si>
    <t>УИБ.УД.2</t>
  </si>
  <si>
    <t>УИБ.УД.3</t>
  </si>
  <si>
    <t>УИБ.УД.4</t>
  </si>
  <si>
    <t>УИБ.УД.5</t>
  </si>
  <si>
    <t>УИБ.УД.6</t>
  </si>
  <si>
    <t>УИБ.УД.7</t>
  </si>
  <si>
    <t>УИБ.УД.9</t>
  </si>
  <si>
    <t>УИБ.УД.10</t>
  </si>
  <si>
    <t>УИБ.УД.11</t>
  </si>
  <si>
    <t>УИБ.ИА.1</t>
  </si>
  <si>
    <t>УИБ.ИА.2</t>
  </si>
  <si>
    <t>УИБ.ИА.3</t>
  </si>
  <si>
    <t>УИБ.ИА.4</t>
  </si>
  <si>
    <t>УИБ.ИА.5</t>
  </si>
  <si>
    <t>УИБ.ИА.6</t>
  </si>
  <si>
    <t>УИБ.ИА.7</t>
  </si>
  <si>
    <t>УИБ.ИА.8</t>
  </si>
  <si>
    <t>УИБ.ИА.9</t>
  </si>
  <si>
    <t>УИБ.Д.1</t>
  </si>
  <si>
    <t>УИБ.Д.2</t>
  </si>
  <si>
    <t>УИБ.Д.3</t>
  </si>
  <si>
    <t>УИБ.Д.4</t>
  </si>
  <si>
    <t>Расчетные данные на 31.12.2025</t>
  </si>
  <si>
    <t>Лицензиат ФСТЭК/ФСБ</t>
  </si>
  <si>
    <t>Наличие ГИС</t>
  </si>
  <si>
    <t>Субьект КИИ</t>
  </si>
  <si>
    <t>Обработка сторонних ПДН</t>
  </si>
  <si>
    <t xml:space="preserve"> Исторические данные середину 2024 г.</t>
  </si>
  <si>
    <t xml:space="preserve"> Исторические данные на конец 2024 г.</t>
  </si>
  <si>
    <t>Спец. Категории ПДН</t>
  </si>
  <si>
    <t>ПДН о судимости</t>
  </si>
  <si>
    <t>да</t>
  </si>
  <si>
    <t>Наличие Коммерческой тайны</t>
  </si>
  <si>
    <t>2,5 - Контроль выполнен частично</t>
  </si>
  <si>
    <t>5    - Контроль выполнен полностью</t>
  </si>
  <si>
    <t>Архивные расчетные данные на 31.12.2024</t>
  </si>
  <si>
    <t>Расчетный показатель 2025</t>
  </si>
  <si>
    <t>Назначен ответственный за безопасную разработку ПО</t>
  </si>
  <si>
    <t>Требования ИБ формируются на этапе разработки требований к ПО</t>
  </si>
  <si>
    <t>Определен Порядок фиксации замечаний по безопасности и последующего исправления багов</t>
  </si>
  <si>
    <t>Создан и актуален реестр одобренных компонентов ПО, принадлежащих сторонним производителям. 
Отслеживаются  обновления и свежие версии компонентов не реже раз в месяц.</t>
  </si>
  <si>
    <t>Компоненты Реестра ПО скачиваются из проверенных источников и проверяются на безопасность перед установкой</t>
  </si>
  <si>
    <t>Подготовлено и утверждено положение о заместителе, ответственном за обеспечение ИБ (1272)</t>
  </si>
  <si>
    <t>Расчетные данные на 31.12.2026</t>
  </si>
  <si>
    <t>Домен (предметная область ИБ)</t>
  </si>
  <si>
    <t>Приоритет 1</t>
  </si>
  <si>
    <t>SIEM (внедрение системы как СЗИ)</t>
  </si>
  <si>
    <t>Аномалии и события (Хранение информации о событиях)</t>
  </si>
  <si>
    <t>Коммуникации (реагирование на инциденты)</t>
  </si>
  <si>
    <t>СКЗИ (нормативная обвязка процессов эксплуатации)</t>
  </si>
  <si>
    <r>
      <t>1 М</t>
    </r>
    <r>
      <rPr>
        <sz val="12"/>
        <color rgb="FF000000"/>
        <rFont val="Times New Roman"/>
        <family val="1"/>
        <charset val="204"/>
      </rPr>
      <t xml:space="preserve">еньшие значения означают более высокий приоритет. </t>
    </r>
  </si>
  <si>
    <t>прирост 
(дек.24- т.вр)</t>
  </si>
  <si>
    <t>Плейбуки по реагированию</t>
  </si>
  <si>
    <t>Очередь 2  (КБ2)</t>
  </si>
  <si>
    <t>Индикатор</t>
  </si>
  <si>
    <t>0 - 9 - красный</t>
  </si>
  <si>
    <t>10 - 13- желтый</t>
  </si>
  <si>
    <t>14 - 20 - зеленый</t>
  </si>
  <si>
    <t>Светофор ДЗО: Уровень защищенности</t>
  </si>
  <si>
    <t xml:space="preserve">Целевой уровень </t>
  </si>
  <si>
    <t>Группа показателей j</t>
  </si>
  <si>
    <t>Номер I и наименование показателя безопасности kij</t>
  </si>
  <si>
    <t xml:space="preserve">Значение </t>
  </si>
  <si>
    <t>Весовой коэффициент группы Rj</t>
  </si>
  <si>
    <t>Организация и управление обеспечением безопасности</t>
  </si>
  <si>
    <t>1. Имеется приказ о назначении заместителя руководителя органа (организации) ответственным за обеспечение информационной безопасности органа (организации), и определены его обязанности</t>
  </si>
  <si>
    <t>2. Имеется приказ об определении структурного подразделения, осуществляющего функции по обеспечению информационной безопасности органа (организации),  или о назначении выделенных специалистов, и определены функции (обязанности)</t>
  </si>
  <si>
    <t>3. В договорах с подрядными организациями установлена ответственность за реализацию угроз через информационную инфраструктуру подрядчика (для 90% подрядчиков установлены требования)</t>
  </si>
  <si>
    <t>4. Предоставлены своевременные ответы на запросы ФСТЭК России о выполнении мер по защите информации, рекомендованных к реализации (ответы предоставлены на более чем 95% запросов)</t>
  </si>
  <si>
    <t>Защита пользователей</t>
  </si>
  <si>
    <t>1. Отсутствуют учетные записи с паролем, сложность которого не соответствует установленным требованиям к парольной защите</t>
  </si>
  <si>
    <t>2. Для привилегированных пользователей при аутентификации используется второй фактор (не менее 85% привилегированных пользователей)</t>
  </si>
  <si>
    <t>3. Отсутствуют учетные записи, заданные по умолчанию и (или) неиспользуемые сервисные учетные записи</t>
  </si>
  <si>
    <t>Защита информационной инфраструктуры</t>
  </si>
  <si>
    <t>1. На периметре информационной инфраструктуры установлены межсетевые экраны (доступ к 100% внешних интерфейсов контроируется межсетевым экраном)</t>
  </si>
  <si>
    <t>2. На периметре информационной инфраструктуры отсутствуют уязвимости критического или высокого уровня с датой публикации обновления (мер по устранению) более 30 дней</t>
  </si>
  <si>
    <t>3. На АРМ и серверах отсутствуют уязвимости критического уровня с датой публикации обновления (мер по устранению) более 90 дней (не менее 90% АРМ и серверов)</t>
  </si>
  <si>
    <t>4. Обеспечен учет информационных ресурсов (ИТ-активов) (не менее 85% информационных ресурсов учтено (паспортизировано))</t>
  </si>
  <si>
    <t>5. Реализована очистка входящего сетевого трафика от аномалий на сетевом уровне</t>
  </si>
  <si>
    <t>6. Обеспечена проверка вложений в электронные письма (проверяются вложения для не менее чем 75% АРМ пользователей</t>
  </si>
  <si>
    <t xml:space="preserve">7. Средства антивирусной защиты с централизованным управлением установлены (не менее чем на 85% АРМ пользователей </t>
  </si>
  <si>
    <t xml:space="preserve">Мониторинг информационной безопасности и реагирование на инциденты
</t>
  </si>
  <si>
    <t>1. Реализован централизованный сбор событий безопасности и оповещение о неудачных попытках входа для привилегированных учетных записей</t>
  </si>
  <si>
    <t>2. Реализован централизованный сбор и анализ событий безопасности на всех узлах, находящихся на периметре информационной инфраструктуры</t>
  </si>
  <si>
    <t>3. Информация о всех компьютерных инцидентах своевременно передается в НКЦКИ и (или) отраслевой центр мониторинга информационной безопасности</t>
  </si>
  <si>
    <t xml:space="preserve"> ФСТЭК</t>
  </si>
  <si>
    <t>ОРГ</t>
  </si>
  <si>
    <t>Реализация технических мер</t>
  </si>
  <si>
    <t>НС.КИИ.14</t>
  </si>
  <si>
    <t>Предоставлены своевременные ответы на запросы ФСТЭК России о выполнении мер по защите информации, рекомендованных к реализации (ответы предоставлены на более чем 95% запросов)</t>
  </si>
  <si>
    <t xml:space="preserve">        - Предварительное значение оценки показателя состояния ТЗИ и обеспечения безопасности ЗОКИИ РФ в соответствии с Методикой ФСТЭК России</t>
  </si>
  <si>
    <t>Динамика</t>
  </si>
  <si>
    <t xml:space="preserve">Группа показателей </t>
  </si>
  <si>
    <t xml:space="preserve">Номер и наименование показателя безопасности </t>
  </si>
  <si>
    <t>Организация и управление защитой информации</t>
  </si>
  <si>
    <t>Реализация процессов защиты информации</t>
  </si>
  <si>
    <t>3.Управление учётными записями</t>
  </si>
  <si>
    <t>5.Управление обновлениями безопасности</t>
  </si>
  <si>
    <t>6.Инвентаризация информационных ресурсов</t>
  </si>
  <si>
    <t>7.Управление изменениями конфигурации</t>
  </si>
  <si>
    <t>8.Мониторинг информационной безопасности</t>
  </si>
  <si>
    <t>9.Реагирование на инциденты безопасности информации</t>
  </si>
  <si>
    <t>10.Действия в нештатных ситуациях</t>
  </si>
  <si>
    <t>11.Информирование и обучение персонала</t>
  </si>
  <si>
    <t>12.Безопасность приложений и программного обеспечения</t>
  </si>
  <si>
    <t>13.На периметре информационной инфраструктуры установлены межсетевые экраны</t>
  </si>
  <si>
    <t>14.На периметре информационной инфраструктуры отсутствуют уязвимости критического или высокого уровня (с датой публикации обновления более 30 дней)</t>
  </si>
  <si>
    <t>15.На аппаратных и программно-аппаратных средствах отсутствуют уязвимости критического уровня (с датой публикации обновления более 60 дней)</t>
  </si>
  <si>
    <t>16.Реализована очистка входящего сетевого трафика от аномалий на сетевом уровне.</t>
  </si>
  <si>
    <t>17. Обеспечена проверка вложений в электронных письмах (осуществляется для более 90% пользователей).</t>
  </si>
  <si>
    <t>18. Установлены средства антивирусной защиты с централизованным управлением, автономные средства защиты или другие системы защиты от вредоносного кода</t>
  </si>
  <si>
    <t>19.Тестирование на проникновение внешнего периметра проводится не реже, чем раз в полгода.</t>
  </si>
  <si>
    <t>20.Внедрена политика разглашения уязвимостей</t>
  </si>
  <si>
    <t>21.Внедрена программа по поиску уязвимостей (баг-баунти).</t>
  </si>
  <si>
    <t>22.Внутренний аудит ИБ проводится не реже раза в год</t>
  </si>
  <si>
    <t>Тек. оценка из Индекса КБ</t>
  </si>
  <si>
    <t>1.Руководство системой организации защиты информации</t>
  </si>
  <si>
    <t>2. Подразделение по защите информации</t>
  </si>
  <si>
    <t>3. Положение об организации защиты информации (политика)</t>
  </si>
  <si>
    <t>5. Определение негативных последствий от реализации угроз безопасности информации</t>
  </si>
  <si>
    <t>6. Моделирование угроз безопасности информации</t>
  </si>
  <si>
    <t>7.Контроль услуг контрагентов, имеющих доступ к ИСПДн, или организаций, которым поручена обработка персональных данных</t>
  </si>
  <si>
    <t>1. Регламент правил управления доступом</t>
  </si>
  <si>
    <t>4.Выявление и оценка уязвимостей</t>
  </si>
  <si>
    <t>СЗИ.СКЗИ.4</t>
  </si>
  <si>
    <t>СЗИ.NGFW.2</t>
  </si>
  <si>
    <t>Как часто обновляются правила и сигнатуры в WAF и проверяются настройки</t>
  </si>
  <si>
    <t>СЗИ.PAM.3</t>
  </si>
  <si>
    <t>МНТ.ПР.4</t>
  </si>
  <si>
    <t>0 - 01.2024</t>
  </si>
  <si>
    <t>0 - 0 - 2024</t>
  </si>
  <si>
    <t>Отраслевой стандарт АБД</t>
  </si>
  <si>
    <t>4. Планирование мероприятий по защите информации (стратегия)</t>
  </si>
  <si>
    <t xml:space="preserve">Требуется дополнительный показатель:
Назначенный ЗГД:
- совмещает функции ИБ с иными функциями 
- ответственный за цифровую трансформацию
- только за защиту
- из головной компании
</t>
  </si>
  <si>
    <t xml:space="preserve">Требуется дополнительный показатель:
Назначенное подразделение:
- непрофильное подразделение 
- по ИТ
- профильное по ИБ
- передано на аутсорс
</t>
  </si>
  <si>
    <t xml:space="preserve">В текущих показателях нет про "Назначены минимальные права" </t>
  </si>
  <si>
    <t>Не очень сопоставляется со стандартом</t>
  </si>
  <si>
    <t>Про управление обновлениями нашел только в разделе Безопасная разработка</t>
  </si>
  <si>
    <t>Не хватает про наличие регламента по инвентаризации</t>
  </si>
  <si>
    <t>В текущих показателях отсутствуют временные интервалы начала процедур реагирования (36 часов и 4 часов)</t>
  </si>
  <si>
    <t>В текущих показателях нет:
- "Наличие регламента обучения"
- "Определены лица, ответственные за информирование персонала"</t>
  </si>
  <si>
    <t>В текущих показателях нет:
- Реализован статический анализ программного кода
- Реализован динамический анализ программного кода
- внедрены процедуры безопасной разработки в соответствии с международными стандартами
- внедрены процедуры безопасной разработки с учетом требований применимых национальных стандартов</t>
  </si>
  <si>
    <t>В показателях нет такой формулировки (про 30 дней)</t>
  </si>
  <si>
    <t>Не нашёл в показателях</t>
  </si>
  <si>
    <t>Комментарий</t>
  </si>
  <si>
    <t>Назначено лицо, ответственное за обеспечение информационной безопасности</t>
  </si>
  <si>
    <t>СУИБ.УР.10</t>
  </si>
  <si>
    <t>СУИБ.УР.11</t>
  </si>
  <si>
    <t>Сумма значений показателей</t>
  </si>
  <si>
    <t xml:space="preserve">        - Отраслевой стандарт защиты данных</t>
  </si>
  <si>
    <t>Итоговое значение для Категории 4</t>
  </si>
  <si>
    <t>Начальный показатель (на 01.25)</t>
  </si>
  <si>
    <t>СЗИ.САЗ.1</t>
  </si>
  <si>
    <t>СЗИ.САЗ.2</t>
  </si>
  <si>
    <t>СЗИ.САЗ.3</t>
  </si>
  <si>
    <t>НС.КИИ.5</t>
  </si>
  <si>
    <t xml:space="preserve">Подготовка к импортозамещению (до 1 января 2025г.) ПАК на значимых объектах КИИ </t>
  </si>
  <si>
    <t>НС.КИИ.15</t>
  </si>
  <si>
    <t>Наименование показателя</t>
  </si>
  <si>
    <t xml:space="preserve">Уведомление об обработке персональных данных направлено в Роскомнадзор, сведения об организации в реестре РКН поддерживаются в акутальном состоянии </t>
  </si>
  <si>
    <t xml:space="preserve">Наличие согласия на обработку персональных данных от субъекта персональных данных в соответствии с законодательством РФ </t>
  </si>
  <si>
    <t>Осуществляется ознакомление всех работников с требованием о неразглашении информации, содержащей персональные данные субъектов персональных данных третьим лицам</t>
  </si>
  <si>
    <t xml:space="preserve">Направлено отдельное уведомление в Роскомнадзор  в случае трансграничной передачи персональных данных </t>
  </si>
  <si>
    <t xml:space="preserve">При сборе персональных данных, в том числе посредством информационно-телекоммуникационной сети "Интернет", запись, систематизация, накопление, хранение, уточнение (обновление, изменение), извлечение персональных данных граждан Российской Федерации с использованием баз данных, находящихся за пределами территории Российской Федерации, не допускаются.
</t>
  </si>
  <si>
    <t xml:space="preserve">Наличие перечня ИСПДН </t>
  </si>
  <si>
    <t>Проводится периодический внутренний контроль и (или) аудит соответствия обработки персональных данных Федеральному закону №152-ФЗ "О персональных данных" и принятым требованиям к защите персональных данных, политике в отношении обработки персональных данных и прочим внутренним нормативным документам.</t>
  </si>
  <si>
    <t>Осуществляется информирование Роскомнадзора об инцидентах, связанных с обработкой персональных данных, повлекших нарушение прав субъектов персональных данных, с момента выявления такого инцидента в порядке, определенном Федеральным законом 152-ФЗ "О персональных данных".</t>
  </si>
  <si>
    <t>Организовано периодическое ознакомление работников, непосредственно осуществляющих обработку персональных данных, с положениями законодательства Российской Федерации о персональных данных, в том числе с требованиями к защите персональных данных и внутренними нормативными документами по вопросам обработки персональных данных</t>
  </si>
  <si>
    <t>Определены места хранения персональных данных (материальных носителей), а также перечни лиц, осуществляющих обработку персональных данных либо имеющих к ним доступ</t>
  </si>
  <si>
    <t>Определены и соблюдаются меры, необходимые для обеспечения сохранности персональных данных и исключающие несанкционированный к ним доступ при хранении материальных носителей, а также перечень лиц, ответственных за реализацию указанных мер (наличие запираемых шкафов, сигнализации и пр.)</t>
  </si>
  <si>
    <t>Обеспечена защита персональных данных при их передаче/выходе за пределы контролируемой зоны организации</t>
  </si>
  <si>
    <r>
      <t xml:space="preserve">Наличие политики в отношении обработки ПДН, соответствующей требованиям законодательтсва </t>
    </r>
    <r>
      <rPr>
        <b/>
        <i/>
        <sz val="11"/>
        <rFont val="Arial"/>
        <family val="2"/>
        <charset val="204"/>
      </rPr>
      <t>(https://62.rkn.gov.ru/directions/p3535/p6528</t>
    </r>
    <r>
      <rPr>
        <b/>
        <sz val="11"/>
        <rFont val="Arial"/>
        <family val="2"/>
        <charset val="204"/>
      </rPr>
      <t xml:space="preserve">) </t>
    </r>
  </si>
  <si>
    <t>Приоритет тематики</t>
  </si>
  <si>
    <t>приоритет внутри тематики</t>
  </si>
  <si>
    <t>Промежуточный приоритет</t>
  </si>
  <si>
    <t>Артефакты достижения</t>
  </si>
  <si>
    <t>Методика проверки</t>
  </si>
  <si>
    <t>Тематика</t>
  </si>
  <si>
    <t>Управление ИБ</t>
  </si>
  <si>
    <t xml:space="preserve"> - Предоставить ВНД в котором регламентирован порядок использования учетных записей
 - Представить реквизиты приказа об утверждении ВНД
 - Предоставить подтверждение регулярного прохождения процедуры контроля использования учетных запимей</t>
  </si>
  <si>
    <t>Назначено лицо, ответственное за организацию обработки персональных данных, определены его функции и обязанности</t>
  </si>
  <si>
    <t>При поступлении на работу работник дает согласие на передачу его персональных данных третьим лицам</t>
  </si>
  <si>
    <t>НС.ПР.5.8.15.1</t>
  </si>
  <si>
    <t>НС.ПР.5.8.15.2</t>
  </si>
  <si>
    <t>НС.ПР.5.8.15.3</t>
  </si>
  <si>
    <t>НС.ПР.5.8.15.4</t>
  </si>
  <si>
    <t>НС.ПР.5.8.15.5</t>
  </si>
  <si>
    <t>НС.ПР.5.8.15.6</t>
  </si>
  <si>
    <t>НС.ПР.5.8.15.7</t>
  </si>
  <si>
    <t>НС.ПР.5.8.15.8</t>
  </si>
  <si>
    <t>НС.ПР.5.8.15.9</t>
  </si>
  <si>
    <t>НС.ПР.5.8.15.10</t>
  </si>
  <si>
    <t>НС.ПР.5.8.15.11</t>
  </si>
  <si>
    <t>НС.ПР.5.8.15.12</t>
  </si>
  <si>
    <t>НС.ПР.5.8.15.13</t>
  </si>
  <si>
    <t>НС.ПР.5.8.15.14</t>
  </si>
  <si>
    <t>НС.ПР.5.8.15.15</t>
  </si>
  <si>
    <t>НС.ПР.5.8.15.16</t>
  </si>
  <si>
    <t>НС.ПР.5.8.15.17</t>
  </si>
  <si>
    <t>НС.ПР.5.8.15.18</t>
  </si>
  <si>
    <t>НС.ПР.5.8.15.19</t>
  </si>
  <si>
    <t>НС.ПР.5.8.15.20</t>
  </si>
  <si>
    <t>НС.ПР.5.8.15.21</t>
  </si>
  <si>
    <t>НС.ПР.5.8.15.22</t>
  </si>
  <si>
    <t>Наличие документа, подтверждающего определение угроз безопасности ПДн при их обработке</t>
  </si>
  <si>
    <t>Наличие перечня лиц, доступ которых к ПДн, обрабатываемым в ИСПДн, необходим им для выполнения служебных (трудовых) обязанностей</t>
  </si>
  <si>
    <t>НС.ПР.5.8.15.23</t>
  </si>
  <si>
    <t>НС.ПР.5.8.15.24</t>
  </si>
  <si>
    <t>Процесс тестирования исходного кода на уязвимости ИБ</t>
  </si>
  <si>
    <t>Процедура публикации внешних ресурсов</t>
  </si>
  <si>
    <t>РЕАГ.ПЛР.1</t>
  </si>
  <si>
    <t>РЕАГ.ПЛР.2</t>
  </si>
  <si>
    <t>РЕАГ.ПЛР.3</t>
  </si>
  <si>
    <t>РЕАГ.ПЛР.4</t>
  </si>
  <si>
    <t>НС.КТ.3</t>
  </si>
  <si>
    <t>Внедрен процесс количественной оценки рисков</t>
  </si>
  <si>
    <t>В договорах со всеми подрядчиками прописана необходимость соблюдения мер информационной безопасности</t>
  </si>
  <si>
    <t>За информационными активами закреплены ответственные</t>
  </si>
  <si>
    <t>Результаты работы сканеров уязвимости являются источниками для пополнения БД систем инвентаризации</t>
  </si>
  <si>
    <t>Уровень реализации</t>
  </si>
  <si>
    <t>0      - Не реализовано</t>
  </si>
  <si>
    <t>1,6   - Реализовано частично</t>
  </si>
  <si>
    <t>3,2   - Реализовано не в полном объеме</t>
  </si>
  <si>
    <t>5      - Реализовано полностью</t>
  </si>
  <si>
    <t>Осуществляется дублирование инфраструктуры в разных территориально разделенных ЦОД</t>
  </si>
  <si>
    <t>Осуществляется кластеризация компонентов Mission Critical и Busines Critical систем</t>
  </si>
  <si>
    <t>УИБ.ОД.6</t>
  </si>
  <si>
    <t>УИБ.ОД.7</t>
  </si>
  <si>
    <t>Используется система обнаружения уязвимостей с рейтингом критичности и отслеживанием метрик</t>
  </si>
  <si>
    <t>При разработке ПО, для обеспечения безопасности критичных компонентов используются механизмы безопасности системного уровня</t>
  </si>
  <si>
    <t>При приеме на работу проверка всех кандидатов должна соответствовать законам, регламентам, этическим нормам и быть соразмерной бизнес-требованиям, уровню доступа к информации и предполагаемым рискам.</t>
  </si>
  <si>
    <t>Зоны безопасности, порядок доступа и требования к их защите должны быть определены и документированы</t>
  </si>
  <si>
    <t>Конфиденциальная информация гарантированно удалятся с машинных носителей перед их утилизацией либо повторным использованием</t>
  </si>
  <si>
    <t xml:space="preserve">При приеме на работу проводится инструктаж по информационной безопасности  и повторяется раз в год или чаще. </t>
  </si>
  <si>
    <t>Проводится регулярное профессиональное обучение и повышение квалификации работников ИБ</t>
  </si>
  <si>
    <t>Внедрена политика чистого стола и осуществляется контроль ее исполнения</t>
  </si>
  <si>
    <t xml:space="preserve">При организации доступа к сети Интернет осуществляется контроль сетевых  протоколов и портов, URL адресов </t>
  </si>
  <si>
    <t>Привелигированные пользователи для администрирования используют дополнительные учетные записи</t>
  </si>
  <si>
    <t>Проводится регулярный аудит УЗ и доступов не реже одного раза в год</t>
  </si>
  <si>
    <t>При увольнении работника происходит автоматический отзыв прав и блокировка УЗ</t>
  </si>
  <si>
    <t>Парольная политика соответствуют требованиям ПАО "Ростелеком"</t>
  </si>
  <si>
    <t>Пароли локальных УЗ администраторов на АРМ с ОС Windows хранятся с применением технологии LAPS</t>
  </si>
  <si>
    <t>Внедрены политики и механизмы безопасности блокирования УЗ при неправильном вводе пароля, рекомендованые ПАО Ростелеком</t>
  </si>
  <si>
    <t>Передаваемые между сегментами сетей данные защищены</t>
  </si>
  <si>
    <t>Наличие средств RA VPN</t>
  </si>
  <si>
    <t>Наличие действующего сертификата ФСБ на этапе проведения аудита</t>
  </si>
  <si>
    <t>Сетевая безопасность (МСЭ/NGFW)</t>
  </si>
  <si>
    <t>Межсегментное взаимодействие реализовано с учетом критичности этих сегментов</t>
  </si>
  <si>
    <t>Наличие собственного решения или внешнего сервиса по защите от DDoS</t>
  </si>
  <si>
    <t>Процент покрытия инфраструктуры JumpHost</t>
  </si>
  <si>
    <t>JumpHost настроены в соответствии с требованиями ТТР</t>
  </si>
  <si>
    <t>Процент покрытия инфраструктуры лицензиями PAM</t>
  </si>
  <si>
    <t>Контроль событий о действиях привелигированных пользователей</t>
  </si>
  <si>
    <t>Определен порядок эскалации инцидентов</t>
  </si>
  <si>
    <t>Разработана политика обеспечения непрерывности и восстановления деятельности (ОНИВД)</t>
  </si>
  <si>
    <t>Определены требования восстановления и проводятся тестирования</t>
  </si>
  <si>
    <t>Тестирование планов по реагированию и восстановлению проводятся совместно с поставщиками и сторонними провайдерами</t>
  </si>
  <si>
    <t>Планы восстановления совершенствуются по результатам тестирования и реагирования</t>
  </si>
  <si>
    <t>0      - Не формализовано, не доводится</t>
  </si>
  <si>
    <t>1,6   - Не формализовано, доводится</t>
  </si>
  <si>
    <t>3,2   - Формализовано, доводится ежегодно</t>
  </si>
  <si>
    <t>5      - Формализовано, доводится ежеквартально</t>
  </si>
  <si>
    <t>Актуализация внутренних нормативных документов в соответствии с изменениями в нормативно-правовых актах и распоряжениях регуляторов и контрольных (надзорных) ведомств в сфере ИБ</t>
  </si>
  <si>
    <t>Политика опубликована и/или доступна (вебсайт или иные ресурсы) для чтения субъектам ПДН</t>
  </si>
  <si>
    <t>Проводятся регулярные (ежегодные) киберучения</t>
  </si>
  <si>
    <t>Проводится регулярный (ежегодный) внешний аудит</t>
  </si>
  <si>
    <t>Определены основные нежелательные события ИБ</t>
  </si>
  <si>
    <t>Разработана и утверждена Политика управления рисками ИБ</t>
  </si>
  <si>
    <t>Внедрен процесс инвентаризации и категорирования информационных активов</t>
  </si>
  <si>
    <t>Информационные системы Общества соотнесены с ресурсами, на которых они функциониуют</t>
  </si>
  <si>
    <t>Процессы взаимодействия в ИТ цепочке c участниками цепочки поставок определены, управляются и согласовываются заинтересованными сторонами Общества</t>
  </si>
  <si>
    <t>Соглашения о конфиденциальности или неразглашении, отражающие потребности Общества в защите информации, должны быть определены, документированы, регулярно пересматриваться и быть подписанными работниками и иными заинтересованными сторонами.</t>
  </si>
  <si>
    <t>Определены требования к защите информационных активов, размещенных вне Общества</t>
  </si>
  <si>
    <t>Управление устройствами хранения информации должно осуществляться на всем протяжении их жизненного цикла, включающего приобретение, использование, транспортировку и уничтожение, в соответствии с классификационной схемой Общества и требованиями к обращению.</t>
  </si>
  <si>
    <t>Проводится регулярное повышение осведомленности работников Общества</t>
  </si>
  <si>
    <t>Утверждена Политика информационной безопасности Общества</t>
  </si>
  <si>
    <t>Назначен заместитель руководителя Общества, ответственный за обеспечение ИБ</t>
  </si>
  <si>
    <t>Заместитель по ИБ входит в состав коллегиальных органов Общества</t>
  </si>
  <si>
    <t>Заместитель руководителя Общества имеет необходимое обучение</t>
  </si>
  <si>
    <t>Заместитель  руководителя Общества проходит регулярное повышение квалификации</t>
  </si>
  <si>
    <t>Подразделение подчинено заместителю руководителю Общества, ответственному за ИБ</t>
  </si>
  <si>
    <t>Организована работа по формированию навыков и повышению осведомленности работников Общества в сфере ИБ</t>
  </si>
  <si>
    <t>Организован контроль пользователей Общества в части соблюдения ими конфиденциальности  и правил работы со съемными носителями</t>
  </si>
  <si>
    <t>Двухфакторная аутентификация используется для удаленного доступа  работников к ресурсам Общества</t>
  </si>
  <si>
    <t>Двухфакторная аутентификация используется для удаленного доступа подрядчиков к ресурсам Общества</t>
  </si>
  <si>
    <t>Все каналы выхода информации за периметр Общества контролируются средствами DLP</t>
  </si>
  <si>
    <t>2.Аутентификация доступа к информационным системам Общества и их ресурсам с применением однофакторной и двухфакторной аутентификации.</t>
  </si>
  <si>
    <t xml:space="preserve"> - Предоставить ВНД в котором регламентирован порядок использования учетных записей
 - Представить реквизиты приказа об утверждении ВНД
 - Предоставить подтверждение регулярного прохождения процедуры контроля использования учетных запиcей</t>
  </si>
  <si>
    <t>УИБ.БР.5.9.1</t>
  </si>
  <si>
    <t>УИБ.БР.5.9.2</t>
  </si>
  <si>
    <t>УИБ.БР.5.9.3</t>
  </si>
  <si>
    <t>УИБ.БР.5.9.4</t>
  </si>
  <si>
    <t>УИБ.БР.5.9.5</t>
  </si>
  <si>
    <t>УИБ.БР.5.9.6</t>
  </si>
  <si>
    <t>УИБ.БР.5.9.7</t>
  </si>
  <si>
    <t>УИБ.БР.5.9.8</t>
  </si>
  <si>
    <t>УИБ.БР.5.9.9</t>
  </si>
  <si>
    <t>УИБ.БР.5.9.10</t>
  </si>
  <si>
    <t>УИБ.БР.5.9.11</t>
  </si>
  <si>
    <t>УИБ.БР.5.9.12</t>
  </si>
  <si>
    <t>УИБ.БР.5.9.13</t>
  </si>
  <si>
    <t>УИБ.БР.5.9.14</t>
  </si>
  <si>
    <t>Статус достижения целей ИБ регулярно доводится до руководства Общества</t>
  </si>
  <si>
    <t>Процесс оценки рисков ИБ интегрирован в общую систему управления рисками Общества</t>
  </si>
  <si>
    <t>Юристами Общества подготовлены типовые ответы на претензии по факту инцидента</t>
  </si>
  <si>
    <t>В Обществе введен режим КТ</t>
  </si>
  <si>
    <t>Эксплуатируются ли в Обществе СКЗИ?</t>
  </si>
  <si>
    <t>Требования по ИБ к информационным активам (ИА) предьявляются на стадиях принятия решения о создании/приобретении ИА</t>
  </si>
  <si>
    <t>Внедрен процесс контроля изменений конфигурации</t>
  </si>
  <si>
    <t>Ведется учет используемых и (или) эксплуатируемых физических устройств (АРМ, сервера, принтеры, коммутационное оборудование и т.п.)</t>
  </si>
  <si>
    <t>Ведется учет имеющегося и используемого ПО</t>
  </si>
  <si>
    <t>Ведется персонифицированный учет учетных записей (УЗ), технологических УЗ, привилегированных УЗ и УЗ групповых почтовых ящиков</t>
  </si>
  <si>
    <t>Ведется учет созданных, используемых и (или) эксплуатируемых ИС</t>
  </si>
  <si>
    <t>Ведется учет опубликованных на внешнем периметре информационные системы, домены</t>
  </si>
  <si>
    <t>Наличие достаточного перечня запасных частей и материалов, а также активной технической поддержки на оборудование и программное обеспечение</t>
  </si>
  <si>
    <t>Формализованы и определены процедуры контроля сторонней разработки.
Заказчиком осуществляется контроль безопасности ПО при заказе разработки ПО</t>
  </si>
  <si>
    <t>Зоны безопасности с ограниченным доступом должны быть защищены с использованием СКУД</t>
  </si>
  <si>
    <t>ИБ участвует в согласовании и предоставлении доступа</t>
  </si>
  <si>
    <t>Наличие специализированного ПО для хранения аутентификационных данных (оценить покрытие средством)</t>
  </si>
  <si>
    <t>Наличие нормативного документа, регламентирующего категории конфиденциальности обрабатываемой информации</t>
  </si>
  <si>
    <r>
      <t>Наличие ВНД, регламентирующих порядок реализации процессов обработки ПДН в соответствии с рекомендациями ПАО "Ростелеком" (</t>
    </r>
    <r>
      <rPr>
        <b/>
        <sz val="11"/>
        <color rgb="FFFF0000"/>
        <rFont val="Arial"/>
        <family val="2"/>
        <charset val="204"/>
      </rPr>
      <t>размещено на киберпортале)</t>
    </r>
  </si>
  <si>
    <t>Наличие документов, подтверждающих определение уровня защищенности ПДн в ИСПДн</t>
  </si>
  <si>
    <t>Организован процесс уничтожения перс.данных в соответствии с требованиями Приказа Роскомнадзора от 28.10.2022  № 179 "Об утверждении Требований к подтверждению уничтожения персональных данных"</t>
  </si>
  <si>
    <t>Полномочия по обеспечению ИБ возложены на заместителя руководителя Общества</t>
  </si>
  <si>
    <t>Функции по обеспечению Иб возложены на структурное подразделение</t>
  </si>
  <si>
    <t>Создана Комиссия по категорированию объектов КИИ</t>
  </si>
  <si>
    <t>Проведен анализ  критичных процессов,  сформирован перечень систем, подлежащих категорированию (ИС, ИТКС, АСУ)</t>
  </si>
  <si>
    <t xml:space="preserve">Реализованы организационные меры для обеспечения информационной безопаности значимых объектов КИИ (ЗОКИИ) </t>
  </si>
  <si>
    <t xml:space="preserve">Реализованы технические меры для обеспечения информационной безопаности значимых объектов КИИ (ЗОКИИ) </t>
  </si>
  <si>
    <t>Проведены мероприятия по оценке уровня защищенности
информационных систем с привлечением организаций, имеющих соответствующие лицензии ФСБ России и ФСТЭК России</t>
  </si>
  <si>
    <t>Проводится обучение пользователей по ИБ</t>
  </si>
  <si>
    <t>Привлекаемые для оценки защищенности организации имеют лицензию ФСТЭК</t>
  </si>
  <si>
    <t>Привлекаемые для оценки защищенности организации имеют лицензию ФСБ</t>
  </si>
  <si>
    <t>Сделан выбор и осуществлено внедрение выбранного СЗИ</t>
  </si>
  <si>
    <t>Организовано взаимодействие с должностными лицами ФСБ России по результатам мониторинга</t>
  </si>
  <si>
    <t>Осуществляется централизованное управление средствами антивирусной защиты (САВЗ)</t>
  </si>
  <si>
    <t>Настроены и применены централизованные политики АВЗ, рекомендованые ПАО "Ростелеком"</t>
  </si>
  <si>
    <t>Процесс контроля работоспособности САВЗ</t>
  </si>
  <si>
    <t>Внедрен процесс управления уязвимостями на периметре (CPT)</t>
  </si>
  <si>
    <t>Наличие действующего сертификата ФСБ России на этапе проведения аудита</t>
  </si>
  <si>
    <t>Осуществляется централизованное управление СКЗИ</t>
  </si>
  <si>
    <t>Осуществляется централизованное управление удаленным доступом</t>
  </si>
  <si>
    <t>Осуществляется централизованное управление и контроль настроек</t>
  </si>
  <si>
    <t>Внедрен процесс управления уязвимостями</t>
  </si>
  <si>
    <t>Настроены и актуализированы SPF, DKIM, DMARC записи</t>
  </si>
  <si>
    <t>Весь почтовый трафик Общества предварительно проходит через системы Антиспам</t>
  </si>
  <si>
    <t>Осуществляется централизованное управление DLP</t>
  </si>
  <si>
    <t>Внедрен процесс управления сбоями и мониторинга работоспособности SIEM</t>
  </si>
  <si>
    <t>Осуществляется контроль событий о действиях внешних поставщиков ИТ услуг</t>
  </si>
  <si>
    <t>Процесс категорирования инцидентов ИБ</t>
  </si>
  <si>
    <t>Процесс реагирования на инциденты ИБ</t>
  </si>
  <si>
    <t>Определен порядок взаимодействия с регуляторами по инцидентам ИБ</t>
  </si>
  <si>
    <t>Есть собственная команда или договор на расследование инцидентов ИБ</t>
  </si>
  <si>
    <t>Внедрены процессы отчетности</t>
  </si>
  <si>
    <t>Выполняется регулярное создание резервных копий в соответствии с регламентом</t>
  </si>
  <si>
    <t>Резервные копии хранятся на сторонних площадках</t>
  </si>
  <si>
    <t>Реализуются организационные и тенические меры в области ИБ по требованиям ФСТЭК и ФСБ</t>
  </si>
  <si>
    <t>Проводятся регулярные киберучения по реагированию на инциденты ИБ</t>
  </si>
  <si>
    <t>Организован процесс тестирования ПО</t>
  </si>
  <si>
    <t>Организован процесс приемки и инсталляции ПО:
- порядок приемки ПО перед его запуском в продуктивной среде
- порядок передачи ПО в продуктивную среду
- состав и содержание эксплуатационных документов на ПО</t>
  </si>
  <si>
    <t>Организован процесс эксплуатации ПО:
- назначены ответственные за техническую поддержку пользователей ПО
- сформирован порядок информирования пользователей об обновлениях ПО, обнаруженных уязвимостях и окончании технической поддержки
- назначены ответственные за поиск уязвимостей ПО и их устранение</t>
  </si>
  <si>
    <t>Организован процесс обучения сотрудников</t>
  </si>
  <si>
    <t>Планы реагирования совершенствуются по результатам тестирования и пост-анализа</t>
  </si>
  <si>
    <t>Создан орган криптографической защиты (ОКЗ), или возложены функции ОКЗ</t>
  </si>
  <si>
    <t>Ведется учет ключевой информации</t>
  </si>
  <si>
    <t>Ведется обучение лиц, допускаемых и использующих СКЗИ, правилам их использования, оформлены заключения о допуске к самостоятельной работе с СКЗИ</t>
  </si>
  <si>
    <t>На каждого пользователя СКЗИ ведется лицевой счет</t>
  </si>
  <si>
    <t>Осуществляется контроль за соблюдением условий использования
(эксплуатации) СКЗИ, установленный эксплуатационной документацией на СКЗИ</t>
  </si>
  <si>
    <t xml:space="preserve">Осуществляется уничтожение ключевой информации </t>
  </si>
  <si>
    <t>Утвержден документ, регламентирующий  организацию, эксплуатацию и вывод из эксплуатации СКЗИ в организации, включая формы соответствующих документов</t>
  </si>
  <si>
    <t>НС.СКЗИ.5.9.3.1</t>
  </si>
  <si>
    <t>НС.СКЗИ.5.9.3.2</t>
  </si>
  <si>
    <t>НС.СКЗИ.5.9.3.3</t>
  </si>
  <si>
    <t>НС.СКЗИ.5.9.3.4</t>
  </si>
  <si>
    <t>НС.СКЗИ.5.9.3.5</t>
  </si>
  <si>
    <t>НС.СКЗИ.5.9.3.6</t>
  </si>
  <si>
    <t>НС.СКЗИ.5.9.3.7</t>
  </si>
  <si>
    <t>НС.СКЗИ.5.9.3.8</t>
  </si>
  <si>
    <t>НС.СКЗИ.5.9.3.9</t>
  </si>
  <si>
    <t>НС.СКЗИ.5.9.3.10</t>
  </si>
  <si>
    <t>нет</t>
  </si>
  <si>
    <t>РЕАГ.PB.5.9.3.1</t>
  </si>
  <si>
    <t>РЕАГ.PB.5.9.3.2</t>
  </si>
  <si>
    <t>РЕАГ.PB.5.9.3.3</t>
  </si>
  <si>
    <t>РЕАГ.PB.5.9.3.4</t>
  </si>
  <si>
    <t>РЕАГ.PB.5.9.3.5</t>
  </si>
  <si>
    <t>РЕАГ.PB.5.9.3.6</t>
  </si>
  <si>
    <t>РЕАГ.PB.5.9.3.7</t>
  </si>
  <si>
    <t>РЕАГ.PB.5.9.3.8</t>
  </si>
  <si>
    <t>РЕАГ.PB.5.9.3.9</t>
  </si>
  <si>
    <t>РЕАГ.PB.5.9.3.10</t>
  </si>
  <si>
    <t>РЕАГ.PB.5.9.3.11</t>
  </si>
  <si>
    <t>РЕАГ.PB.5.9.3.12</t>
  </si>
  <si>
    <t>Определены правила конфигурирования ативов (Харденинг)</t>
  </si>
  <si>
    <t>Степень выполнения расчетного показателя</t>
  </si>
  <si>
    <t>Степень достижения КБ3</t>
  </si>
  <si>
    <t>Степень достижения КБ2</t>
  </si>
  <si>
    <t>Степень достижения КБ1</t>
  </si>
  <si>
    <t>Сетевая безопасность (МСЭ\NGFW)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</si>
</sst>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0">
    <font>
      <sz val="12"/>
      <color indexed="64"/>
      <name val="Calibri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28"/>
      <color indexed="64"/>
      <name val="Rostelecom Basis Medium"/>
      <family val="2"/>
    </font>
    <font>
      <b/>
      <sz val="12"/>
      <color indexed="64"/>
      <name val="Arial"/>
      <family val="2"/>
      <charset val="204"/>
      <scheme val="major"/>
    </font>
    <font>
      <sz val="12"/>
      <name val="Calibri"/>
      <family val="2"/>
      <charset val="204"/>
    </font>
    <font>
      <b/>
      <sz val="12"/>
      <color indexed="64"/>
      <name val="Arial"/>
      <family val="2"/>
      <charset val="204"/>
    </font>
    <font>
      <sz val="12"/>
      <color indexed="64"/>
      <name val="Arial"/>
      <family val="2"/>
      <charset val="204"/>
    </font>
    <font>
      <sz val="11"/>
      <color indexed="64"/>
      <name val="Arial"/>
      <family val="2"/>
      <charset val="204"/>
    </font>
    <font>
      <b/>
      <sz val="16"/>
      <color theme="3"/>
      <name val="Rostelecom Basis"/>
      <family val="2"/>
    </font>
    <font>
      <b/>
      <sz val="16"/>
      <color theme="7"/>
      <name val="Rostelecom Basis"/>
      <family val="2"/>
    </font>
    <font>
      <b/>
      <sz val="48"/>
      <color indexed="2"/>
      <name val="Rostelecom Basis"/>
      <family val="2"/>
    </font>
    <font>
      <b/>
      <sz val="12"/>
      <color indexed="64"/>
      <name val="Calibri"/>
      <family val="2"/>
      <charset val="204"/>
    </font>
    <font>
      <sz val="12"/>
      <color theme="0"/>
      <name val="Calibri"/>
      <family val="2"/>
      <charset val="204"/>
    </font>
    <font>
      <b/>
      <sz val="11"/>
      <color theme="0"/>
      <name val="Arial"/>
      <family val="2"/>
      <charset val="204"/>
    </font>
    <font>
      <b/>
      <sz val="48"/>
      <color indexed="64"/>
      <name val="Calibri"/>
      <family val="2"/>
      <charset val="204"/>
    </font>
    <font>
      <sz val="14"/>
      <color indexed="64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indexed="64"/>
      <name val="Arial"/>
      <family val="2"/>
      <charset val="204"/>
    </font>
    <font>
      <sz val="36"/>
      <color indexed="64"/>
      <name val="Calibri"/>
      <family val="2"/>
      <charset val="204"/>
    </font>
    <font>
      <sz val="11"/>
      <color theme="0"/>
      <name val="Arial"/>
      <family val="2"/>
      <charset val="204"/>
    </font>
    <font>
      <b/>
      <sz val="14"/>
      <color indexed="64"/>
      <name val="Arial"/>
      <family val="2"/>
      <charset val="204"/>
    </font>
    <font>
      <b/>
      <sz val="18"/>
      <color indexed="64"/>
      <name val="Calibri"/>
      <family val="2"/>
      <charset val="204"/>
    </font>
    <font>
      <b/>
      <sz val="16"/>
      <color indexed="64"/>
      <name val="Calibri"/>
      <family val="2"/>
      <charset val="204"/>
    </font>
    <font>
      <sz val="11"/>
      <color theme="1"/>
      <name val="Arial"/>
      <family val="2"/>
      <scheme val="minor"/>
    </font>
    <font>
      <sz val="12"/>
      <color indexed="64"/>
      <name val="Calibri"/>
      <family val="2"/>
      <charset val="204"/>
    </font>
    <font>
      <sz val="12"/>
      <color indexed="64"/>
      <name val="Calibri"/>
      <family val="2"/>
      <charset val="204"/>
    </font>
    <font>
      <i/>
      <sz val="12"/>
      <color indexed="64"/>
      <name val="Calibri"/>
      <family val="2"/>
      <charset val="204"/>
    </font>
    <font>
      <sz val="11"/>
      <color indexed="64"/>
      <name val="Calibri"/>
      <family val="2"/>
      <charset val="204"/>
    </font>
    <font>
      <sz val="14"/>
      <color indexed="64"/>
      <name val="Calibri"/>
      <family val="2"/>
      <charset val="204"/>
    </font>
    <font>
      <b/>
      <sz val="14"/>
      <color theme="0"/>
      <name val="Calibri"/>
      <family val="2"/>
      <charset val="204"/>
    </font>
    <font>
      <sz val="11"/>
      <color rgb="FF000000"/>
      <name val="Arial"/>
      <family val="2"/>
      <charset val="204"/>
    </font>
    <font>
      <b/>
      <sz val="12"/>
      <color theme="0"/>
      <name val="Arial"/>
      <family val="2"/>
      <charset val="204"/>
      <scheme val="minor"/>
    </font>
    <font>
      <sz val="12"/>
      <color rgb="FF000000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b/>
      <sz val="11"/>
      <name val="Arial"/>
      <family val="2"/>
      <charset val="204"/>
    </font>
    <font>
      <b/>
      <sz val="12"/>
      <color theme="0"/>
      <name val="Calibri"/>
      <family val="2"/>
      <charset val="204"/>
    </font>
    <font>
      <b/>
      <sz val="11"/>
      <color indexed="64"/>
      <name val="Arial"/>
      <family val="2"/>
      <charset val="204"/>
    </font>
    <font>
      <sz val="11"/>
      <color indexed="64"/>
      <name val="Arial"/>
      <family val="2"/>
      <charset val="204"/>
    </font>
    <font>
      <b/>
      <sz val="11"/>
      <color theme="1"/>
      <name val="Arial"/>
      <family val="2"/>
      <charset val="204"/>
      <scheme val="minor"/>
    </font>
    <font>
      <b/>
      <sz val="20"/>
      <color indexed="64"/>
      <name val="Calibri"/>
      <family val="2"/>
      <charset val="204"/>
    </font>
    <font>
      <sz val="12"/>
      <color indexed="64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0"/>
      <name val="Arial"/>
      <family val="2"/>
      <charset val="204"/>
    </font>
    <font>
      <b/>
      <sz val="14"/>
      <name val="Arial"/>
      <family val="2"/>
      <charset val="204"/>
    </font>
    <font>
      <sz val="10"/>
      <color indexed="64"/>
      <name val="Arial"/>
      <family val="2"/>
      <charset val="204"/>
    </font>
    <font>
      <sz val="8"/>
      <color rgb="FF000000"/>
      <name val="Segoe UI"/>
      <family val="2"/>
      <charset val="204"/>
    </font>
    <font>
      <sz val="16"/>
      <color indexed="64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16"/>
      <color theme="1"/>
      <name val="Rostelecom Basis"/>
      <family val="2"/>
    </font>
    <font>
      <sz val="11"/>
      <name val="Arial"/>
      <family val="2"/>
      <charset val="204"/>
      <scheme val="minor"/>
    </font>
    <font>
      <b/>
      <sz val="12"/>
      <color theme="1"/>
      <name val="Arial"/>
      <family val="2"/>
      <charset val="204"/>
      <scheme val="minor"/>
    </font>
    <font>
      <b/>
      <sz val="26"/>
      <color indexed="64"/>
      <name val="Calibri"/>
      <family val="2"/>
      <charset val="204"/>
    </font>
    <font>
      <b/>
      <sz val="11"/>
      <color indexed="64"/>
      <name val="Calibri"/>
      <family val="2"/>
      <charset val="204"/>
    </font>
    <font>
      <sz val="11"/>
      <color theme="0"/>
      <name val="Calibri"/>
      <family val="2"/>
      <charset val="204"/>
    </font>
    <font>
      <sz val="11"/>
      <color rgb="FFFF7C80"/>
      <name val="Calibri"/>
      <family val="2"/>
      <charset val="204"/>
    </font>
    <font>
      <b/>
      <sz val="14"/>
      <color indexed="64"/>
      <name val="Calibri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b/>
      <sz val="8"/>
      <color indexed="64"/>
      <name val="Calibri"/>
      <family val="2"/>
      <charset val="204"/>
    </font>
    <font>
      <b/>
      <sz val="18"/>
      <color theme="1"/>
      <name val="Calibri"/>
      <family val="2"/>
      <charset val="204"/>
    </font>
    <font>
      <sz val="18"/>
      <color indexed="64"/>
      <name val="Calibri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ADB1E"/>
        <bgColor indexed="64"/>
      </patternFill>
    </fill>
    <fill>
      <patternFill patternType="solid">
        <fgColor rgb="FFE8772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C8F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E9F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BE5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E77119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8" fillId="0" borderId="0"/>
    <xf numFmtId="0" fontId="30" fillId="0" borderId="0"/>
    <xf numFmtId="9" fontId="30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0" fontId="5" fillId="0" borderId="0"/>
  </cellStyleXfs>
  <cellXfs count="625">
    <xf numFmtId="0" fontId="0" fillId="0" borderId="0" xfId="0"/>
    <xf numFmtId="0" fontId="0" fillId="2" borderId="0" xfId="0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0" fillId="3" borderId="0" xfId="0" applyFill="1"/>
    <xf numFmtId="0" fontId="15" fillId="3" borderId="0" xfId="0" applyFont="1" applyFill="1" applyAlignment="1">
      <alignment vertical="center" wrapText="1"/>
    </xf>
    <xf numFmtId="0" fontId="0" fillId="4" borderId="4" xfId="0" applyFill="1" applyBorder="1" applyAlignment="1">
      <alignment horizontal="right" vertical="top"/>
    </xf>
    <xf numFmtId="14" fontId="0" fillId="4" borderId="5" xfId="0" applyNumberFormat="1" applyFill="1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0" borderId="0" xfId="0" applyAlignment="1">
      <alignment vertical="top"/>
    </xf>
    <xf numFmtId="0" fontId="18" fillId="5" borderId="7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0" fontId="20" fillId="10" borderId="0" xfId="0" applyFont="1" applyFill="1" applyAlignment="1">
      <alignment horizontal="center" vertical="center" wrapText="1"/>
    </xf>
    <xf numFmtId="0" fontId="0" fillId="5" borderId="9" xfId="0" applyFill="1" applyBorder="1"/>
    <xf numFmtId="0" fontId="0" fillId="6" borderId="9" xfId="0" applyFill="1" applyBorder="1"/>
    <xf numFmtId="0" fontId="0" fillId="7" borderId="9" xfId="0" applyFill="1" applyBorder="1"/>
    <xf numFmtId="14" fontId="20" fillId="8" borderId="0" xfId="0" applyNumberFormat="1" applyFont="1" applyFill="1" applyAlignment="1">
      <alignment horizontal="center" wrapText="1"/>
    </xf>
    <xf numFmtId="14" fontId="20" fillId="9" borderId="0" xfId="0" applyNumberFormat="1" applyFont="1" applyFill="1" applyAlignment="1">
      <alignment horizontal="center" wrapText="1"/>
    </xf>
    <xf numFmtId="14" fontId="20" fillId="10" borderId="0" xfId="0" applyNumberFormat="1" applyFont="1" applyFill="1" applyAlignment="1">
      <alignment horizontal="center" wrapText="1"/>
    </xf>
    <xf numFmtId="0" fontId="18" fillId="0" borderId="0" xfId="0" applyFont="1"/>
    <xf numFmtId="0" fontId="18" fillId="0" borderId="10" xfId="0" applyFont="1" applyBorder="1" applyAlignment="1">
      <alignment vertical="center" wrapText="1"/>
    </xf>
    <xf numFmtId="0" fontId="14" fillId="0" borderId="8" xfId="0" applyFont="1" applyBorder="1" applyAlignment="1">
      <alignment wrapText="1"/>
    </xf>
    <xf numFmtId="0" fontId="0" fillId="0" borderId="0" xfId="0" applyAlignment="1">
      <alignment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wrapText="1"/>
    </xf>
    <xf numFmtId="14" fontId="20" fillId="14" borderId="0" xfId="0" applyNumberFormat="1" applyFont="1" applyFill="1" applyAlignment="1">
      <alignment horizontal="center" wrapText="1"/>
    </xf>
    <xf numFmtId="0" fontId="20" fillId="14" borderId="1" xfId="0" applyFont="1" applyFill="1" applyBorder="1" applyAlignment="1">
      <alignment wrapText="1"/>
    </xf>
    <xf numFmtId="0" fontId="20" fillId="14" borderId="2" xfId="0" applyFont="1" applyFill="1" applyBorder="1" applyAlignment="1">
      <alignment wrapText="1"/>
    </xf>
    <xf numFmtId="0" fontId="20" fillId="5" borderId="7" xfId="0" applyFont="1" applyFill="1" applyBorder="1" applyAlignment="1">
      <alignment horizontal="center" wrapText="1"/>
    </xf>
    <xf numFmtId="0" fontId="20" fillId="14" borderId="7" xfId="0" applyFont="1" applyFill="1" applyBorder="1" applyAlignment="1">
      <alignment horizontal="center" wrapText="1"/>
    </xf>
    <xf numFmtId="0" fontId="23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4" fillId="5" borderId="9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4" fillId="5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0" fillId="15" borderId="0" xfId="0" applyFont="1" applyFill="1" applyAlignment="1">
      <alignment vertical="center" wrapText="1"/>
    </xf>
    <xf numFmtId="0" fontId="20" fillId="15" borderId="0" xfId="0" applyFont="1" applyFill="1" applyAlignment="1">
      <alignment horizontal="center" vertical="center" wrapText="1"/>
    </xf>
    <xf numFmtId="0" fontId="19" fillId="15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0" fillId="15" borderId="0" xfId="0" applyFill="1" applyAlignment="1">
      <alignment wrapText="1"/>
    </xf>
    <xf numFmtId="0" fontId="21" fillId="0" borderId="0" xfId="0" applyFont="1" applyAlignment="1">
      <alignment horizontal="left" vertical="top"/>
    </xf>
    <xf numFmtId="0" fontId="20" fillId="5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2" fontId="14" fillId="5" borderId="9" xfId="0" applyNumberFormat="1" applyFont="1" applyFill="1" applyBorder="1" applyAlignment="1">
      <alignment horizontal="center" vertical="center" wrapText="1"/>
    </xf>
    <xf numFmtId="2" fontId="14" fillId="6" borderId="9" xfId="0" applyNumberFormat="1" applyFont="1" applyFill="1" applyBorder="1" applyAlignment="1">
      <alignment horizontal="center" vertical="center" wrapText="1"/>
    </xf>
    <xf numFmtId="2" fontId="14" fillId="7" borderId="9" xfId="0" applyNumberFormat="1" applyFont="1" applyFill="1" applyBorder="1" applyAlignment="1">
      <alignment horizontal="center" vertical="center" wrapText="1"/>
    </xf>
    <xf numFmtId="2" fontId="14" fillId="0" borderId="9" xfId="0" applyNumberFormat="1" applyFont="1" applyBorder="1" applyAlignment="1">
      <alignment horizontal="center" vertical="center" wrapText="1"/>
    </xf>
    <xf numFmtId="2" fontId="14" fillId="5" borderId="13" xfId="0" applyNumberFormat="1" applyFont="1" applyFill="1" applyBorder="1" applyAlignment="1">
      <alignment horizontal="center" vertical="center" wrapText="1"/>
    </xf>
    <xf numFmtId="2" fontId="14" fillId="6" borderId="13" xfId="0" applyNumberFormat="1" applyFont="1" applyFill="1" applyBorder="1" applyAlignment="1">
      <alignment horizontal="center" vertical="center" wrapText="1"/>
    </xf>
    <xf numFmtId="2" fontId="14" fillId="7" borderId="13" xfId="0" applyNumberFormat="1" applyFont="1" applyFill="1" applyBorder="1" applyAlignment="1">
      <alignment horizontal="center" vertical="center" wrapText="1"/>
    </xf>
    <xf numFmtId="2" fontId="14" fillId="0" borderId="13" xfId="0" applyNumberFormat="1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wrapText="1"/>
    </xf>
    <xf numFmtId="0" fontId="20" fillId="7" borderId="1" xfId="0" applyFont="1" applyFill="1" applyBorder="1" applyAlignment="1">
      <alignment horizontal="center" wrapText="1"/>
    </xf>
    <xf numFmtId="0" fontId="14" fillId="0" borderId="0" xfId="0" applyFont="1"/>
    <xf numFmtId="0" fontId="22" fillId="0" borderId="0" xfId="0" applyFont="1"/>
    <xf numFmtId="0" fontId="14" fillId="0" borderId="1" xfId="0" applyFont="1" applyBorder="1" applyAlignment="1">
      <alignment wrapText="1"/>
    </xf>
    <xf numFmtId="0" fontId="14" fillId="0" borderId="0" xfId="0" applyFont="1" applyAlignment="1">
      <alignment horizontal="center"/>
    </xf>
    <xf numFmtId="0" fontId="20" fillId="15" borderId="0" xfId="0" applyFont="1" applyFill="1" applyAlignment="1">
      <alignment wrapText="1"/>
    </xf>
    <xf numFmtId="0" fontId="20" fillId="15" borderId="0" xfId="0" applyFont="1" applyFill="1" applyAlignment="1">
      <alignment horizontal="center"/>
    </xf>
    <xf numFmtId="0" fontId="0" fillId="15" borderId="0" xfId="0" applyFill="1"/>
    <xf numFmtId="0" fontId="0" fillId="0" borderId="0" xfId="0" applyAlignment="1">
      <alignment horizontal="center" vertical="center"/>
    </xf>
    <xf numFmtId="0" fontId="26" fillId="15" borderId="0" xfId="0" applyFont="1" applyFill="1"/>
    <xf numFmtId="0" fontId="20" fillId="15" borderId="0" xfId="0" applyFont="1" applyFill="1"/>
    <xf numFmtId="0" fontId="20" fillId="6" borderId="2" xfId="0" applyFont="1" applyFill="1" applyBorder="1" applyAlignment="1">
      <alignment horizontal="center" wrapText="1"/>
    </xf>
    <xf numFmtId="0" fontId="20" fillId="7" borderId="2" xfId="0" applyFont="1" applyFill="1" applyBorder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27" fillId="0" borderId="0" xfId="0" applyFont="1"/>
    <xf numFmtId="0" fontId="14" fillId="0" borderId="0" xfId="0" applyFont="1" applyAlignment="1">
      <alignment horizontal="center" wrapText="1"/>
    </xf>
    <xf numFmtId="0" fontId="26" fillId="15" borderId="0" xfId="0" applyFont="1" applyFill="1" applyAlignment="1">
      <alignment wrapText="1"/>
    </xf>
    <xf numFmtId="0" fontId="20" fillId="15" borderId="0" xfId="0" applyFont="1" applyFill="1" applyAlignment="1">
      <alignment horizontal="center" wrapText="1"/>
    </xf>
    <xf numFmtId="0" fontId="28" fillId="0" borderId="16" xfId="0" applyFont="1" applyBorder="1" applyAlignment="1">
      <alignment vertical="center"/>
    </xf>
    <xf numFmtId="0" fontId="28" fillId="0" borderId="17" xfId="0" applyFont="1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/>
    </xf>
    <xf numFmtId="0" fontId="0" fillId="0" borderId="23" xfId="0" applyBorder="1" applyAlignment="1">
      <alignment horizontal="left"/>
    </xf>
    <xf numFmtId="0" fontId="8" fillId="0" borderId="0" xfId="1"/>
    <xf numFmtId="0" fontId="25" fillId="0" borderId="0" xfId="0" applyFont="1" applyAlignment="1">
      <alignment horizontal="center" vertical="center" wrapText="1"/>
    </xf>
    <xf numFmtId="0" fontId="7" fillId="17" borderId="24" xfId="1" applyFont="1" applyFill="1" applyBorder="1"/>
    <xf numFmtId="0" fontId="31" fillId="0" borderId="0" xfId="0" applyFont="1"/>
    <xf numFmtId="0" fontId="24" fillId="11" borderId="0" xfId="0" applyFont="1" applyFill="1" applyAlignment="1">
      <alignment vertical="center" wrapText="1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9" fontId="14" fillId="0" borderId="0" xfId="4" applyFont="1" applyAlignment="1">
      <alignment horizontal="left"/>
    </xf>
    <xf numFmtId="0" fontId="31" fillId="0" borderId="22" xfId="0" applyFont="1" applyBorder="1" applyAlignment="1">
      <alignment horizontal="left"/>
    </xf>
    <xf numFmtId="2" fontId="0" fillId="5" borderId="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2" fontId="0" fillId="7" borderId="9" xfId="0" applyNumberFormat="1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2" fontId="0" fillId="6" borderId="13" xfId="0" applyNumberFormat="1" applyFill="1" applyBorder="1" applyAlignment="1">
      <alignment horizontal="center"/>
    </xf>
    <xf numFmtId="2" fontId="0" fillId="7" borderId="13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2" fontId="0" fillId="6" borderId="7" xfId="0" applyNumberForma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 vertical="center"/>
    </xf>
    <xf numFmtId="2" fontId="0" fillId="6" borderId="7" xfId="0" applyNumberFormat="1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2" fontId="0" fillId="0" borderId="0" xfId="0" applyNumberFormat="1"/>
    <xf numFmtId="0" fontId="14" fillId="0" borderId="2" xfId="0" applyFont="1" applyBorder="1" applyAlignment="1">
      <alignment wrapText="1"/>
    </xf>
    <xf numFmtId="0" fontId="14" fillId="0" borderId="4" xfId="0" applyFont="1" applyBorder="1"/>
    <xf numFmtId="0" fontId="14" fillId="0" borderId="5" xfId="0" applyFont="1" applyBorder="1"/>
    <xf numFmtId="0" fontId="20" fillId="14" borderId="2" xfId="0" applyFont="1" applyFill="1" applyBorder="1" applyAlignment="1">
      <alignment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14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4" fillId="5" borderId="7" xfId="0" applyNumberFormat="1" applyFont="1" applyFill="1" applyBorder="1" applyAlignment="1">
      <alignment horizontal="center" vertical="center" wrapText="1"/>
    </xf>
    <xf numFmtId="2" fontId="14" fillId="6" borderId="7" xfId="0" applyNumberFormat="1" applyFont="1" applyFill="1" applyBorder="1" applyAlignment="1">
      <alignment horizontal="center" vertical="center" wrapText="1"/>
    </xf>
    <xf numFmtId="2" fontId="14" fillId="7" borderId="7" xfId="0" applyNumberFormat="1" applyFont="1" applyFill="1" applyBorder="1" applyAlignment="1">
      <alignment horizontal="center" vertical="center" wrapText="1"/>
    </xf>
    <xf numFmtId="2" fontId="14" fillId="0" borderId="2" xfId="0" applyNumberFormat="1" applyFont="1" applyBorder="1" applyAlignment="1">
      <alignment horizontal="center" vertical="center" wrapText="1"/>
    </xf>
    <xf numFmtId="2" fontId="14" fillId="0" borderId="3" xfId="0" applyNumberFormat="1" applyFont="1" applyBorder="1" applyAlignment="1">
      <alignment horizontal="center" vertical="center" wrapText="1"/>
    </xf>
    <xf numFmtId="2" fontId="14" fillId="0" borderId="15" xfId="0" applyNumberFormat="1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2" fontId="14" fillId="0" borderId="6" xfId="0" applyNumberFormat="1" applyFon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/>
    </xf>
    <xf numFmtId="2" fontId="14" fillId="5" borderId="2" xfId="0" applyNumberFormat="1" applyFont="1" applyFill="1" applyBorder="1" applyAlignment="1">
      <alignment horizontal="center" vertical="center" wrapText="1"/>
    </xf>
    <xf numFmtId="2" fontId="14" fillId="6" borderId="2" xfId="0" applyNumberFormat="1" applyFont="1" applyFill="1" applyBorder="1" applyAlignment="1">
      <alignment horizontal="center" vertical="center" wrapText="1"/>
    </xf>
    <xf numFmtId="2" fontId="14" fillId="7" borderId="2" xfId="0" applyNumberFormat="1" applyFont="1" applyFill="1" applyBorder="1" applyAlignment="1">
      <alignment horizontal="center" vertical="center" wrapText="1"/>
    </xf>
    <xf numFmtId="2" fontId="14" fillId="5" borderId="0" xfId="0" applyNumberFormat="1" applyFont="1" applyFill="1" applyAlignment="1">
      <alignment horizontal="center" vertical="center" wrapText="1"/>
    </xf>
    <xf numFmtId="2" fontId="14" fillId="6" borderId="0" xfId="0" applyNumberFormat="1" applyFont="1" applyFill="1" applyAlignment="1">
      <alignment horizontal="center" vertical="center" wrapText="1"/>
    </xf>
    <xf numFmtId="2" fontId="14" fillId="7" borderId="0" xfId="0" applyNumberFormat="1" applyFont="1" applyFill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 wrapText="1"/>
    </xf>
    <xf numFmtId="2" fontId="14" fillId="5" borderId="5" xfId="0" applyNumberFormat="1" applyFont="1" applyFill="1" applyBorder="1" applyAlignment="1">
      <alignment horizontal="center" vertical="center" wrapText="1"/>
    </xf>
    <xf numFmtId="2" fontId="14" fillId="6" borderId="5" xfId="0" applyNumberFormat="1" applyFont="1" applyFill="1" applyBorder="1" applyAlignment="1">
      <alignment horizontal="center" vertical="center" wrapText="1"/>
    </xf>
    <xf numFmtId="2" fontId="14" fillId="7" borderId="5" xfId="0" applyNumberFormat="1" applyFont="1" applyFill="1" applyBorder="1" applyAlignment="1">
      <alignment horizontal="center" vertical="center" wrapText="1"/>
    </xf>
    <xf numFmtId="2" fontId="0" fillId="11" borderId="3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11" borderId="15" xfId="0" applyNumberFormat="1" applyFill="1" applyBorder="1" applyAlignment="1">
      <alignment horizontal="center"/>
    </xf>
    <xf numFmtId="2" fontId="0" fillId="11" borderId="6" xfId="0" applyNumberForma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14" fillId="0" borderId="9" xfId="0" applyFont="1" applyBorder="1" applyAlignment="1">
      <alignment wrapText="1"/>
    </xf>
    <xf numFmtId="0" fontId="14" fillId="0" borderId="9" xfId="0" applyFont="1" applyBorder="1"/>
    <xf numFmtId="0" fontId="14" fillId="0" borderId="13" xfId="0" applyFont="1" applyBorder="1" applyAlignment="1">
      <alignment wrapText="1"/>
    </xf>
    <xf numFmtId="0" fontId="14" fillId="0" borderId="5" xfId="0" applyFont="1" applyBorder="1" applyAlignment="1">
      <alignment horizontal="center" wrapText="1"/>
    </xf>
    <xf numFmtId="0" fontId="20" fillId="0" borderId="0" xfId="0" applyFont="1" applyAlignment="1">
      <alignment horizontal="center" vertical="center" wrapText="1"/>
    </xf>
    <xf numFmtId="14" fontId="20" fillId="0" borderId="0" xfId="0" applyNumberFormat="1" applyFont="1" applyAlignment="1">
      <alignment horizontal="center" wrapText="1"/>
    </xf>
    <xf numFmtId="2" fontId="0" fillId="11" borderId="7" xfId="0" applyNumberFormat="1" applyFill="1" applyBorder="1" applyAlignment="1">
      <alignment horizontal="center" vertical="center"/>
    </xf>
    <xf numFmtId="0" fontId="31" fillId="0" borderId="8" xfId="0" applyFont="1" applyBorder="1"/>
    <xf numFmtId="0" fontId="0" fillId="0" borderId="9" xfId="0" applyBorder="1"/>
    <xf numFmtId="0" fontId="0" fillId="0" borderId="7" xfId="0" applyBorder="1"/>
    <xf numFmtId="0" fontId="20" fillId="6" borderId="7" xfId="0" applyFont="1" applyFill="1" applyBorder="1" applyAlignment="1">
      <alignment horizontal="center" wrapText="1"/>
    </xf>
    <xf numFmtId="0" fontId="20" fillId="7" borderId="7" xfId="0" applyFont="1" applyFill="1" applyBorder="1" applyAlignment="1">
      <alignment horizontal="center" wrapText="1"/>
    </xf>
    <xf numFmtId="0" fontId="20" fillId="10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6" fillId="17" borderId="24" xfId="1" applyFont="1" applyFill="1" applyBorder="1"/>
    <xf numFmtId="0" fontId="14" fillId="16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20" fillId="14" borderId="10" xfId="0" applyFont="1" applyFill="1" applyBorder="1" applyAlignment="1">
      <alignment wrapText="1"/>
    </xf>
    <xf numFmtId="0" fontId="20" fillId="5" borderId="11" xfId="0" applyFont="1" applyFill="1" applyBorder="1" applyAlignment="1">
      <alignment horizontal="center" wrapText="1"/>
    </xf>
    <xf numFmtId="0" fontId="20" fillId="6" borderId="12" xfId="0" applyFont="1" applyFill="1" applyBorder="1" applyAlignment="1">
      <alignment horizontal="center" wrapText="1"/>
    </xf>
    <xf numFmtId="0" fontId="20" fillId="7" borderId="12" xfId="0" applyFont="1" applyFill="1" applyBorder="1" applyAlignment="1">
      <alignment horizontal="center" wrapText="1"/>
    </xf>
    <xf numFmtId="0" fontId="20" fillId="1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19" borderId="0" xfId="0" applyFill="1" applyAlignment="1">
      <alignment vertical="center"/>
    </xf>
    <xf numFmtId="9" fontId="14" fillId="0" borderId="0" xfId="4" applyFont="1" applyAlignment="1">
      <alignment horizontal="left" vertical="center"/>
    </xf>
    <xf numFmtId="0" fontId="0" fillId="19" borderId="24" xfId="0" applyFill="1" applyBorder="1" applyAlignment="1">
      <alignment vertical="center"/>
    </xf>
    <xf numFmtId="0" fontId="31" fillId="19" borderId="24" xfId="0" applyFont="1" applyFill="1" applyBorder="1" applyAlignment="1">
      <alignment vertical="center"/>
    </xf>
    <xf numFmtId="0" fontId="14" fillId="0" borderId="24" xfId="0" applyFont="1" applyBorder="1" applyAlignment="1">
      <alignment vertical="center" wrapText="1"/>
    </xf>
    <xf numFmtId="0" fontId="33" fillId="19" borderId="24" xfId="0" applyFont="1" applyFill="1" applyBorder="1" applyAlignment="1">
      <alignment vertical="center"/>
    </xf>
    <xf numFmtId="0" fontId="14" fillId="19" borderId="24" xfId="0" applyFont="1" applyFill="1" applyBorder="1" applyAlignment="1">
      <alignment vertical="center" wrapText="1"/>
    </xf>
    <xf numFmtId="2" fontId="18" fillId="20" borderId="24" xfId="0" applyNumberFormat="1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 wrapText="1"/>
    </xf>
    <xf numFmtId="2" fontId="18" fillId="20" borderId="28" xfId="0" applyNumberFormat="1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4" fillId="19" borderId="24" xfId="0" applyFont="1" applyFill="1" applyBorder="1" applyAlignment="1">
      <alignment vertical="center"/>
    </xf>
    <xf numFmtId="0" fontId="34" fillId="0" borderId="24" xfId="0" applyFont="1" applyBorder="1" applyAlignment="1">
      <alignment vertical="center" wrapText="1"/>
    </xf>
    <xf numFmtId="0" fontId="34" fillId="19" borderId="24" xfId="0" applyFont="1" applyFill="1" applyBorder="1" applyAlignment="1">
      <alignment vertical="center" wrapText="1"/>
    </xf>
    <xf numFmtId="0" fontId="36" fillId="21" borderId="24" xfId="0" applyFont="1" applyFill="1" applyBorder="1" applyAlignment="1">
      <alignment vertical="center"/>
    </xf>
    <xf numFmtId="2" fontId="36" fillId="21" borderId="24" xfId="0" applyNumberFormat="1" applyFont="1" applyFill="1" applyBorder="1" applyAlignment="1">
      <alignment horizontal="center" vertical="center"/>
    </xf>
    <xf numFmtId="0" fontId="0" fillId="22" borderId="24" xfId="0" applyFill="1" applyBorder="1" applyAlignment="1">
      <alignment vertical="center"/>
    </xf>
    <xf numFmtId="0" fontId="18" fillId="22" borderId="24" xfId="0" applyFont="1" applyFill="1" applyBorder="1" applyAlignment="1">
      <alignment vertical="center"/>
    </xf>
    <xf numFmtId="0" fontId="34" fillId="22" borderId="24" xfId="0" applyFont="1" applyFill="1" applyBorder="1" applyAlignment="1">
      <alignment vertical="center"/>
    </xf>
    <xf numFmtId="0" fontId="0" fillId="22" borderId="0" xfId="0" applyFill="1" applyAlignment="1">
      <alignment vertical="center"/>
    </xf>
    <xf numFmtId="0" fontId="33" fillId="22" borderId="24" xfId="0" applyFont="1" applyFill="1" applyBorder="1" applyAlignment="1">
      <alignment vertical="center"/>
    </xf>
    <xf numFmtId="0" fontId="34" fillId="22" borderId="25" xfId="0" applyFont="1" applyFill="1" applyBorder="1" applyAlignment="1">
      <alignment vertical="center" wrapText="1"/>
    </xf>
    <xf numFmtId="0" fontId="14" fillId="22" borderId="26" xfId="0" applyFont="1" applyFill="1" applyBorder="1" applyAlignment="1">
      <alignment vertical="center" wrapText="1"/>
    </xf>
    <xf numFmtId="0" fontId="31" fillId="23" borderId="24" xfId="0" applyFont="1" applyFill="1" applyBorder="1" applyAlignment="1">
      <alignment vertical="center"/>
    </xf>
    <xf numFmtId="0" fontId="33" fillId="23" borderId="24" xfId="0" applyFont="1" applyFill="1" applyBorder="1" applyAlignment="1">
      <alignment vertical="center"/>
    </xf>
    <xf numFmtId="2" fontId="18" fillId="24" borderId="11" xfId="0" applyNumberFormat="1" applyFont="1" applyFill="1" applyBorder="1" applyAlignment="1">
      <alignment horizontal="center" vertical="center"/>
    </xf>
    <xf numFmtId="0" fontId="33" fillId="23" borderId="24" xfId="0" applyFont="1" applyFill="1" applyBorder="1" applyAlignment="1">
      <alignment vertical="center" wrapText="1"/>
    </xf>
    <xf numFmtId="0" fontId="35" fillId="0" borderId="24" xfId="0" applyFont="1" applyBorder="1" applyAlignment="1">
      <alignment vertical="center" wrapText="1"/>
    </xf>
    <xf numFmtId="0" fontId="0" fillId="22" borderId="24" xfId="0" applyFill="1" applyBorder="1" applyAlignment="1">
      <alignment vertical="center" wrapText="1"/>
    </xf>
    <xf numFmtId="0" fontId="0" fillId="19" borderId="24" xfId="0" applyFill="1" applyBorder="1" applyAlignment="1">
      <alignment vertical="center" wrapText="1"/>
    </xf>
    <xf numFmtId="0" fontId="14" fillId="0" borderId="24" xfId="0" applyFont="1" applyBorder="1" applyAlignment="1">
      <alignment horizontal="left" vertical="center" wrapText="1"/>
    </xf>
    <xf numFmtId="0" fontId="0" fillId="0" borderId="2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1" fillId="0" borderId="24" xfId="0" applyFont="1" applyBorder="1" applyAlignment="1">
      <alignment vertical="center" wrapText="1"/>
    </xf>
    <xf numFmtId="0" fontId="31" fillId="0" borderId="16" xfId="0" applyFont="1" applyBorder="1"/>
    <xf numFmtId="0" fontId="31" fillId="0" borderId="17" xfId="0" applyFont="1" applyBorder="1"/>
    <xf numFmtId="0" fontId="31" fillId="0" borderId="22" xfId="0" applyFont="1" applyBorder="1"/>
    <xf numFmtId="0" fontId="33" fillId="11" borderId="24" xfId="0" applyFont="1" applyFill="1" applyBorder="1" applyAlignment="1">
      <alignment vertical="center" wrapText="1"/>
    </xf>
    <xf numFmtId="0" fontId="34" fillId="11" borderId="24" xfId="0" applyFont="1" applyFill="1" applyBorder="1" applyAlignment="1">
      <alignment vertical="center" wrapText="1"/>
    </xf>
    <xf numFmtId="2" fontId="0" fillId="11" borderId="24" xfId="0" applyNumberFormat="1" applyFill="1" applyBorder="1" applyAlignment="1">
      <alignment horizontal="center" vertical="center" wrapText="1"/>
    </xf>
    <xf numFmtId="0" fontId="14" fillId="11" borderId="24" xfId="0" applyFont="1" applyFill="1" applyBorder="1" applyAlignment="1">
      <alignment vertical="center" wrapText="1"/>
    </xf>
    <xf numFmtId="0" fontId="14" fillId="20" borderId="0" xfId="0" applyFont="1" applyFill="1" applyAlignment="1">
      <alignment horizontal="left"/>
    </xf>
    <xf numFmtId="0" fontId="37" fillId="0" borderId="0" xfId="0" applyFont="1" applyAlignment="1">
      <alignment vertical="center"/>
    </xf>
    <xf numFmtId="0" fontId="34" fillId="0" borderId="0" xfId="0" applyFont="1"/>
    <xf numFmtId="0" fontId="34" fillId="0" borderId="22" xfId="0" applyFont="1" applyBorder="1"/>
    <xf numFmtId="0" fontId="37" fillId="0" borderId="17" xfId="0" applyFont="1" applyBorder="1" applyAlignment="1">
      <alignment vertical="center"/>
    </xf>
    <xf numFmtId="0" fontId="14" fillId="11" borderId="0" xfId="0" applyFont="1" applyFill="1"/>
    <xf numFmtId="9" fontId="14" fillId="20" borderId="0" xfId="4" applyFont="1" applyFill="1" applyAlignment="1">
      <alignment horizontal="left"/>
    </xf>
    <xf numFmtId="0" fontId="14" fillId="20" borderId="0" xfId="0" applyFont="1" applyFill="1" applyAlignment="1">
      <alignment wrapText="1"/>
    </xf>
    <xf numFmtId="0" fontId="14" fillId="3" borderId="0" xfId="0" applyFont="1" applyFill="1"/>
    <xf numFmtId="0" fontId="14" fillId="0" borderId="0" xfId="0" applyFont="1" applyAlignment="1">
      <alignment horizontal="left" wrapText="1"/>
    </xf>
    <xf numFmtId="0" fontId="38" fillId="25" borderId="24" xfId="0" applyFont="1" applyFill="1" applyBorder="1" applyAlignment="1">
      <alignment horizontal="center" vertical="center"/>
    </xf>
    <xf numFmtId="0" fontId="18" fillId="13" borderId="24" xfId="0" applyFont="1" applyFill="1" applyBorder="1" applyAlignment="1">
      <alignment horizontal="center" vertical="center" wrapText="1"/>
    </xf>
    <xf numFmtId="0" fontId="18" fillId="20" borderId="24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0" fillId="16" borderId="24" xfId="0" applyFill="1" applyBorder="1"/>
    <xf numFmtId="0" fontId="40" fillId="18" borderId="24" xfId="0" applyFont="1" applyFill="1" applyBorder="1" applyAlignment="1">
      <alignment horizontal="center" vertical="center" wrapText="1"/>
    </xf>
    <xf numFmtId="2" fontId="14" fillId="0" borderId="0" xfId="0" applyNumberFormat="1" applyFont="1"/>
    <xf numFmtId="0" fontId="24" fillId="0" borderId="0" xfId="0" applyFont="1" applyAlignment="1">
      <alignment wrapText="1"/>
    </xf>
    <xf numFmtId="0" fontId="14" fillId="15" borderId="0" xfId="0" applyFont="1" applyFill="1"/>
    <xf numFmtId="0" fontId="14" fillId="15" borderId="0" xfId="0" applyFont="1" applyFill="1" applyAlignment="1">
      <alignment horizontal="left"/>
    </xf>
    <xf numFmtId="0" fontId="1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4" fillId="0" borderId="0" xfId="0" applyFont="1" applyAlignment="1">
      <alignment vertical="top" wrapText="1"/>
    </xf>
    <xf numFmtId="0" fontId="26" fillId="15" borderId="0" xfId="0" applyFont="1" applyFill="1" applyAlignment="1">
      <alignment vertical="top" wrapText="1"/>
    </xf>
    <xf numFmtId="0" fontId="41" fillId="0" borderId="0" xfId="0" applyFont="1" applyAlignment="1">
      <alignment vertical="top" wrapText="1"/>
    </xf>
    <xf numFmtId="0" fontId="41" fillId="15" borderId="0" xfId="0" applyFont="1" applyFill="1" applyAlignment="1">
      <alignment vertical="top" wrapText="1"/>
    </xf>
    <xf numFmtId="0" fontId="18" fillId="11" borderId="0" xfId="0" applyFont="1" applyFill="1"/>
    <xf numFmtId="0" fontId="0" fillId="0" borderId="0" xfId="0" applyAlignment="1">
      <alignment horizontal="left" vertical="top" wrapText="1"/>
    </xf>
    <xf numFmtId="0" fontId="24" fillId="3" borderId="0" xfId="0" applyFont="1" applyFill="1" applyAlignment="1">
      <alignment vertical="center" wrapText="1"/>
    </xf>
    <xf numFmtId="0" fontId="0" fillId="3" borderId="0" xfId="0" applyFill="1" applyAlignment="1">
      <alignment wrapText="1"/>
    </xf>
    <xf numFmtId="0" fontId="41" fillId="3" borderId="0" xfId="0" applyFont="1" applyFill="1" applyAlignment="1">
      <alignment vertical="top" wrapText="1"/>
    </xf>
    <xf numFmtId="0" fontId="41" fillId="26" borderId="0" xfId="0" applyFont="1" applyFill="1" applyAlignment="1">
      <alignment vertical="top" wrapText="1"/>
    </xf>
    <xf numFmtId="0" fontId="41" fillId="26" borderId="0" xfId="0" applyFont="1" applyFill="1" applyAlignment="1">
      <alignment vertical="center" wrapText="1"/>
    </xf>
    <xf numFmtId="0" fontId="41" fillId="3" borderId="0" xfId="0" applyFont="1" applyFill="1" applyAlignment="1">
      <alignment vertical="center" wrapText="1"/>
    </xf>
    <xf numFmtId="0" fontId="0" fillId="27" borderId="0" xfId="0" applyFill="1" applyAlignment="1">
      <alignment wrapText="1"/>
    </xf>
    <xf numFmtId="0" fontId="0" fillId="0" borderId="0" xfId="0" applyAlignment="1">
      <alignment horizontal="left" vertical="center" wrapText="1"/>
    </xf>
    <xf numFmtId="0" fontId="44" fillId="15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4" fillId="28" borderId="0" xfId="0" applyFont="1" applyFill="1" applyAlignment="1">
      <alignment vertical="top" wrapText="1"/>
    </xf>
    <xf numFmtId="0" fontId="14" fillId="3" borderId="0" xfId="0" applyFont="1" applyFill="1" applyAlignment="1">
      <alignment vertical="top" wrapText="1"/>
    </xf>
    <xf numFmtId="0" fontId="0" fillId="28" borderId="0" xfId="0" applyFill="1" applyAlignment="1">
      <alignment vertical="top" wrapText="1"/>
    </xf>
    <xf numFmtId="0" fontId="18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20" fillId="3" borderId="0" xfId="0" applyFont="1" applyFill="1" applyAlignment="1">
      <alignment vertical="top" wrapText="1"/>
    </xf>
    <xf numFmtId="0" fontId="20" fillId="15" borderId="0" xfId="0" applyFont="1" applyFill="1" applyAlignment="1">
      <alignment horizontal="center" vertical="top" wrapText="1"/>
    </xf>
    <xf numFmtId="0" fontId="20" fillId="15" borderId="0" xfId="0" applyFont="1" applyFill="1" applyAlignment="1">
      <alignment horizontal="right"/>
    </xf>
    <xf numFmtId="0" fontId="14" fillId="0" borderId="0" xfId="0" applyFont="1" applyAlignment="1">
      <alignment vertical="top"/>
    </xf>
    <xf numFmtId="0" fontId="11" fillId="0" borderId="0" xfId="0" applyFont="1" applyAlignment="1">
      <alignment horizontal="left" vertical="top" wrapText="1"/>
    </xf>
    <xf numFmtId="0" fontId="46" fillId="7" borderId="0" xfId="0" applyFont="1" applyFill="1" applyAlignment="1">
      <alignment horizontal="center" vertical="center" wrapText="1"/>
    </xf>
    <xf numFmtId="0" fontId="41" fillId="3" borderId="0" xfId="0" applyFont="1" applyFill="1"/>
    <xf numFmtId="2" fontId="41" fillId="3" borderId="9" xfId="0" applyNumberFormat="1" applyFont="1" applyFill="1" applyBorder="1" applyAlignment="1">
      <alignment horizontal="center" vertical="center" wrapText="1"/>
    </xf>
    <xf numFmtId="2" fontId="41" fillId="3" borderId="13" xfId="0" applyNumberFormat="1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/>
    </xf>
    <xf numFmtId="0" fontId="43" fillId="15" borderId="0" xfId="0" applyFont="1" applyFill="1" applyAlignment="1">
      <alignment horizontal="center"/>
    </xf>
    <xf numFmtId="0" fontId="14" fillId="15" borderId="29" xfId="0" applyFont="1" applyFill="1" applyBorder="1" applyAlignment="1">
      <alignment wrapText="1"/>
    </xf>
    <xf numFmtId="0" fontId="0" fillId="15" borderId="29" xfId="0" applyFill="1" applyBorder="1" applyAlignment="1">
      <alignment wrapText="1"/>
    </xf>
    <xf numFmtId="0" fontId="20" fillId="0" borderId="0" xfId="0" applyFont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19" fillId="8" borderId="2" xfId="0" applyFont="1" applyFill="1" applyBorder="1" applyAlignment="1">
      <alignment vertical="center" wrapText="1"/>
    </xf>
    <xf numFmtId="2" fontId="14" fillId="0" borderId="0" xfId="0" applyNumberFormat="1" applyFont="1" applyAlignment="1">
      <alignment horizontal="center"/>
    </xf>
    <xf numFmtId="2" fontId="0" fillId="11" borderId="3" xfId="0" applyNumberFormat="1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2" fontId="0" fillId="6" borderId="9" xfId="0" applyNumberFormat="1" applyFill="1" applyBorder="1" applyAlignment="1">
      <alignment horizontal="center" vertical="center"/>
    </xf>
    <xf numFmtId="2" fontId="0" fillId="11" borderId="15" xfId="0" applyNumberForma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/>
    <xf numFmtId="0" fontId="20" fillId="7" borderId="0" xfId="0" applyFont="1" applyFill="1" applyAlignment="1">
      <alignment horizontal="center" vertical="center" wrapText="1"/>
    </xf>
    <xf numFmtId="14" fontId="20" fillId="7" borderId="0" xfId="0" applyNumberFormat="1" applyFont="1" applyFill="1" applyAlignment="1">
      <alignment horizontal="center" wrapText="1"/>
    </xf>
    <xf numFmtId="2" fontId="0" fillId="16" borderId="0" xfId="0" applyNumberFormat="1" applyFill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16" borderId="5" xfId="0" applyNumberFormat="1" applyFill="1" applyBorder="1" applyAlignment="1">
      <alignment horizontal="center"/>
    </xf>
    <xf numFmtId="2" fontId="14" fillId="16" borderId="9" xfId="0" applyNumberFormat="1" applyFont="1" applyFill="1" applyBorder="1" applyAlignment="1">
      <alignment horizontal="center" vertical="center" wrapText="1"/>
    </xf>
    <xf numFmtId="2" fontId="14" fillId="16" borderId="13" xfId="0" applyNumberFormat="1" applyFont="1" applyFill="1" applyBorder="1" applyAlignment="1">
      <alignment horizontal="center" vertical="center" wrapText="1"/>
    </xf>
    <xf numFmtId="2" fontId="48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top" wrapText="1"/>
    </xf>
    <xf numFmtId="0" fontId="42" fillId="0" borderId="0" xfId="0" applyFont="1" applyAlignment="1">
      <alignment vertical="top" wrapText="1"/>
    </xf>
    <xf numFmtId="0" fontId="20" fillId="29" borderId="0" xfId="0" applyFont="1" applyFill="1" applyAlignment="1">
      <alignment horizontal="center" vertical="center" wrapText="1"/>
    </xf>
    <xf numFmtId="14" fontId="20" fillId="29" borderId="0" xfId="0" applyNumberFormat="1" applyFont="1" applyFill="1" applyAlignment="1">
      <alignment horizontal="center" wrapText="1"/>
    </xf>
    <xf numFmtId="2" fontId="0" fillId="30" borderId="0" xfId="0" applyNumberFormat="1" applyFill="1" applyAlignment="1">
      <alignment horizontal="center"/>
    </xf>
    <xf numFmtId="0" fontId="14" fillId="15" borderId="0" xfId="0" applyFont="1" applyFill="1" applyAlignment="1">
      <alignment wrapText="1"/>
    </xf>
    <xf numFmtId="0" fontId="4" fillId="17" borderId="24" xfId="1" applyFont="1" applyFill="1" applyBorder="1"/>
    <xf numFmtId="165" fontId="14" fillId="11" borderId="0" xfId="0" applyNumberFormat="1" applyFont="1" applyFill="1" applyAlignment="1">
      <alignment horizontal="center" vertical="center" wrapText="1"/>
    </xf>
    <xf numFmtId="2" fontId="14" fillId="12" borderId="2" xfId="0" applyNumberFormat="1" applyFont="1" applyFill="1" applyBorder="1" applyAlignment="1">
      <alignment horizontal="center" vertical="center" wrapText="1"/>
    </xf>
    <xf numFmtId="2" fontId="14" fillId="12" borderId="0" xfId="0" applyNumberFormat="1" applyFont="1" applyFill="1" applyAlignment="1">
      <alignment horizontal="center" vertical="center" wrapText="1"/>
    </xf>
    <xf numFmtId="2" fontId="14" fillId="12" borderId="5" xfId="0" applyNumberFormat="1" applyFont="1" applyFill="1" applyBorder="1" applyAlignment="1">
      <alignment horizontal="center" vertical="center" wrapText="1"/>
    </xf>
    <xf numFmtId="0" fontId="24" fillId="11" borderId="0" xfId="0" applyFont="1" applyFill="1" applyAlignment="1">
      <alignment horizontal="center" vertical="center" wrapText="1"/>
    </xf>
    <xf numFmtId="0" fontId="31" fillId="28" borderId="0" xfId="0" applyFont="1" applyFill="1" applyAlignment="1">
      <alignment wrapText="1"/>
    </xf>
    <xf numFmtId="0" fontId="31" fillId="28" borderId="0" xfId="0" applyFont="1" applyFill="1"/>
    <xf numFmtId="0" fontId="14" fillId="3" borderId="0" xfId="0" applyFont="1" applyFill="1" applyAlignment="1">
      <alignment horizontal="left" wrapText="1"/>
    </xf>
    <xf numFmtId="0" fontId="14" fillId="3" borderId="0" xfId="0" applyFont="1" applyFill="1" applyAlignment="1">
      <alignment wrapText="1"/>
    </xf>
    <xf numFmtId="9" fontId="14" fillId="0" borderId="0" xfId="4" applyFont="1" applyAlignment="1">
      <alignment horizontal="left" wrapText="1"/>
    </xf>
    <xf numFmtId="2" fontId="14" fillId="31" borderId="2" xfId="0" applyNumberFormat="1" applyFont="1" applyFill="1" applyBorder="1" applyAlignment="1">
      <alignment horizontal="center" vertical="center" wrapText="1"/>
    </xf>
    <xf numFmtId="2" fontId="14" fillId="31" borderId="0" xfId="0" applyNumberFormat="1" applyFont="1" applyFill="1" applyAlignment="1">
      <alignment horizontal="center" vertical="center" wrapText="1"/>
    </xf>
    <xf numFmtId="2" fontId="14" fillId="31" borderId="5" xfId="0" applyNumberFormat="1" applyFont="1" applyFill="1" applyBorder="1" applyAlignment="1">
      <alignment horizontal="center" vertical="center" wrapText="1"/>
    </xf>
    <xf numFmtId="0" fontId="14" fillId="31" borderId="0" xfId="0" applyFont="1" applyFill="1" applyAlignment="1">
      <alignment horizontal="center" vertical="center" wrapText="1"/>
    </xf>
    <xf numFmtId="0" fontId="14" fillId="31" borderId="0" xfId="0" applyFont="1" applyFill="1" applyAlignment="1">
      <alignment horizontal="center" vertical="center"/>
    </xf>
    <xf numFmtId="2" fontId="14" fillId="31" borderId="9" xfId="0" applyNumberFormat="1" applyFont="1" applyFill="1" applyBorder="1" applyAlignment="1">
      <alignment horizontal="center" vertical="center" wrapText="1"/>
    </xf>
    <xf numFmtId="2" fontId="14" fillId="31" borderId="13" xfId="0" applyNumberFormat="1" applyFont="1" applyFill="1" applyBorder="1" applyAlignment="1">
      <alignment horizontal="center" vertical="center" wrapText="1"/>
    </xf>
    <xf numFmtId="165" fontId="14" fillId="31" borderId="0" xfId="0" applyNumberFormat="1" applyFont="1" applyFill="1" applyAlignment="1">
      <alignment horizontal="center" vertical="center" wrapText="1"/>
    </xf>
    <xf numFmtId="2" fontId="0" fillId="0" borderId="1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7" borderId="1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/>
    </xf>
    <xf numFmtId="0" fontId="20" fillId="8" borderId="0" xfId="0" applyFont="1" applyFill="1" applyAlignment="1">
      <alignment horizontal="center" vertical="center" wrapText="1"/>
    </xf>
    <xf numFmtId="165" fontId="14" fillId="31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2" fontId="11" fillId="16" borderId="0" xfId="0" applyNumberFormat="1" applyFont="1" applyFill="1" applyAlignment="1">
      <alignment horizontal="center"/>
    </xf>
    <xf numFmtId="2" fontId="0" fillId="15" borderId="7" xfId="0" applyNumberFormat="1" applyFill="1" applyBorder="1" applyAlignment="1">
      <alignment horizontal="center"/>
    </xf>
    <xf numFmtId="2" fontId="0" fillId="15" borderId="9" xfId="0" applyNumberFormat="1" applyFill="1" applyBorder="1" applyAlignment="1">
      <alignment horizontal="center"/>
    </xf>
    <xf numFmtId="2" fontId="0" fillId="15" borderId="13" xfId="0" applyNumberFormat="1" applyFill="1" applyBorder="1" applyAlignment="1">
      <alignment horizontal="center"/>
    </xf>
    <xf numFmtId="14" fontId="20" fillId="15" borderId="0" xfId="0" applyNumberFormat="1" applyFont="1" applyFill="1" applyAlignment="1">
      <alignment horizontal="center" wrapText="1"/>
    </xf>
    <xf numFmtId="2" fontId="11" fillId="15" borderId="9" xfId="0" applyNumberFormat="1" applyFont="1" applyFill="1" applyBorder="1" applyAlignment="1">
      <alignment horizontal="center"/>
    </xf>
    <xf numFmtId="0" fontId="20" fillId="15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2" fontId="0" fillId="0" borderId="0" xfId="0" applyNumberFormat="1" applyAlignment="1">
      <alignment horizontal="left"/>
    </xf>
    <xf numFmtId="2" fontId="0" fillId="30" borderId="6" xfId="0" applyNumberFormat="1" applyFill="1" applyBorder="1" applyAlignment="1">
      <alignment horizontal="center"/>
    </xf>
    <xf numFmtId="2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9" fillId="0" borderId="24" xfId="0" applyFont="1" applyBorder="1"/>
    <xf numFmtId="0" fontId="40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39" fillId="0" borderId="24" xfId="0" applyFont="1" applyBorder="1" applyAlignment="1">
      <alignment vertical="center"/>
    </xf>
    <xf numFmtId="0" fontId="49" fillId="0" borderId="0" xfId="0" applyFont="1"/>
    <xf numFmtId="14" fontId="20" fillId="8" borderId="0" xfId="0" applyNumberFormat="1" applyFont="1" applyFill="1" applyAlignment="1">
      <alignment horizontal="center" vertical="center" wrapText="1"/>
    </xf>
    <xf numFmtId="0" fontId="19" fillId="8" borderId="12" xfId="0" applyFont="1" applyFill="1" applyBorder="1" applyAlignment="1">
      <alignment horizontal="center" wrapText="1"/>
    </xf>
    <xf numFmtId="0" fontId="19" fillId="8" borderId="2" xfId="0" applyFont="1" applyFill="1" applyBorder="1" applyAlignment="1">
      <alignment horizontal="center" wrapText="1"/>
    </xf>
    <xf numFmtId="2" fontId="11" fillId="30" borderId="0" xfId="0" applyNumberFormat="1" applyFont="1" applyFill="1" applyAlignment="1">
      <alignment horizontal="center"/>
    </xf>
    <xf numFmtId="0" fontId="18" fillId="31" borderId="0" xfId="0" applyFont="1" applyFill="1" applyAlignment="1">
      <alignment vertical="center" wrapText="1"/>
    </xf>
    <xf numFmtId="2" fontId="0" fillId="32" borderId="0" xfId="0" applyNumberFormat="1" applyFill="1" applyAlignment="1">
      <alignment horizontal="left"/>
    </xf>
    <xf numFmtId="0" fontId="23" fillId="0" borderId="0" xfId="0" applyFont="1" applyAlignment="1">
      <alignment horizontal="center" vertical="center" wrapText="1"/>
    </xf>
    <xf numFmtId="0" fontId="31" fillId="28" borderId="0" xfId="0" applyFont="1" applyFill="1" applyAlignment="1">
      <alignment vertical="center"/>
    </xf>
    <xf numFmtId="0" fontId="31" fillId="28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52" fillId="33" borderId="0" xfId="0" applyFont="1" applyFill="1" applyAlignment="1">
      <alignment horizontal="center" vertical="center" wrapText="1"/>
    </xf>
    <xf numFmtId="0" fontId="52" fillId="15" borderId="0" xfId="0" applyFont="1" applyFill="1" applyAlignment="1">
      <alignment horizontal="center" vertical="center"/>
    </xf>
    <xf numFmtId="0" fontId="51" fillId="15" borderId="0" xfId="0" applyFont="1" applyFill="1" applyAlignment="1">
      <alignment horizontal="center" vertical="center"/>
    </xf>
    <xf numFmtId="0" fontId="51" fillId="15" borderId="0" xfId="0" applyFont="1" applyFill="1" applyAlignment="1">
      <alignment horizontal="center" vertical="center" wrapText="1"/>
    </xf>
    <xf numFmtId="0" fontId="44" fillId="15" borderId="0" xfId="0" applyFont="1" applyFill="1" applyAlignment="1">
      <alignment horizontal="center" wrapText="1"/>
    </xf>
    <xf numFmtId="0" fontId="26" fillId="15" borderId="0" xfId="0" applyFont="1" applyFill="1" applyAlignment="1">
      <alignment horizontal="center" vertical="center" wrapText="1"/>
    </xf>
    <xf numFmtId="2" fontId="52" fillId="33" borderId="0" xfId="0" applyNumberFormat="1" applyFont="1" applyFill="1" applyAlignment="1">
      <alignment horizontal="center" vertical="center" wrapText="1"/>
    </xf>
    <xf numFmtId="0" fontId="0" fillId="34" borderId="0" xfId="0" applyFill="1"/>
    <xf numFmtId="0" fontId="53" fillId="15" borderId="29" xfId="0" applyFont="1" applyFill="1" applyBorder="1" applyAlignment="1">
      <alignment horizontal="right" vertical="center" wrapText="1"/>
    </xf>
    <xf numFmtId="0" fontId="0" fillId="0" borderId="24" xfId="0" applyBorder="1" applyAlignment="1">
      <alignment horizontal="center" vertical="center"/>
    </xf>
    <xf numFmtId="0" fontId="0" fillId="20" borderId="0" xfId="0" applyFill="1"/>
    <xf numFmtId="0" fontId="54" fillId="0" borderId="0" xfId="0" applyFont="1"/>
    <xf numFmtId="0" fontId="3" fillId="0" borderId="24" xfId="1" applyFont="1" applyBorder="1" applyAlignment="1">
      <alignment horizontal="left" vertical="top" wrapText="1"/>
    </xf>
    <xf numFmtId="0" fontId="3" fillId="35" borderId="24" xfId="1" applyFont="1" applyFill="1" applyBorder="1" applyAlignment="1">
      <alignment horizontal="left" vertical="top" wrapText="1"/>
    </xf>
    <xf numFmtId="0" fontId="3" fillId="35" borderId="24" xfId="1" applyFont="1" applyFill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58" fillId="35" borderId="24" xfId="1" applyFont="1" applyFill="1" applyBorder="1" applyAlignment="1">
      <alignment horizontal="center" vertical="center"/>
    </xf>
    <xf numFmtId="0" fontId="59" fillId="35" borderId="28" xfId="1" applyFont="1" applyFill="1" applyBorder="1" applyAlignment="1">
      <alignment vertical="center"/>
    </xf>
    <xf numFmtId="0" fontId="59" fillId="35" borderId="28" xfId="1" applyFont="1" applyFill="1" applyBorder="1" applyAlignment="1">
      <alignment horizontal="center" vertical="center"/>
    </xf>
    <xf numFmtId="0" fontId="59" fillId="35" borderId="28" xfId="1" applyFont="1" applyFill="1" applyBorder="1" applyAlignment="1">
      <alignment horizontal="center" vertical="center" wrapText="1"/>
    </xf>
    <xf numFmtId="0" fontId="59" fillId="35" borderId="30" xfId="1" applyFont="1" applyFill="1" applyBorder="1" applyAlignment="1">
      <alignment vertical="center"/>
    </xf>
    <xf numFmtId="2" fontId="58" fillId="0" borderId="32" xfId="1" applyNumberFormat="1" applyFont="1" applyBorder="1" applyAlignment="1">
      <alignment horizontal="center" vertical="center"/>
    </xf>
    <xf numFmtId="2" fontId="58" fillId="3" borderId="32" xfId="1" applyNumberFormat="1" applyFont="1" applyFill="1" applyBorder="1" applyAlignment="1">
      <alignment horizontal="center" vertical="center"/>
    </xf>
    <xf numFmtId="0" fontId="3" fillId="0" borderId="33" xfId="1" applyFont="1" applyBorder="1" applyAlignment="1">
      <alignment horizontal="left" vertical="top" wrapText="1"/>
    </xf>
    <xf numFmtId="0" fontId="3" fillId="0" borderId="33" xfId="1" applyFont="1" applyBorder="1" applyAlignment="1">
      <alignment horizontal="center" vertical="center"/>
    </xf>
    <xf numFmtId="9" fontId="14" fillId="20" borderId="0" xfId="4" applyFont="1" applyFill="1" applyAlignment="1">
      <alignment horizontal="left" wrapText="1"/>
    </xf>
    <xf numFmtId="0" fontId="14" fillId="20" borderId="0" xfId="0" applyFont="1" applyFill="1" applyAlignment="1">
      <alignment horizontal="left" wrapText="1"/>
    </xf>
    <xf numFmtId="9" fontId="14" fillId="0" borderId="0" xfId="4" applyFont="1" applyFill="1" applyAlignment="1">
      <alignment horizontal="left"/>
    </xf>
    <xf numFmtId="0" fontId="3" fillId="0" borderId="0" xfId="1" applyFont="1"/>
    <xf numFmtId="0" fontId="3" fillId="0" borderId="0" xfId="1" applyFont="1" applyAlignment="1">
      <alignment wrapText="1"/>
    </xf>
    <xf numFmtId="2" fontId="47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0" fontId="2" fillId="35" borderId="24" xfId="1" applyFont="1" applyFill="1" applyBorder="1" applyAlignment="1">
      <alignment horizontal="left" vertical="top" wrapText="1"/>
    </xf>
    <xf numFmtId="164" fontId="58" fillId="0" borderId="32" xfId="1" applyNumberFormat="1" applyFont="1" applyBorder="1" applyAlignment="1">
      <alignment horizontal="center" vertical="center"/>
    </xf>
    <xf numFmtId="2" fontId="58" fillId="0" borderId="34" xfId="1" applyNumberFormat="1" applyFont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0" fillId="0" borderId="24" xfId="0" applyBorder="1" applyAlignment="1">
      <alignment horizontal="center" vertical="center" wrapText="1"/>
    </xf>
    <xf numFmtId="0" fontId="31" fillId="0" borderId="24" xfId="0" applyFont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top" wrapText="1"/>
    </xf>
    <xf numFmtId="0" fontId="0" fillId="3" borderId="24" xfId="0" applyFill="1" applyBorder="1" applyAlignment="1">
      <alignment horizontal="center" vertical="center" wrapText="1"/>
    </xf>
    <xf numFmtId="4" fontId="0" fillId="3" borderId="24" xfId="0" applyNumberFormat="1" applyFill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31" fillId="3" borderId="24" xfId="0" applyFont="1" applyFill="1" applyBorder="1" applyAlignment="1">
      <alignment horizontal="left" vertical="center" wrapText="1"/>
    </xf>
    <xf numFmtId="0" fontId="34" fillId="0" borderId="24" xfId="0" applyFont="1" applyBorder="1" applyAlignment="1">
      <alignment horizontal="center" vertical="center" wrapText="1"/>
    </xf>
    <xf numFmtId="9" fontId="0" fillId="0" borderId="24" xfId="0" applyNumberFormat="1" applyBorder="1" applyAlignment="1">
      <alignment horizontal="center" vertical="center" wrapText="1"/>
    </xf>
    <xf numFmtId="0" fontId="59" fillId="35" borderId="30" xfId="1" applyFont="1" applyFill="1" applyBorder="1" applyAlignment="1">
      <alignment vertical="center" wrapText="1"/>
    </xf>
    <xf numFmtId="0" fontId="59" fillId="35" borderId="28" xfId="1" applyFont="1" applyFill="1" applyBorder="1" applyAlignment="1">
      <alignment vertical="center" wrapText="1"/>
    </xf>
    <xf numFmtId="2" fontId="59" fillId="36" borderId="31" xfId="1" applyNumberFormat="1" applyFont="1" applyFill="1" applyBorder="1" applyAlignment="1">
      <alignment horizontal="center" vertical="center" wrapText="1"/>
    </xf>
    <xf numFmtId="0" fontId="0" fillId="0" borderId="24" xfId="1" applyFont="1" applyBorder="1" applyAlignment="1">
      <alignment horizontal="left" vertical="top" wrapText="1"/>
    </xf>
    <xf numFmtId="0" fontId="0" fillId="35" borderId="24" xfId="1" applyFont="1" applyFill="1" applyBorder="1" applyAlignment="1">
      <alignment horizontal="left" vertical="top" wrapText="1"/>
    </xf>
    <xf numFmtId="0" fontId="31" fillId="37" borderId="24" xfId="1" applyFont="1" applyFill="1" applyBorder="1" applyAlignment="1">
      <alignment horizontal="left" vertical="top" wrapText="1"/>
    </xf>
    <xf numFmtId="0" fontId="31" fillId="35" borderId="24" xfId="1" applyFont="1" applyFill="1" applyBorder="1" applyAlignment="1">
      <alignment horizontal="left" vertical="top" wrapText="1"/>
    </xf>
    <xf numFmtId="0" fontId="31" fillId="0" borderId="24" xfId="1" applyFont="1" applyBorder="1" applyAlignment="1">
      <alignment horizontal="left" vertical="top" wrapText="1"/>
    </xf>
    <xf numFmtId="2" fontId="58" fillId="0" borderId="32" xfId="1" applyNumberFormat="1" applyFont="1" applyBorder="1" applyAlignment="1">
      <alignment horizontal="center" vertical="center" wrapText="1"/>
    </xf>
    <xf numFmtId="4" fontId="58" fillId="0" borderId="32" xfId="1" applyNumberFormat="1" applyFont="1" applyBorder="1" applyAlignment="1">
      <alignment horizontal="center" vertical="center"/>
    </xf>
    <xf numFmtId="0" fontId="11" fillId="0" borderId="24" xfId="1" applyFont="1" applyBorder="1" applyAlignment="1">
      <alignment horizontal="left" vertical="top" wrapText="1"/>
    </xf>
    <xf numFmtId="0" fontId="34" fillId="0" borderId="0" xfId="0" applyFont="1" applyAlignment="1">
      <alignment wrapText="1"/>
    </xf>
    <xf numFmtId="0" fontId="34" fillId="0" borderId="0" xfId="0" applyFont="1" applyAlignment="1">
      <alignment horizontal="left" wrapText="1"/>
    </xf>
    <xf numFmtId="0" fontId="34" fillId="3" borderId="0" xfId="0" applyFont="1" applyFill="1"/>
    <xf numFmtId="0" fontId="62" fillId="8" borderId="12" xfId="0" applyFont="1" applyFill="1" applyBorder="1" applyAlignment="1">
      <alignment vertical="center" wrapText="1"/>
    </xf>
    <xf numFmtId="0" fontId="62" fillId="8" borderId="2" xfId="0" applyFont="1" applyFill="1" applyBorder="1" applyAlignment="1">
      <alignment vertical="center" wrapText="1"/>
    </xf>
    <xf numFmtId="0" fontId="34" fillId="28" borderId="0" xfId="0" applyFont="1" applyFill="1" applyAlignment="1">
      <alignment horizontal="center" vertical="center"/>
    </xf>
    <xf numFmtId="0" fontId="34" fillId="15" borderId="0" xfId="0" applyFont="1" applyFill="1"/>
    <xf numFmtId="0" fontId="34" fillId="0" borderId="0" xfId="0" applyFont="1" applyAlignment="1">
      <alignment horizontal="center" vertical="center"/>
    </xf>
    <xf numFmtId="0" fontId="43" fillId="33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63" fillId="0" borderId="0" xfId="0" applyFont="1"/>
    <xf numFmtId="0" fontId="34" fillId="11" borderId="0" xfId="0" applyFont="1" applyFill="1" applyAlignment="1">
      <alignment horizontal="center" vertical="center" wrapText="1"/>
    </xf>
    <xf numFmtId="165" fontId="34" fillId="0" borderId="0" xfId="0" applyNumberFormat="1" applyFont="1" applyAlignment="1">
      <alignment horizontal="center" vertical="center"/>
    </xf>
    <xf numFmtId="0" fontId="51" fillId="15" borderId="0" xfId="0" applyFont="1" applyFill="1"/>
    <xf numFmtId="0" fontId="43" fillId="3" borderId="0" xfId="0" applyFont="1" applyFill="1" applyAlignment="1">
      <alignment vertical="center" wrapText="1"/>
    </xf>
    <xf numFmtId="0" fontId="14" fillId="5" borderId="0" xfId="0" applyFont="1" applyFill="1" applyAlignment="1">
      <alignment horizontal="center" wrapText="1"/>
    </xf>
    <xf numFmtId="0" fontId="14" fillId="6" borderId="0" xfId="0" applyFont="1" applyFill="1" applyAlignment="1">
      <alignment horizontal="center" wrapText="1"/>
    </xf>
    <xf numFmtId="0" fontId="14" fillId="7" borderId="0" xfId="0" applyFont="1" applyFill="1" applyAlignment="1">
      <alignment horizontal="center" wrapText="1"/>
    </xf>
    <xf numFmtId="165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 wrapText="1"/>
    </xf>
    <xf numFmtId="0" fontId="14" fillId="0" borderId="0" xfId="0" applyFont="1" applyAlignment="1">
      <alignment vertical="center"/>
    </xf>
    <xf numFmtId="9" fontId="14" fillId="0" borderId="0" xfId="4" applyFont="1" applyFill="1" applyAlignment="1">
      <alignment horizontal="center" vertical="center"/>
    </xf>
    <xf numFmtId="0" fontId="14" fillId="0" borderId="0" xfId="4" applyNumberFormat="1" applyFont="1" applyFill="1" applyAlignment="1">
      <alignment horizontal="center" vertical="center"/>
    </xf>
    <xf numFmtId="0" fontId="14" fillId="11" borderId="0" xfId="0" applyFont="1" applyFill="1" applyAlignment="1">
      <alignment vertical="center"/>
    </xf>
    <xf numFmtId="0" fontId="24" fillId="11" borderId="0" xfId="0" applyFont="1" applyFill="1" applyAlignment="1">
      <alignment wrapText="1"/>
    </xf>
    <xf numFmtId="0" fontId="11" fillId="3" borderId="0" xfId="0" applyFont="1" applyFill="1" applyAlignment="1">
      <alignment horizontal="left" vertical="top" wrapText="1"/>
    </xf>
    <xf numFmtId="0" fontId="42" fillId="0" borderId="0" xfId="0" applyFont="1" applyAlignment="1">
      <alignment vertical="center" wrapText="1"/>
    </xf>
    <xf numFmtId="0" fontId="41" fillId="3" borderId="0" xfId="0" applyFont="1" applyFill="1" applyAlignment="1">
      <alignment wrapText="1"/>
    </xf>
    <xf numFmtId="0" fontId="24" fillId="17" borderId="0" xfId="0" applyFont="1" applyFill="1" applyAlignment="1">
      <alignment vertical="center" wrapText="1"/>
    </xf>
    <xf numFmtId="0" fontId="31" fillId="0" borderId="0" xfId="0" applyFont="1" applyAlignment="1">
      <alignment wrapText="1"/>
    </xf>
    <xf numFmtId="0" fontId="14" fillId="17" borderId="0" xfId="0" applyFont="1" applyFill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14" fillId="17" borderId="0" xfId="0" applyFont="1" applyFill="1"/>
    <xf numFmtId="0" fontId="34" fillId="17" borderId="0" xfId="0" applyFont="1" applyFill="1" applyAlignment="1">
      <alignment horizontal="center" vertical="center"/>
    </xf>
    <xf numFmtId="0" fontId="34" fillId="17" borderId="0" xfId="0" applyFont="1" applyFill="1" applyAlignment="1">
      <alignment horizontal="center" vertical="center" wrapText="1"/>
    </xf>
    <xf numFmtId="0" fontId="14" fillId="17" borderId="0" xfId="0" applyFont="1" applyFill="1" applyAlignment="1">
      <alignment horizontal="center" vertical="center"/>
    </xf>
    <xf numFmtId="0" fontId="14" fillId="17" borderId="0" xfId="0" applyFont="1" applyFill="1" applyAlignment="1">
      <alignment horizontal="left"/>
    </xf>
    <xf numFmtId="0" fontId="43" fillId="17" borderId="0" xfId="0" applyFont="1" applyFill="1" applyAlignment="1">
      <alignment horizontal="center" vertical="center" wrapText="1"/>
    </xf>
    <xf numFmtId="0" fontId="41" fillId="17" borderId="0" xfId="0" applyFont="1" applyFill="1" applyAlignment="1">
      <alignment vertical="center" wrapText="1"/>
    </xf>
    <xf numFmtId="0" fontId="41" fillId="17" borderId="0" xfId="0" applyFont="1" applyFill="1" applyAlignment="1">
      <alignment vertical="top" wrapText="1"/>
    </xf>
    <xf numFmtId="0" fontId="11" fillId="35" borderId="24" xfId="1" applyFont="1" applyFill="1" applyBorder="1" applyAlignment="1">
      <alignment horizontal="left" vertical="top" wrapText="1"/>
    </xf>
    <xf numFmtId="2" fontId="58" fillId="6" borderId="32" xfId="1" applyNumberFormat="1" applyFont="1" applyFill="1" applyBorder="1" applyAlignment="1">
      <alignment horizontal="center" vertical="center"/>
    </xf>
    <xf numFmtId="2" fontId="58" fillId="6" borderId="32" xfId="1" applyNumberFormat="1" applyFont="1" applyFill="1" applyBorder="1" applyAlignment="1">
      <alignment horizontal="center" vertical="center" wrapText="1"/>
    </xf>
    <xf numFmtId="2" fontId="58" fillId="41" borderId="32" xfId="1" applyNumberFormat="1" applyFont="1" applyFill="1" applyBorder="1" applyAlignment="1">
      <alignment horizontal="center" vertical="center"/>
    </xf>
    <xf numFmtId="2" fontId="58" fillId="40" borderId="32" xfId="1" applyNumberFormat="1" applyFont="1" applyFill="1" applyBorder="1" applyAlignment="1">
      <alignment horizontal="center" vertical="center"/>
    </xf>
    <xf numFmtId="4" fontId="58" fillId="6" borderId="3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17" borderId="0" xfId="0" applyFill="1"/>
    <xf numFmtId="0" fontId="0" fillId="17" borderId="0" xfId="0" applyFill="1" applyAlignment="1">
      <alignment vertical="top" wrapText="1"/>
    </xf>
    <xf numFmtId="0" fontId="42" fillId="17" borderId="0" xfId="0" applyFont="1" applyFill="1" applyAlignment="1">
      <alignment vertical="top" wrapText="1"/>
    </xf>
    <xf numFmtId="0" fontId="64" fillId="0" borderId="0" xfId="0" applyFont="1" applyAlignment="1">
      <alignment horizontal="right"/>
    </xf>
    <xf numFmtId="2" fontId="18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3" borderId="24" xfId="0" applyFont="1" applyFill="1" applyBorder="1" applyAlignment="1">
      <alignment horizontal="left" vertical="center" wrapText="1"/>
    </xf>
    <xf numFmtId="0" fontId="41" fillId="0" borderId="0" xfId="0" applyFont="1" applyAlignment="1">
      <alignment wrapText="1"/>
    </xf>
    <xf numFmtId="0" fontId="34" fillId="3" borderId="24" xfId="0" applyFont="1" applyFill="1" applyBorder="1" applyAlignment="1">
      <alignment horizontal="left" vertical="top" wrapText="1"/>
    </xf>
    <xf numFmtId="0" fontId="0" fillId="3" borderId="24" xfId="0" applyFill="1" applyBorder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14" fillId="3" borderId="0" xfId="0" applyFont="1" applyFill="1" applyAlignment="1">
      <alignment horizontal="center" vertical="center" wrapText="1"/>
    </xf>
    <xf numFmtId="0" fontId="24" fillId="13" borderId="0" xfId="0" applyFont="1" applyFill="1" applyAlignment="1">
      <alignment vertical="center" wrapText="1"/>
    </xf>
    <xf numFmtId="0" fontId="24" fillId="13" borderId="0" xfId="0" applyFont="1" applyFill="1" applyAlignment="1">
      <alignment horizontal="center" vertical="center" wrapText="1"/>
    </xf>
    <xf numFmtId="0" fontId="0" fillId="13" borderId="0" xfId="0" applyFill="1"/>
    <xf numFmtId="0" fontId="0" fillId="13" borderId="0" xfId="0" applyFill="1" applyAlignment="1">
      <alignment wrapText="1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left" vertical="center" wrapText="1"/>
    </xf>
    <xf numFmtId="0" fontId="14" fillId="13" borderId="0" xfId="0" applyFont="1" applyFill="1" applyAlignment="1">
      <alignment horizontal="center" vertical="center" wrapText="1"/>
    </xf>
    <xf numFmtId="0" fontId="31" fillId="13" borderId="0" xfId="0" applyFont="1" applyFill="1" applyAlignment="1">
      <alignment horizontal="left" vertical="top" wrapText="1"/>
    </xf>
    <xf numFmtId="0" fontId="14" fillId="13" borderId="0" xfId="0" applyFont="1" applyFill="1" applyAlignment="1">
      <alignment vertical="center" wrapText="1"/>
    </xf>
    <xf numFmtId="0" fontId="31" fillId="13" borderId="0" xfId="0" applyFont="1" applyFill="1" applyAlignment="1">
      <alignment horizontal="center" vertical="center" wrapText="1"/>
    </xf>
    <xf numFmtId="0" fontId="14" fillId="17" borderId="0" xfId="0" applyFont="1" applyFill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43" fillId="13" borderId="0" xfId="0" applyFont="1" applyFill="1" applyAlignment="1">
      <alignment horizontal="center" vertical="center" wrapText="1"/>
    </xf>
    <xf numFmtId="0" fontId="26" fillId="15" borderId="0" xfId="0" applyFont="1" applyFill="1" applyAlignment="1">
      <alignment horizontal="center" vertical="center"/>
    </xf>
    <xf numFmtId="0" fontId="38" fillId="25" borderId="24" xfId="0" applyFont="1" applyFill="1" applyBorder="1" applyAlignment="1">
      <alignment horizontal="center" vertical="center" wrapText="1"/>
    </xf>
    <xf numFmtId="0" fontId="23" fillId="20" borderId="7" xfId="0" applyFont="1" applyFill="1" applyBorder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67" fillId="11" borderId="0" xfId="0" applyFont="1" applyFill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24" fillId="42" borderId="0" xfId="0" applyFont="1" applyFill="1" applyAlignment="1">
      <alignment vertical="center" wrapText="1"/>
    </xf>
    <xf numFmtId="0" fontId="14" fillId="42" borderId="0" xfId="0" applyFont="1" applyFill="1"/>
    <xf numFmtId="0" fontId="14" fillId="4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wrapText="1"/>
    </xf>
    <xf numFmtId="0" fontId="0" fillId="15" borderId="0" xfId="0" applyFill="1" applyAlignment="1">
      <alignment horizontal="center"/>
    </xf>
    <xf numFmtId="165" fontId="14" fillId="11" borderId="0" xfId="0" applyNumberFormat="1" applyFont="1" applyFill="1" applyAlignment="1">
      <alignment horizontal="center" vertical="center"/>
    </xf>
    <xf numFmtId="0" fontId="31" fillId="3" borderId="24" xfId="0" applyFont="1" applyFill="1" applyBorder="1" applyAlignment="1">
      <alignment horizontal="center" vertical="center" wrapText="1"/>
    </xf>
    <xf numFmtId="0" fontId="67" fillId="11" borderId="0" xfId="0" applyFont="1" applyFill="1" applyAlignment="1">
      <alignment horizontal="center" vertical="center" wrapText="1"/>
    </xf>
    <xf numFmtId="0" fontId="31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" fillId="17" borderId="24" xfId="1" applyFont="1" applyFill="1" applyBorder="1"/>
    <xf numFmtId="2" fontId="18" fillId="5" borderId="11" xfId="0" applyNumberFormat="1" applyFont="1" applyFill="1" applyBorder="1" applyAlignment="1">
      <alignment horizontal="center" vertical="center"/>
    </xf>
    <xf numFmtId="0" fontId="0" fillId="11" borderId="24" xfId="0" applyFill="1" applyBorder="1" applyAlignment="1">
      <alignment horizontal="center"/>
    </xf>
    <xf numFmtId="2" fontId="18" fillId="15" borderId="11" xfId="0" applyNumberFormat="1" applyFont="1" applyFill="1" applyBorder="1" applyAlignment="1">
      <alignment horizontal="center" vertical="center"/>
    </xf>
    <xf numFmtId="2" fontId="40" fillId="7" borderId="11" xfId="0" applyNumberFormat="1" applyFont="1" applyFill="1" applyBorder="1" applyAlignment="1">
      <alignment horizontal="center" vertical="center"/>
    </xf>
    <xf numFmtId="0" fontId="31" fillId="0" borderId="20" xfId="0" applyFont="1" applyBorder="1"/>
    <xf numFmtId="0" fontId="31" fillId="0" borderId="23" xfId="0" applyFont="1" applyBorder="1"/>
    <xf numFmtId="0" fontId="69" fillId="3" borderId="10" xfId="0" applyFont="1" applyFill="1" applyBorder="1" applyAlignment="1">
      <alignment horizontal="center" vertical="center"/>
    </xf>
    <xf numFmtId="2" fontId="18" fillId="16" borderId="12" xfId="0" applyNumberFormat="1" applyFont="1" applyFill="1" applyBorder="1" applyAlignment="1">
      <alignment horizontal="center" vertical="center"/>
    </xf>
    <xf numFmtId="2" fontId="18" fillId="11" borderId="14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wrapText="1"/>
    </xf>
    <xf numFmtId="0" fontId="43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2" fontId="40" fillId="36" borderId="11" xfId="0" applyNumberFormat="1" applyFont="1" applyFill="1" applyBorder="1" applyAlignment="1">
      <alignment horizontal="center" vertical="center"/>
    </xf>
    <xf numFmtId="2" fontId="18" fillId="30" borderId="11" xfId="0" applyNumberFormat="1" applyFont="1" applyFill="1" applyBorder="1" applyAlignment="1">
      <alignment horizontal="center" vertical="center"/>
    </xf>
    <xf numFmtId="2" fontId="18" fillId="0" borderId="11" xfId="0" applyNumberFormat="1" applyFont="1" applyBorder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/>
    </xf>
    <xf numFmtId="0" fontId="14" fillId="16" borderId="0" xfId="0" applyFont="1" applyFill="1" applyAlignment="1">
      <alignment horizontal="center" vertical="center" wrapText="1"/>
    </xf>
    <xf numFmtId="0" fontId="46" fillId="16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wrapText="1"/>
    </xf>
    <xf numFmtId="0" fontId="14" fillId="11" borderId="0" xfId="0" applyFont="1" applyFill="1" applyAlignment="1">
      <alignment horizontal="center" wrapText="1"/>
    </xf>
    <xf numFmtId="0" fontId="0" fillId="0" borderId="24" xfId="0" applyBorder="1" applyAlignment="1">
      <alignment horizontal="left" vertical="top" wrapText="1"/>
    </xf>
    <xf numFmtId="0" fontId="9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wrapText="1"/>
    </xf>
    <xf numFmtId="0" fontId="18" fillId="6" borderId="10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14" xfId="0" applyFont="1" applyFill="1" applyBorder="1" applyAlignment="1">
      <alignment horizontal="center" vertical="center"/>
    </xf>
    <xf numFmtId="9" fontId="68" fillId="0" borderId="10" xfId="4" applyFont="1" applyFill="1" applyBorder="1" applyAlignment="1">
      <alignment horizontal="center" vertical="top"/>
    </xf>
    <xf numFmtId="9" fontId="68" fillId="0" borderId="12" xfId="4" applyFont="1" applyFill="1" applyBorder="1" applyAlignment="1">
      <alignment horizontal="center" vertical="top"/>
    </xf>
    <xf numFmtId="9" fontId="68" fillId="0" borderId="14" xfId="4" applyFont="1" applyFill="1" applyBorder="1" applyAlignment="1">
      <alignment horizontal="center" vertical="top"/>
    </xf>
    <xf numFmtId="0" fontId="18" fillId="7" borderId="10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69" fillId="3" borderId="10" xfId="0" applyFont="1" applyFill="1" applyBorder="1" applyAlignment="1">
      <alignment horizontal="center" vertical="center" wrapText="1"/>
    </xf>
    <xf numFmtId="0" fontId="69" fillId="3" borderId="12" xfId="0" applyFont="1" applyFill="1" applyBorder="1" applyAlignment="1">
      <alignment horizontal="center" vertical="center" wrapText="1"/>
    </xf>
    <xf numFmtId="0" fontId="69" fillId="3" borderId="14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55" fillId="3" borderId="0" xfId="0" applyFont="1" applyFill="1" applyAlignment="1">
      <alignment horizontal="left" vertical="top" wrapText="1"/>
    </xf>
    <xf numFmtId="4" fontId="29" fillId="3" borderId="0" xfId="0" applyNumberFormat="1" applyFont="1" applyFill="1" applyAlignment="1">
      <alignment horizontal="center"/>
    </xf>
    <xf numFmtId="4" fontId="29" fillId="0" borderId="0" xfId="0" applyNumberFormat="1" applyFont="1" applyAlignment="1">
      <alignment horizontal="center"/>
    </xf>
    <xf numFmtId="0" fontId="55" fillId="3" borderId="0" xfId="0" applyFont="1" applyFill="1" applyAlignment="1">
      <alignment horizontal="left" vertical="center" wrapText="1"/>
    </xf>
    <xf numFmtId="2" fontId="29" fillId="39" borderId="0" xfId="0" applyNumberFormat="1" applyFont="1" applyFill="1" applyAlignment="1">
      <alignment horizontal="center" vertical="center"/>
    </xf>
    <xf numFmtId="0" fontId="29" fillId="39" borderId="0" xfId="0" applyFont="1" applyFill="1" applyAlignment="1">
      <alignment horizontal="center" vertical="center"/>
    </xf>
    <xf numFmtId="0" fontId="0" fillId="0" borderId="0" xfId="0"/>
    <xf numFmtId="0" fontId="5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/>
    </xf>
    <xf numFmtId="164" fontId="17" fillId="4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4" fontId="0" fillId="4" borderId="5" xfId="0" applyNumberFormat="1" applyFill="1" applyBorder="1" applyAlignment="1">
      <alignment horizontal="center" vertical="top"/>
    </xf>
    <xf numFmtId="14" fontId="0" fillId="4" borderId="6" xfId="0" applyNumberFormat="1" applyFill="1" applyBorder="1" applyAlignment="1">
      <alignment horizontal="center" vertical="top"/>
    </xf>
    <xf numFmtId="0" fontId="56" fillId="22" borderId="4" xfId="0" applyFont="1" applyFill="1" applyBorder="1" applyAlignment="1">
      <alignment horizontal="center" vertical="top"/>
    </xf>
    <xf numFmtId="0" fontId="56" fillId="22" borderId="6" xfId="0" applyFont="1" applyFill="1" applyBorder="1" applyAlignment="1">
      <alignment horizontal="center" vertical="top"/>
    </xf>
    <xf numFmtId="0" fontId="57" fillId="22" borderId="1" xfId="0" applyFont="1" applyFill="1" applyBorder="1" applyAlignment="1">
      <alignment horizontal="center" vertical="center" wrapText="1"/>
    </xf>
    <xf numFmtId="0" fontId="57" fillId="22" borderId="3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14" fontId="19" fillId="8" borderId="8" xfId="0" applyNumberFormat="1" applyFont="1" applyFill="1" applyBorder="1" applyAlignment="1">
      <alignment horizontal="center" vertical="center" wrapText="1"/>
    </xf>
    <xf numFmtId="14" fontId="19" fillId="8" borderId="0" xfId="0" applyNumberFormat="1" applyFont="1" applyFill="1" applyAlignment="1">
      <alignment horizontal="center" vertical="center" wrapText="1"/>
    </xf>
    <xf numFmtId="0" fontId="18" fillId="13" borderId="9" xfId="0" applyFont="1" applyFill="1" applyBorder="1" applyAlignment="1">
      <alignment horizontal="center" vertical="center" wrapText="1"/>
    </xf>
    <xf numFmtId="0" fontId="18" fillId="13" borderId="13" xfId="0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 wrapText="1"/>
    </xf>
    <xf numFmtId="0" fontId="18" fillId="13" borderId="8" xfId="0" applyFont="1" applyFill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61" fillId="0" borderId="0" xfId="0" applyFont="1" applyAlignment="1">
      <alignment horizontal="left" vertical="top"/>
    </xf>
    <xf numFmtId="0" fontId="47" fillId="0" borderId="35" xfId="1" applyFont="1" applyBorder="1" applyAlignment="1">
      <alignment horizontal="center" vertical="center" wrapText="1"/>
    </xf>
    <xf numFmtId="0" fontId="47" fillId="0" borderId="36" xfId="1" applyFont="1" applyBorder="1" applyAlignment="1">
      <alignment horizontal="center" vertical="center" wrapText="1"/>
    </xf>
    <xf numFmtId="0" fontId="47" fillId="0" borderId="30" xfId="1" applyFont="1" applyBorder="1" applyAlignment="1">
      <alignment horizontal="center" vertical="center" wrapText="1"/>
    </xf>
    <xf numFmtId="0" fontId="60" fillId="31" borderId="10" xfId="0" applyFont="1" applyFill="1" applyBorder="1" applyAlignment="1">
      <alignment horizontal="center" vertical="center"/>
    </xf>
    <xf numFmtId="0" fontId="60" fillId="31" borderId="12" xfId="0" applyFont="1" applyFill="1" applyBorder="1" applyAlignment="1">
      <alignment horizontal="center" vertical="center"/>
    </xf>
    <xf numFmtId="0" fontId="0" fillId="31" borderId="14" xfId="0" applyFill="1" applyBorder="1"/>
    <xf numFmtId="0" fontId="47" fillId="11" borderId="35" xfId="1" applyFont="1" applyFill="1" applyBorder="1" applyAlignment="1">
      <alignment horizontal="center" vertical="center" wrapText="1"/>
    </xf>
    <xf numFmtId="0" fontId="47" fillId="11" borderId="36" xfId="1" applyFont="1" applyFill="1" applyBorder="1" applyAlignment="1">
      <alignment horizontal="center" vertical="center" wrapText="1"/>
    </xf>
    <xf numFmtId="0" fontId="47" fillId="11" borderId="30" xfId="1" applyFont="1" applyFill="1" applyBorder="1" applyAlignment="1">
      <alignment horizontal="center" vertical="center" wrapText="1"/>
    </xf>
    <xf numFmtId="0" fontId="18" fillId="11" borderId="36" xfId="0" applyFont="1" applyFill="1" applyBorder="1" applyAlignment="1">
      <alignment horizontal="center" vertical="center" wrapText="1"/>
    </xf>
    <xf numFmtId="0" fontId="18" fillId="11" borderId="37" xfId="0" applyFont="1" applyFill="1" applyBorder="1" applyAlignment="1">
      <alignment horizontal="center" vertical="center" wrapText="1"/>
    </xf>
    <xf numFmtId="0" fontId="60" fillId="38" borderId="10" xfId="0" applyFont="1" applyFill="1" applyBorder="1" applyAlignment="1">
      <alignment horizontal="center" vertical="center"/>
    </xf>
    <xf numFmtId="0" fontId="60" fillId="38" borderId="12" xfId="0" applyFont="1" applyFill="1" applyBorder="1" applyAlignment="1">
      <alignment horizontal="center" vertical="center"/>
    </xf>
    <xf numFmtId="0" fontId="0" fillId="38" borderId="12" xfId="0" applyFill="1" applyBorder="1"/>
    <xf numFmtId="0" fontId="0" fillId="38" borderId="14" xfId="0" applyFill="1" applyBorder="1"/>
    <xf numFmtId="0" fontId="3" fillId="0" borderId="27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0" fontId="3" fillId="35" borderId="27" xfId="1" applyFont="1" applyFill="1" applyBorder="1" applyAlignment="1">
      <alignment horizontal="center" vertical="center"/>
    </xf>
    <xf numFmtId="0" fontId="3" fillId="35" borderId="29" xfId="1" applyFont="1" applyFill="1" applyBorder="1" applyAlignment="1">
      <alignment horizontal="center" vertical="center"/>
    </xf>
    <xf numFmtId="0" fontId="3" fillId="35" borderId="28" xfId="1" applyFont="1" applyFill="1" applyBorder="1" applyAlignment="1">
      <alignment horizontal="center" vertical="center"/>
    </xf>
    <xf numFmtId="0" fontId="28" fillId="18" borderId="19" xfId="0" applyFont="1" applyFill="1" applyBorder="1" applyAlignment="1">
      <alignment horizontal="center" vertical="center"/>
    </xf>
    <xf numFmtId="0" fontId="28" fillId="18" borderId="0" xfId="0" applyFont="1" applyFill="1" applyAlignment="1">
      <alignment horizontal="center" vertical="center"/>
    </xf>
    <xf numFmtId="0" fontId="28" fillId="18" borderId="16" xfId="0" applyFont="1" applyFill="1" applyBorder="1" applyAlignment="1">
      <alignment horizontal="center" vertical="center"/>
    </xf>
    <xf numFmtId="0" fontId="28" fillId="18" borderId="17" xfId="0" applyFont="1" applyFill="1" applyBorder="1" applyAlignment="1">
      <alignment horizontal="center" vertical="center"/>
    </xf>
    <xf numFmtId="0" fontId="29" fillId="18" borderId="17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18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</cellXfs>
  <cellStyles count="8">
    <cellStyle name="Normal 2" xfId="2" xr:uid="{00000000-0005-0000-0000-000000000000}"/>
    <cellStyle name="Percent 2" xfId="3" xr:uid="{00000000-0005-0000-0000-000001000000}"/>
    <cellStyle name="Обычный" xfId="0" builtinId="0"/>
    <cellStyle name="Обычный 2" xfId="1" xr:uid="{00000000-0005-0000-0000-000003000000}"/>
    <cellStyle name="Обычный 2 2" xfId="7" xr:uid="{00000000-0005-0000-0000-000004000000}"/>
    <cellStyle name="Обычный 3" xfId="5" xr:uid="{00000000-0005-0000-0000-000005000000}"/>
    <cellStyle name="Процентный" xfId="4" builtinId="5"/>
    <cellStyle name="Процентный 2" xfId="6" xr:uid="{00000000-0005-0000-0000-000007000000}"/>
  </cellStyles>
  <dxfs count="6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CC"/>
      <color rgb="FFCCFFCC"/>
      <color rgb="FF9BE5FF"/>
      <color rgb="FFFF9999"/>
      <color rgb="FFFF7C80"/>
      <color rgb="FFE77119"/>
      <color rgb="FFFDE9F9"/>
      <color rgb="FFFFFFFF"/>
      <color rgb="FFE87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99890338752427"/>
          <c:y val="9.6979339708169007E-2"/>
          <c:w val="0.55587446779109628"/>
          <c:h val="0.85251927170850494"/>
        </c:manualLayout>
      </c:layout>
      <c:radarChart>
        <c:radarStyle val="marker"/>
        <c:varyColors val="1"/>
        <c:ser>
          <c:idx val="5"/>
          <c:order val="4"/>
          <c:tx>
            <c:strRef>
              <c:f>Расчет!$L$1</c:f>
              <c:strCache>
                <c:ptCount val="1"/>
                <c:pt idx="0">
                  <c:v>Расчетные данные на 31.12.2025</c:v>
                </c:pt>
              </c:strCache>
            </c:strRef>
          </c:tx>
          <c:spPr>
            <a:prstGeom prst="rect">
              <a:avLst/>
            </a:prstGeom>
            <a:ln w="38100">
              <a:solidFill>
                <a:srgbClr val="7030A0"/>
              </a:solidFill>
              <a:prstDash val="sysDash"/>
            </a:ln>
          </c:spPr>
          <c:marker>
            <c:symbol val="none"/>
          </c:marker>
          <c:cat>
            <c:strRef>
              <c:f>Расчет!$B$4:$B$45</c:f>
              <c:strCache>
                <c:ptCount val="42"/>
                <c:pt idx="0">
                  <c:v>Система управления ИБ</c:v>
                </c:pt>
                <c:pt idx="1">
                  <c:v>Управление рисками</c:v>
                </c:pt>
                <c:pt idx="2">
                  <c:v>Управление рисками в цепочке поставок</c:v>
                </c:pt>
                <c:pt idx="3">
                  <c:v>Инвентаризация</c:v>
                </c:pt>
                <c:pt idx="4">
                  <c:v>Управление активами</c:v>
                </c:pt>
                <c:pt idx="5">
                  <c:v>Управление доступом </c:v>
                </c:pt>
                <c:pt idx="6">
                  <c:v>Идентификация и аутентификация</c:v>
                </c:pt>
                <c:pt idx="7">
                  <c:v>Защита данных и информации</c:v>
                </c:pt>
                <c:pt idx="8">
                  <c:v>Обеспечение доступности</c:v>
                </c:pt>
                <c:pt idx="9">
                  <c:v>Персонал</c:v>
                </c:pt>
                <c:pt idx="10">
                  <c:v>Осведомленность пользователей и обучение персонала</c:v>
                </c:pt>
                <c:pt idx="11">
                  <c:v>Процессы</c:v>
                </c:pt>
                <c:pt idx="12">
                  <c:v>Безопасная разработка</c:v>
                </c:pt>
                <c:pt idx="13">
                  <c:v>Физический доступ</c:v>
                </c:pt>
                <c:pt idx="14">
                  <c:v>Персональные данные</c:v>
                </c:pt>
                <c:pt idx="15">
                  <c:v>Средства криптографической защиты информации (СКЗИ ГОСТ)</c:v>
                </c:pt>
                <c:pt idx="16">
                  <c:v>КИИ</c:v>
                </c:pt>
                <c:pt idx="17">
                  <c:v>250 указ</c:v>
                </c:pt>
                <c:pt idx="18">
                  <c:v>Коммерческая тайна</c:v>
                </c:pt>
                <c:pt idx="19">
                  <c:v>Защита от ВПО</c:v>
                </c:pt>
                <c:pt idx="20">
                  <c:v>Двухфакторная аутентификация пользователей (2FA)</c:v>
                </c:pt>
                <c:pt idx="21">
                  <c:v>Защита внешнего инфраструктурного периметра (CPT)</c:v>
                </c:pt>
                <c:pt idx="22">
                  <c:v>Защита удаленного доступа (RA VPN)</c:v>
                </c:pt>
                <c:pt idx="23">
                  <c:v>Средства криптографической защиты информации (СКЗИ ГОСТ)</c:v>
                </c:pt>
                <c:pt idx="24">
                  <c:v>Мониторинг, обнаружение, анализ и реагирование на инциденты в информационных системах (SOC)</c:v>
                </c:pt>
                <c:pt idx="25">
                  <c:v>Сетевая безопасность (МСЭ\NGFW)</c:v>
                </c:pt>
                <c:pt idx="26">
                  <c:v>Защита и фильтрация сетевого трафика (Прокси-сервер)</c:v>
                </c:pt>
                <c:pt idx="27">
                  <c:v>Сканер уязвимостей</c:v>
                </c:pt>
                <c:pt idx="28">
                  <c:v>Защита от вредоносного трафика (Anti-DDoS)</c:v>
                </c:pt>
                <c:pt idx="29">
                  <c:v>Фильтрация нежелательных и вредоносных сообщений (Антиспам)</c:v>
                </c:pt>
                <c:pt idx="30">
                  <c:v>Обнаружение и блокирование сетевых атак на web-приложении (WAF)</c:v>
                </c:pt>
                <c:pt idx="31">
                  <c:v>Контроль учетных записей (PAM)</c:v>
                </c:pt>
                <c:pt idx="32">
                  <c:v>Предотвращение утечки данных (Data Loss Prevention (DLP)</c:v>
                </c:pt>
                <c:pt idx="33">
                  <c:v>SIEM (внедрение системы как СЗИ)</c:v>
                </c:pt>
                <c:pt idx="34">
                  <c:v>Аномалии и события (Хранение информации о событиях)</c:v>
                </c:pt>
                <c:pt idx="35">
                  <c:v>Мониторинг - Процессы</c:v>
                </c:pt>
                <c:pt idx="36">
                  <c:v>Планирование реагирования</c:v>
                </c:pt>
                <c:pt idx="37">
                  <c:v>Коммуникации (реагирование на инциденты)</c:v>
                </c:pt>
                <c:pt idx="38">
                  <c:v>Плейбуки по реагированию</c:v>
                </c:pt>
                <c:pt idx="39">
                  <c:v>Анализ и расследование</c:v>
                </c:pt>
                <c:pt idx="40">
                  <c:v>Планирование восстановления</c:v>
                </c:pt>
                <c:pt idx="41">
                  <c:v>Восстановление - Коммуникации</c:v>
                </c:pt>
              </c:strCache>
            </c:strRef>
          </c:cat>
          <c:val>
            <c:numRef>
              <c:f>Расчет!$L$4:$L$45</c:f>
              <c:numCache>
                <c:formatCode>0.00</c:formatCode>
                <c:ptCount val="42"/>
                <c:pt idx="0">
                  <c:v>2</c:v>
                </c:pt>
                <c:pt idx="1">
                  <c:v>1</c:v>
                </c:pt>
                <c:pt idx="2">
                  <c:v>1.6000000000000003</c:v>
                </c:pt>
                <c:pt idx="3">
                  <c:v>1.2307692307692308</c:v>
                </c:pt>
                <c:pt idx="4">
                  <c:v>0.52</c:v>
                </c:pt>
                <c:pt idx="5">
                  <c:v>2.14</c:v>
                </c:pt>
                <c:pt idx="6">
                  <c:v>3.3111111111111113</c:v>
                </c:pt>
                <c:pt idx="7">
                  <c:v>0.8</c:v>
                </c:pt>
                <c:pt idx="8">
                  <c:v>0</c:v>
                </c:pt>
                <c:pt idx="9">
                  <c:v>5</c:v>
                </c:pt>
                <c:pt idx="10">
                  <c:v>1.5999999999999999</c:v>
                </c:pt>
                <c:pt idx="11">
                  <c:v>0.67826086956521736</c:v>
                </c:pt>
                <c:pt idx="12">
                  <c:v>0.98571428571428565</c:v>
                </c:pt>
                <c:pt idx="13">
                  <c:v>4.32</c:v>
                </c:pt>
                <c:pt idx="14">
                  <c:v>5</c:v>
                </c:pt>
                <c:pt idx="15">
                  <c:v>4.66</c:v>
                </c:pt>
                <c:pt idx="16">
                  <c:v>0</c:v>
                </c:pt>
                <c:pt idx="17">
                  <c:v>0.43402777777777785</c:v>
                </c:pt>
                <c:pt idx="18">
                  <c:v>5</c:v>
                </c:pt>
                <c:pt idx="19">
                  <c:v>3.4937499999999999</c:v>
                </c:pt>
                <c:pt idx="20">
                  <c:v>3.6499999999999995</c:v>
                </c:pt>
                <c:pt idx="21">
                  <c:v>3.25</c:v>
                </c:pt>
                <c:pt idx="22">
                  <c:v>4.0999999999999996</c:v>
                </c:pt>
                <c:pt idx="23">
                  <c:v>4.4649999999999999</c:v>
                </c:pt>
                <c:pt idx="24">
                  <c:v>4.1025641025641026E-2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0.84000000000000008</c:v>
                </c:pt>
                <c:pt idx="31">
                  <c:v>0</c:v>
                </c:pt>
                <c:pt idx="32">
                  <c:v>0</c:v>
                </c:pt>
                <c:pt idx="33">
                  <c:v>0.12307692307692308</c:v>
                </c:pt>
                <c:pt idx="34">
                  <c:v>0</c:v>
                </c:pt>
                <c:pt idx="35">
                  <c:v>0</c:v>
                </c:pt>
                <c:pt idx="36">
                  <c:v>0.5</c:v>
                </c:pt>
                <c:pt idx="37">
                  <c:v>0.64</c:v>
                </c:pt>
                <c:pt idx="38">
                  <c:v>1.6666666666666667</c:v>
                </c:pt>
                <c:pt idx="39">
                  <c:v>1.04</c:v>
                </c:pt>
                <c:pt idx="40">
                  <c:v>1.0666666666666667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CD-48B8-B25B-95F812EB380E}"/>
            </c:ext>
          </c:extLst>
        </c:ser>
        <c:ser>
          <c:idx val="4"/>
          <c:order val="5"/>
          <c:tx>
            <c:strRef>
              <c:f>Расчет!$E$1</c:f>
              <c:strCache>
                <c:ptCount val="1"/>
                <c:pt idx="0">
                  <c:v>КБ1</c:v>
                </c:pt>
              </c:strCache>
              <c:extLst xmlns:c15="http://schemas.microsoft.com/office/drawing/2012/chart"/>
            </c:strRef>
          </c:tx>
          <c:spPr>
            <a:prstGeom prst="rect">
              <a:avLst/>
            </a:prstGeom>
            <a:ln w="28575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Расчет!$B$4:$B$45</c:f>
              <c:strCache>
                <c:ptCount val="42"/>
                <c:pt idx="0">
                  <c:v>Система управления ИБ</c:v>
                </c:pt>
                <c:pt idx="1">
                  <c:v>Управление рисками</c:v>
                </c:pt>
                <c:pt idx="2">
                  <c:v>Управление рисками в цепочке поставок</c:v>
                </c:pt>
                <c:pt idx="3">
                  <c:v>Инвентаризация</c:v>
                </c:pt>
                <c:pt idx="4">
                  <c:v>Управление активами</c:v>
                </c:pt>
                <c:pt idx="5">
                  <c:v>Управление доступом </c:v>
                </c:pt>
                <c:pt idx="6">
                  <c:v>Идентификация и аутентификация</c:v>
                </c:pt>
                <c:pt idx="7">
                  <c:v>Защита данных и информации</c:v>
                </c:pt>
                <c:pt idx="8">
                  <c:v>Обеспечение доступности</c:v>
                </c:pt>
                <c:pt idx="9">
                  <c:v>Персонал</c:v>
                </c:pt>
                <c:pt idx="10">
                  <c:v>Осведомленность пользователей и обучение персонала</c:v>
                </c:pt>
                <c:pt idx="11">
                  <c:v>Процессы</c:v>
                </c:pt>
                <c:pt idx="12">
                  <c:v>Безопасная разработка</c:v>
                </c:pt>
                <c:pt idx="13">
                  <c:v>Физический доступ</c:v>
                </c:pt>
                <c:pt idx="14">
                  <c:v>Персональные данные</c:v>
                </c:pt>
                <c:pt idx="15">
                  <c:v>Средства криптографической защиты информации (СКЗИ ГОСТ)</c:v>
                </c:pt>
                <c:pt idx="16">
                  <c:v>КИИ</c:v>
                </c:pt>
                <c:pt idx="17">
                  <c:v>250 указ</c:v>
                </c:pt>
                <c:pt idx="18">
                  <c:v>Коммерческая тайна</c:v>
                </c:pt>
                <c:pt idx="19">
                  <c:v>Защита от ВПО</c:v>
                </c:pt>
                <c:pt idx="20">
                  <c:v>Двухфакторная аутентификация пользователей (2FA)</c:v>
                </c:pt>
                <c:pt idx="21">
                  <c:v>Защита внешнего инфраструктурного периметра (CPT)</c:v>
                </c:pt>
                <c:pt idx="22">
                  <c:v>Защита удаленного доступа (RA VPN)</c:v>
                </c:pt>
                <c:pt idx="23">
                  <c:v>Средства криптографической защиты информации (СКЗИ ГОСТ)</c:v>
                </c:pt>
                <c:pt idx="24">
                  <c:v>Мониторинг, обнаружение, анализ и реагирование на инциденты в информационных системах (SOC)</c:v>
                </c:pt>
                <c:pt idx="25">
                  <c:v>Сетевая безопасность (МСЭ\NGFW)</c:v>
                </c:pt>
                <c:pt idx="26">
                  <c:v>Защита и фильтрация сетевого трафика (Прокси-сервер)</c:v>
                </c:pt>
                <c:pt idx="27">
                  <c:v>Сканер уязвимостей</c:v>
                </c:pt>
                <c:pt idx="28">
                  <c:v>Защита от вредоносного трафика (Anti-DDoS)</c:v>
                </c:pt>
                <c:pt idx="29">
                  <c:v>Фильтрация нежелательных и вредоносных сообщений (Антиспам)</c:v>
                </c:pt>
                <c:pt idx="30">
                  <c:v>Обнаружение и блокирование сетевых атак на web-приложении (WAF)</c:v>
                </c:pt>
                <c:pt idx="31">
                  <c:v>Контроль учетных записей (PAM)</c:v>
                </c:pt>
                <c:pt idx="32">
                  <c:v>Предотвращение утечки данных (Data Loss Prevention (DLP)</c:v>
                </c:pt>
                <c:pt idx="33">
                  <c:v>SIEM (внедрение системы как СЗИ)</c:v>
                </c:pt>
                <c:pt idx="34">
                  <c:v>Аномалии и события (Хранение информации о событиях)</c:v>
                </c:pt>
                <c:pt idx="35">
                  <c:v>Мониторинг - Процессы</c:v>
                </c:pt>
                <c:pt idx="36">
                  <c:v>Планирование реагирования</c:v>
                </c:pt>
                <c:pt idx="37">
                  <c:v>Коммуникации (реагирование на инциденты)</c:v>
                </c:pt>
                <c:pt idx="38">
                  <c:v>Плейбуки по реагированию</c:v>
                </c:pt>
                <c:pt idx="39">
                  <c:v>Анализ и расследование</c:v>
                </c:pt>
                <c:pt idx="40">
                  <c:v>Планирование восстановления</c:v>
                </c:pt>
                <c:pt idx="41">
                  <c:v>Восстановление - Коммуникации</c:v>
                </c:pt>
              </c:strCache>
              <c:extLst xmlns:c15="http://schemas.microsoft.com/office/drawing/2012/chart"/>
            </c:strRef>
          </c:cat>
          <c:val>
            <c:numRef>
              <c:f>Расчет!$E$4:$E$45</c:f>
              <c:numCache>
                <c:formatCode>0.00</c:formatCode>
                <c:ptCount val="42"/>
                <c:pt idx="0">
                  <c:v>2</c:v>
                </c:pt>
                <c:pt idx="1">
                  <c:v>1</c:v>
                </c:pt>
                <c:pt idx="2">
                  <c:v>1.6000000000000003</c:v>
                </c:pt>
                <c:pt idx="3">
                  <c:v>1.2307692307692308</c:v>
                </c:pt>
                <c:pt idx="4">
                  <c:v>0.52</c:v>
                </c:pt>
                <c:pt idx="5">
                  <c:v>2.14</c:v>
                </c:pt>
                <c:pt idx="6">
                  <c:v>3.3111111111111113</c:v>
                </c:pt>
                <c:pt idx="7">
                  <c:v>0.8</c:v>
                </c:pt>
                <c:pt idx="8">
                  <c:v>0</c:v>
                </c:pt>
                <c:pt idx="9">
                  <c:v>5</c:v>
                </c:pt>
                <c:pt idx="10">
                  <c:v>1.5999999999999999</c:v>
                </c:pt>
                <c:pt idx="11">
                  <c:v>0.67826086956521736</c:v>
                </c:pt>
                <c:pt idx="12">
                  <c:v>0.98571428571428565</c:v>
                </c:pt>
                <c:pt idx="13">
                  <c:v>4.32</c:v>
                </c:pt>
                <c:pt idx="14">
                  <c:v>5</c:v>
                </c:pt>
                <c:pt idx="15">
                  <c:v>4.66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3.4937499999999999</c:v>
                </c:pt>
                <c:pt idx="20">
                  <c:v>3.6499999999999995</c:v>
                </c:pt>
                <c:pt idx="21">
                  <c:v>3.25</c:v>
                </c:pt>
                <c:pt idx="22">
                  <c:v>4.0999999999999996</c:v>
                </c:pt>
                <c:pt idx="23">
                  <c:v>4.4649999999999999</c:v>
                </c:pt>
                <c:pt idx="24">
                  <c:v>4.1025641025641026E-2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0.84000000000000008</c:v>
                </c:pt>
                <c:pt idx="31">
                  <c:v>0</c:v>
                </c:pt>
                <c:pt idx="32">
                  <c:v>0</c:v>
                </c:pt>
                <c:pt idx="33">
                  <c:v>0.12307692307692308</c:v>
                </c:pt>
                <c:pt idx="34">
                  <c:v>0</c:v>
                </c:pt>
                <c:pt idx="35">
                  <c:v>0</c:v>
                </c:pt>
                <c:pt idx="36">
                  <c:v>0.5</c:v>
                </c:pt>
                <c:pt idx="37">
                  <c:v>0.64</c:v>
                </c:pt>
                <c:pt idx="38">
                  <c:v>1.6666666666666667</c:v>
                </c:pt>
                <c:pt idx="39">
                  <c:v>1.04</c:v>
                </c:pt>
                <c:pt idx="40">
                  <c:v>0</c:v>
                </c:pt>
                <c:pt idx="41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ACD-48B8-B25B-95F812EB380E}"/>
            </c:ext>
          </c:extLst>
        </c:ser>
        <c:ser>
          <c:idx val="6"/>
          <c:order val="6"/>
          <c:tx>
            <c:strRef>
              <c:f>Расчет!$D$1</c:f>
              <c:strCache>
                <c:ptCount val="1"/>
                <c:pt idx="0">
                  <c:v>КБ2</c:v>
                </c:pt>
              </c:strCache>
              <c:extLst xmlns:c15="http://schemas.microsoft.com/office/drawing/2012/chart"/>
            </c:strRef>
          </c:tx>
          <c:spPr>
            <a:ln w="22225">
              <a:solidFill>
                <a:srgbClr val="E77119">
                  <a:alpha val="27000"/>
                </a:srgbClr>
              </a:solidFill>
            </a:ln>
            <a:effectLst>
              <a:glow rad="508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Расчет!$D$4:$D$45</c:f>
              <c:numCache>
                <c:formatCode>0.00</c:formatCode>
                <c:ptCount val="42"/>
                <c:pt idx="0">
                  <c:v>4.6400000000000006</c:v>
                </c:pt>
                <c:pt idx="1">
                  <c:v>2</c:v>
                </c:pt>
                <c:pt idx="2">
                  <c:v>3.2000000000000006</c:v>
                </c:pt>
                <c:pt idx="3">
                  <c:v>3.2</c:v>
                </c:pt>
                <c:pt idx="4">
                  <c:v>3.12</c:v>
                </c:pt>
                <c:pt idx="5">
                  <c:v>3.2600000000000002</c:v>
                </c:pt>
                <c:pt idx="6">
                  <c:v>4.6000000000000005</c:v>
                </c:pt>
                <c:pt idx="7">
                  <c:v>3.6999999999999997</c:v>
                </c:pt>
                <c:pt idx="8">
                  <c:v>3.9199999999999995</c:v>
                </c:pt>
                <c:pt idx="9">
                  <c:v>5</c:v>
                </c:pt>
                <c:pt idx="10">
                  <c:v>3.1999999999999997</c:v>
                </c:pt>
                <c:pt idx="11">
                  <c:v>2.8000000000000003</c:v>
                </c:pt>
                <c:pt idx="12">
                  <c:v>3.8285714285714292</c:v>
                </c:pt>
                <c:pt idx="13">
                  <c:v>4.6399999999999997</c:v>
                </c:pt>
                <c:pt idx="14">
                  <c:v>5</c:v>
                </c:pt>
                <c:pt idx="15">
                  <c:v>4.82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4.1875</c:v>
                </c:pt>
                <c:pt idx="20">
                  <c:v>5</c:v>
                </c:pt>
                <c:pt idx="21">
                  <c:v>4.166666666666667</c:v>
                </c:pt>
                <c:pt idx="22">
                  <c:v>4.55</c:v>
                </c:pt>
                <c:pt idx="23">
                  <c:v>4.9550000000000001</c:v>
                </c:pt>
                <c:pt idx="24">
                  <c:v>3.7205128205128202</c:v>
                </c:pt>
                <c:pt idx="25">
                  <c:v>4.0999999999999996</c:v>
                </c:pt>
                <c:pt idx="26">
                  <c:v>3.0250000000000004</c:v>
                </c:pt>
                <c:pt idx="27">
                  <c:v>3.7333333333333329</c:v>
                </c:pt>
                <c:pt idx="28">
                  <c:v>4.2</c:v>
                </c:pt>
                <c:pt idx="29">
                  <c:v>1</c:v>
                </c:pt>
                <c:pt idx="30">
                  <c:v>1.24</c:v>
                </c:pt>
                <c:pt idx="31">
                  <c:v>0</c:v>
                </c:pt>
                <c:pt idx="32">
                  <c:v>0</c:v>
                </c:pt>
                <c:pt idx="33">
                  <c:v>3.5615384615384613</c:v>
                </c:pt>
                <c:pt idx="34">
                  <c:v>5</c:v>
                </c:pt>
                <c:pt idx="35">
                  <c:v>2.6</c:v>
                </c:pt>
                <c:pt idx="36">
                  <c:v>3.0999999999999996</c:v>
                </c:pt>
                <c:pt idx="37">
                  <c:v>3.2</c:v>
                </c:pt>
                <c:pt idx="38">
                  <c:v>3.2</c:v>
                </c:pt>
                <c:pt idx="39">
                  <c:v>3.84</c:v>
                </c:pt>
                <c:pt idx="40">
                  <c:v>3.2</c:v>
                </c:pt>
                <c:pt idx="41">
                  <c:v>1.6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68CF-48A9-852C-1DD3D88F4393}"/>
            </c:ext>
          </c:extLst>
        </c:ser>
        <c:ser>
          <c:idx val="2"/>
          <c:order val="8"/>
          <c:tx>
            <c:strRef>
              <c:f>Расчет!$M$1</c:f>
              <c:strCache>
                <c:ptCount val="1"/>
                <c:pt idx="0">
                  <c:v>Текущий показатель</c:v>
                </c:pt>
              </c:strCache>
            </c:strRef>
          </c:tx>
          <c:spPr>
            <a:ln w="57150">
              <a:solidFill>
                <a:srgbClr val="7030A0"/>
              </a:solidFill>
            </a:ln>
          </c:spPr>
          <c:marker>
            <c:symbol val="circle"/>
            <c:size val="2"/>
          </c:marker>
          <c:cat>
            <c:strRef>
              <c:f>Расчет!$B$4:$B$45</c:f>
              <c:strCache>
                <c:ptCount val="42"/>
                <c:pt idx="0">
                  <c:v>Система управления ИБ</c:v>
                </c:pt>
                <c:pt idx="1">
                  <c:v>Управление рисками</c:v>
                </c:pt>
                <c:pt idx="2">
                  <c:v>Управление рисками в цепочке поставок</c:v>
                </c:pt>
                <c:pt idx="3">
                  <c:v>Инвентаризация</c:v>
                </c:pt>
                <c:pt idx="4">
                  <c:v>Управление активами</c:v>
                </c:pt>
                <c:pt idx="5">
                  <c:v>Управление доступом </c:v>
                </c:pt>
                <c:pt idx="6">
                  <c:v>Идентификация и аутентификация</c:v>
                </c:pt>
                <c:pt idx="7">
                  <c:v>Защита данных и информации</c:v>
                </c:pt>
                <c:pt idx="8">
                  <c:v>Обеспечение доступности</c:v>
                </c:pt>
                <c:pt idx="9">
                  <c:v>Персонал</c:v>
                </c:pt>
                <c:pt idx="10">
                  <c:v>Осведомленность пользователей и обучение персонала</c:v>
                </c:pt>
                <c:pt idx="11">
                  <c:v>Процессы</c:v>
                </c:pt>
                <c:pt idx="12">
                  <c:v>Безопасная разработка</c:v>
                </c:pt>
                <c:pt idx="13">
                  <c:v>Физический доступ</c:v>
                </c:pt>
                <c:pt idx="14">
                  <c:v>Персональные данные</c:v>
                </c:pt>
                <c:pt idx="15">
                  <c:v>Средства криптографической защиты информации (СКЗИ ГОСТ)</c:v>
                </c:pt>
                <c:pt idx="16">
                  <c:v>КИИ</c:v>
                </c:pt>
                <c:pt idx="17">
                  <c:v>250 указ</c:v>
                </c:pt>
                <c:pt idx="18">
                  <c:v>Коммерческая тайна</c:v>
                </c:pt>
                <c:pt idx="19">
                  <c:v>Защита от ВПО</c:v>
                </c:pt>
                <c:pt idx="20">
                  <c:v>Двухфакторная аутентификация пользователей (2FA)</c:v>
                </c:pt>
                <c:pt idx="21">
                  <c:v>Защита внешнего инфраструктурного периметра (CPT)</c:v>
                </c:pt>
                <c:pt idx="22">
                  <c:v>Защита удаленного доступа (RA VPN)</c:v>
                </c:pt>
                <c:pt idx="23">
                  <c:v>Средства криптографической защиты информации (СКЗИ ГОСТ)</c:v>
                </c:pt>
                <c:pt idx="24">
                  <c:v>Мониторинг, обнаружение, анализ и реагирование на инциденты в информационных системах (SOC)</c:v>
                </c:pt>
                <c:pt idx="25">
                  <c:v>Сетевая безопасность (МСЭ\NGFW)</c:v>
                </c:pt>
                <c:pt idx="26">
                  <c:v>Защита и фильтрация сетевого трафика (Прокси-сервер)</c:v>
                </c:pt>
                <c:pt idx="27">
                  <c:v>Сканер уязвимостей</c:v>
                </c:pt>
                <c:pt idx="28">
                  <c:v>Защита от вредоносного трафика (Anti-DDoS)</c:v>
                </c:pt>
                <c:pt idx="29">
                  <c:v>Фильтрация нежелательных и вредоносных сообщений (Антиспам)</c:v>
                </c:pt>
                <c:pt idx="30">
                  <c:v>Обнаружение и блокирование сетевых атак на web-приложении (WAF)</c:v>
                </c:pt>
                <c:pt idx="31">
                  <c:v>Контроль учетных записей (PAM)</c:v>
                </c:pt>
                <c:pt idx="32">
                  <c:v>Предотвращение утечки данных (Data Loss Prevention (DLP)</c:v>
                </c:pt>
                <c:pt idx="33">
                  <c:v>SIEM (внедрение системы как СЗИ)</c:v>
                </c:pt>
                <c:pt idx="34">
                  <c:v>Аномалии и события (Хранение информации о событиях)</c:v>
                </c:pt>
                <c:pt idx="35">
                  <c:v>Мониторинг - Процессы</c:v>
                </c:pt>
                <c:pt idx="36">
                  <c:v>Планирование реагирования</c:v>
                </c:pt>
                <c:pt idx="37">
                  <c:v>Коммуникации (реагирование на инциденты)</c:v>
                </c:pt>
                <c:pt idx="38">
                  <c:v>Плейбуки по реагированию</c:v>
                </c:pt>
                <c:pt idx="39">
                  <c:v>Анализ и расследование</c:v>
                </c:pt>
                <c:pt idx="40">
                  <c:v>Планирование восстановления</c:v>
                </c:pt>
                <c:pt idx="41">
                  <c:v>Восстановление - Коммуникации</c:v>
                </c:pt>
              </c:strCache>
            </c:strRef>
          </c:cat>
          <c:val>
            <c:numRef>
              <c:f>Расчет!$M$4:$M$45</c:f>
              <c:numCache>
                <c:formatCode>0.00</c:formatCode>
                <c:ptCount val="42"/>
                <c:pt idx="0">
                  <c:v>3.3200000000000003</c:v>
                </c:pt>
                <c:pt idx="1">
                  <c:v>0</c:v>
                </c:pt>
                <c:pt idx="2">
                  <c:v>0</c:v>
                </c:pt>
                <c:pt idx="3">
                  <c:v>0.24615384615384617</c:v>
                </c:pt>
                <c:pt idx="4">
                  <c:v>0.84000000000000008</c:v>
                </c:pt>
                <c:pt idx="5">
                  <c:v>1.3199999999999998</c:v>
                </c:pt>
                <c:pt idx="6">
                  <c:v>0</c:v>
                </c:pt>
                <c:pt idx="7">
                  <c:v>2.5</c:v>
                </c:pt>
                <c:pt idx="8">
                  <c:v>0</c:v>
                </c:pt>
                <c:pt idx="9">
                  <c:v>0</c:v>
                </c:pt>
                <c:pt idx="10">
                  <c:v>0.14545454545454548</c:v>
                </c:pt>
                <c:pt idx="11">
                  <c:v>0.2434782608695652</c:v>
                </c:pt>
                <c:pt idx="12">
                  <c:v>0</c:v>
                </c:pt>
                <c:pt idx="13">
                  <c:v>0</c:v>
                </c:pt>
                <c:pt idx="14">
                  <c:v>0.20833333333333334</c:v>
                </c:pt>
                <c:pt idx="15">
                  <c:v>0</c:v>
                </c:pt>
                <c:pt idx="16">
                  <c:v>0</c:v>
                </c:pt>
                <c:pt idx="17">
                  <c:v>0.48611111111111116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0.91111111111111098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0.33333333333333331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0.32</c:v>
                </c:pt>
                <c:pt idx="38">
                  <c:v>0</c:v>
                </c:pt>
                <c:pt idx="39">
                  <c:v>0.72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2-461C-8100-866A5278E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663040"/>
        <c:axId val="464076155"/>
        <c:extLst>
          <c:ext xmlns:c15="http://schemas.microsoft.com/office/drawing/2012/chart" uri="{02D57815-91ED-43cb-92C2-25804820EDAC}">
            <c15:filteredRadarSeries>
              <c15:ser>
                <c:idx val="3"/>
                <c:order val="0"/>
                <c:tx>
                  <c:v>Данные на 01.04.2023</c:v>
                </c:tx>
                <c:spPr>
                  <a:prstGeom prst="rect">
                    <a:avLst/>
                  </a:prstGeom>
                  <a:ln w="28575" cap="rnd" cmpd="sng" algn="ctr">
                    <a:solidFill>
                      <a:schemeClr val="bg1">
                        <a:lumMod val="65000"/>
                      </a:schemeClr>
                    </a:solidFill>
                    <a:prstDash val="solid"/>
                    <a:round/>
                  </a:ln>
                </c:spPr>
                <c:marker>
                  <c:symbol val="circle"/>
                  <c:size val="3"/>
                  <c:spPr>
                    <a:prstGeom prst="rect">
                      <a:avLst/>
                    </a:prstGeom>
                    <a:solidFill>
                      <a:schemeClr val="bg1">
                        <a:lumMod val="65000"/>
                      </a:schemeClr>
                    </a:solidFill>
                    <a:ln>
                      <a:solidFill>
                        <a:schemeClr val="bg1">
                          <a:lumMod val="65000"/>
                          <a:alpha val="98000"/>
                        </a:schemeClr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Расчет!$B$4:$B$45</c15:sqref>
                        </c15:formulaRef>
                      </c:ext>
                    </c:extLst>
                    <c:strCache>
                      <c:ptCount val="42"/>
                      <c:pt idx="0">
                        <c:v>Система управления ИБ</c:v>
                      </c:pt>
                      <c:pt idx="1">
                        <c:v>Управление рисками</c:v>
                      </c:pt>
                      <c:pt idx="2">
                        <c:v>Управление рисками в цепочке поставок</c:v>
                      </c:pt>
                      <c:pt idx="3">
                        <c:v>Инвентаризация</c:v>
                      </c:pt>
                      <c:pt idx="4">
                        <c:v>Управление активами</c:v>
                      </c:pt>
                      <c:pt idx="5">
                        <c:v>Управление доступом </c:v>
                      </c:pt>
                      <c:pt idx="6">
                        <c:v>Идентификация и аутентификация</c:v>
                      </c:pt>
                      <c:pt idx="7">
                        <c:v>Защита данных и информации</c:v>
                      </c:pt>
                      <c:pt idx="8">
                        <c:v>Обеспечение доступности</c:v>
                      </c:pt>
                      <c:pt idx="9">
                        <c:v>Персонал</c:v>
                      </c:pt>
                      <c:pt idx="10">
                        <c:v>Осведомленность пользователей и обучение персонала</c:v>
                      </c:pt>
                      <c:pt idx="11">
                        <c:v>Процессы</c:v>
                      </c:pt>
                      <c:pt idx="12">
                        <c:v>Безопасная разработка</c:v>
                      </c:pt>
                      <c:pt idx="13">
                        <c:v>Физический доступ</c:v>
                      </c:pt>
                      <c:pt idx="14">
                        <c:v>Персональные данные</c:v>
                      </c:pt>
                      <c:pt idx="15">
                        <c:v>Средства криптографической защиты информации (СКЗИ ГОСТ)</c:v>
                      </c:pt>
                      <c:pt idx="16">
                        <c:v>КИИ</c:v>
                      </c:pt>
                      <c:pt idx="17">
                        <c:v>250 указ</c:v>
                      </c:pt>
                      <c:pt idx="18">
                        <c:v>Коммерческая тайна</c:v>
                      </c:pt>
                      <c:pt idx="19">
                        <c:v>Защита от ВПО</c:v>
                      </c:pt>
                      <c:pt idx="20">
                        <c:v>Двухфакторная аутентификация пользователей (2FA)</c:v>
                      </c:pt>
                      <c:pt idx="21">
                        <c:v>Защита внешнего инфраструктурного периметра (CPT)</c:v>
                      </c:pt>
                      <c:pt idx="22">
                        <c:v>Защита удаленного доступа (RA VPN)</c:v>
                      </c:pt>
                      <c:pt idx="23">
                        <c:v>Средства криптографической защиты информации (СКЗИ ГОСТ)</c:v>
                      </c:pt>
                      <c:pt idx="24">
                        <c:v>Мониторинг, обнаружение, анализ и реагирование на инциденты в информационных системах (SOC)</c:v>
                      </c:pt>
                      <c:pt idx="25">
                        <c:v>Сетевая безопасность (МСЭ\NGFW)</c:v>
                      </c:pt>
                      <c:pt idx="26">
                        <c:v>Защита и фильтрация сетевого трафика (Прокси-сервер)</c:v>
                      </c:pt>
                      <c:pt idx="27">
                        <c:v>Сканер уязвимостей</c:v>
                      </c:pt>
                      <c:pt idx="28">
                        <c:v>Защита от вредоносного трафика (Anti-DDoS)</c:v>
                      </c:pt>
                      <c:pt idx="29">
                        <c:v>Фильтрация нежелательных и вредоносных сообщений (Антиспам)</c:v>
                      </c:pt>
                      <c:pt idx="30">
                        <c:v>Обнаружение и блокирование сетевых атак на web-приложении (WAF)</c:v>
                      </c:pt>
                      <c:pt idx="31">
                        <c:v>Контроль учетных записей (PAM)</c:v>
                      </c:pt>
                      <c:pt idx="32">
                        <c:v>Предотвращение утечки данных (Data Loss Prevention (DLP)</c:v>
                      </c:pt>
                      <c:pt idx="33">
                        <c:v>SIEM (внедрение системы как СЗИ)</c:v>
                      </c:pt>
                      <c:pt idx="34">
                        <c:v>Аномалии и события (Хранение информации о событиях)</c:v>
                      </c:pt>
                      <c:pt idx="35">
                        <c:v>Мониторинг - Процессы</c:v>
                      </c:pt>
                      <c:pt idx="36">
                        <c:v>Планирование реагирования</c:v>
                      </c:pt>
                      <c:pt idx="37">
                        <c:v>Коммуникации (реагирование на инциденты)</c:v>
                      </c:pt>
                      <c:pt idx="38">
                        <c:v>Плейбуки по реагированию</c:v>
                      </c:pt>
                      <c:pt idx="39">
                        <c:v>Анализ и расследование</c:v>
                      </c:pt>
                      <c:pt idx="40">
                        <c:v>Планирование восстановления</c:v>
                      </c:pt>
                      <c:pt idx="41">
                        <c:v>Восстановление - Коммуникации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Расчет!$F$4:$F$45</c15:sqref>
                        </c15:formulaRef>
                      </c:ext>
                    </c:extLst>
                  </c:numRef>
                </c:val>
                <c:extLst>
                  <c:ext xmlns:c16="http://schemas.microsoft.com/office/drawing/2014/chart" uri="{C3380CC4-5D6E-409C-BE32-E72D297353CC}">
                    <c16:uniqueId val="{00000001-BACD-48B8-B25B-95F812EB380E}"/>
                  </c:ext>
                </c:extLst>
              </c15:ser>
            </c15:filteredRadarSeries>
            <c15:filteredRada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Расчет!$H$1</c15:sqref>
                        </c15:formulaRef>
                      </c:ext>
                    </c:extLst>
                    <c:strCache>
                      <c:ptCount val="1"/>
                      <c:pt idx="0">
                        <c:v> Исторические данные середину 2024 г.</c:v>
                      </c:pt>
                    </c:strCache>
                  </c:strRef>
                </c:tx>
                <c:spPr>
                  <a:prstGeom prst="rect">
                    <a:avLst/>
                  </a:prstGeom>
                  <a:ln w="19050" cap="rnd" cmpd="sng" algn="ctr">
                    <a:solidFill>
                      <a:schemeClr val="accent6"/>
                    </a:solidFill>
                    <a:prstDash val="solid"/>
                    <a:round/>
                  </a:ln>
                  <a:effectLst>
                    <a:glow rad="76200">
                      <a:schemeClr val="bg1">
                        <a:alpha val="34000"/>
                      </a:schemeClr>
                    </a:glo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Расчет!$B$4:$B$45</c15:sqref>
                        </c15:formulaRef>
                      </c:ext>
                    </c:extLst>
                    <c:strCache>
                      <c:ptCount val="42"/>
                      <c:pt idx="0">
                        <c:v>Система управления ИБ</c:v>
                      </c:pt>
                      <c:pt idx="1">
                        <c:v>Управление рисками</c:v>
                      </c:pt>
                      <c:pt idx="2">
                        <c:v>Управление рисками в цепочке поставок</c:v>
                      </c:pt>
                      <c:pt idx="3">
                        <c:v>Инвентаризация</c:v>
                      </c:pt>
                      <c:pt idx="4">
                        <c:v>Управление активами</c:v>
                      </c:pt>
                      <c:pt idx="5">
                        <c:v>Управление доступом </c:v>
                      </c:pt>
                      <c:pt idx="6">
                        <c:v>Идентификация и аутентификация</c:v>
                      </c:pt>
                      <c:pt idx="7">
                        <c:v>Защита данных и информации</c:v>
                      </c:pt>
                      <c:pt idx="8">
                        <c:v>Обеспечение доступности</c:v>
                      </c:pt>
                      <c:pt idx="9">
                        <c:v>Персонал</c:v>
                      </c:pt>
                      <c:pt idx="10">
                        <c:v>Осведомленность пользователей и обучение персонала</c:v>
                      </c:pt>
                      <c:pt idx="11">
                        <c:v>Процессы</c:v>
                      </c:pt>
                      <c:pt idx="12">
                        <c:v>Безопасная разработка</c:v>
                      </c:pt>
                      <c:pt idx="13">
                        <c:v>Физический доступ</c:v>
                      </c:pt>
                      <c:pt idx="14">
                        <c:v>Персональные данные</c:v>
                      </c:pt>
                      <c:pt idx="15">
                        <c:v>Средства криптографической защиты информации (СКЗИ ГОСТ)</c:v>
                      </c:pt>
                      <c:pt idx="16">
                        <c:v>КИИ</c:v>
                      </c:pt>
                      <c:pt idx="17">
                        <c:v>250 указ</c:v>
                      </c:pt>
                      <c:pt idx="18">
                        <c:v>Коммерческая тайна</c:v>
                      </c:pt>
                      <c:pt idx="19">
                        <c:v>Защита от ВПО</c:v>
                      </c:pt>
                      <c:pt idx="20">
                        <c:v>Двухфакторная аутентификация пользователей (2FA)</c:v>
                      </c:pt>
                      <c:pt idx="21">
                        <c:v>Защита внешнего инфраструктурного периметра (CPT)</c:v>
                      </c:pt>
                      <c:pt idx="22">
                        <c:v>Защита удаленного доступа (RA VPN)</c:v>
                      </c:pt>
                      <c:pt idx="23">
                        <c:v>Средства криптографической защиты информации (СКЗИ ГОСТ)</c:v>
                      </c:pt>
                      <c:pt idx="24">
                        <c:v>Мониторинг, обнаружение, анализ и реагирование на инциденты в информационных системах (SOC)</c:v>
                      </c:pt>
                      <c:pt idx="25">
                        <c:v>Сетевая безопасность (МСЭ\NGFW)</c:v>
                      </c:pt>
                      <c:pt idx="26">
                        <c:v>Защита и фильтрация сетевого трафика (Прокси-сервер)</c:v>
                      </c:pt>
                      <c:pt idx="27">
                        <c:v>Сканер уязвимостей</c:v>
                      </c:pt>
                      <c:pt idx="28">
                        <c:v>Защита от вредоносного трафика (Anti-DDoS)</c:v>
                      </c:pt>
                      <c:pt idx="29">
                        <c:v>Фильтрация нежелательных и вредоносных сообщений (Антиспам)</c:v>
                      </c:pt>
                      <c:pt idx="30">
                        <c:v>Обнаружение и блокирование сетевых атак на web-приложении (WAF)</c:v>
                      </c:pt>
                      <c:pt idx="31">
                        <c:v>Контроль учетных записей (PAM)</c:v>
                      </c:pt>
                      <c:pt idx="32">
                        <c:v>Предотвращение утечки данных (Data Loss Prevention (DLP)</c:v>
                      </c:pt>
                      <c:pt idx="33">
                        <c:v>SIEM (внедрение системы как СЗИ)</c:v>
                      </c:pt>
                      <c:pt idx="34">
                        <c:v>Аномалии и события (Хранение информации о событиях)</c:v>
                      </c:pt>
                      <c:pt idx="35">
                        <c:v>Мониторинг - Процессы</c:v>
                      </c:pt>
                      <c:pt idx="36">
                        <c:v>Планирование реагирования</c:v>
                      </c:pt>
                      <c:pt idx="37">
                        <c:v>Коммуникации (реагирование на инциденты)</c:v>
                      </c:pt>
                      <c:pt idx="38">
                        <c:v>Плейбуки по реагированию</c:v>
                      </c:pt>
                      <c:pt idx="39">
                        <c:v>Анализ и расследование</c:v>
                      </c:pt>
                      <c:pt idx="40">
                        <c:v>Планирование восстановления</c:v>
                      </c:pt>
                      <c:pt idx="41">
                        <c:v>Восстановление - Коммуникации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Расчет!$H$4:$H$45</c15:sqref>
                        </c15:formulaRef>
                      </c:ext>
                    </c:extLst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D-48B8-B25B-95F812EB380E}"/>
                  </c:ext>
                </c:extLst>
              </c15:ser>
            </c15:filteredRadarSeries>
            <c15:filteredRadarSeries>
              <c15:ser>
                <c:idx val="7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Расчет!$I$1</c15:sqref>
                        </c15:formulaRef>
                      </c:ext>
                    </c:extLst>
                    <c:strCache>
                      <c:ptCount val="1"/>
                      <c:pt idx="0">
                        <c:v> Исторические данные на конец 2024 г.</c:v>
                      </c:pt>
                    </c:strCache>
                  </c:strRef>
                </c:tx>
                <c:spPr>
                  <a:ln>
                    <a:solidFill>
                      <a:srgbClr val="00B0F0"/>
                    </a:solidFill>
                  </a:ln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Расчет!$I$4:$I$45</c15:sqref>
                        </c15:formulaRef>
                      </c:ext>
                    </c:extLst>
                    <c:numCache>
                      <c:formatCode>0.00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EBE-408F-B7A3-9C48D84C0FED}"/>
                  </c:ext>
                </c:extLst>
              </c15:ser>
            </c15:filteredRadarSeries>
            <c15:filteredRadarSeries>
              <c15:ser>
                <c:idx val="8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Расчет!$J$1</c15:sqref>
                        </c15:formulaRef>
                      </c:ext>
                    </c:extLst>
                    <c:strCache>
                      <c:ptCount val="1"/>
                      <c:pt idx="0">
                        <c:v>Архивные расчетные данные на 31.12.2024</c:v>
                      </c:pt>
                    </c:strCache>
                  </c:strRef>
                </c:tx>
                <c:spPr>
                  <a:ln w="38100">
                    <a:solidFill>
                      <a:srgbClr val="00B0F0"/>
                    </a:solidFill>
                    <a:prstDash val="sysDot"/>
                  </a:ln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Расчет!$J$4:$J$45</c15:sqref>
                        </c15:formulaRef>
                      </c:ext>
                    </c:extLst>
                    <c:numCache>
                      <c:formatCode>0.00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EBE-408F-B7A3-9C48D84C0FED}"/>
                  </c:ext>
                </c:extLst>
              </c15:ser>
            </c15:filteredRadarSeries>
            <c15:filteredRadar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Расчет!$C$1</c15:sqref>
                        </c15:formulaRef>
                      </c:ext>
                    </c:extLst>
                    <c:strCache>
                      <c:ptCount val="1"/>
                      <c:pt idx="0">
                        <c:v>КБ3</c:v>
                      </c:pt>
                    </c:strCache>
                  </c:strRef>
                </c:tx>
                <c:spPr>
                  <a:prstGeom prst="rect">
                    <a:avLst/>
                  </a:prstGeom>
                  <a:ln w="19050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>
                    <a:glow rad="76200">
                      <a:schemeClr val="accent2">
                        <a:satMod val="175000"/>
                        <a:alpha val="34000"/>
                      </a:schemeClr>
                    </a:glo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Расчет!$B$4:$B$45</c15:sqref>
                        </c15:formulaRef>
                      </c:ext>
                    </c:extLst>
                    <c:strCache>
                      <c:ptCount val="42"/>
                      <c:pt idx="0">
                        <c:v>Система управления ИБ</c:v>
                      </c:pt>
                      <c:pt idx="1">
                        <c:v>Управление рисками</c:v>
                      </c:pt>
                      <c:pt idx="2">
                        <c:v>Управление рисками в цепочке поставок</c:v>
                      </c:pt>
                      <c:pt idx="3">
                        <c:v>Инвентаризация</c:v>
                      </c:pt>
                      <c:pt idx="4">
                        <c:v>Управление активами</c:v>
                      </c:pt>
                      <c:pt idx="5">
                        <c:v>Управление доступом </c:v>
                      </c:pt>
                      <c:pt idx="6">
                        <c:v>Идентификация и аутентификация</c:v>
                      </c:pt>
                      <c:pt idx="7">
                        <c:v>Защита данных и информации</c:v>
                      </c:pt>
                      <c:pt idx="8">
                        <c:v>Обеспечение доступности</c:v>
                      </c:pt>
                      <c:pt idx="9">
                        <c:v>Персонал</c:v>
                      </c:pt>
                      <c:pt idx="10">
                        <c:v>Осведомленность пользователей и обучение персонала</c:v>
                      </c:pt>
                      <c:pt idx="11">
                        <c:v>Процессы</c:v>
                      </c:pt>
                      <c:pt idx="12">
                        <c:v>Безопасная разработка</c:v>
                      </c:pt>
                      <c:pt idx="13">
                        <c:v>Физический доступ</c:v>
                      </c:pt>
                      <c:pt idx="14">
                        <c:v>Персональные данные</c:v>
                      </c:pt>
                      <c:pt idx="15">
                        <c:v>Средства криптографической защиты информации (СКЗИ ГОСТ)</c:v>
                      </c:pt>
                      <c:pt idx="16">
                        <c:v>КИИ</c:v>
                      </c:pt>
                      <c:pt idx="17">
                        <c:v>250 указ</c:v>
                      </c:pt>
                      <c:pt idx="18">
                        <c:v>Коммерческая тайна</c:v>
                      </c:pt>
                      <c:pt idx="19">
                        <c:v>Защита от ВПО</c:v>
                      </c:pt>
                      <c:pt idx="20">
                        <c:v>Двухфакторная аутентификация пользователей (2FA)</c:v>
                      </c:pt>
                      <c:pt idx="21">
                        <c:v>Защита внешнего инфраструктурного периметра (CPT)</c:v>
                      </c:pt>
                      <c:pt idx="22">
                        <c:v>Защита удаленного доступа (RA VPN)</c:v>
                      </c:pt>
                      <c:pt idx="23">
                        <c:v>Средства криптографической защиты информации (СКЗИ ГОСТ)</c:v>
                      </c:pt>
                      <c:pt idx="24">
                        <c:v>Мониторинг, обнаружение, анализ и реагирование на инциденты в информационных системах (SOC)</c:v>
                      </c:pt>
                      <c:pt idx="25">
                        <c:v>Сетевая безопасность (МСЭ\NGFW)</c:v>
                      </c:pt>
                      <c:pt idx="26">
                        <c:v>Защита и фильтрация сетевого трафика (Прокси-сервер)</c:v>
                      </c:pt>
                      <c:pt idx="27">
                        <c:v>Сканер уязвимостей</c:v>
                      </c:pt>
                      <c:pt idx="28">
                        <c:v>Защита от вредоносного трафика (Anti-DDoS)</c:v>
                      </c:pt>
                      <c:pt idx="29">
                        <c:v>Фильтрация нежелательных и вредоносных сообщений (Антиспам)</c:v>
                      </c:pt>
                      <c:pt idx="30">
                        <c:v>Обнаружение и блокирование сетевых атак на web-приложении (WAF)</c:v>
                      </c:pt>
                      <c:pt idx="31">
                        <c:v>Контроль учетных записей (PAM)</c:v>
                      </c:pt>
                      <c:pt idx="32">
                        <c:v>Предотвращение утечки данных (Data Loss Prevention (DLP)</c:v>
                      </c:pt>
                      <c:pt idx="33">
                        <c:v>SIEM (внедрение системы как СЗИ)</c:v>
                      </c:pt>
                      <c:pt idx="34">
                        <c:v>Аномалии и события (Хранение информации о событиях)</c:v>
                      </c:pt>
                      <c:pt idx="35">
                        <c:v>Мониторинг - Процессы</c:v>
                      </c:pt>
                      <c:pt idx="36">
                        <c:v>Планирование реагирования</c:v>
                      </c:pt>
                      <c:pt idx="37">
                        <c:v>Коммуникации (реагирование на инциденты)</c:v>
                      </c:pt>
                      <c:pt idx="38">
                        <c:v>Плейбуки по реагированию</c:v>
                      </c:pt>
                      <c:pt idx="39">
                        <c:v>Анализ и расследование</c:v>
                      </c:pt>
                      <c:pt idx="40">
                        <c:v>Планирование восстановления</c:v>
                      </c:pt>
                      <c:pt idx="41">
                        <c:v>Восстановление - Коммуникации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Расчет!$C$4:$C$45</c15:sqref>
                        </c15:formulaRef>
                      </c:ext>
                    </c:extLst>
                    <c:numCache>
                      <c:formatCode>0.00</c:formatCode>
                      <c:ptCount val="42"/>
                      <c:pt idx="0">
                        <c:v>5</c:v>
                      </c:pt>
                      <c:pt idx="1">
                        <c:v>4.8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4.5999999999999996</c:v>
                      </c:pt>
                      <c:pt idx="5">
                        <c:v>4.4599999999999991</c:v>
                      </c:pt>
                      <c:pt idx="6">
                        <c:v>5</c:v>
                      </c:pt>
                      <c:pt idx="7">
                        <c:v>4.55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4.0869565217391308</c:v>
                      </c:pt>
                      <c:pt idx="12">
                        <c:v>4.9285714285714288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5</c:v>
                      </c:pt>
                      <c:pt idx="19">
                        <c:v>4.59375</c:v>
                      </c:pt>
                      <c:pt idx="20">
                        <c:v>5</c:v>
                      </c:pt>
                      <c:pt idx="21">
                        <c:v>4.583333333333333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4.6346153846153841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4.666666666666667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4.8</c:v>
                      </c:pt>
                      <c:pt idx="31">
                        <c:v>5</c:v>
                      </c:pt>
                      <c:pt idx="32">
                        <c:v>4.8214285714285712</c:v>
                      </c:pt>
                      <c:pt idx="33">
                        <c:v>4.9038461538461542</c:v>
                      </c:pt>
                      <c:pt idx="34">
                        <c:v>5</c:v>
                      </c:pt>
                      <c:pt idx="35">
                        <c:v>4</c:v>
                      </c:pt>
                      <c:pt idx="36">
                        <c:v>4.5</c:v>
                      </c:pt>
                      <c:pt idx="37">
                        <c:v>5</c:v>
                      </c:pt>
                      <c:pt idx="38">
                        <c:v>4.9090909090909092</c:v>
                      </c:pt>
                      <c:pt idx="39">
                        <c:v>4.5999999999999996</c:v>
                      </c:pt>
                      <c:pt idx="40">
                        <c:v>5</c:v>
                      </c:pt>
                      <c:pt idx="41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ACD-48B8-B25B-95F812EB380E}"/>
                  </c:ext>
                </c:extLst>
              </c15:ser>
            </c15:filteredRadarSeries>
            <c15:filteredRad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Расчет!$K$1</c15:sqref>
                        </c15:formulaRef>
                      </c:ext>
                    </c:extLst>
                    <c:strCache>
                      <c:ptCount val="1"/>
                      <c:pt idx="0">
                        <c:v>Расчетные данные на 31.12.2026</c:v>
                      </c:pt>
                    </c:strCache>
                  </c:strRef>
                </c:tx>
                <c:spPr>
                  <a:ln w="50800">
                    <a:solidFill>
                      <a:srgbClr val="00B0F0"/>
                    </a:solidFill>
                  </a:ln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Расчет!$K$4:$K$45</c15:sqref>
                        </c15:formulaRef>
                      </c:ext>
                    </c:extLst>
                    <c:numCache>
                      <c:formatCode>0.00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4D0-45A1-973B-E6CFA75D4692}"/>
                  </c:ext>
                </c:extLst>
              </c15:ser>
            </c15:filteredRadarSeries>
          </c:ext>
        </c:extLst>
      </c:radarChart>
      <c:catAx>
        <c:axId val="549663040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lt1">
                  <a:alpha val="20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noFill/>
            <a:prstDash val="solid"/>
            <a:round/>
          </a:ln>
        </c:spPr>
        <c:txPr>
          <a:bodyPr rot="0"/>
          <a:lstStyle/>
          <a:p>
            <a:pPr>
              <a:defRPr/>
            </a:pPr>
            <a:endParaRPr lang="ru-RU"/>
          </a:p>
        </c:txPr>
        <c:crossAx val="464076155"/>
        <c:crosses val="autoZero"/>
        <c:auto val="1"/>
        <c:lblAlgn val="ctr"/>
        <c:lblOffset val="100"/>
        <c:noMultiLvlLbl val="1"/>
      </c:catAx>
      <c:valAx>
        <c:axId val="464076155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44450" cap="flat" cmpd="sng" algn="ctr">
              <a:solidFill>
                <a:schemeClr val="bg1">
                  <a:lumMod val="50000"/>
                  <a:alpha val="20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prstGeom prst="rect">
            <a:avLst/>
          </a:prstGeom>
          <a:noFill/>
          <a:ln w="6350" cap="flat" cmpd="sng" algn="ctr">
            <a:noFill/>
            <a:prstDash val="solid"/>
            <a:round/>
          </a:ln>
        </c:spPr>
        <c:txPr>
          <a:bodyPr rot="-60000000" vert="horz"/>
          <a:lstStyle/>
          <a:p>
            <a:pPr>
              <a:defRPr b="0">
                <a:solidFill>
                  <a:schemeClr val="bg1">
                    <a:lumMod val="50000"/>
                  </a:schemeClr>
                </a:solidFill>
              </a:defRPr>
            </a:pPr>
            <a:endParaRPr lang="ru-RU"/>
          </a:p>
        </c:txPr>
        <c:crossAx val="549663040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80375779163532957"/>
          <c:y val="0.32141235126277812"/>
          <c:w val="0.15870845257062047"/>
          <c:h val="0.12268616362676793"/>
        </c:manualLayout>
      </c:layout>
      <c:overlay val="0"/>
      <c:spPr>
        <a:prstGeom prst="rect">
          <a:avLst/>
        </a:prstGeom>
        <a:noFill/>
        <a:ln>
          <a:noFill/>
        </a:ln>
      </c:spPr>
      <c:txPr>
        <a:bodyPr rot="0" vert="horz"/>
        <a:lstStyle/>
        <a:p>
          <a:pPr rtl="0">
            <a:defRPr/>
          </a:pPr>
          <a:endParaRPr lang="ru-RU"/>
        </a:p>
      </c:txPr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63174524472703"/>
          <c:y val="7.6530031893121145E-2"/>
          <c:w val="0.42534885406350853"/>
          <c:h val="0.83577321932968007"/>
        </c:manualLayout>
      </c:layout>
      <c:radarChart>
        <c:radarStyle val="marker"/>
        <c:varyColors val="0"/>
        <c:ser>
          <c:idx val="2"/>
          <c:order val="0"/>
          <c:tx>
            <c:strRef>
              <c:f>Расчет!$E$53</c:f>
              <c:strCache>
                <c:ptCount val="1"/>
                <c:pt idx="0">
                  <c:v>КБ1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Расчет!$E$55:$E$60</c:f>
              <c:numCache>
                <c:formatCode>0.00</c:formatCode>
                <c:ptCount val="6"/>
                <c:pt idx="0">
                  <c:v>1.7989896783685606</c:v>
                </c:pt>
                <c:pt idx="1">
                  <c:v>2.9319999999999999</c:v>
                </c:pt>
                <c:pt idx="2">
                  <c:v>1.4171268315018313</c:v>
                </c:pt>
                <c:pt idx="3">
                  <c:v>0</c:v>
                </c:pt>
                <c:pt idx="4">
                  <c:v>0.96166666666666667</c:v>
                </c:pt>
                <c:pt idx="5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0C75-4D52-A74A-0F621068F6B8}"/>
            </c:ext>
          </c:extLst>
        </c:ser>
        <c:ser>
          <c:idx val="1"/>
          <c:order val="1"/>
          <c:tx>
            <c:strRef>
              <c:f>Расчет!$D$53</c:f>
              <c:strCache>
                <c:ptCount val="1"/>
                <c:pt idx="0">
                  <c:v>КБ2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Расчет!$D$55:$D$60</c:f>
              <c:numCache>
                <c:formatCode>0.00</c:formatCode>
                <c:ptCount val="6"/>
                <c:pt idx="0">
                  <c:v>3.6506122448979594</c:v>
                </c:pt>
                <c:pt idx="1">
                  <c:v>2.964</c:v>
                </c:pt>
                <c:pt idx="2">
                  <c:v>3.1341437728937729</c:v>
                </c:pt>
                <c:pt idx="3">
                  <c:v>3.8</c:v>
                </c:pt>
                <c:pt idx="4">
                  <c:v>3.335</c:v>
                </c:pt>
                <c:pt idx="5">
                  <c:v>2.4000000000000004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0C75-4D52-A74A-0F621068F6B8}"/>
            </c:ext>
          </c:extLst>
        </c:ser>
        <c:ser>
          <c:idx val="0"/>
          <c:order val="2"/>
          <c:tx>
            <c:strRef>
              <c:f>Расчет!$C$53</c:f>
              <c:strCache>
                <c:ptCount val="1"/>
                <c:pt idx="0">
                  <c:v>КБ3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Расчет!$A$55:$B$60</c:f>
              <c:strCache>
                <c:ptCount val="6"/>
                <c:pt idx="0">
                  <c:v>Система управления ИБ</c:v>
                </c:pt>
                <c:pt idx="1">
                  <c:v>Нормативное соответствие</c:v>
                </c:pt>
                <c:pt idx="2">
                  <c:v>СЗИ</c:v>
                </c:pt>
                <c:pt idx="3">
                  <c:v>Мониторинг</c:v>
                </c:pt>
                <c:pt idx="4">
                  <c:v>Реагирование</c:v>
                </c:pt>
                <c:pt idx="5">
                  <c:v>Восстановление</c:v>
                </c:pt>
              </c:strCache>
            </c:strRef>
          </c:cat>
          <c:val>
            <c:numRef>
              <c:f>Расчет!$C$55:$C$60</c:f>
              <c:numCache>
                <c:formatCode>0.00</c:formatCode>
                <c:ptCount val="6"/>
                <c:pt idx="0">
                  <c:v>4.8161091393078976</c:v>
                </c:pt>
                <c:pt idx="1">
                  <c:v>3</c:v>
                </c:pt>
                <c:pt idx="2">
                  <c:v>4.8642709968602826</c:v>
                </c:pt>
                <c:pt idx="3">
                  <c:v>4.5</c:v>
                </c:pt>
                <c:pt idx="4">
                  <c:v>4.752272727272727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75-4D52-A74A-0F621068F6B8}"/>
            </c:ext>
          </c:extLst>
        </c:ser>
        <c:ser>
          <c:idx val="3"/>
          <c:order val="3"/>
          <c:tx>
            <c:strRef>
              <c:f>Расчет!$M$53</c:f>
              <c:strCache>
                <c:ptCount val="1"/>
                <c:pt idx="0">
                  <c:v>Текущий показатель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Расчет!$M$55:$M$60</c:f>
              <c:numCache>
                <c:formatCode>0.00</c:formatCode>
                <c:ptCount val="6"/>
                <c:pt idx="0">
                  <c:v>0.61536333231985396</c:v>
                </c:pt>
                <c:pt idx="1">
                  <c:v>0.33888888888888891</c:v>
                </c:pt>
                <c:pt idx="2">
                  <c:v>8.8888888888888878E-2</c:v>
                </c:pt>
                <c:pt idx="3">
                  <c:v>0</c:v>
                </c:pt>
                <c:pt idx="4">
                  <c:v>0.26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75-4D52-A74A-0F621068F6B8}"/>
            </c:ext>
          </c:extLst>
        </c:ser>
        <c:ser>
          <c:idx val="4"/>
          <c:order val="4"/>
          <c:tx>
            <c:strRef>
              <c:f>Расчет!$L$53</c:f>
              <c:strCache>
                <c:ptCount val="1"/>
                <c:pt idx="0">
                  <c:v>Расчетные данные на 31.12.2025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Расчет!$L$55:$L$60</c:f>
              <c:numCache>
                <c:formatCode>0.00</c:formatCode>
                <c:ptCount val="6"/>
                <c:pt idx="0">
                  <c:v>1.7989896783685606</c:v>
                </c:pt>
                <c:pt idx="1">
                  <c:v>3.0188055555555557</c:v>
                </c:pt>
                <c:pt idx="2">
                  <c:v>1.4171268315018313</c:v>
                </c:pt>
                <c:pt idx="3">
                  <c:v>0</c:v>
                </c:pt>
                <c:pt idx="4">
                  <c:v>0.96166666666666667</c:v>
                </c:pt>
                <c:pt idx="5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C75-4D52-A74A-0F621068F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622751"/>
        <c:axId val="2073626079"/>
        <c:extLst/>
      </c:radarChart>
      <c:catAx>
        <c:axId val="20736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626079"/>
        <c:crosses val="autoZero"/>
        <c:auto val="1"/>
        <c:lblAlgn val="ctr"/>
        <c:lblOffset val="100"/>
        <c:noMultiLvlLbl val="0"/>
      </c:catAx>
      <c:valAx>
        <c:axId val="207362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362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931078256639719"/>
          <c:y val="0.22882207320048731"/>
          <c:w val="0.21952595088887794"/>
          <c:h val="0.567780697237637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34566905853716"/>
          <c:y val="5.5149262371728194E-2"/>
          <c:w val="0.56506471844647788"/>
          <c:h val="0.88379617122405796"/>
        </c:manualLayout>
      </c:layout>
      <c:radarChart>
        <c:radarStyle val="marker"/>
        <c:varyColors val="1"/>
        <c:ser>
          <c:idx val="0"/>
          <c:order val="0"/>
          <c:tx>
            <c:strRef>
              <c:f>'Управление ИБ'!$D$41</c:f>
              <c:strCache>
                <c:ptCount val="1"/>
                <c:pt idx="0">
                  <c:v>КБ3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rgbClr val="AADB1E"/>
              </a:solidFill>
              <a:prstDash val="solid"/>
              <a:round/>
            </a:ln>
          </c:spPr>
          <c:marker>
            <c:symbol val="none"/>
          </c:marker>
          <c:cat>
            <c:strRef>
              <c:f>'Управление ИБ'!$C$42:$C$55</c:f>
              <c:strCache>
                <c:ptCount val="14"/>
                <c:pt idx="0">
                  <c:v>СУИБ</c:v>
                </c:pt>
                <c:pt idx="1">
                  <c:v>УР</c:v>
                </c:pt>
                <c:pt idx="2">
                  <c:v>ЦП</c:v>
                </c:pt>
                <c:pt idx="3">
                  <c:v>ИН</c:v>
                </c:pt>
                <c:pt idx="4">
                  <c:v>УА</c:v>
                </c:pt>
                <c:pt idx="5">
                  <c:v>УД</c:v>
                </c:pt>
                <c:pt idx="6">
                  <c:v>ИА</c:v>
                </c:pt>
                <c:pt idx="7">
                  <c:v>Д</c:v>
                </c:pt>
                <c:pt idx="8">
                  <c:v>ОД</c:v>
                </c:pt>
                <c:pt idx="9">
                  <c:v>Люди</c:v>
                </c:pt>
                <c:pt idx="10">
                  <c:v>AW</c:v>
                </c:pt>
                <c:pt idx="11">
                  <c:v>ПР</c:v>
                </c:pt>
                <c:pt idx="12">
                  <c:v>БР</c:v>
                </c:pt>
                <c:pt idx="13">
                  <c:v>ФД</c:v>
                </c:pt>
              </c:strCache>
            </c:strRef>
          </c:cat>
          <c:val>
            <c:numRef>
              <c:f>'Управление ИБ'!$D$42:$D$55</c:f>
              <c:numCache>
                <c:formatCode>0.00</c:formatCode>
                <c:ptCount val="14"/>
                <c:pt idx="0">
                  <c:v>5</c:v>
                </c:pt>
                <c:pt idx="1">
                  <c:v>4.8</c:v>
                </c:pt>
                <c:pt idx="2">
                  <c:v>5</c:v>
                </c:pt>
                <c:pt idx="3">
                  <c:v>5</c:v>
                </c:pt>
                <c:pt idx="4">
                  <c:v>4.5999999999999996</c:v>
                </c:pt>
                <c:pt idx="5">
                  <c:v>4.4599999999999991</c:v>
                </c:pt>
                <c:pt idx="6">
                  <c:v>5</c:v>
                </c:pt>
                <c:pt idx="7">
                  <c:v>4.55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4.0869565217391308</c:v>
                </c:pt>
                <c:pt idx="12">
                  <c:v>4.9285714285714288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E-455F-B909-CFE86354BC92}"/>
            </c:ext>
          </c:extLst>
        </c:ser>
        <c:ser>
          <c:idx val="1"/>
          <c:order val="1"/>
          <c:tx>
            <c:strRef>
              <c:f>'Управление ИБ'!$E$41</c:f>
              <c:strCache>
                <c:ptCount val="1"/>
                <c:pt idx="0">
                  <c:v>КБ2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'Управление ИБ'!$C$42:$C$55</c:f>
              <c:strCache>
                <c:ptCount val="14"/>
                <c:pt idx="0">
                  <c:v>СУИБ</c:v>
                </c:pt>
                <c:pt idx="1">
                  <c:v>УР</c:v>
                </c:pt>
                <c:pt idx="2">
                  <c:v>ЦП</c:v>
                </c:pt>
                <c:pt idx="3">
                  <c:v>ИН</c:v>
                </c:pt>
                <c:pt idx="4">
                  <c:v>УА</c:v>
                </c:pt>
                <c:pt idx="5">
                  <c:v>УД</c:v>
                </c:pt>
                <c:pt idx="6">
                  <c:v>ИА</c:v>
                </c:pt>
                <c:pt idx="7">
                  <c:v>Д</c:v>
                </c:pt>
                <c:pt idx="8">
                  <c:v>ОД</c:v>
                </c:pt>
                <c:pt idx="9">
                  <c:v>Люди</c:v>
                </c:pt>
                <c:pt idx="10">
                  <c:v>AW</c:v>
                </c:pt>
                <c:pt idx="11">
                  <c:v>ПР</c:v>
                </c:pt>
                <c:pt idx="12">
                  <c:v>БР</c:v>
                </c:pt>
                <c:pt idx="13">
                  <c:v>ФД</c:v>
                </c:pt>
              </c:strCache>
            </c:strRef>
          </c:cat>
          <c:val>
            <c:numRef>
              <c:f>'Управление ИБ'!$E$42:$E$54</c:f>
              <c:numCache>
                <c:formatCode>0.00</c:formatCode>
                <c:ptCount val="13"/>
                <c:pt idx="0">
                  <c:v>4.6400000000000006</c:v>
                </c:pt>
                <c:pt idx="1">
                  <c:v>2</c:v>
                </c:pt>
                <c:pt idx="2">
                  <c:v>3.2000000000000006</c:v>
                </c:pt>
                <c:pt idx="3">
                  <c:v>3.2</c:v>
                </c:pt>
                <c:pt idx="4">
                  <c:v>3.12</c:v>
                </c:pt>
                <c:pt idx="5">
                  <c:v>3.2600000000000002</c:v>
                </c:pt>
                <c:pt idx="6">
                  <c:v>4.6000000000000005</c:v>
                </c:pt>
                <c:pt idx="7">
                  <c:v>3.6999999999999997</c:v>
                </c:pt>
                <c:pt idx="8">
                  <c:v>3.9199999999999995</c:v>
                </c:pt>
                <c:pt idx="9">
                  <c:v>5</c:v>
                </c:pt>
                <c:pt idx="10">
                  <c:v>3.1999999999999997</c:v>
                </c:pt>
                <c:pt idx="11">
                  <c:v>2.8000000000000003</c:v>
                </c:pt>
                <c:pt idx="12">
                  <c:v>3.8285714285714292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E-455F-B909-CFE86354BC92}"/>
            </c:ext>
          </c:extLst>
        </c:ser>
        <c:ser>
          <c:idx val="2"/>
          <c:order val="2"/>
          <c:tx>
            <c:strRef>
              <c:f>'Управление ИБ'!$F$41</c:f>
              <c:strCache>
                <c:ptCount val="1"/>
                <c:pt idx="0">
                  <c:v>КБ1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'Управление ИБ'!$C$42:$C$55</c:f>
              <c:strCache>
                <c:ptCount val="14"/>
                <c:pt idx="0">
                  <c:v>СУИБ</c:v>
                </c:pt>
                <c:pt idx="1">
                  <c:v>УР</c:v>
                </c:pt>
                <c:pt idx="2">
                  <c:v>ЦП</c:v>
                </c:pt>
                <c:pt idx="3">
                  <c:v>ИН</c:v>
                </c:pt>
                <c:pt idx="4">
                  <c:v>УА</c:v>
                </c:pt>
                <c:pt idx="5">
                  <c:v>УД</c:v>
                </c:pt>
                <c:pt idx="6">
                  <c:v>ИА</c:v>
                </c:pt>
                <c:pt idx="7">
                  <c:v>Д</c:v>
                </c:pt>
                <c:pt idx="8">
                  <c:v>ОД</c:v>
                </c:pt>
                <c:pt idx="9">
                  <c:v>Люди</c:v>
                </c:pt>
                <c:pt idx="10">
                  <c:v>AW</c:v>
                </c:pt>
                <c:pt idx="11">
                  <c:v>ПР</c:v>
                </c:pt>
                <c:pt idx="12">
                  <c:v>БР</c:v>
                </c:pt>
                <c:pt idx="13">
                  <c:v>ФД</c:v>
                </c:pt>
              </c:strCache>
            </c:strRef>
          </c:cat>
          <c:val>
            <c:numRef>
              <c:f>'Управление ИБ'!$F$42:$F$55</c:f>
              <c:numCache>
                <c:formatCode>0.00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1.6000000000000003</c:v>
                </c:pt>
                <c:pt idx="3">
                  <c:v>1.2307692307692308</c:v>
                </c:pt>
                <c:pt idx="4">
                  <c:v>0.52</c:v>
                </c:pt>
                <c:pt idx="5">
                  <c:v>2.14</c:v>
                </c:pt>
                <c:pt idx="6">
                  <c:v>3.3111111111111113</c:v>
                </c:pt>
                <c:pt idx="7">
                  <c:v>0.8</c:v>
                </c:pt>
                <c:pt idx="8">
                  <c:v>0</c:v>
                </c:pt>
                <c:pt idx="9">
                  <c:v>5</c:v>
                </c:pt>
                <c:pt idx="10">
                  <c:v>1.5999999999999999</c:v>
                </c:pt>
                <c:pt idx="11">
                  <c:v>0.67826086956521736</c:v>
                </c:pt>
                <c:pt idx="12">
                  <c:v>0.98571428571428565</c:v>
                </c:pt>
                <c:pt idx="13">
                  <c:v>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E-455F-B909-CFE86354BC92}"/>
            </c:ext>
          </c:extLst>
        </c:ser>
        <c:ser>
          <c:idx val="3"/>
          <c:order val="3"/>
          <c:tx>
            <c:strRef>
              <c:f>'Управление ИБ'!$K$41</c:f>
              <c:strCache>
                <c:ptCount val="1"/>
                <c:pt idx="0">
                  <c:v>Расчетный показатель 2025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'Управление ИБ'!$C$42:$C$55</c:f>
              <c:strCache>
                <c:ptCount val="14"/>
                <c:pt idx="0">
                  <c:v>СУИБ</c:v>
                </c:pt>
                <c:pt idx="1">
                  <c:v>УР</c:v>
                </c:pt>
                <c:pt idx="2">
                  <c:v>ЦП</c:v>
                </c:pt>
                <c:pt idx="3">
                  <c:v>ИН</c:v>
                </c:pt>
                <c:pt idx="4">
                  <c:v>УА</c:v>
                </c:pt>
                <c:pt idx="5">
                  <c:v>УД</c:v>
                </c:pt>
                <c:pt idx="6">
                  <c:v>ИА</c:v>
                </c:pt>
                <c:pt idx="7">
                  <c:v>Д</c:v>
                </c:pt>
                <c:pt idx="8">
                  <c:v>ОД</c:v>
                </c:pt>
                <c:pt idx="9">
                  <c:v>Люди</c:v>
                </c:pt>
                <c:pt idx="10">
                  <c:v>AW</c:v>
                </c:pt>
                <c:pt idx="11">
                  <c:v>ПР</c:v>
                </c:pt>
                <c:pt idx="12">
                  <c:v>БР</c:v>
                </c:pt>
                <c:pt idx="13">
                  <c:v>ФД</c:v>
                </c:pt>
              </c:strCache>
            </c:strRef>
          </c:cat>
          <c:val>
            <c:numRef>
              <c:f>'Управление ИБ'!$K$42:$K$55</c:f>
              <c:numCache>
                <c:formatCode>0.00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1.6000000000000003</c:v>
                </c:pt>
                <c:pt idx="3">
                  <c:v>1.2307692307692308</c:v>
                </c:pt>
                <c:pt idx="4">
                  <c:v>0.52</c:v>
                </c:pt>
                <c:pt idx="5">
                  <c:v>2.14</c:v>
                </c:pt>
                <c:pt idx="6">
                  <c:v>3.3111111111111113</c:v>
                </c:pt>
                <c:pt idx="7">
                  <c:v>0.8</c:v>
                </c:pt>
                <c:pt idx="8">
                  <c:v>0</c:v>
                </c:pt>
                <c:pt idx="9">
                  <c:v>5</c:v>
                </c:pt>
                <c:pt idx="10">
                  <c:v>1.5999999999999999</c:v>
                </c:pt>
                <c:pt idx="11">
                  <c:v>0.67826086956521736</c:v>
                </c:pt>
                <c:pt idx="12">
                  <c:v>0.98571428571428565</c:v>
                </c:pt>
                <c:pt idx="13">
                  <c:v>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0E-455F-B909-CFE86354BC92}"/>
            </c:ext>
          </c:extLst>
        </c:ser>
        <c:ser>
          <c:idx val="4"/>
          <c:order val="4"/>
          <c:tx>
            <c:strRef>
              <c:f>'Управление ИБ'!$L$41</c:f>
              <c:strCache>
                <c:ptCount val="1"/>
                <c:pt idx="0">
                  <c:v>Текущий показатель</c:v>
                </c:pt>
              </c:strCache>
            </c:strRef>
          </c:tx>
          <c:marker>
            <c:symbol val="none"/>
          </c:marker>
          <c:cat>
            <c:strRef>
              <c:f>'Управление ИБ'!$C$42:$C$55</c:f>
              <c:strCache>
                <c:ptCount val="14"/>
                <c:pt idx="0">
                  <c:v>СУИБ</c:v>
                </c:pt>
                <c:pt idx="1">
                  <c:v>УР</c:v>
                </c:pt>
                <c:pt idx="2">
                  <c:v>ЦП</c:v>
                </c:pt>
                <c:pt idx="3">
                  <c:v>ИН</c:v>
                </c:pt>
                <c:pt idx="4">
                  <c:v>УА</c:v>
                </c:pt>
                <c:pt idx="5">
                  <c:v>УД</c:v>
                </c:pt>
                <c:pt idx="6">
                  <c:v>ИА</c:v>
                </c:pt>
                <c:pt idx="7">
                  <c:v>Д</c:v>
                </c:pt>
                <c:pt idx="8">
                  <c:v>ОД</c:v>
                </c:pt>
                <c:pt idx="9">
                  <c:v>Люди</c:v>
                </c:pt>
                <c:pt idx="10">
                  <c:v>AW</c:v>
                </c:pt>
                <c:pt idx="11">
                  <c:v>ПР</c:v>
                </c:pt>
                <c:pt idx="12">
                  <c:v>БР</c:v>
                </c:pt>
                <c:pt idx="13">
                  <c:v>ФД</c:v>
                </c:pt>
              </c:strCache>
            </c:strRef>
          </c:cat>
          <c:val>
            <c:numRef>
              <c:f>'Управление ИБ'!$L$42:$L$55</c:f>
              <c:numCache>
                <c:formatCode>0.00</c:formatCode>
                <c:ptCount val="14"/>
                <c:pt idx="0">
                  <c:v>3.3200000000000003</c:v>
                </c:pt>
                <c:pt idx="1">
                  <c:v>0</c:v>
                </c:pt>
                <c:pt idx="2">
                  <c:v>0</c:v>
                </c:pt>
                <c:pt idx="3">
                  <c:v>0.24615384615384617</c:v>
                </c:pt>
                <c:pt idx="4">
                  <c:v>0.84000000000000008</c:v>
                </c:pt>
                <c:pt idx="5">
                  <c:v>1.3199999999999998</c:v>
                </c:pt>
                <c:pt idx="6">
                  <c:v>0</c:v>
                </c:pt>
                <c:pt idx="7">
                  <c:v>2.5</c:v>
                </c:pt>
                <c:pt idx="8">
                  <c:v>0</c:v>
                </c:pt>
                <c:pt idx="9">
                  <c:v>0</c:v>
                </c:pt>
                <c:pt idx="10">
                  <c:v>0.14545454545454548</c:v>
                </c:pt>
                <c:pt idx="11">
                  <c:v>0.2434782608695652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A-4877-9CF5-C35F93DB6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912850"/>
        <c:axId val="1724609096"/>
      </c:radarChart>
      <c:catAx>
        <c:axId val="1026912850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cross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120000" spcFirstLastPara="1" vertOverflow="ellipsis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4609096"/>
        <c:crosses val="autoZero"/>
        <c:auto val="1"/>
        <c:lblAlgn val="ctr"/>
        <c:lblOffset val="100"/>
        <c:noMultiLvlLbl val="1"/>
      </c:catAx>
      <c:valAx>
        <c:axId val="1724609096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0.00" sourceLinked="1"/>
        <c:majorTickMark val="cross"/>
        <c:minorTickMark val="cross"/>
        <c:tickLblPos val="nextTo"/>
        <c:spPr>
          <a:prstGeom prst="rect">
            <a:avLst/>
          </a:prstGeom>
          <a:noFill/>
          <a:ln w="476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912850"/>
        <c:crosses val="autoZero"/>
        <c:crossBetween val="between"/>
      </c:valAx>
      <c:spPr>
        <a:prstGeom prst="rect">
          <a:avLst/>
        </a:prstGeom>
        <a:solidFill>
          <a:srgbClr val="FFFFFF"/>
        </a:solidFill>
        <a:ln>
          <a:noFill/>
        </a:ln>
      </c:spPr>
    </c:plotArea>
    <c:legend>
      <c:legendPos val="r"/>
      <c:overlay val="0"/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solidFill>
      <a:srgbClr val="FFFFFF"/>
    </a:solidFill>
    <a:ln w="6350" cap="flat" cmpd="sng" algn="ctr">
      <a:solidFill>
        <a:schemeClr val="tx1">
          <a:tint val="75000"/>
        </a:schemeClr>
      </a:solidFill>
      <a:prstDash val="solid"/>
      <a:round/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31192193986707"/>
          <c:y val="6.2544930866518952E-2"/>
          <c:w val="0.56506471844647788"/>
          <c:h val="0.88379617122405796"/>
        </c:manualLayout>
      </c:layout>
      <c:radarChart>
        <c:radarStyle val="marker"/>
        <c:varyColors val="1"/>
        <c:ser>
          <c:idx val="0"/>
          <c:order val="0"/>
          <c:tx>
            <c:strRef>
              <c:f>'Нормативное соответствие'!$D$41</c:f>
              <c:strCache>
                <c:ptCount val="1"/>
                <c:pt idx="0">
                  <c:v>КБ3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rgbClr val="AADB1E"/>
              </a:solidFill>
              <a:prstDash val="solid"/>
              <a:round/>
            </a:ln>
          </c:spPr>
          <c:marker>
            <c:symbol val="none"/>
          </c:marker>
          <c:cat>
            <c:strRef>
              <c:f>'Нормативное соответствие'!$C$42:$C$46</c:f>
              <c:strCache>
                <c:ptCount val="5"/>
                <c:pt idx="0">
                  <c:v>ПР</c:v>
                </c:pt>
                <c:pt idx="1">
                  <c:v>КИИ</c:v>
                </c:pt>
                <c:pt idx="2">
                  <c:v>КТ</c:v>
                </c:pt>
                <c:pt idx="3">
                  <c:v>СКЗИ</c:v>
                </c:pt>
                <c:pt idx="4">
                  <c:v>250</c:v>
                </c:pt>
              </c:strCache>
            </c:strRef>
          </c:cat>
          <c:val>
            <c:numRef>
              <c:f>'Нормативное соответствие'!$D$42:$D$46</c:f>
              <c:numCache>
                <c:formatCode>0.00</c:formatCode>
                <c:ptCount val="5"/>
                <c:pt idx="0">
                  <c:v>5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5-4431-A418-1681D9C33F18}"/>
            </c:ext>
          </c:extLst>
        </c:ser>
        <c:ser>
          <c:idx val="1"/>
          <c:order val="1"/>
          <c:tx>
            <c:strRef>
              <c:f>'Нормативное соответствие'!$E$41</c:f>
              <c:strCache>
                <c:ptCount val="1"/>
                <c:pt idx="0">
                  <c:v>КБ2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'Нормативное соответствие'!$C$42:$C$46</c:f>
              <c:strCache>
                <c:ptCount val="5"/>
                <c:pt idx="0">
                  <c:v>ПР</c:v>
                </c:pt>
                <c:pt idx="1">
                  <c:v>КИИ</c:v>
                </c:pt>
                <c:pt idx="2">
                  <c:v>КТ</c:v>
                </c:pt>
                <c:pt idx="3">
                  <c:v>СКЗИ</c:v>
                </c:pt>
                <c:pt idx="4">
                  <c:v>250</c:v>
                </c:pt>
              </c:strCache>
            </c:strRef>
          </c:cat>
          <c:val>
            <c:numRef>
              <c:f>'Нормативное соответствие'!$E$42:$E$46</c:f>
              <c:numCache>
                <c:formatCode>0.00</c:formatCode>
                <c:ptCount val="5"/>
                <c:pt idx="0">
                  <c:v>5</c:v>
                </c:pt>
                <c:pt idx="1">
                  <c:v>0</c:v>
                </c:pt>
                <c:pt idx="2">
                  <c:v>5</c:v>
                </c:pt>
                <c:pt idx="3">
                  <c:v>4.82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5-4431-A418-1681D9C33F18}"/>
            </c:ext>
          </c:extLst>
        </c:ser>
        <c:ser>
          <c:idx val="2"/>
          <c:order val="2"/>
          <c:tx>
            <c:strRef>
              <c:f>'Нормативное соответствие'!$F$41</c:f>
              <c:strCache>
                <c:ptCount val="1"/>
                <c:pt idx="0">
                  <c:v>КБ1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'Нормативное соответствие'!$C$42:$C$46</c:f>
              <c:strCache>
                <c:ptCount val="5"/>
                <c:pt idx="0">
                  <c:v>ПР</c:v>
                </c:pt>
                <c:pt idx="1">
                  <c:v>КИИ</c:v>
                </c:pt>
                <c:pt idx="2">
                  <c:v>КТ</c:v>
                </c:pt>
                <c:pt idx="3">
                  <c:v>СКЗИ</c:v>
                </c:pt>
                <c:pt idx="4">
                  <c:v>250</c:v>
                </c:pt>
              </c:strCache>
            </c:strRef>
          </c:cat>
          <c:val>
            <c:numRef>
              <c:f>'Нормативное соответствие'!$F$42:$F$46</c:f>
              <c:numCache>
                <c:formatCode>0.00</c:formatCode>
                <c:ptCount val="5"/>
                <c:pt idx="0">
                  <c:v>5</c:v>
                </c:pt>
                <c:pt idx="1">
                  <c:v>0</c:v>
                </c:pt>
                <c:pt idx="2">
                  <c:v>5</c:v>
                </c:pt>
                <c:pt idx="3">
                  <c:v>4.66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F5-4431-A418-1681D9C33F18}"/>
            </c:ext>
          </c:extLst>
        </c:ser>
        <c:ser>
          <c:idx val="3"/>
          <c:order val="3"/>
          <c:tx>
            <c:strRef>
              <c:f>'Нормативное соответствие'!$G$41</c:f>
              <c:strCache>
                <c:ptCount val="1"/>
                <c:pt idx="0">
                  <c:v>Исторические данные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'Нормативное соответствие'!$C$42:$C$46</c:f>
              <c:strCache>
                <c:ptCount val="5"/>
                <c:pt idx="0">
                  <c:v>ПР</c:v>
                </c:pt>
                <c:pt idx="1">
                  <c:v>КИИ</c:v>
                </c:pt>
                <c:pt idx="2">
                  <c:v>КТ</c:v>
                </c:pt>
                <c:pt idx="3">
                  <c:v>СКЗИ</c:v>
                </c:pt>
                <c:pt idx="4">
                  <c:v>250</c:v>
                </c:pt>
              </c:strCache>
            </c:strRef>
          </c:cat>
          <c:val>
            <c:numRef>
              <c:f>'Нормативное соответствие'!$G$42:$G$46</c:f>
            </c:numRef>
          </c:val>
          <c:extLst>
            <c:ext xmlns:c16="http://schemas.microsoft.com/office/drawing/2014/chart" uri="{C3380CC4-5D6E-409C-BE32-E72D297353CC}">
              <c16:uniqueId val="{00000003-7CF5-4431-A418-1681D9C33F18}"/>
            </c:ext>
          </c:extLst>
        </c:ser>
        <c:ser>
          <c:idx val="4"/>
          <c:order val="4"/>
          <c:tx>
            <c:strRef>
              <c:f>'Нормативное соответствие'!$H$41</c:f>
              <c:strCache>
                <c:ptCount val="1"/>
                <c:pt idx="0">
                  <c:v>Исторические данные</c:v>
                </c:pt>
              </c:strCache>
            </c:strRef>
          </c:tx>
          <c:marker>
            <c:symbol val="none"/>
          </c:marker>
          <c:cat>
            <c:strRef>
              <c:f>'Нормативное соответствие'!$C$42:$C$46</c:f>
              <c:strCache>
                <c:ptCount val="5"/>
                <c:pt idx="0">
                  <c:v>ПР</c:v>
                </c:pt>
                <c:pt idx="1">
                  <c:v>КИИ</c:v>
                </c:pt>
                <c:pt idx="2">
                  <c:v>КТ</c:v>
                </c:pt>
                <c:pt idx="3">
                  <c:v>СКЗИ</c:v>
                </c:pt>
                <c:pt idx="4">
                  <c:v>250</c:v>
                </c:pt>
              </c:strCache>
            </c:strRef>
          </c:cat>
          <c:val>
            <c:numRef>
              <c:f>'Нормативное соответствие'!$H$42:$H$46</c:f>
            </c:numRef>
          </c:val>
          <c:extLst>
            <c:ext xmlns:c16="http://schemas.microsoft.com/office/drawing/2014/chart" uri="{C3380CC4-5D6E-409C-BE32-E72D297353CC}">
              <c16:uniqueId val="{00000000-DB33-4407-9330-EA8F5D64EDF8}"/>
            </c:ext>
          </c:extLst>
        </c:ser>
        <c:ser>
          <c:idx val="5"/>
          <c:order val="5"/>
          <c:tx>
            <c:strRef>
              <c:f>'Нормативное соответствие'!$K$41</c:f>
              <c:strCache>
                <c:ptCount val="1"/>
                <c:pt idx="0">
                  <c:v>Расчетный показатель 2025</c:v>
                </c:pt>
              </c:strCache>
            </c:strRef>
          </c:tx>
          <c:marker>
            <c:symbol val="none"/>
          </c:marker>
          <c:cat>
            <c:strRef>
              <c:f>'Нормативное соответствие'!$C$42:$C$46</c:f>
              <c:strCache>
                <c:ptCount val="5"/>
                <c:pt idx="0">
                  <c:v>ПР</c:v>
                </c:pt>
                <c:pt idx="1">
                  <c:v>КИИ</c:v>
                </c:pt>
                <c:pt idx="2">
                  <c:v>КТ</c:v>
                </c:pt>
                <c:pt idx="3">
                  <c:v>СКЗИ</c:v>
                </c:pt>
                <c:pt idx="4">
                  <c:v>250</c:v>
                </c:pt>
              </c:strCache>
            </c:strRef>
          </c:cat>
          <c:val>
            <c:numRef>
              <c:f>'Нормативное соответствие'!$K$42:$K$46</c:f>
              <c:numCache>
                <c:formatCode>0.00</c:formatCode>
                <c:ptCount val="5"/>
                <c:pt idx="0">
                  <c:v>5</c:v>
                </c:pt>
                <c:pt idx="1">
                  <c:v>0</c:v>
                </c:pt>
                <c:pt idx="2">
                  <c:v>5</c:v>
                </c:pt>
                <c:pt idx="3">
                  <c:v>4.66</c:v>
                </c:pt>
                <c:pt idx="4">
                  <c:v>0.43402777777777785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33-4407-9330-EA8F5D64E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912850"/>
        <c:axId val="1724609096"/>
      </c:radarChart>
      <c:catAx>
        <c:axId val="1026912850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cross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120000" spcFirstLastPara="1" vertOverflow="ellipsis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4609096"/>
        <c:crosses val="autoZero"/>
        <c:auto val="1"/>
        <c:lblAlgn val="ctr"/>
        <c:lblOffset val="100"/>
        <c:noMultiLvlLbl val="1"/>
      </c:catAx>
      <c:valAx>
        <c:axId val="1724609096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0.00" sourceLinked="1"/>
        <c:majorTickMark val="cross"/>
        <c:minorTickMark val="cross"/>
        <c:tickLblPos val="nextTo"/>
        <c:spPr>
          <a:prstGeom prst="rect">
            <a:avLst/>
          </a:prstGeom>
          <a:solidFill>
            <a:srgbClr val="AADB1E"/>
          </a:solidFill>
          <a:ln w="476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912850"/>
        <c:crosses val="autoZero"/>
        <c:crossBetween val="between"/>
      </c:valAx>
      <c:spPr>
        <a:prstGeom prst="rect">
          <a:avLst/>
        </a:prstGeom>
        <a:solidFill>
          <a:srgbClr val="FFFFFF"/>
        </a:solidFill>
        <a:ln>
          <a:noFill/>
        </a:ln>
      </c:spPr>
    </c:plotArea>
    <c:legend>
      <c:legendPos val="r"/>
      <c:overlay val="0"/>
      <c:txPr>
        <a:bodyPr/>
        <a:lstStyle/>
        <a:p>
          <a:pPr rtl="0">
            <a:defRPr/>
          </a:pPr>
          <a:endParaRPr lang="ru-RU"/>
        </a:p>
      </c:txPr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solidFill>
      <a:srgbClr val="FFFFFF"/>
    </a:solidFill>
    <a:ln w="6350" cap="flat" cmpd="sng" algn="ctr">
      <a:solidFill>
        <a:schemeClr val="tx1">
          <a:tint val="75000"/>
        </a:schemeClr>
      </a:solidFill>
      <a:prstDash val="solid"/>
      <a:round/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634566905853716"/>
          <c:y val="5.5149262371728194E-2"/>
          <c:w val="0.56506471844647788"/>
          <c:h val="0.88379617122405796"/>
        </c:manualLayout>
      </c:layout>
      <c:radarChart>
        <c:radarStyle val="marker"/>
        <c:varyColors val="1"/>
        <c:ser>
          <c:idx val="0"/>
          <c:order val="0"/>
          <c:tx>
            <c:strRef>
              <c:f>'250'!$D$41</c:f>
              <c:strCache>
                <c:ptCount val="1"/>
                <c:pt idx="0">
                  <c:v>КБ3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rgbClr val="AADB1E"/>
              </a:solidFill>
              <a:prstDash val="solid"/>
              <a:round/>
            </a:ln>
          </c:spPr>
          <c:marker>
            <c:symbol val="none"/>
          </c:marker>
          <c:cat>
            <c:strRef>
              <c:f>'250'!$C$51:$C$98</c:f>
              <c:strCache>
                <c:ptCount val="48"/>
                <c:pt idx="0">
                  <c:v>ОУ</c:v>
                </c:pt>
                <c:pt idx="2">
                  <c:v>СУИБ.УР.10</c:v>
                </c:pt>
                <c:pt idx="3">
                  <c:v>НС.250.ОУ.2</c:v>
                </c:pt>
                <c:pt idx="4">
                  <c:v>НС.250.ОУ.3</c:v>
                </c:pt>
                <c:pt idx="5">
                  <c:v>НС.250.ОУ.4</c:v>
                </c:pt>
                <c:pt idx="6">
                  <c:v>НС.250.ОУ.5</c:v>
                </c:pt>
                <c:pt idx="7">
                  <c:v>НС.250.ОУ.6</c:v>
                </c:pt>
                <c:pt idx="8">
                  <c:v>НС.250.ОУ.7</c:v>
                </c:pt>
                <c:pt idx="9">
                  <c:v>НС.250.ОУ.8</c:v>
                </c:pt>
                <c:pt idx="10">
                  <c:v>ПДР</c:v>
                </c:pt>
                <c:pt idx="11">
                  <c:v>СУИБ.УР.11</c:v>
                </c:pt>
                <c:pt idx="12">
                  <c:v>НС.250.ПДР.2</c:v>
                </c:pt>
                <c:pt idx="13">
                  <c:v>НС.250.ПДР.3</c:v>
                </c:pt>
                <c:pt idx="14">
                  <c:v>ПДРД</c:v>
                </c:pt>
                <c:pt idx="15">
                  <c:v>НС.250.ПДРД.1</c:v>
                </c:pt>
                <c:pt idx="16">
                  <c:v>НС.250.ПДРД.2</c:v>
                </c:pt>
                <c:pt idx="17">
                  <c:v>НС.250.ПДРД.3</c:v>
                </c:pt>
                <c:pt idx="18">
                  <c:v>НС.250.ПДРД.4</c:v>
                </c:pt>
                <c:pt idx="19">
                  <c:v>ИБ</c:v>
                </c:pt>
                <c:pt idx="20">
                  <c:v>СУИБ.УР.1</c:v>
                </c:pt>
                <c:pt idx="21">
                  <c:v>СУИБ.УР.2</c:v>
                </c:pt>
                <c:pt idx="22">
                  <c:v>НС.250.ИБ.3</c:v>
                </c:pt>
                <c:pt idx="23">
                  <c:v>НС.250.ИБ.4</c:v>
                </c:pt>
                <c:pt idx="24">
                  <c:v>НС.250.ИБ.5</c:v>
                </c:pt>
                <c:pt idx="25">
                  <c:v>НС.250.ИБ.6</c:v>
                </c:pt>
                <c:pt idx="26">
                  <c:v>НС.250.ИБ.7</c:v>
                </c:pt>
                <c:pt idx="27">
                  <c:v>НС.250.ИБ.8</c:v>
                </c:pt>
                <c:pt idx="28">
                  <c:v>НС.250.ИБ.9</c:v>
                </c:pt>
                <c:pt idx="29">
                  <c:v>НС.250.ИБ.10</c:v>
                </c:pt>
                <c:pt idx="30">
                  <c:v>НС.250.ИБ.11</c:v>
                </c:pt>
                <c:pt idx="31">
                  <c:v>НС.250.ИБ.12</c:v>
                </c:pt>
                <c:pt idx="32">
                  <c:v>НС.250.ИБ.13</c:v>
                </c:pt>
                <c:pt idx="33">
                  <c:v>НС.250.ИБ.14</c:v>
                </c:pt>
                <c:pt idx="34">
                  <c:v>НС.250.ИБ.15</c:v>
                </c:pt>
                <c:pt idx="35">
                  <c:v>НС.250.ИБ.16</c:v>
                </c:pt>
                <c:pt idx="36">
                  <c:v>СЗИ</c:v>
                </c:pt>
                <c:pt idx="37">
                  <c:v>НС.250.СЗИ.1</c:v>
                </c:pt>
                <c:pt idx="38">
                  <c:v>НС.250.СЗИ.2</c:v>
                </c:pt>
                <c:pt idx="39">
                  <c:v>НС.250.СЗИ.3</c:v>
                </c:pt>
                <c:pt idx="40">
                  <c:v>НС.250.СЗИ.4</c:v>
                </c:pt>
                <c:pt idx="41">
                  <c:v>НС.250.СЗИ.5</c:v>
                </c:pt>
                <c:pt idx="42">
                  <c:v>СОПКА</c:v>
                </c:pt>
                <c:pt idx="43">
                  <c:v>НС.250.СОПКА.1</c:v>
                </c:pt>
                <c:pt idx="44">
                  <c:v>НС.250.СОПКА.2</c:v>
                </c:pt>
                <c:pt idx="45">
                  <c:v>НС.250.СОПКА.3</c:v>
                </c:pt>
                <c:pt idx="46">
                  <c:v>НС.250.СОПКА.4</c:v>
                </c:pt>
                <c:pt idx="47">
                  <c:v>НС.250.СОПКА.5</c:v>
                </c:pt>
              </c:strCache>
            </c:strRef>
          </c:cat>
          <c:val>
            <c:numRef>
              <c:f>'250'!$D$51:$D$98</c:f>
              <c:numCache>
                <c:formatCode>General</c:formatCode>
                <c:ptCount val="48"/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5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6-406B-B3FF-1E25F24A6E6B}"/>
            </c:ext>
          </c:extLst>
        </c:ser>
        <c:ser>
          <c:idx val="1"/>
          <c:order val="1"/>
          <c:tx>
            <c:strRef>
              <c:f>'Нормативное соответствие'!$H$41</c:f>
              <c:strCache>
                <c:ptCount val="1"/>
                <c:pt idx="0">
                  <c:v>Исторические данные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'250'!$C$51:$C$98</c:f>
              <c:strCache>
                <c:ptCount val="48"/>
                <c:pt idx="0">
                  <c:v>ОУ</c:v>
                </c:pt>
                <c:pt idx="2">
                  <c:v>СУИБ.УР.10</c:v>
                </c:pt>
                <c:pt idx="3">
                  <c:v>НС.250.ОУ.2</c:v>
                </c:pt>
                <c:pt idx="4">
                  <c:v>НС.250.ОУ.3</c:v>
                </c:pt>
                <c:pt idx="5">
                  <c:v>НС.250.ОУ.4</c:v>
                </c:pt>
                <c:pt idx="6">
                  <c:v>НС.250.ОУ.5</c:v>
                </c:pt>
                <c:pt idx="7">
                  <c:v>НС.250.ОУ.6</c:v>
                </c:pt>
                <c:pt idx="8">
                  <c:v>НС.250.ОУ.7</c:v>
                </c:pt>
                <c:pt idx="9">
                  <c:v>НС.250.ОУ.8</c:v>
                </c:pt>
                <c:pt idx="10">
                  <c:v>ПДР</c:v>
                </c:pt>
                <c:pt idx="11">
                  <c:v>СУИБ.УР.11</c:v>
                </c:pt>
                <c:pt idx="12">
                  <c:v>НС.250.ПДР.2</c:v>
                </c:pt>
                <c:pt idx="13">
                  <c:v>НС.250.ПДР.3</c:v>
                </c:pt>
                <c:pt idx="14">
                  <c:v>ПДРД</c:v>
                </c:pt>
                <c:pt idx="15">
                  <c:v>НС.250.ПДРД.1</c:v>
                </c:pt>
                <c:pt idx="16">
                  <c:v>НС.250.ПДРД.2</c:v>
                </c:pt>
                <c:pt idx="17">
                  <c:v>НС.250.ПДРД.3</c:v>
                </c:pt>
                <c:pt idx="18">
                  <c:v>НС.250.ПДРД.4</c:v>
                </c:pt>
                <c:pt idx="19">
                  <c:v>ИБ</c:v>
                </c:pt>
                <c:pt idx="20">
                  <c:v>СУИБ.УР.1</c:v>
                </c:pt>
                <c:pt idx="21">
                  <c:v>СУИБ.УР.2</c:v>
                </c:pt>
                <c:pt idx="22">
                  <c:v>НС.250.ИБ.3</c:v>
                </c:pt>
                <c:pt idx="23">
                  <c:v>НС.250.ИБ.4</c:v>
                </c:pt>
                <c:pt idx="24">
                  <c:v>НС.250.ИБ.5</c:v>
                </c:pt>
                <c:pt idx="25">
                  <c:v>НС.250.ИБ.6</c:v>
                </c:pt>
                <c:pt idx="26">
                  <c:v>НС.250.ИБ.7</c:v>
                </c:pt>
                <c:pt idx="27">
                  <c:v>НС.250.ИБ.8</c:v>
                </c:pt>
                <c:pt idx="28">
                  <c:v>НС.250.ИБ.9</c:v>
                </c:pt>
                <c:pt idx="29">
                  <c:v>НС.250.ИБ.10</c:v>
                </c:pt>
                <c:pt idx="30">
                  <c:v>НС.250.ИБ.11</c:v>
                </c:pt>
                <c:pt idx="31">
                  <c:v>НС.250.ИБ.12</c:v>
                </c:pt>
                <c:pt idx="32">
                  <c:v>НС.250.ИБ.13</c:v>
                </c:pt>
                <c:pt idx="33">
                  <c:v>НС.250.ИБ.14</c:v>
                </c:pt>
                <c:pt idx="34">
                  <c:v>НС.250.ИБ.15</c:v>
                </c:pt>
                <c:pt idx="35">
                  <c:v>НС.250.ИБ.16</c:v>
                </c:pt>
                <c:pt idx="36">
                  <c:v>СЗИ</c:v>
                </c:pt>
                <c:pt idx="37">
                  <c:v>НС.250.СЗИ.1</c:v>
                </c:pt>
                <c:pt idx="38">
                  <c:v>НС.250.СЗИ.2</c:v>
                </c:pt>
                <c:pt idx="39">
                  <c:v>НС.250.СЗИ.3</c:v>
                </c:pt>
                <c:pt idx="40">
                  <c:v>НС.250.СЗИ.4</c:v>
                </c:pt>
                <c:pt idx="41">
                  <c:v>НС.250.СЗИ.5</c:v>
                </c:pt>
                <c:pt idx="42">
                  <c:v>СОПКА</c:v>
                </c:pt>
                <c:pt idx="43">
                  <c:v>НС.250.СОПКА.1</c:v>
                </c:pt>
                <c:pt idx="44">
                  <c:v>НС.250.СОПКА.2</c:v>
                </c:pt>
                <c:pt idx="45">
                  <c:v>НС.250.СОПКА.3</c:v>
                </c:pt>
                <c:pt idx="46">
                  <c:v>НС.250.СОПКА.4</c:v>
                </c:pt>
                <c:pt idx="47">
                  <c:v>НС.250.СОПКА.5</c:v>
                </c:pt>
              </c:strCache>
            </c:strRef>
          </c:cat>
          <c:val>
            <c:numRef>
              <c:f>'250'!$L$53:$L$98</c:f>
              <c:numCache>
                <c:formatCode>General</c:formatCode>
                <c:ptCount val="4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6-406B-B3FF-1E25F24A6E6B}"/>
            </c:ext>
          </c:extLst>
        </c:ser>
        <c:ser>
          <c:idx val="2"/>
          <c:order val="2"/>
          <c:tx>
            <c:strRef>
              <c:f>'250'!$E$41</c:f>
              <c:strCache>
                <c:ptCount val="1"/>
                <c:pt idx="0">
                  <c:v>КБ2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'250'!$E$51:$E$98</c:f>
              <c:numCache>
                <c:formatCode>General</c:formatCode>
                <c:ptCount val="48"/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5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A6-406B-B3FF-1E25F24A6E6B}"/>
            </c:ext>
          </c:extLst>
        </c:ser>
        <c:ser>
          <c:idx val="3"/>
          <c:order val="3"/>
          <c:tx>
            <c:strRef>
              <c:f>'250'!$F$41</c:f>
              <c:strCache>
                <c:ptCount val="1"/>
                <c:pt idx="0">
                  <c:v>КБ1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'250'!$F$51:$F$98</c:f>
              <c:numCache>
                <c:formatCode>General</c:formatCode>
                <c:ptCount val="48"/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A6-406B-B3FF-1E25F24A6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912850"/>
        <c:axId val="1724609096"/>
      </c:radarChart>
      <c:catAx>
        <c:axId val="1026912850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cross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120000" spcFirstLastPara="1" vertOverflow="ellipsis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4609096"/>
        <c:crosses val="autoZero"/>
        <c:auto val="1"/>
        <c:lblAlgn val="ctr"/>
        <c:lblOffset val="100"/>
        <c:noMultiLvlLbl val="1"/>
      </c:catAx>
      <c:valAx>
        <c:axId val="1724609096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cross"/>
        <c:minorTickMark val="cross"/>
        <c:tickLblPos val="nextTo"/>
        <c:spPr>
          <a:prstGeom prst="rect">
            <a:avLst/>
          </a:prstGeom>
          <a:noFill/>
          <a:ln w="476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912850"/>
        <c:crosses val="autoZero"/>
        <c:crossBetween val="between"/>
      </c:valAx>
      <c:spPr>
        <a:prstGeom prst="rect">
          <a:avLst/>
        </a:prstGeom>
        <a:solidFill>
          <a:srgbClr val="FFFFFF"/>
        </a:solidFill>
        <a:ln>
          <a:noFill/>
        </a:ln>
      </c:spPr>
    </c:plotArea>
    <c:plotVisOnly val="1"/>
    <c:dispBlanksAs val="zero"/>
    <c:showDLblsOverMax val="1"/>
  </c:chart>
  <c:spPr>
    <a:xfrm>
      <a:off x="0" y="0"/>
      <a:ext cx="0" cy="0"/>
    </a:xfrm>
    <a:prstGeom prst="rect">
      <a:avLst/>
    </a:prstGeom>
    <a:solidFill>
      <a:srgbClr val="FFFFFF"/>
    </a:solidFill>
    <a:ln w="6350" cap="flat" cmpd="sng" algn="ctr">
      <a:solidFill>
        <a:schemeClr val="tx1">
          <a:tint val="75000"/>
        </a:schemeClr>
      </a:solidFill>
      <a:prstDash val="solid"/>
      <a:round/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1"/>
        <c:ser>
          <c:idx val="1"/>
          <c:order val="0"/>
          <c:tx>
            <c:strRef>
              <c:f>СЗИ!$D$28</c:f>
              <c:strCache>
                <c:ptCount val="1"/>
                <c:pt idx="0">
                  <c:v>КБ3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СЗИ!$C$29:$C$42</c:f>
              <c:strCache>
                <c:ptCount val="14"/>
                <c:pt idx="0">
                  <c:v>ВПО</c:v>
                </c:pt>
                <c:pt idx="1">
                  <c:v>2FA</c:v>
                </c:pt>
                <c:pt idx="2">
                  <c:v>CPT</c:v>
                </c:pt>
                <c:pt idx="3">
                  <c:v>RA VPN</c:v>
                </c:pt>
                <c:pt idx="4">
                  <c:v>СКЗИ</c:v>
                </c:pt>
                <c:pt idx="5">
                  <c:v>SIEM</c:v>
                </c:pt>
                <c:pt idx="6">
                  <c:v>NGFW</c:v>
                </c:pt>
                <c:pt idx="7">
                  <c:v>Proxy</c:v>
                </c:pt>
                <c:pt idx="8">
                  <c:v>АВЗ</c:v>
                </c:pt>
                <c:pt idx="9">
                  <c:v>DDoS</c:v>
                </c:pt>
                <c:pt idx="10">
                  <c:v>SPAM</c:v>
                </c:pt>
                <c:pt idx="11">
                  <c:v>WAF</c:v>
                </c:pt>
                <c:pt idx="12">
                  <c:v>PAM</c:v>
                </c:pt>
                <c:pt idx="13">
                  <c:v>DLP</c:v>
                </c:pt>
              </c:strCache>
            </c:strRef>
          </c:cat>
          <c:val>
            <c:numRef>
              <c:f>СЗИ!$D$29:$D$42</c:f>
              <c:numCache>
                <c:formatCode>0.00</c:formatCode>
                <c:ptCount val="14"/>
                <c:pt idx="0">
                  <c:v>4.59375</c:v>
                </c:pt>
                <c:pt idx="1">
                  <c:v>5</c:v>
                </c:pt>
                <c:pt idx="2">
                  <c:v>4.583333333333333</c:v>
                </c:pt>
                <c:pt idx="3">
                  <c:v>5</c:v>
                </c:pt>
                <c:pt idx="4">
                  <c:v>5</c:v>
                </c:pt>
                <c:pt idx="5">
                  <c:v>4.6346153846153841</c:v>
                </c:pt>
                <c:pt idx="6">
                  <c:v>5</c:v>
                </c:pt>
                <c:pt idx="7">
                  <c:v>5</c:v>
                </c:pt>
                <c:pt idx="8">
                  <c:v>4.666666666666667</c:v>
                </c:pt>
                <c:pt idx="9">
                  <c:v>5</c:v>
                </c:pt>
                <c:pt idx="10">
                  <c:v>5</c:v>
                </c:pt>
                <c:pt idx="11">
                  <c:v>4.8</c:v>
                </c:pt>
                <c:pt idx="12">
                  <c:v>5</c:v>
                </c:pt>
                <c:pt idx="13">
                  <c:v>4.8214285714285712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2-46EE-A654-A1B381A67F33}"/>
            </c:ext>
          </c:extLst>
        </c:ser>
        <c:ser>
          <c:idx val="0"/>
          <c:order val="1"/>
          <c:tx>
            <c:strRef>
              <c:f>СЗИ!$E$28</c:f>
              <c:strCache>
                <c:ptCount val="1"/>
                <c:pt idx="0">
                  <c:v>КБ2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СЗИ!$C$29:$C$42</c:f>
              <c:strCache>
                <c:ptCount val="14"/>
                <c:pt idx="0">
                  <c:v>ВПО</c:v>
                </c:pt>
                <c:pt idx="1">
                  <c:v>2FA</c:v>
                </c:pt>
                <c:pt idx="2">
                  <c:v>CPT</c:v>
                </c:pt>
                <c:pt idx="3">
                  <c:v>RA VPN</c:v>
                </c:pt>
                <c:pt idx="4">
                  <c:v>СКЗИ</c:v>
                </c:pt>
                <c:pt idx="5">
                  <c:v>SIEM</c:v>
                </c:pt>
                <c:pt idx="6">
                  <c:v>NGFW</c:v>
                </c:pt>
                <c:pt idx="7">
                  <c:v>Proxy</c:v>
                </c:pt>
                <c:pt idx="8">
                  <c:v>АВЗ</c:v>
                </c:pt>
                <c:pt idx="9">
                  <c:v>DDoS</c:v>
                </c:pt>
                <c:pt idx="10">
                  <c:v>SPAM</c:v>
                </c:pt>
                <c:pt idx="11">
                  <c:v>WAF</c:v>
                </c:pt>
                <c:pt idx="12">
                  <c:v>PAM</c:v>
                </c:pt>
                <c:pt idx="13">
                  <c:v>DLP</c:v>
                </c:pt>
              </c:strCache>
            </c:strRef>
          </c:cat>
          <c:val>
            <c:numRef>
              <c:f>СЗИ!$E$29:$E$42</c:f>
              <c:numCache>
                <c:formatCode>0.00</c:formatCode>
                <c:ptCount val="14"/>
                <c:pt idx="0">
                  <c:v>4.1875</c:v>
                </c:pt>
                <c:pt idx="1">
                  <c:v>5</c:v>
                </c:pt>
                <c:pt idx="2">
                  <c:v>4.166666666666667</c:v>
                </c:pt>
                <c:pt idx="3">
                  <c:v>4.55</c:v>
                </c:pt>
                <c:pt idx="4">
                  <c:v>4.9550000000000001</c:v>
                </c:pt>
                <c:pt idx="5">
                  <c:v>3.7205128205128202</c:v>
                </c:pt>
                <c:pt idx="6">
                  <c:v>4.0999999999999996</c:v>
                </c:pt>
                <c:pt idx="7">
                  <c:v>3.0250000000000004</c:v>
                </c:pt>
                <c:pt idx="8">
                  <c:v>3.7333333333333329</c:v>
                </c:pt>
                <c:pt idx="9">
                  <c:v>4.2</c:v>
                </c:pt>
                <c:pt idx="10">
                  <c:v>1</c:v>
                </c:pt>
                <c:pt idx="11">
                  <c:v>1.24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2-46EE-A654-A1B381A67F33}"/>
            </c:ext>
          </c:extLst>
        </c:ser>
        <c:ser>
          <c:idx val="2"/>
          <c:order val="2"/>
          <c:tx>
            <c:strRef>
              <c:f>СЗИ!$F$28</c:f>
              <c:strCache>
                <c:ptCount val="1"/>
                <c:pt idx="0">
                  <c:v>КБ1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СЗИ!$C$29:$C$42</c:f>
              <c:strCache>
                <c:ptCount val="14"/>
                <c:pt idx="0">
                  <c:v>ВПО</c:v>
                </c:pt>
                <c:pt idx="1">
                  <c:v>2FA</c:v>
                </c:pt>
                <c:pt idx="2">
                  <c:v>CPT</c:v>
                </c:pt>
                <c:pt idx="3">
                  <c:v>RA VPN</c:v>
                </c:pt>
                <c:pt idx="4">
                  <c:v>СКЗИ</c:v>
                </c:pt>
                <c:pt idx="5">
                  <c:v>SIEM</c:v>
                </c:pt>
                <c:pt idx="6">
                  <c:v>NGFW</c:v>
                </c:pt>
                <c:pt idx="7">
                  <c:v>Proxy</c:v>
                </c:pt>
                <c:pt idx="8">
                  <c:v>АВЗ</c:v>
                </c:pt>
                <c:pt idx="9">
                  <c:v>DDoS</c:v>
                </c:pt>
                <c:pt idx="10">
                  <c:v>SPAM</c:v>
                </c:pt>
                <c:pt idx="11">
                  <c:v>WAF</c:v>
                </c:pt>
                <c:pt idx="12">
                  <c:v>PAM</c:v>
                </c:pt>
                <c:pt idx="13">
                  <c:v>DLP</c:v>
                </c:pt>
              </c:strCache>
            </c:strRef>
          </c:cat>
          <c:val>
            <c:numRef>
              <c:f>СЗИ!$F$29:$F$42</c:f>
              <c:numCache>
                <c:formatCode>0.00</c:formatCode>
                <c:ptCount val="14"/>
                <c:pt idx="0">
                  <c:v>3.4937499999999999</c:v>
                </c:pt>
                <c:pt idx="1">
                  <c:v>3.6499999999999995</c:v>
                </c:pt>
                <c:pt idx="2">
                  <c:v>3.25</c:v>
                </c:pt>
                <c:pt idx="3">
                  <c:v>4.0999999999999996</c:v>
                </c:pt>
                <c:pt idx="4">
                  <c:v>4.4649999999999999</c:v>
                </c:pt>
                <c:pt idx="5">
                  <c:v>4.1025641025641026E-2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0.84000000000000008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22-46EE-A654-A1B381A67F33}"/>
            </c:ext>
          </c:extLst>
        </c:ser>
        <c:ser>
          <c:idx val="3"/>
          <c:order val="3"/>
          <c:tx>
            <c:strRef>
              <c:f>СЗИ!$H$28</c:f>
              <c:strCache>
                <c:ptCount val="1"/>
                <c:pt idx="0">
                  <c:v>Исторические данные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СЗИ!$C$29:$C$42</c:f>
              <c:strCache>
                <c:ptCount val="14"/>
                <c:pt idx="0">
                  <c:v>ВПО</c:v>
                </c:pt>
                <c:pt idx="1">
                  <c:v>2FA</c:v>
                </c:pt>
                <c:pt idx="2">
                  <c:v>CPT</c:v>
                </c:pt>
                <c:pt idx="3">
                  <c:v>RA VPN</c:v>
                </c:pt>
                <c:pt idx="4">
                  <c:v>СКЗИ</c:v>
                </c:pt>
                <c:pt idx="5">
                  <c:v>SIEM</c:v>
                </c:pt>
                <c:pt idx="6">
                  <c:v>NGFW</c:v>
                </c:pt>
                <c:pt idx="7">
                  <c:v>Proxy</c:v>
                </c:pt>
                <c:pt idx="8">
                  <c:v>АВЗ</c:v>
                </c:pt>
                <c:pt idx="9">
                  <c:v>DDoS</c:v>
                </c:pt>
                <c:pt idx="10">
                  <c:v>SPAM</c:v>
                </c:pt>
                <c:pt idx="11">
                  <c:v>WAF</c:v>
                </c:pt>
                <c:pt idx="12">
                  <c:v>PAM</c:v>
                </c:pt>
                <c:pt idx="13">
                  <c:v>DLP</c:v>
                </c:pt>
              </c:strCache>
            </c:strRef>
          </c:cat>
          <c:val>
            <c:numRef>
              <c:f>СЗИ!$H$29:$H$42</c:f>
            </c:numRef>
          </c:val>
          <c:extLst>
            <c:ext xmlns:c16="http://schemas.microsoft.com/office/drawing/2014/chart" uri="{C3380CC4-5D6E-409C-BE32-E72D297353CC}">
              <c16:uniqueId val="{00000003-1222-46EE-A654-A1B381A67F33}"/>
            </c:ext>
          </c:extLst>
        </c:ser>
        <c:ser>
          <c:idx val="4"/>
          <c:order val="4"/>
          <c:tx>
            <c:strRef>
              <c:f>СЗИ!$K$28</c:f>
              <c:strCache>
                <c:ptCount val="1"/>
                <c:pt idx="0">
                  <c:v>Расчетный показатель 2025</c:v>
                </c:pt>
              </c:strCache>
            </c:strRef>
          </c:tx>
          <c:marker>
            <c:symbol val="none"/>
          </c:marker>
          <c:cat>
            <c:strRef>
              <c:f>СЗИ!$C$29:$C$42</c:f>
              <c:strCache>
                <c:ptCount val="14"/>
                <c:pt idx="0">
                  <c:v>ВПО</c:v>
                </c:pt>
                <c:pt idx="1">
                  <c:v>2FA</c:v>
                </c:pt>
                <c:pt idx="2">
                  <c:v>CPT</c:v>
                </c:pt>
                <c:pt idx="3">
                  <c:v>RA VPN</c:v>
                </c:pt>
                <c:pt idx="4">
                  <c:v>СКЗИ</c:v>
                </c:pt>
                <c:pt idx="5">
                  <c:v>SIEM</c:v>
                </c:pt>
                <c:pt idx="6">
                  <c:v>NGFW</c:v>
                </c:pt>
                <c:pt idx="7">
                  <c:v>Proxy</c:v>
                </c:pt>
                <c:pt idx="8">
                  <c:v>АВЗ</c:v>
                </c:pt>
                <c:pt idx="9">
                  <c:v>DDoS</c:v>
                </c:pt>
                <c:pt idx="10">
                  <c:v>SPAM</c:v>
                </c:pt>
                <c:pt idx="11">
                  <c:v>WAF</c:v>
                </c:pt>
                <c:pt idx="12">
                  <c:v>PAM</c:v>
                </c:pt>
                <c:pt idx="13">
                  <c:v>DLP</c:v>
                </c:pt>
              </c:strCache>
            </c:strRef>
          </c:cat>
          <c:val>
            <c:numRef>
              <c:f>СЗИ!$K$29:$K$42</c:f>
              <c:numCache>
                <c:formatCode>0.00</c:formatCode>
                <c:ptCount val="14"/>
                <c:pt idx="0">
                  <c:v>3.4937499999999999</c:v>
                </c:pt>
                <c:pt idx="1">
                  <c:v>3.6499999999999995</c:v>
                </c:pt>
                <c:pt idx="2">
                  <c:v>3.25</c:v>
                </c:pt>
                <c:pt idx="3">
                  <c:v>4.0999999999999996</c:v>
                </c:pt>
                <c:pt idx="4">
                  <c:v>4.4649999999999999</c:v>
                </c:pt>
                <c:pt idx="5">
                  <c:v>4.1025641025641026E-2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0.84000000000000008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7-411A-BAAE-0107149B3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51652"/>
        <c:axId val="355509191"/>
      </c:radarChart>
      <c:catAx>
        <c:axId val="156051652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cross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1" vertOverflow="ellipsis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509191"/>
        <c:crosses val="autoZero"/>
        <c:auto val="1"/>
        <c:lblAlgn val="ctr"/>
        <c:lblOffset val="100"/>
        <c:noMultiLvlLbl val="1"/>
      </c:catAx>
      <c:valAx>
        <c:axId val="355509191"/>
        <c:scaling>
          <c:orientation val="minMax"/>
        </c:scaling>
        <c:delete val="1"/>
        <c:axPos val="l"/>
        <c:majorGridlines>
          <c:spPr>
            <a:prstGeom prst="rect">
              <a:avLst/>
            </a:prstGeom>
            <a:ln w="635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0.00" sourceLinked="1"/>
        <c:majorTickMark val="cross"/>
        <c:minorTickMark val="cross"/>
        <c:tickLblPos val="nextTo"/>
        <c:crossAx val="156051652"/>
        <c:crosses val="autoZero"/>
        <c:crossBetween val="between"/>
      </c:valAx>
      <c:spPr>
        <a:prstGeom prst="rect">
          <a:avLst/>
        </a:prstGeom>
        <a:solidFill>
          <a:srgbClr val="FFFFFF"/>
        </a:solidFill>
        <a:ln>
          <a:noFill/>
        </a:ln>
      </c:spPr>
    </c:plotArea>
    <c:legend>
      <c:legendPos val="r"/>
      <c:overlay val="0"/>
      <c:txPr>
        <a:bodyPr/>
        <a:lstStyle/>
        <a:p>
          <a:pPr rtl="0">
            <a:defRPr/>
          </a:pPr>
          <a:endParaRPr lang="ru-RU"/>
        </a:p>
      </c:txPr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solidFill>
      <a:srgbClr val="FFFFFF"/>
    </a:solidFill>
    <a:ln w="6350" cap="flat" cmpd="sng" algn="ctr">
      <a:solidFill>
        <a:schemeClr val="tx1">
          <a:tint val="75000"/>
        </a:schemeClr>
      </a:solidFill>
      <a:prstDash val="solid"/>
      <a:round/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1"/>
        <c:ser>
          <c:idx val="1"/>
          <c:order val="0"/>
          <c:tx>
            <c:strRef>
              <c:f>Мониторинг!$D$37</c:f>
              <c:strCache>
                <c:ptCount val="1"/>
                <c:pt idx="0">
                  <c:v>КБ3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Мониторинг!$C$38:$C$65</c:f>
              <c:strCache>
                <c:ptCount val="28"/>
                <c:pt idx="0">
                  <c:v>А</c:v>
                </c:pt>
                <c:pt idx="1">
                  <c:v>SIEM</c:v>
                </c:pt>
                <c:pt idx="2">
                  <c:v>ПР</c:v>
                </c:pt>
                <c:pt idx="6">
                  <c:v>SIEM</c:v>
                </c:pt>
                <c:pt idx="7">
                  <c:v>МНТ.SIEM.1</c:v>
                </c:pt>
                <c:pt idx="8">
                  <c:v>МНТ.SIEM.2</c:v>
                </c:pt>
                <c:pt idx="9">
                  <c:v>МНТ.SIEM.3</c:v>
                </c:pt>
                <c:pt idx="10">
                  <c:v>МНТ.SIEM.4</c:v>
                </c:pt>
                <c:pt idx="11">
                  <c:v>МНТ.SIEM.5</c:v>
                </c:pt>
                <c:pt idx="12">
                  <c:v>МНТ.SIEM.6</c:v>
                </c:pt>
                <c:pt idx="13">
                  <c:v>МНТ.SIEM.7</c:v>
                </c:pt>
                <c:pt idx="14">
                  <c:v>МНТ.SIEM.8</c:v>
                </c:pt>
                <c:pt idx="15">
                  <c:v>МНТ.SIEM.9</c:v>
                </c:pt>
                <c:pt idx="16">
                  <c:v>МНТ.SIEM.10</c:v>
                </c:pt>
                <c:pt idx="17">
                  <c:v>МНТ.SIEM.11</c:v>
                </c:pt>
                <c:pt idx="18">
                  <c:v>МНТ.SIEM.12</c:v>
                </c:pt>
                <c:pt idx="19">
                  <c:v>МНТ.SIEM.13</c:v>
                </c:pt>
                <c:pt idx="20">
                  <c:v>А</c:v>
                </c:pt>
                <c:pt idx="21">
                  <c:v>МНТ.A.3</c:v>
                </c:pt>
                <c:pt idx="22">
                  <c:v>ПР</c:v>
                </c:pt>
                <c:pt idx="23">
                  <c:v>МНТ.ПР.1</c:v>
                </c:pt>
                <c:pt idx="24">
                  <c:v>МНТ.ПР.2</c:v>
                </c:pt>
                <c:pt idx="25">
                  <c:v>МНТ.ПР.3</c:v>
                </c:pt>
                <c:pt idx="26">
                  <c:v>МНТ.ПР.4</c:v>
                </c:pt>
                <c:pt idx="27">
                  <c:v>МНТ.ПР.5</c:v>
                </c:pt>
              </c:strCache>
            </c:strRef>
          </c:cat>
          <c:val>
            <c:numRef>
              <c:f>Мониторинг!$D$38:$D$65</c:f>
              <c:numCache>
                <c:formatCode>0.00</c:formatCode>
                <c:ptCount val="28"/>
                <c:pt idx="0">
                  <c:v>5</c:v>
                </c:pt>
                <c:pt idx="1">
                  <c:v>4.9038461538461542</c:v>
                </c:pt>
                <c:pt idx="2">
                  <c:v>4</c:v>
                </c:pt>
                <c:pt idx="7" formatCode="General">
                  <c:v>5</c:v>
                </c:pt>
                <c:pt idx="8" formatCode="General">
                  <c:v>4.75</c:v>
                </c:pt>
                <c:pt idx="9" formatCode="General">
                  <c:v>5</c:v>
                </c:pt>
                <c:pt idx="10" formatCode="General">
                  <c:v>5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5</c:v>
                </c:pt>
                <c:pt idx="14" formatCode="General">
                  <c:v>5</c:v>
                </c:pt>
                <c:pt idx="15" formatCode="General">
                  <c:v>5</c:v>
                </c:pt>
                <c:pt idx="16" formatCode="General">
                  <c:v>5</c:v>
                </c:pt>
                <c:pt idx="17" formatCode="General">
                  <c:v>5</c:v>
                </c:pt>
                <c:pt idx="18" formatCode="General">
                  <c:v>4</c:v>
                </c:pt>
                <c:pt idx="19" formatCode="General">
                  <c:v>5</c:v>
                </c:pt>
                <c:pt idx="21" formatCode="General">
                  <c:v>5</c:v>
                </c:pt>
                <c:pt idx="23" formatCode="General">
                  <c:v>4</c:v>
                </c:pt>
                <c:pt idx="24" formatCode="General">
                  <c:v>4</c:v>
                </c:pt>
                <c:pt idx="25" formatCode="General">
                  <c:v>4</c:v>
                </c:pt>
                <c:pt idx="26" formatCode="General">
                  <c:v>4</c:v>
                </c:pt>
                <c:pt idx="27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3-47B5-A608-9EE7DED8A9D1}"/>
            </c:ext>
          </c:extLst>
        </c:ser>
        <c:ser>
          <c:idx val="2"/>
          <c:order val="1"/>
          <c:tx>
            <c:strRef>
              <c:f>Мониторинг!$E$37</c:f>
              <c:strCache>
                <c:ptCount val="1"/>
                <c:pt idx="0">
                  <c:v>КБ2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Мониторинг!$C$38:$C$65</c:f>
              <c:strCache>
                <c:ptCount val="28"/>
                <c:pt idx="0">
                  <c:v>А</c:v>
                </c:pt>
                <c:pt idx="1">
                  <c:v>SIEM</c:v>
                </c:pt>
                <c:pt idx="2">
                  <c:v>ПР</c:v>
                </c:pt>
                <c:pt idx="6">
                  <c:v>SIEM</c:v>
                </c:pt>
                <c:pt idx="7">
                  <c:v>МНТ.SIEM.1</c:v>
                </c:pt>
                <c:pt idx="8">
                  <c:v>МНТ.SIEM.2</c:v>
                </c:pt>
                <c:pt idx="9">
                  <c:v>МНТ.SIEM.3</c:v>
                </c:pt>
                <c:pt idx="10">
                  <c:v>МНТ.SIEM.4</c:v>
                </c:pt>
                <c:pt idx="11">
                  <c:v>МНТ.SIEM.5</c:v>
                </c:pt>
                <c:pt idx="12">
                  <c:v>МНТ.SIEM.6</c:v>
                </c:pt>
                <c:pt idx="13">
                  <c:v>МНТ.SIEM.7</c:v>
                </c:pt>
                <c:pt idx="14">
                  <c:v>МНТ.SIEM.8</c:v>
                </c:pt>
                <c:pt idx="15">
                  <c:v>МНТ.SIEM.9</c:v>
                </c:pt>
                <c:pt idx="16">
                  <c:v>МНТ.SIEM.10</c:v>
                </c:pt>
                <c:pt idx="17">
                  <c:v>МНТ.SIEM.11</c:v>
                </c:pt>
                <c:pt idx="18">
                  <c:v>МНТ.SIEM.12</c:v>
                </c:pt>
                <c:pt idx="19">
                  <c:v>МНТ.SIEM.13</c:v>
                </c:pt>
                <c:pt idx="20">
                  <c:v>А</c:v>
                </c:pt>
                <c:pt idx="21">
                  <c:v>МНТ.A.3</c:v>
                </c:pt>
                <c:pt idx="22">
                  <c:v>ПР</c:v>
                </c:pt>
                <c:pt idx="23">
                  <c:v>МНТ.ПР.1</c:v>
                </c:pt>
                <c:pt idx="24">
                  <c:v>МНТ.ПР.2</c:v>
                </c:pt>
                <c:pt idx="25">
                  <c:v>МНТ.ПР.3</c:v>
                </c:pt>
                <c:pt idx="26">
                  <c:v>МНТ.ПР.4</c:v>
                </c:pt>
                <c:pt idx="27">
                  <c:v>МНТ.ПР.5</c:v>
                </c:pt>
              </c:strCache>
            </c:strRef>
          </c:cat>
          <c:val>
            <c:numRef>
              <c:f>Мониторинг!$E$38:$E$65</c:f>
              <c:numCache>
                <c:formatCode>0.00</c:formatCode>
                <c:ptCount val="28"/>
                <c:pt idx="0">
                  <c:v>5</c:v>
                </c:pt>
                <c:pt idx="1">
                  <c:v>3.5615384615384613</c:v>
                </c:pt>
                <c:pt idx="2">
                  <c:v>2.6</c:v>
                </c:pt>
                <c:pt idx="7" formatCode="General">
                  <c:v>5</c:v>
                </c:pt>
                <c:pt idx="8" formatCode="General">
                  <c:v>4.5</c:v>
                </c:pt>
                <c:pt idx="9" formatCode="General">
                  <c:v>3.2</c:v>
                </c:pt>
                <c:pt idx="10" formatCode="General">
                  <c:v>3.2</c:v>
                </c:pt>
                <c:pt idx="11" formatCode="General">
                  <c:v>3.2</c:v>
                </c:pt>
                <c:pt idx="12" formatCode="General">
                  <c:v>3.2</c:v>
                </c:pt>
                <c:pt idx="13" formatCode="General">
                  <c:v>3.2</c:v>
                </c:pt>
                <c:pt idx="14" formatCode="General">
                  <c:v>3.2</c:v>
                </c:pt>
                <c:pt idx="15" formatCode="General">
                  <c:v>3.2</c:v>
                </c:pt>
                <c:pt idx="16" formatCode="General">
                  <c:v>3.2</c:v>
                </c:pt>
                <c:pt idx="17" formatCode="General">
                  <c:v>3.2</c:v>
                </c:pt>
                <c:pt idx="18" formatCode="General">
                  <c:v>3</c:v>
                </c:pt>
                <c:pt idx="19" formatCode="General">
                  <c:v>5</c:v>
                </c:pt>
                <c:pt idx="21" formatCode="General">
                  <c:v>5</c:v>
                </c:pt>
                <c:pt idx="23" formatCode="General">
                  <c:v>1</c:v>
                </c:pt>
                <c:pt idx="24" formatCode="General">
                  <c:v>4</c:v>
                </c:pt>
                <c:pt idx="25" formatCode="General">
                  <c:v>3</c:v>
                </c:pt>
                <c:pt idx="26" formatCode="General">
                  <c:v>2</c:v>
                </c:pt>
                <c:pt idx="27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83-47B5-A608-9EE7DED8A9D1}"/>
            </c:ext>
          </c:extLst>
        </c:ser>
        <c:ser>
          <c:idx val="3"/>
          <c:order val="2"/>
          <c:tx>
            <c:strRef>
              <c:f>Мониторинг!$F$37</c:f>
              <c:strCache>
                <c:ptCount val="1"/>
                <c:pt idx="0">
                  <c:v>КБ1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Мониторинг!$C$38:$C$65</c:f>
              <c:strCache>
                <c:ptCount val="28"/>
                <c:pt idx="0">
                  <c:v>А</c:v>
                </c:pt>
                <c:pt idx="1">
                  <c:v>SIEM</c:v>
                </c:pt>
                <c:pt idx="2">
                  <c:v>ПР</c:v>
                </c:pt>
                <c:pt idx="6">
                  <c:v>SIEM</c:v>
                </c:pt>
                <c:pt idx="7">
                  <c:v>МНТ.SIEM.1</c:v>
                </c:pt>
                <c:pt idx="8">
                  <c:v>МНТ.SIEM.2</c:v>
                </c:pt>
                <c:pt idx="9">
                  <c:v>МНТ.SIEM.3</c:v>
                </c:pt>
                <c:pt idx="10">
                  <c:v>МНТ.SIEM.4</c:v>
                </c:pt>
                <c:pt idx="11">
                  <c:v>МНТ.SIEM.5</c:v>
                </c:pt>
                <c:pt idx="12">
                  <c:v>МНТ.SIEM.6</c:v>
                </c:pt>
                <c:pt idx="13">
                  <c:v>МНТ.SIEM.7</c:v>
                </c:pt>
                <c:pt idx="14">
                  <c:v>МНТ.SIEM.8</c:v>
                </c:pt>
                <c:pt idx="15">
                  <c:v>МНТ.SIEM.9</c:v>
                </c:pt>
                <c:pt idx="16">
                  <c:v>МНТ.SIEM.10</c:v>
                </c:pt>
                <c:pt idx="17">
                  <c:v>МНТ.SIEM.11</c:v>
                </c:pt>
                <c:pt idx="18">
                  <c:v>МНТ.SIEM.12</c:v>
                </c:pt>
                <c:pt idx="19">
                  <c:v>МНТ.SIEM.13</c:v>
                </c:pt>
                <c:pt idx="20">
                  <c:v>А</c:v>
                </c:pt>
                <c:pt idx="21">
                  <c:v>МНТ.A.3</c:v>
                </c:pt>
                <c:pt idx="22">
                  <c:v>ПР</c:v>
                </c:pt>
                <c:pt idx="23">
                  <c:v>МНТ.ПР.1</c:v>
                </c:pt>
                <c:pt idx="24">
                  <c:v>МНТ.ПР.2</c:v>
                </c:pt>
                <c:pt idx="25">
                  <c:v>МНТ.ПР.3</c:v>
                </c:pt>
                <c:pt idx="26">
                  <c:v>МНТ.ПР.4</c:v>
                </c:pt>
                <c:pt idx="27">
                  <c:v>МНТ.ПР.5</c:v>
                </c:pt>
              </c:strCache>
            </c:strRef>
          </c:cat>
          <c:val>
            <c:numRef>
              <c:f>Мониторинг!$F$38:$F$65</c:f>
              <c:numCache>
                <c:formatCode>0.00</c:formatCode>
                <c:ptCount val="28"/>
                <c:pt idx="0">
                  <c:v>0</c:v>
                </c:pt>
                <c:pt idx="1">
                  <c:v>0.12307692307692308</c:v>
                </c:pt>
                <c:pt idx="2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1.6</c:v>
                </c:pt>
                <c:pt idx="18" formatCode="General">
                  <c:v>0</c:v>
                </c:pt>
                <c:pt idx="19" formatCode="General">
                  <c:v>0</c:v>
                </c:pt>
                <c:pt idx="21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83-47B5-A608-9EE7DED8A9D1}"/>
            </c:ext>
          </c:extLst>
        </c:ser>
        <c:ser>
          <c:idx val="0"/>
          <c:order val="3"/>
          <c:tx>
            <c:strRef>
              <c:f>Мониторинг!$K$37</c:f>
              <c:strCache>
                <c:ptCount val="1"/>
                <c:pt idx="0">
                  <c:v>Расчетный показатель 2025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Мониторинг!$C$38:$C$65</c:f>
              <c:strCache>
                <c:ptCount val="28"/>
                <c:pt idx="0">
                  <c:v>А</c:v>
                </c:pt>
                <c:pt idx="1">
                  <c:v>SIEM</c:v>
                </c:pt>
                <c:pt idx="2">
                  <c:v>ПР</c:v>
                </c:pt>
                <c:pt idx="6">
                  <c:v>SIEM</c:v>
                </c:pt>
                <c:pt idx="7">
                  <c:v>МНТ.SIEM.1</c:v>
                </c:pt>
                <c:pt idx="8">
                  <c:v>МНТ.SIEM.2</c:v>
                </c:pt>
                <c:pt idx="9">
                  <c:v>МНТ.SIEM.3</c:v>
                </c:pt>
                <c:pt idx="10">
                  <c:v>МНТ.SIEM.4</c:v>
                </c:pt>
                <c:pt idx="11">
                  <c:v>МНТ.SIEM.5</c:v>
                </c:pt>
                <c:pt idx="12">
                  <c:v>МНТ.SIEM.6</c:v>
                </c:pt>
                <c:pt idx="13">
                  <c:v>МНТ.SIEM.7</c:v>
                </c:pt>
                <c:pt idx="14">
                  <c:v>МНТ.SIEM.8</c:v>
                </c:pt>
                <c:pt idx="15">
                  <c:v>МНТ.SIEM.9</c:v>
                </c:pt>
                <c:pt idx="16">
                  <c:v>МНТ.SIEM.10</c:v>
                </c:pt>
                <c:pt idx="17">
                  <c:v>МНТ.SIEM.11</c:v>
                </c:pt>
                <c:pt idx="18">
                  <c:v>МНТ.SIEM.12</c:v>
                </c:pt>
                <c:pt idx="19">
                  <c:v>МНТ.SIEM.13</c:v>
                </c:pt>
                <c:pt idx="20">
                  <c:v>А</c:v>
                </c:pt>
                <c:pt idx="21">
                  <c:v>МНТ.A.3</c:v>
                </c:pt>
                <c:pt idx="22">
                  <c:v>ПР</c:v>
                </c:pt>
                <c:pt idx="23">
                  <c:v>МНТ.ПР.1</c:v>
                </c:pt>
                <c:pt idx="24">
                  <c:v>МНТ.ПР.2</c:v>
                </c:pt>
                <c:pt idx="25">
                  <c:v>МНТ.ПР.3</c:v>
                </c:pt>
                <c:pt idx="26">
                  <c:v>МНТ.ПР.4</c:v>
                </c:pt>
                <c:pt idx="27">
                  <c:v>МНТ.ПР.5</c:v>
                </c:pt>
              </c:strCache>
            </c:strRef>
          </c:cat>
          <c:val>
            <c:numRef>
              <c:f>Мониторинг!$K$38:$K$65</c:f>
              <c:numCache>
                <c:formatCode>0.00</c:formatCode>
                <c:ptCount val="28"/>
                <c:pt idx="0">
                  <c:v>0</c:v>
                </c:pt>
                <c:pt idx="1">
                  <c:v>0.12307692307692308</c:v>
                </c:pt>
                <c:pt idx="2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1.6</c:v>
                </c:pt>
                <c:pt idx="18" formatCode="General">
                  <c:v>0</c:v>
                </c:pt>
                <c:pt idx="19" formatCode="General">
                  <c:v>0</c:v>
                </c:pt>
                <c:pt idx="21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83-47B5-A608-9EE7DED8A9D1}"/>
            </c:ext>
          </c:extLst>
        </c:ser>
        <c:ser>
          <c:idx val="4"/>
          <c:order val="4"/>
          <c:tx>
            <c:strRef>
              <c:f>Мониторинг!$L$37</c:f>
              <c:strCache>
                <c:ptCount val="1"/>
                <c:pt idx="0">
                  <c:v>Текущий показатель</c:v>
                </c:pt>
              </c:strCache>
            </c:strRef>
          </c:tx>
          <c:marker>
            <c:symbol val="none"/>
          </c:marker>
          <c:cat>
            <c:strRef>
              <c:f>Мониторинг!$C$38:$C$65</c:f>
              <c:strCache>
                <c:ptCount val="28"/>
                <c:pt idx="0">
                  <c:v>А</c:v>
                </c:pt>
                <c:pt idx="1">
                  <c:v>SIEM</c:v>
                </c:pt>
                <c:pt idx="2">
                  <c:v>ПР</c:v>
                </c:pt>
                <c:pt idx="6">
                  <c:v>SIEM</c:v>
                </c:pt>
                <c:pt idx="7">
                  <c:v>МНТ.SIEM.1</c:v>
                </c:pt>
                <c:pt idx="8">
                  <c:v>МНТ.SIEM.2</c:v>
                </c:pt>
                <c:pt idx="9">
                  <c:v>МНТ.SIEM.3</c:v>
                </c:pt>
                <c:pt idx="10">
                  <c:v>МНТ.SIEM.4</c:v>
                </c:pt>
                <c:pt idx="11">
                  <c:v>МНТ.SIEM.5</c:v>
                </c:pt>
                <c:pt idx="12">
                  <c:v>МНТ.SIEM.6</c:v>
                </c:pt>
                <c:pt idx="13">
                  <c:v>МНТ.SIEM.7</c:v>
                </c:pt>
                <c:pt idx="14">
                  <c:v>МНТ.SIEM.8</c:v>
                </c:pt>
                <c:pt idx="15">
                  <c:v>МНТ.SIEM.9</c:v>
                </c:pt>
                <c:pt idx="16">
                  <c:v>МНТ.SIEM.10</c:v>
                </c:pt>
                <c:pt idx="17">
                  <c:v>МНТ.SIEM.11</c:v>
                </c:pt>
                <c:pt idx="18">
                  <c:v>МНТ.SIEM.12</c:v>
                </c:pt>
                <c:pt idx="19">
                  <c:v>МНТ.SIEM.13</c:v>
                </c:pt>
                <c:pt idx="20">
                  <c:v>А</c:v>
                </c:pt>
                <c:pt idx="21">
                  <c:v>МНТ.A.3</c:v>
                </c:pt>
                <c:pt idx="22">
                  <c:v>ПР</c:v>
                </c:pt>
                <c:pt idx="23">
                  <c:v>МНТ.ПР.1</c:v>
                </c:pt>
                <c:pt idx="24">
                  <c:v>МНТ.ПР.2</c:v>
                </c:pt>
                <c:pt idx="25">
                  <c:v>МНТ.ПР.3</c:v>
                </c:pt>
                <c:pt idx="26">
                  <c:v>МНТ.ПР.4</c:v>
                </c:pt>
                <c:pt idx="27">
                  <c:v>МНТ.ПР.5</c:v>
                </c:pt>
              </c:strCache>
            </c:strRef>
          </c:cat>
          <c:val>
            <c:numRef>
              <c:f>Мониторинг!$L$38:$L$65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7">
                  <c:v>0</c:v>
                </c:pt>
                <c:pt idx="8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1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9-4CE6-98CA-FE1DE1D0D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331895"/>
        <c:axId val="328889833"/>
      </c:radarChart>
      <c:catAx>
        <c:axId val="1335331895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cross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1" vertOverflow="ellipsis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8889833"/>
        <c:crosses val="autoZero"/>
        <c:auto val="1"/>
        <c:lblAlgn val="ctr"/>
        <c:lblOffset val="100"/>
        <c:noMultiLvlLbl val="1"/>
      </c:catAx>
      <c:valAx>
        <c:axId val="328889833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0.00" sourceLinked="1"/>
        <c:majorTickMark val="cross"/>
        <c:minorTickMark val="cross"/>
        <c:tickLblPos val="nextTo"/>
        <c:spPr>
          <a:prstGeom prst="rect">
            <a:avLst/>
          </a:prstGeom>
          <a:noFill/>
          <a:ln w="476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5331895"/>
        <c:crosses val="autoZero"/>
        <c:crossBetween val="between"/>
      </c:valAx>
      <c:spPr>
        <a:prstGeom prst="rect">
          <a:avLst/>
        </a:prstGeom>
        <a:solidFill>
          <a:srgbClr val="FFFFFF"/>
        </a:solidFill>
        <a:ln>
          <a:noFill/>
        </a:ln>
      </c:spPr>
    </c:plotArea>
    <c:legend>
      <c:legendPos val="r"/>
      <c:overlay val="0"/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solidFill>
      <a:srgbClr val="FFFFFF"/>
    </a:solidFill>
    <a:ln w="6350" cap="flat" cmpd="sng" algn="ctr">
      <a:solidFill>
        <a:schemeClr val="tx1">
          <a:tint val="75000"/>
        </a:schemeClr>
      </a:solidFill>
      <a:prstDash val="solid"/>
      <a:round/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668298300091775"/>
          <c:y val="6.2492506009317349E-2"/>
          <c:w val="0.34663403399816456"/>
          <c:h val="0.90159053609158224"/>
        </c:manualLayout>
      </c:layout>
      <c:radarChart>
        <c:radarStyle val="marker"/>
        <c:varyColors val="1"/>
        <c:ser>
          <c:idx val="1"/>
          <c:order val="0"/>
          <c:tx>
            <c:strRef>
              <c:f>Реагирование!$D$29</c:f>
              <c:strCache>
                <c:ptCount val="1"/>
                <c:pt idx="0">
                  <c:v>КБ3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Реагирование!$C$39:$C$55</c:f>
              <c:strCache>
                <c:ptCount val="17"/>
                <c:pt idx="0">
                  <c:v>РЕАГ.ПЛР.1</c:v>
                </c:pt>
                <c:pt idx="1">
                  <c:v>РЕАГ.ПЛР.2</c:v>
                </c:pt>
                <c:pt idx="2">
                  <c:v>РЕАГ.ПЛР.3</c:v>
                </c:pt>
                <c:pt idx="3">
                  <c:v>РЕАГ.ПЛР.4</c:v>
                </c:pt>
                <c:pt idx="4">
                  <c:v>КМНК</c:v>
                </c:pt>
                <c:pt idx="5">
                  <c:v>РЕАГ.КМНК.1</c:v>
                </c:pt>
                <c:pt idx="6">
                  <c:v>РЕАГ.КМНК.2</c:v>
                </c:pt>
                <c:pt idx="7">
                  <c:v>РЕАГ.КМНК.3</c:v>
                </c:pt>
                <c:pt idx="8">
                  <c:v>РЕАГ.КМНК.4</c:v>
                </c:pt>
                <c:pt idx="9">
                  <c:v>РЕАГ.КМНК.5</c:v>
                </c:pt>
                <c:pt idx="10">
                  <c:v>АНЛЗ</c:v>
                </c:pt>
                <c:pt idx="11">
                  <c:v>РЕАГ.АНЛЗ.1</c:v>
                </c:pt>
                <c:pt idx="12">
                  <c:v>РЕАГ.АНЛЗ.2</c:v>
                </c:pt>
                <c:pt idx="13">
                  <c:v>РЕАГ.АНЛЗ.3</c:v>
                </c:pt>
                <c:pt idx="14">
                  <c:v>РЕАГ.АНЛЗ.4</c:v>
                </c:pt>
                <c:pt idx="15">
                  <c:v>РЕАГ.АНЛЗ.5</c:v>
                </c:pt>
                <c:pt idx="16">
                  <c:v>PB</c:v>
                </c:pt>
              </c:strCache>
            </c:strRef>
          </c:cat>
          <c:val>
            <c:numRef>
              <c:f>Реагирование!$D$39:$D$55</c:f>
              <c:numCache>
                <c:formatCode>General</c:formatCode>
                <c:ptCount val="17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D-4D7C-9B66-188FC631D51E}"/>
            </c:ext>
          </c:extLst>
        </c:ser>
        <c:ser>
          <c:idx val="0"/>
          <c:order val="1"/>
          <c:tx>
            <c:strRef>
              <c:f>Реагирование!$L$29</c:f>
              <c:strCache>
                <c:ptCount val="1"/>
                <c:pt idx="0">
                  <c:v>Текущий показатель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Реагирование!$C$39:$C$55</c:f>
              <c:strCache>
                <c:ptCount val="17"/>
                <c:pt idx="0">
                  <c:v>РЕАГ.ПЛР.1</c:v>
                </c:pt>
                <c:pt idx="1">
                  <c:v>РЕАГ.ПЛР.2</c:v>
                </c:pt>
                <c:pt idx="2">
                  <c:v>РЕАГ.ПЛР.3</c:v>
                </c:pt>
                <c:pt idx="3">
                  <c:v>РЕАГ.ПЛР.4</c:v>
                </c:pt>
                <c:pt idx="4">
                  <c:v>КМНК</c:v>
                </c:pt>
                <c:pt idx="5">
                  <c:v>РЕАГ.КМНК.1</c:v>
                </c:pt>
                <c:pt idx="6">
                  <c:v>РЕАГ.КМНК.2</c:v>
                </c:pt>
                <c:pt idx="7">
                  <c:v>РЕАГ.КМНК.3</c:v>
                </c:pt>
                <c:pt idx="8">
                  <c:v>РЕАГ.КМНК.4</c:v>
                </c:pt>
                <c:pt idx="9">
                  <c:v>РЕАГ.КМНК.5</c:v>
                </c:pt>
                <c:pt idx="10">
                  <c:v>АНЛЗ</c:v>
                </c:pt>
                <c:pt idx="11">
                  <c:v>РЕАГ.АНЛЗ.1</c:v>
                </c:pt>
                <c:pt idx="12">
                  <c:v>РЕАГ.АНЛЗ.2</c:v>
                </c:pt>
                <c:pt idx="13">
                  <c:v>РЕАГ.АНЛЗ.3</c:v>
                </c:pt>
                <c:pt idx="14">
                  <c:v>РЕАГ.АНЛЗ.4</c:v>
                </c:pt>
                <c:pt idx="15">
                  <c:v>РЕАГ.АНЛЗ.5</c:v>
                </c:pt>
                <c:pt idx="16">
                  <c:v>PB</c:v>
                </c:pt>
              </c:strCache>
            </c:strRef>
          </c:cat>
          <c:val>
            <c:numRef>
              <c:f>Реагирование!$L$39:$L$68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</c:v>
                </c:pt>
                <c:pt idx="9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1.6</c:v>
                </c:pt>
                <c:pt idx="14">
                  <c:v>1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D-4D7C-9B66-188FC631D51E}"/>
            </c:ext>
          </c:extLst>
        </c:ser>
        <c:ser>
          <c:idx val="2"/>
          <c:order val="2"/>
          <c:tx>
            <c:strRef>
              <c:f>Реагирование!$E$29</c:f>
              <c:strCache>
                <c:ptCount val="1"/>
                <c:pt idx="0">
                  <c:v>КБ2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Реагирование!$E$39:$E$55</c:f>
              <c:numCache>
                <c:formatCode>General</c:formatCode>
                <c:ptCount val="17"/>
                <c:pt idx="0">
                  <c:v>3</c:v>
                </c:pt>
                <c:pt idx="1">
                  <c:v>3</c:v>
                </c:pt>
                <c:pt idx="2">
                  <c:v>3.2</c:v>
                </c:pt>
                <c:pt idx="3">
                  <c:v>3.2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1">
                  <c:v>5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CD-4D7C-9B66-188FC631D51E}"/>
            </c:ext>
          </c:extLst>
        </c:ser>
        <c:ser>
          <c:idx val="3"/>
          <c:order val="3"/>
          <c:tx>
            <c:strRef>
              <c:f>Реагирование!$F$29</c:f>
              <c:strCache>
                <c:ptCount val="1"/>
                <c:pt idx="0">
                  <c:v>КБ1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Реагирование!$F$39:$F$55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</c:v>
                </c:pt>
                <c:pt idx="9">
                  <c:v>1.6</c:v>
                </c:pt>
                <c:pt idx="11">
                  <c:v>0</c:v>
                </c:pt>
                <c:pt idx="12">
                  <c:v>1</c:v>
                </c:pt>
                <c:pt idx="13">
                  <c:v>3.2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CD-4D7C-9B66-188FC631D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479146"/>
        <c:axId val="762222233"/>
      </c:radarChart>
      <c:catAx>
        <c:axId val="1484479146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cross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1" vertOverflow="ellipsis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2222233"/>
        <c:crosses val="autoZero"/>
        <c:auto val="1"/>
        <c:lblAlgn val="ctr"/>
        <c:lblOffset val="100"/>
        <c:noMultiLvlLbl val="1"/>
      </c:catAx>
      <c:valAx>
        <c:axId val="762222233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cross"/>
        <c:minorTickMark val="cross"/>
        <c:tickLblPos val="nextTo"/>
        <c:spPr>
          <a:prstGeom prst="rect">
            <a:avLst/>
          </a:prstGeom>
          <a:noFill/>
          <a:ln w="476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4479146"/>
        <c:crosses val="autoZero"/>
        <c:crossBetween val="between"/>
      </c:valAx>
      <c:spPr>
        <a:prstGeom prst="rect">
          <a:avLst/>
        </a:prstGeom>
        <a:solidFill>
          <a:srgbClr val="FFFFFF"/>
        </a:solidFill>
        <a:ln>
          <a:noFill/>
        </a:ln>
      </c:spPr>
    </c:plotArea>
    <c:plotVisOnly val="1"/>
    <c:dispBlanksAs val="zero"/>
    <c:showDLblsOverMax val="1"/>
  </c:chart>
  <c:spPr>
    <a:xfrm>
      <a:off x="0" y="0"/>
      <a:ext cx="0" cy="0"/>
    </a:xfrm>
    <a:prstGeom prst="rect">
      <a:avLst/>
    </a:prstGeom>
    <a:solidFill>
      <a:srgbClr val="FFFFFF"/>
    </a:solidFill>
    <a:ln w="6350" cap="flat" cmpd="sng" algn="ctr">
      <a:solidFill>
        <a:schemeClr val="tx1">
          <a:tint val="75000"/>
        </a:schemeClr>
      </a:solidFill>
      <a:prstDash val="solid"/>
      <a:round/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116563232505585"/>
          <c:y val="6.1477104874446083E-2"/>
          <c:w val="0.23925913106288274"/>
          <c:h val="0.88886262924667647"/>
        </c:manualLayout>
      </c:layout>
      <c:radarChart>
        <c:radarStyle val="marker"/>
        <c:varyColors val="1"/>
        <c:ser>
          <c:idx val="3"/>
          <c:order val="0"/>
          <c:tx>
            <c:strRef>
              <c:f>Восстановление!$D$26</c:f>
              <c:strCache>
                <c:ptCount val="1"/>
                <c:pt idx="0">
                  <c:v>КБ3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rgbClr val="92D050"/>
              </a:solidFill>
              <a:prstDash val="solid"/>
              <a:round/>
            </a:ln>
          </c:spPr>
          <c:marker>
            <c:symbol val="none"/>
          </c:marker>
          <c:cat>
            <c:strRef>
              <c:f>Восстановление!$C$27:$C$43</c:f>
              <c:strCache>
                <c:ptCount val="17"/>
                <c:pt idx="0">
                  <c:v>ПЛН</c:v>
                </c:pt>
                <c:pt idx="1">
                  <c:v>КМНК</c:v>
                </c:pt>
                <c:pt idx="4">
                  <c:v>ПЛН</c:v>
                </c:pt>
                <c:pt idx="5">
                  <c:v>ВССТ.ПЛН.1</c:v>
                </c:pt>
                <c:pt idx="6">
                  <c:v>ВССТ.ПЛН.2</c:v>
                </c:pt>
                <c:pt idx="7">
                  <c:v>ВССТ.ПЛН.3</c:v>
                </c:pt>
                <c:pt idx="8">
                  <c:v>ВССТ.ПЛН.4</c:v>
                </c:pt>
                <c:pt idx="9">
                  <c:v>ВССТ.ПЛН.5</c:v>
                </c:pt>
                <c:pt idx="10">
                  <c:v>ВССТ.ПЛН.6</c:v>
                </c:pt>
                <c:pt idx="11">
                  <c:v>ВССТ.ПЛН.7</c:v>
                </c:pt>
                <c:pt idx="12">
                  <c:v>ВССТ.ПЛН.8</c:v>
                </c:pt>
                <c:pt idx="13">
                  <c:v>ВССТ.ПЛН.9</c:v>
                </c:pt>
                <c:pt idx="14">
                  <c:v>КМНК</c:v>
                </c:pt>
                <c:pt idx="15">
                  <c:v>ВССТ.КМНК.1</c:v>
                </c:pt>
                <c:pt idx="16">
                  <c:v>ВССТ.КМНК.2</c:v>
                </c:pt>
              </c:strCache>
            </c:strRef>
          </c:cat>
          <c:val>
            <c:numRef>
              <c:f>Восстановление!$D$27:$D$43</c:f>
              <c:numCache>
                <c:formatCode>0.00</c:formatCode>
                <c:ptCount val="17"/>
                <c:pt idx="0">
                  <c:v>5</c:v>
                </c:pt>
                <c:pt idx="1">
                  <c:v>5</c:v>
                </c:pt>
                <c:pt idx="5" formatCode="General">
                  <c:v>5</c:v>
                </c:pt>
                <c:pt idx="6" formatCode="General">
                  <c:v>5</c:v>
                </c:pt>
                <c:pt idx="7" formatCode="General">
                  <c:v>5</c:v>
                </c:pt>
                <c:pt idx="8" formatCode="General">
                  <c:v>5</c:v>
                </c:pt>
                <c:pt idx="9" formatCode="General">
                  <c:v>5</c:v>
                </c:pt>
                <c:pt idx="10" formatCode="General">
                  <c:v>5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5</c:v>
                </c:pt>
                <c:pt idx="15" formatCode="General">
                  <c:v>5</c:v>
                </c:pt>
                <c:pt idx="16" formatCode="General">
                  <c:v>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3C16-4267-A1B3-69E7919F668E}"/>
            </c:ext>
          </c:extLst>
        </c:ser>
        <c:ser>
          <c:idx val="2"/>
          <c:order val="1"/>
          <c:tx>
            <c:strRef>
              <c:f>Восстановление!$E$26</c:f>
              <c:strCache>
                <c:ptCount val="1"/>
                <c:pt idx="0">
                  <c:v>КБ2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Восстановление!$C$27:$C$43</c:f>
              <c:strCache>
                <c:ptCount val="17"/>
                <c:pt idx="0">
                  <c:v>ПЛН</c:v>
                </c:pt>
                <c:pt idx="1">
                  <c:v>КМНК</c:v>
                </c:pt>
                <c:pt idx="4">
                  <c:v>ПЛН</c:v>
                </c:pt>
                <c:pt idx="5">
                  <c:v>ВССТ.ПЛН.1</c:v>
                </c:pt>
                <c:pt idx="6">
                  <c:v>ВССТ.ПЛН.2</c:v>
                </c:pt>
                <c:pt idx="7">
                  <c:v>ВССТ.ПЛН.3</c:v>
                </c:pt>
                <c:pt idx="8">
                  <c:v>ВССТ.ПЛН.4</c:v>
                </c:pt>
                <c:pt idx="9">
                  <c:v>ВССТ.ПЛН.5</c:v>
                </c:pt>
                <c:pt idx="10">
                  <c:v>ВССТ.ПЛН.6</c:v>
                </c:pt>
                <c:pt idx="11">
                  <c:v>ВССТ.ПЛН.7</c:v>
                </c:pt>
                <c:pt idx="12">
                  <c:v>ВССТ.ПЛН.8</c:v>
                </c:pt>
                <c:pt idx="13">
                  <c:v>ВССТ.ПЛН.9</c:v>
                </c:pt>
                <c:pt idx="14">
                  <c:v>КМНК</c:v>
                </c:pt>
                <c:pt idx="15">
                  <c:v>ВССТ.КМНК.1</c:v>
                </c:pt>
                <c:pt idx="16">
                  <c:v>ВССТ.КМНК.2</c:v>
                </c:pt>
              </c:strCache>
            </c:strRef>
          </c:cat>
          <c:val>
            <c:numRef>
              <c:f>Восстановление!$E$27:$E$43</c:f>
              <c:numCache>
                <c:formatCode>0.00</c:formatCode>
                <c:ptCount val="17"/>
                <c:pt idx="0">
                  <c:v>3.2</c:v>
                </c:pt>
                <c:pt idx="1">
                  <c:v>1.6</c:v>
                </c:pt>
                <c:pt idx="5" formatCode="General">
                  <c:v>5</c:v>
                </c:pt>
                <c:pt idx="6" formatCode="General">
                  <c:v>5</c:v>
                </c:pt>
                <c:pt idx="7" formatCode="General">
                  <c:v>3.2</c:v>
                </c:pt>
                <c:pt idx="8" formatCode="General">
                  <c:v>3.2</c:v>
                </c:pt>
                <c:pt idx="9" formatCode="General">
                  <c:v>3.2</c:v>
                </c:pt>
                <c:pt idx="10" formatCode="General">
                  <c:v>3.2</c:v>
                </c:pt>
                <c:pt idx="11" formatCode="General">
                  <c:v>3.2</c:v>
                </c:pt>
                <c:pt idx="12" formatCode="General">
                  <c:v>3.2</c:v>
                </c:pt>
                <c:pt idx="13" formatCode="General">
                  <c:v>3.2</c:v>
                </c:pt>
                <c:pt idx="15" formatCode="General">
                  <c:v>3.2</c:v>
                </c:pt>
                <c:pt idx="16" formatCode="General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3C16-4267-A1B3-69E7919F668E}"/>
            </c:ext>
          </c:extLst>
        </c:ser>
        <c:ser>
          <c:idx val="0"/>
          <c:order val="2"/>
          <c:tx>
            <c:strRef>
              <c:f>Восстановление!$F$26</c:f>
              <c:strCache>
                <c:ptCount val="1"/>
                <c:pt idx="0">
                  <c:v>КБ1</c:v>
                </c:pt>
              </c:strCache>
            </c:strRef>
          </c:tx>
          <c:spPr>
            <a:prstGeom prst="rect">
              <a:avLst/>
            </a:prstGeom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Восстановление!$C$27:$C$43</c:f>
              <c:strCache>
                <c:ptCount val="17"/>
                <c:pt idx="0">
                  <c:v>ПЛН</c:v>
                </c:pt>
                <c:pt idx="1">
                  <c:v>КМНК</c:v>
                </c:pt>
                <c:pt idx="4">
                  <c:v>ПЛН</c:v>
                </c:pt>
                <c:pt idx="5">
                  <c:v>ВССТ.ПЛН.1</c:v>
                </c:pt>
                <c:pt idx="6">
                  <c:v>ВССТ.ПЛН.2</c:v>
                </c:pt>
                <c:pt idx="7">
                  <c:v>ВССТ.ПЛН.3</c:v>
                </c:pt>
                <c:pt idx="8">
                  <c:v>ВССТ.ПЛН.4</c:v>
                </c:pt>
                <c:pt idx="9">
                  <c:v>ВССТ.ПЛН.5</c:v>
                </c:pt>
                <c:pt idx="10">
                  <c:v>ВССТ.ПЛН.6</c:v>
                </c:pt>
                <c:pt idx="11">
                  <c:v>ВССТ.ПЛН.7</c:v>
                </c:pt>
                <c:pt idx="12">
                  <c:v>ВССТ.ПЛН.8</c:v>
                </c:pt>
                <c:pt idx="13">
                  <c:v>ВССТ.ПЛН.9</c:v>
                </c:pt>
                <c:pt idx="14">
                  <c:v>КМНК</c:v>
                </c:pt>
                <c:pt idx="15">
                  <c:v>ВССТ.КМНК.1</c:v>
                </c:pt>
                <c:pt idx="16">
                  <c:v>ВССТ.КМНК.2</c:v>
                </c:pt>
              </c:strCache>
            </c:strRef>
          </c:cat>
          <c:val>
            <c:numRef>
              <c:f>Восстановление!$F$27:$F$43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3.2</c:v>
                </c:pt>
                <c:pt idx="10" formatCode="General">
                  <c:v>1.6</c:v>
                </c:pt>
                <c:pt idx="11" formatCode="General">
                  <c:v>1.6</c:v>
                </c:pt>
                <c:pt idx="12" formatCode="General">
                  <c:v>1.6</c:v>
                </c:pt>
                <c:pt idx="13" formatCode="General">
                  <c:v>1.6</c:v>
                </c:pt>
                <c:pt idx="15" formatCode="General">
                  <c:v>0</c:v>
                </c:pt>
                <c:pt idx="1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6-4267-A1B3-69E7919F668E}"/>
            </c:ext>
          </c:extLst>
        </c:ser>
        <c:ser>
          <c:idx val="1"/>
          <c:order val="3"/>
          <c:tx>
            <c:strRef>
              <c:f>Восстановление!$K$26</c:f>
              <c:strCache>
                <c:ptCount val="1"/>
                <c:pt idx="0">
                  <c:v>Расчетный показатель 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cat>
            <c:strRef>
              <c:f>Восстановление!$C$27:$C$43</c:f>
              <c:strCache>
                <c:ptCount val="17"/>
                <c:pt idx="0">
                  <c:v>ПЛН</c:v>
                </c:pt>
                <c:pt idx="1">
                  <c:v>КМНК</c:v>
                </c:pt>
                <c:pt idx="4">
                  <c:v>ПЛН</c:v>
                </c:pt>
                <c:pt idx="5">
                  <c:v>ВССТ.ПЛН.1</c:v>
                </c:pt>
                <c:pt idx="6">
                  <c:v>ВССТ.ПЛН.2</c:v>
                </c:pt>
                <c:pt idx="7">
                  <c:v>ВССТ.ПЛН.3</c:v>
                </c:pt>
                <c:pt idx="8">
                  <c:v>ВССТ.ПЛН.4</c:v>
                </c:pt>
                <c:pt idx="9">
                  <c:v>ВССТ.ПЛН.5</c:v>
                </c:pt>
                <c:pt idx="10">
                  <c:v>ВССТ.ПЛН.6</c:v>
                </c:pt>
                <c:pt idx="11">
                  <c:v>ВССТ.ПЛН.7</c:v>
                </c:pt>
                <c:pt idx="12">
                  <c:v>ВССТ.ПЛН.8</c:v>
                </c:pt>
                <c:pt idx="13">
                  <c:v>ВССТ.ПЛН.9</c:v>
                </c:pt>
                <c:pt idx="14">
                  <c:v>КМНК</c:v>
                </c:pt>
                <c:pt idx="15">
                  <c:v>ВССТ.КМНК.1</c:v>
                </c:pt>
                <c:pt idx="16">
                  <c:v>ВССТ.КМНК.2</c:v>
                </c:pt>
              </c:strCache>
            </c:strRef>
          </c:cat>
          <c:val>
            <c:numRef>
              <c:f>Восстановление!$K$27:$K$43</c:f>
              <c:numCache>
                <c:formatCode>0.00</c:formatCode>
                <c:ptCount val="17"/>
                <c:pt idx="0">
                  <c:v>1.0666666666666667</c:v>
                </c:pt>
                <c:pt idx="1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3.2</c:v>
                </c:pt>
                <c:pt idx="10" formatCode="General">
                  <c:v>1.6</c:v>
                </c:pt>
                <c:pt idx="11" formatCode="General">
                  <c:v>1.6</c:v>
                </c:pt>
                <c:pt idx="12" formatCode="General">
                  <c:v>1.6</c:v>
                </c:pt>
                <c:pt idx="13" formatCode="General">
                  <c:v>1.6</c:v>
                </c:pt>
                <c:pt idx="15" formatCode="General">
                  <c:v>0</c:v>
                </c:pt>
                <c:pt idx="1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A-4CBF-B7E4-F3C5E8CA3919}"/>
            </c:ext>
          </c:extLst>
        </c:ser>
        <c:ser>
          <c:idx val="4"/>
          <c:order val="4"/>
          <c:tx>
            <c:strRef>
              <c:f>Восстановление!$L$26</c:f>
              <c:strCache>
                <c:ptCount val="1"/>
                <c:pt idx="0">
                  <c:v>Текущий показатель</c:v>
                </c:pt>
              </c:strCache>
            </c:strRef>
          </c:tx>
          <c:marker>
            <c:symbol val="none"/>
          </c:marker>
          <c:cat>
            <c:strRef>
              <c:f>Восстановление!$C$27:$C$43</c:f>
              <c:strCache>
                <c:ptCount val="17"/>
                <c:pt idx="0">
                  <c:v>ПЛН</c:v>
                </c:pt>
                <c:pt idx="1">
                  <c:v>КМНК</c:v>
                </c:pt>
                <c:pt idx="4">
                  <c:v>ПЛН</c:v>
                </c:pt>
                <c:pt idx="5">
                  <c:v>ВССТ.ПЛН.1</c:v>
                </c:pt>
                <c:pt idx="6">
                  <c:v>ВССТ.ПЛН.2</c:v>
                </c:pt>
                <c:pt idx="7">
                  <c:v>ВССТ.ПЛН.3</c:v>
                </c:pt>
                <c:pt idx="8">
                  <c:v>ВССТ.ПЛН.4</c:v>
                </c:pt>
                <c:pt idx="9">
                  <c:v>ВССТ.ПЛН.5</c:v>
                </c:pt>
                <c:pt idx="10">
                  <c:v>ВССТ.ПЛН.6</c:v>
                </c:pt>
                <c:pt idx="11">
                  <c:v>ВССТ.ПЛН.7</c:v>
                </c:pt>
                <c:pt idx="12">
                  <c:v>ВССТ.ПЛН.8</c:v>
                </c:pt>
                <c:pt idx="13">
                  <c:v>ВССТ.ПЛН.9</c:v>
                </c:pt>
                <c:pt idx="14">
                  <c:v>КМНК</c:v>
                </c:pt>
                <c:pt idx="15">
                  <c:v>ВССТ.КМНК.1</c:v>
                </c:pt>
                <c:pt idx="16">
                  <c:v>ВССТ.КМНК.2</c:v>
                </c:pt>
              </c:strCache>
            </c:strRef>
          </c:cat>
          <c:val>
            <c:numRef>
              <c:f>Восстановление!$L$27:$L$43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2-4CBE-AF65-B293731A1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545734"/>
        <c:axId val="89379302"/>
        <c:extLst/>
      </c:radarChart>
      <c:catAx>
        <c:axId val="326545734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cross"/>
        <c:tickLblPos val="nextTo"/>
        <c:spPr>
          <a:prstGeom prst="rect">
            <a:avLst/>
          </a:prstGeom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1" vertOverflow="ellipsis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79302"/>
        <c:crosses val="autoZero"/>
        <c:auto val="1"/>
        <c:lblAlgn val="ctr"/>
        <c:lblOffset val="100"/>
        <c:noMultiLvlLbl val="1"/>
      </c:catAx>
      <c:valAx>
        <c:axId val="8937930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635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0.00" sourceLinked="1"/>
        <c:majorTickMark val="cross"/>
        <c:minorTickMark val="cross"/>
        <c:tickLblPos val="nextTo"/>
        <c:spPr>
          <a:prstGeom prst="rect">
            <a:avLst/>
          </a:prstGeom>
          <a:noFill/>
          <a:ln w="47625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6545734"/>
        <c:crosses val="autoZero"/>
        <c:crossBetween val="between"/>
      </c:valAx>
      <c:spPr>
        <a:prstGeom prst="rect">
          <a:avLst/>
        </a:prstGeom>
        <a:solidFill>
          <a:srgbClr val="FFFFFF"/>
        </a:solidFill>
        <a:ln>
          <a:noFill/>
        </a:ln>
      </c:spPr>
    </c:plotArea>
    <c:legend>
      <c:legendPos val="r"/>
      <c:overlay val="0"/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solidFill>
      <a:srgbClr val="FFFFFF"/>
    </a:solidFill>
    <a:ln w="6350" cap="flat" cmpd="sng" algn="ctr">
      <a:solidFill>
        <a:schemeClr val="tx1">
          <a:tint val="75000"/>
        </a:schemeClr>
      </a:solidFill>
      <a:prstDash val="solid"/>
      <a:round/>
    </a:ln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460887</xdr:colOff>
      <xdr:row>0</xdr:row>
      <xdr:rowOff>12291</xdr:rowOff>
    </xdr:from>
    <xdr:to>
      <xdr:col>2</xdr:col>
      <xdr:colOff>713511</xdr:colOff>
      <xdr:row>7</xdr:row>
      <xdr:rowOff>104258</xdr:rowOff>
    </xdr:to>
    <xdr:pic>
      <xdr:nvPicPr>
        <xdr:cNvPr id="4" name="Рисунок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60887" y="12291"/>
          <a:ext cx="1610705" cy="1468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171582</xdr:colOff>
      <xdr:row>4</xdr:row>
      <xdr:rowOff>79183</xdr:rowOff>
    </xdr:from>
    <xdr:to>
      <xdr:col>20</xdr:col>
      <xdr:colOff>352136</xdr:colOff>
      <xdr:row>39</xdr:row>
      <xdr:rowOff>240145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175260</xdr:colOff>
      <xdr:row>0</xdr:row>
      <xdr:rowOff>0</xdr:rowOff>
    </xdr:from>
    <xdr:to>
      <xdr:col>2</xdr:col>
      <xdr:colOff>163285</xdr:colOff>
      <xdr:row>3</xdr:row>
      <xdr:rowOff>98188</xdr:rowOff>
    </xdr:to>
    <xdr:pic>
      <xdr:nvPicPr>
        <xdr:cNvPr id="5" name="Рисунок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75260" y="0"/>
          <a:ext cx="1599111" cy="1457913"/>
        </a:xfrm>
        <a:prstGeom prst="rect">
          <a:avLst/>
        </a:prstGeom>
      </xdr:spPr>
    </xdr:pic>
    <xdr:clientData/>
  </xdr:twoCellAnchor>
  <xdr:twoCellAnchor>
    <xdr:from>
      <xdr:col>20</xdr:col>
      <xdr:colOff>496456</xdr:colOff>
      <xdr:row>13</xdr:row>
      <xdr:rowOff>69273</xdr:rowOff>
    </xdr:from>
    <xdr:to>
      <xdr:col>29</xdr:col>
      <xdr:colOff>658091</xdr:colOff>
      <xdr:row>32</xdr:row>
      <xdr:rowOff>125269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128995</xdr:colOff>
      <xdr:row>5</xdr:row>
      <xdr:rowOff>72572</xdr:rowOff>
    </xdr:from>
    <xdr:to>
      <xdr:col>11</xdr:col>
      <xdr:colOff>1217387</xdr:colOff>
      <xdr:row>38</xdr:row>
      <xdr:rowOff>57727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148045</xdr:colOff>
      <xdr:row>1</xdr:row>
      <xdr:rowOff>21772</xdr:rowOff>
    </xdr:from>
    <xdr:to>
      <xdr:col>9</xdr:col>
      <xdr:colOff>508000</xdr:colOff>
      <xdr:row>36</xdr:row>
      <xdr:rowOff>32658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647699</xdr:colOff>
      <xdr:row>1</xdr:row>
      <xdr:rowOff>21772</xdr:rowOff>
    </xdr:from>
    <xdr:to>
      <xdr:col>12</xdr:col>
      <xdr:colOff>38099</xdr:colOff>
      <xdr:row>36</xdr:row>
      <xdr:rowOff>32658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9525</xdr:rowOff>
    </xdr:from>
    <xdr:to>
      <xdr:col>7</xdr:col>
      <xdr:colOff>787399</xdr:colOff>
      <xdr:row>24</xdr:row>
      <xdr:rowOff>85725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</xdr:row>
      <xdr:rowOff>47625</xdr:rowOff>
    </xdr:from>
    <xdr:to>
      <xdr:col>12</xdr:col>
      <xdr:colOff>15875</xdr:colOff>
      <xdr:row>33</xdr:row>
      <xdr:rowOff>174625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179615</xdr:colOff>
      <xdr:row>2</xdr:row>
      <xdr:rowOff>0</xdr:rowOff>
    </xdr:from>
    <xdr:to>
      <xdr:col>7</xdr:col>
      <xdr:colOff>772885</xdr:colOff>
      <xdr:row>26</xdr:row>
      <xdr:rowOff>76200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38100</xdr:rowOff>
    </xdr:from>
    <xdr:to>
      <xdr:col>6</xdr:col>
      <xdr:colOff>1131455</xdr:colOff>
      <xdr:row>19</xdr:row>
      <xdr:rowOff>150090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Expel">
  <a:themeElements>
    <a:clrScheme name="Expel_042817">
      <a:dk1>
        <a:srgbClr val="000000"/>
      </a:dk1>
      <a:lt1>
        <a:srgbClr val="FFFFFF"/>
      </a:lt1>
      <a:dk2>
        <a:srgbClr val="00AD50"/>
      </a:dk2>
      <a:lt2>
        <a:srgbClr val="E5E1E6"/>
      </a:lt2>
      <a:accent1>
        <a:srgbClr val="5576D1"/>
      </a:accent1>
      <a:accent2>
        <a:srgbClr val="AADB1E"/>
      </a:accent2>
      <a:accent3>
        <a:srgbClr val="E87722"/>
      </a:accent3>
      <a:accent4>
        <a:srgbClr val="981D97"/>
      </a:accent4>
      <a:accent5>
        <a:srgbClr val="545859"/>
      </a:accent5>
      <a:accent6>
        <a:srgbClr val="9EA2A2"/>
      </a:accent6>
      <a:hlink>
        <a:srgbClr val="00AD50"/>
      </a:hlink>
      <a:folHlink>
        <a:srgbClr val="00AD50"/>
      </a:folHlink>
    </a:clrScheme>
    <a:fontScheme name="Arial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 Them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70C0"/>
  </sheetPr>
  <dimension ref="B2:M47"/>
  <sheetViews>
    <sheetView workbookViewId="0"/>
  </sheetViews>
  <sheetFormatPr defaultColWidth="10.59765625" defaultRowHeight="15.6"/>
  <cols>
    <col min="1" max="1" width="7" style="1" bestFit="1" customWidth="1"/>
    <col min="2" max="11" width="10.59765625" style="1" bestFit="1"/>
    <col min="12" max="12" width="8.5" style="1" bestFit="1" customWidth="1"/>
    <col min="13" max="13" width="10.59765625" style="1" bestFit="1"/>
    <col min="14" max="16384" width="10.59765625" style="1"/>
  </cols>
  <sheetData>
    <row r="2" spans="2:13" ht="15.6" customHeight="1">
      <c r="D2" s="542" t="s">
        <v>0</v>
      </c>
      <c r="E2" s="542"/>
      <c r="F2" s="542"/>
      <c r="G2" s="542"/>
      <c r="H2" s="542"/>
      <c r="I2" s="542"/>
      <c r="J2" s="542"/>
      <c r="K2" s="542"/>
      <c r="L2" s="542"/>
      <c r="M2" s="542"/>
    </row>
    <row r="3" spans="2:13" ht="15.6" customHeight="1">
      <c r="D3" s="542"/>
      <c r="E3" s="542"/>
      <c r="F3" s="542"/>
      <c r="G3" s="542"/>
      <c r="H3" s="542"/>
      <c r="I3" s="542"/>
      <c r="J3" s="542"/>
      <c r="K3" s="542"/>
      <c r="L3" s="542"/>
      <c r="M3" s="542"/>
    </row>
    <row r="4" spans="2:13" ht="15.6" customHeight="1">
      <c r="D4" s="542"/>
      <c r="E4" s="542"/>
      <c r="F4" s="542"/>
      <c r="G4" s="542"/>
      <c r="H4" s="542"/>
      <c r="I4" s="542"/>
      <c r="J4" s="542"/>
      <c r="K4" s="542"/>
      <c r="L4" s="542"/>
      <c r="M4" s="542"/>
    </row>
    <row r="5" spans="2:13" ht="15.6" customHeight="1">
      <c r="D5" s="542"/>
      <c r="E5" s="542"/>
      <c r="F5" s="542"/>
      <c r="G5" s="542"/>
      <c r="H5" s="542"/>
      <c r="I5" s="542"/>
      <c r="J5" s="542"/>
      <c r="K5" s="542"/>
      <c r="L5" s="542"/>
      <c r="M5" s="542"/>
    </row>
    <row r="6" spans="2:13" ht="15.6" customHeight="1">
      <c r="D6" s="542"/>
      <c r="E6" s="542"/>
      <c r="F6" s="542"/>
      <c r="G6" s="542"/>
      <c r="H6" s="542"/>
      <c r="I6" s="542"/>
      <c r="J6" s="542"/>
      <c r="K6" s="542"/>
      <c r="L6" s="542"/>
      <c r="M6" s="542"/>
    </row>
    <row r="7" spans="2:13" ht="15.6" customHeight="1">
      <c r="D7" s="542"/>
      <c r="E7" s="542"/>
      <c r="F7" s="542"/>
      <c r="G7" s="542"/>
      <c r="H7" s="542"/>
      <c r="I7" s="542"/>
      <c r="J7" s="542"/>
      <c r="K7" s="542"/>
      <c r="L7" s="542"/>
      <c r="M7" s="542"/>
    </row>
    <row r="10" spans="2:13">
      <c r="B10" s="1" t="s">
        <v>1</v>
      </c>
    </row>
    <row r="13" spans="2:13">
      <c r="B13" s="1" t="s">
        <v>2</v>
      </c>
    </row>
    <row r="14" spans="2:13">
      <c r="B14" s="1" t="s">
        <v>3</v>
      </c>
    </row>
    <row r="15" spans="2:13">
      <c r="B15" s="1" t="s">
        <v>4</v>
      </c>
    </row>
    <row r="18" spans="2:2">
      <c r="B18" s="1" t="s">
        <v>5</v>
      </c>
    </row>
    <row r="19" spans="2:2">
      <c r="B19" s="1" t="s">
        <v>6</v>
      </c>
    </row>
    <row r="31" spans="2:2">
      <c r="B31" s="2"/>
    </row>
    <row r="37" spans="2:12">
      <c r="H37" s="3"/>
    </row>
    <row r="46" spans="2:12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2:12" ht="43.35" customHeight="1">
      <c r="B47" s="543"/>
      <c r="C47" s="543"/>
      <c r="D47" s="543"/>
      <c r="E47" s="543"/>
      <c r="F47" s="543"/>
      <c r="G47" s="543"/>
      <c r="H47" s="543"/>
      <c r="I47" s="543"/>
      <c r="J47" s="543"/>
      <c r="K47" s="543"/>
      <c r="L47" s="543"/>
    </row>
  </sheetData>
  <mergeCells count="2">
    <mergeCell ref="D2:M7"/>
    <mergeCell ref="B47:L4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indexed="2"/>
  </sheetPr>
  <dimension ref="A1:AD1000"/>
  <sheetViews>
    <sheetView tabSelected="1" topLeftCell="A10" zoomScale="55" zoomScaleNormal="55" workbookViewId="0">
      <selection activeCell="V36" sqref="V36"/>
    </sheetView>
  </sheetViews>
  <sheetFormatPr defaultColWidth="11.09765625" defaultRowHeight="15" customHeight="1"/>
  <cols>
    <col min="1" max="11" width="10.5" style="6" bestFit="1" customWidth="1"/>
    <col min="12" max="12" width="10.5" style="6" customWidth="1"/>
    <col min="13" max="15" width="10.5" style="6" bestFit="1" customWidth="1"/>
    <col min="16" max="16" width="12.09765625" style="6" bestFit="1" customWidth="1"/>
    <col min="17" max="21" width="10.5" style="6" bestFit="1" customWidth="1"/>
    <col min="22" max="22" width="9.59765625" style="6" customWidth="1"/>
    <col min="23" max="24" width="10.5" style="6" customWidth="1"/>
    <col min="25" max="26" width="10.5" style="6" bestFit="1" customWidth="1"/>
    <col min="27" max="27" width="10.5" style="6" customWidth="1"/>
    <col min="28" max="28" width="10.5" style="6" bestFit="1" customWidth="1"/>
    <col min="29" max="16384" width="11.09765625" style="6"/>
  </cols>
  <sheetData>
    <row r="1" spans="1:29" ht="15" customHeight="1" thickBot="1"/>
    <row r="2" spans="1:29" ht="65.849999999999994" customHeight="1" thickBot="1">
      <c r="A2" s="7"/>
      <c r="B2" s="7"/>
      <c r="C2" s="7"/>
      <c r="D2" s="567" t="s">
        <v>7</v>
      </c>
      <c r="E2" s="567"/>
      <c r="F2" s="567"/>
      <c r="G2" s="567"/>
      <c r="H2" s="567"/>
      <c r="I2" s="567"/>
      <c r="J2" s="567"/>
      <c r="K2" s="567"/>
      <c r="L2" s="576" t="s">
        <v>661</v>
      </c>
      <c r="M2" s="577"/>
      <c r="O2" s="568">
        <f>Расчет!M3</f>
        <v>0.35251776057461676</v>
      </c>
      <c r="P2" s="569"/>
      <c r="Q2" s="569"/>
      <c r="R2" s="570"/>
      <c r="S2" s="571"/>
      <c r="U2" s="550" t="s">
        <v>12</v>
      </c>
      <c r="V2" s="551"/>
      <c r="W2" s="552"/>
      <c r="X2" s="544" t="s">
        <v>11</v>
      </c>
      <c r="Y2" s="545"/>
      <c r="Z2" s="546"/>
      <c r="AA2" s="556" t="s">
        <v>10</v>
      </c>
      <c r="AB2" s="557"/>
      <c r="AC2" s="558"/>
    </row>
    <row r="3" spans="1:29" ht="26.1" customHeight="1" thickBot="1">
      <c r="L3" s="574" t="s">
        <v>12</v>
      </c>
      <c r="M3" s="575"/>
      <c r="O3" s="8" t="s">
        <v>8</v>
      </c>
      <c r="P3" s="9">
        <f ca="1">Расчет!M2</f>
        <v>46038</v>
      </c>
      <c r="Q3" s="10"/>
      <c r="R3" s="572" t="s">
        <v>9</v>
      </c>
      <c r="S3" s="573"/>
      <c r="U3" s="547">
        <f>Расчет!T3</f>
        <v>0.28957766682836972</v>
      </c>
      <c r="V3" s="548"/>
      <c r="W3" s="549"/>
      <c r="X3" s="547">
        <f>Расчет!S3</f>
        <v>9.3196017685187704E-2</v>
      </c>
      <c r="Y3" s="548"/>
      <c r="Z3" s="549"/>
      <c r="AA3" s="547">
        <f>Расчет!R3</f>
        <v>7.1458827733898667E-2</v>
      </c>
      <c r="AB3" s="548"/>
      <c r="AC3" s="549"/>
    </row>
    <row r="4" spans="1:29" ht="15.75" customHeight="1"/>
    <row r="5" spans="1:29" ht="15.75" customHeight="1"/>
    <row r="6" spans="1:29" ht="15.75" customHeight="1">
      <c r="V6" s="565"/>
      <c r="W6" s="565"/>
      <c r="X6" s="566"/>
      <c r="Y6" s="566"/>
      <c r="Z6" s="566"/>
      <c r="AA6" s="566"/>
      <c r="AB6" s="566"/>
      <c r="AC6" s="566"/>
    </row>
    <row r="7" spans="1:29" ht="15.75" customHeight="1">
      <c r="V7" s="565"/>
      <c r="W7" s="565"/>
      <c r="X7" s="566"/>
      <c r="Y7" s="566"/>
      <c r="Z7" s="566"/>
      <c r="AA7" s="566"/>
      <c r="AB7" s="566"/>
      <c r="AC7" s="566"/>
    </row>
    <row r="8" spans="1:29" ht="15.75" customHeight="1">
      <c r="V8" s="563">
        <f>Светофор!F20</f>
        <v>0.15479230769230767</v>
      </c>
      <c r="W8" s="564"/>
      <c r="X8" s="562" t="s">
        <v>692</v>
      </c>
      <c r="Y8" s="562"/>
      <c r="Z8" s="562"/>
      <c r="AA8" s="562"/>
      <c r="AB8" s="562"/>
      <c r="AC8" s="562"/>
    </row>
    <row r="9" spans="1:29" ht="15.75" customHeight="1">
      <c r="V9" s="564"/>
      <c r="W9" s="564"/>
      <c r="X9" s="562"/>
      <c r="Y9" s="562"/>
      <c r="Z9" s="562"/>
      <c r="AA9" s="562"/>
      <c r="AB9" s="562"/>
      <c r="AC9" s="562"/>
    </row>
    <row r="10" spans="1:29" ht="15.75" customHeight="1">
      <c r="X10" s="562"/>
      <c r="Y10" s="562"/>
      <c r="Z10" s="562"/>
      <c r="AA10" s="562"/>
      <c r="AB10" s="562"/>
      <c r="AC10" s="562"/>
    </row>
    <row r="11" spans="1:29" ht="27" customHeight="1">
      <c r="X11" s="562"/>
      <c r="Y11" s="562"/>
      <c r="Z11" s="562"/>
      <c r="AA11" s="562"/>
      <c r="AB11" s="562"/>
      <c r="AC11" s="562"/>
    </row>
    <row r="12" spans="1:29" ht="20.100000000000001" customHeight="1">
      <c r="V12" s="560">
        <f>Светофор!J33</f>
        <v>0</v>
      </c>
      <c r="W12" s="561"/>
      <c r="X12" s="559" t="s">
        <v>751</v>
      </c>
      <c r="Y12" s="559"/>
      <c r="Z12" s="559"/>
      <c r="AA12" s="559"/>
      <c r="AB12" s="559"/>
      <c r="AC12" s="559"/>
    </row>
    <row r="13" spans="1:29" ht="15.75" customHeight="1">
      <c r="X13" s="559"/>
      <c r="Y13" s="559"/>
      <c r="Z13" s="559"/>
      <c r="AA13" s="559"/>
      <c r="AB13" s="559"/>
      <c r="AC13" s="559"/>
    </row>
    <row r="14" spans="1:29" ht="15.75" customHeight="1">
      <c r="X14" s="559"/>
      <c r="Y14" s="559"/>
      <c r="Z14" s="559"/>
      <c r="AA14" s="559"/>
      <c r="AB14" s="559"/>
      <c r="AC14" s="559"/>
    </row>
    <row r="15" spans="1:29" ht="15.75" customHeight="1">
      <c r="X15" s="559"/>
      <c r="Y15" s="559"/>
      <c r="Z15" s="559"/>
      <c r="AA15" s="559"/>
      <c r="AB15" s="559"/>
      <c r="AC15" s="559"/>
    </row>
    <row r="16" spans="1:2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40.3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spans="22:30" ht="28.35" customHeight="1" thickBot="1"/>
    <row r="34" spans="22:30" ht="42.75" customHeight="1" thickBot="1">
      <c r="V34" s="526" t="s">
        <v>982</v>
      </c>
      <c r="W34" s="553" t="s">
        <v>625</v>
      </c>
      <c r="X34" s="554"/>
      <c r="Y34" s="555"/>
      <c r="AA34" s="526" t="s">
        <v>633</v>
      </c>
      <c r="AB34" s="553" t="s">
        <v>290</v>
      </c>
      <c r="AC34" s="554"/>
      <c r="AD34" s="555"/>
    </row>
    <row r="35" spans="22:30" ht="36.6" customHeight="1" thickBot="1">
      <c r="V35" s="526" t="s">
        <v>633</v>
      </c>
      <c r="W35" s="553" t="s">
        <v>626</v>
      </c>
      <c r="X35" s="554"/>
      <c r="Y35" s="555"/>
      <c r="AA35" s="526" t="s">
        <v>633</v>
      </c>
      <c r="AB35" s="553" t="s">
        <v>598</v>
      </c>
      <c r="AC35" s="554"/>
      <c r="AD35" s="555"/>
    </row>
    <row r="36" spans="22:30" ht="31.5" customHeight="1" thickBot="1">
      <c r="V36" s="526" t="s">
        <v>982</v>
      </c>
      <c r="W36" s="553" t="s">
        <v>627</v>
      </c>
      <c r="X36" s="554"/>
      <c r="Y36" s="555"/>
    </row>
    <row r="37" spans="22:30" ht="45" customHeight="1" thickBot="1">
      <c r="V37" s="526" t="s">
        <v>982</v>
      </c>
      <c r="W37" s="553" t="s">
        <v>628</v>
      </c>
      <c r="X37" s="554"/>
      <c r="Y37" s="555"/>
    </row>
    <row r="38" spans="22:30" ht="36.6" customHeight="1" thickBot="1">
      <c r="V38" s="526" t="s">
        <v>982</v>
      </c>
      <c r="W38" s="553" t="s">
        <v>631</v>
      </c>
      <c r="X38" s="554"/>
      <c r="Y38" s="555"/>
    </row>
    <row r="39" spans="22:30" ht="33.6" customHeight="1" thickBot="1">
      <c r="V39" s="526" t="s">
        <v>982</v>
      </c>
      <c r="W39" s="553" t="s">
        <v>632</v>
      </c>
      <c r="X39" s="554"/>
      <c r="Y39" s="555"/>
    </row>
    <row r="40" spans="22:30" ht="49.5" customHeight="1" thickBot="1">
      <c r="V40" s="526" t="s">
        <v>633</v>
      </c>
      <c r="W40" s="553" t="s">
        <v>634</v>
      </c>
      <c r="X40" s="554"/>
      <c r="Y40" s="555"/>
    </row>
    <row r="41" spans="22:30" ht="15.75" customHeight="1"/>
    <row r="42" spans="22:30" ht="15.75" customHeight="1"/>
    <row r="43" spans="22:30" ht="15.75" customHeight="1"/>
    <row r="44" spans="22:30" ht="15.75" customHeight="1"/>
    <row r="45" spans="22:30" ht="15.75" customHeight="1"/>
    <row r="46" spans="22:30" ht="15.75" customHeight="1"/>
    <row r="47" spans="22:30" ht="15.75" customHeight="1"/>
    <row r="48" spans="22:3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W37:Y37"/>
    <mergeCell ref="W38:Y38"/>
    <mergeCell ref="W39:Y39"/>
    <mergeCell ref="W40:Y40"/>
    <mergeCell ref="W34:Y34"/>
    <mergeCell ref="W35:Y35"/>
    <mergeCell ref="W36:Y36"/>
    <mergeCell ref="D2:K2"/>
    <mergeCell ref="O2:Q2"/>
    <mergeCell ref="R2:S2"/>
    <mergeCell ref="R3:S3"/>
    <mergeCell ref="L3:M3"/>
    <mergeCell ref="L2:M2"/>
    <mergeCell ref="X2:Z2"/>
    <mergeCell ref="U3:W3"/>
    <mergeCell ref="U2:W2"/>
    <mergeCell ref="AB34:AD34"/>
    <mergeCell ref="AB35:AD35"/>
    <mergeCell ref="AA2:AC2"/>
    <mergeCell ref="AA3:AC3"/>
    <mergeCell ref="X12:AC15"/>
    <mergeCell ref="V12:W12"/>
    <mergeCell ref="X8:AC11"/>
    <mergeCell ref="V8:W9"/>
    <mergeCell ref="V6:W7"/>
    <mergeCell ref="X6:AC7"/>
    <mergeCell ref="X3:Z3"/>
  </mergeCells>
  <conditionalFormatting sqref="U3:W3">
    <cfRule type="dataBar" priority="9">
      <dataBar>
        <cfvo type="num" val="0"/>
        <cfvo type="num" val="1"/>
        <color theme="7" tint="0.79998168889431442"/>
      </dataBar>
      <extLst>
        <ext xmlns:x14="http://schemas.microsoft.com/office/spreadsheetml/2009/9/main" uri="{B025F937-C7B1-47D3-B67F-A62EFF666E3E}">
          <x14:id>{17BDB07A-01F6-41DE-8D0B-6E1BAAEBC503}</x14:id>
        </ext>
      </extLst>
    </cfRule>
  </conditionalFormatting>
  <conditionalFormatting sqref="V34:V40">
    <cfRule type="cellIs" dxfId="67" priority="29" operator="equal">
      <formula>"нет"</formula>
    </cfRule>
    <cfRule type="cellIs" dxfId="66" priority="30" operator="equal">
      <formula>"да"</formula>
    </cfRule>
  </conditionalFormatting>
  <conditionalFormatting sqref="V8:W9">
    <cfRule type="cellIs" dxfId="65" priority="23" operator="greaterThan">
      <formula>0.9</formula>
    </cfRule>
    <cfRule type="cellIs" dxfId="64" priority="24" operator="between">
      <formula>0.6</formula>
      <formula>0.9</formula>
    </cfRule>
    <cfRule type="cellIs" dxfId="63" priority="25" operator="between">
      <formula>0</formula>
      <formula>0.6</formula>
    </cfRule>
  </conditionalFormatting>
  <conditionalFormatting sqref="V12:W12">
    <cfRule type="cellIs" dxfId="62" priority="20" operator="greaterThan">
      <formula>24</formula>
    </cfRule>
    <cfRule type="cellIs" dxfId="61" priority="21" operator="greaterThan">
      <formula>16</formula>
    </cfRule>
    <cfRule type="cellIs" dxfId="60" priority="22" operator="lessThan">
      <formula>16</formula>
    </cfRule>
  </conditionalFormatting>
  <conditionalFormatting sqref="X3:Z3">
    <cfRule type="dataBar" priority="8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{762BA70F-DFF9-496A-813F-E0E189A15514}</x14:id>
        </ext>
      </extLst>
    </cfRule>
  </conditionalFormatting>
  <conditionalFormatting sqref="AA34:AA35">
    <cfRule type="cellIs" dxfId="59" priority="1" operator="equal">
      <formula>"нет"</formula>
    </cfRule>
    <cfRule type="cellIs" dxfId="58" priority="2" operator="equal">
      <formula>"да"</formula>
    </cfRule>
  </conditionalFormatting>
  <conditionalFormatting sqref="AA3:AC3">
    <cfRule type="dataBar" priority="7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{2A564CD7-4D91-472E-B797-A9CF00AAF8C1}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BDB07A-01F6-41DE-8D0B-6E1BAAEBC5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U3:W3</xm:sqref>
        </x14:conditionalFormatting>
        <x14:conditionalFormatting xmlns:xm="http://schemas.microsoft.com/office/excel/2006/main">
          <x14:cfRule type="dataBar" id="{762BA70F-DFF9-496A-813F-E0E189A155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X3:Z3</xm:sqref>
        </x14:conditionalFormatting>
        <x14:conditionalFormatting xmlns:xm="http://schemas.microsoft.com/office/excel/2006/main">
          <x14:cfRule type="dataBar" id="{2A564CD7-4D91-472E-B797-A9CF00AAF8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AA3:AC3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'Условные сокращения'!$N$11:$N$12</xm:f>
          </x14:formula1>
          <xm:sqref>V34:V40 AA34:AA35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0000000-0003-0000-0100-000000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Расчет!F3:I3</xm:f>
              <xm:sqref>R2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theme="0"/>
    <outlinePr summaryBelow="0" summaryRight="0"/>
  </sheetPr>
  <dimension ref="A1:U979"/>
  <sheetViews>
    <sheetView workbookViewId="0">
      <selection activeCell="E40" sqref="E40"/>
    </sheetView>
  </sheetViews>
  <sheetFormatPr defaultColWidth="11.09765625" defaultRowHeight="15" customHeight="1"/>
  <cols>
    <col min="1" max="1" width="19.59765625" customWidth="1"/>
    <col min="2" max="2" width="67.5" customWidth="1"/>
    <col min="3" max="5" width="16" bestFit="1" customWidth="1"/>
    <col min="6" max="6" width="10.59765625" hidden="1" customWidth="1"/>
    <col min="7" max="7" width="14.09765625" hidden="1" customWidth="1"/>
    <col min="8" max="8" width="10.69921875" hidden="1" customWidth="1"/>
    <col min="9" max="9" width="14.8984375" customWidth="1"/>
    <col min="10" max="13" width="19.5" customWidth="1"/>
    <col min="14" max="14" width="10.09765625" customWidth="1"/>
    <col min="15" max="15" width="15.09765625" customWidth="1"/>
    <col min="16" max="16" width="29.5" customWidth="1"/>
    <col min="17" max="17" width="4.59765625" customWidth="1"/>
    <col min="18" max="18" width="16.59765625" customWidth="1"/>
    <col min="19" max="19" width="17.59765625" customWidth="1"/>
    <col min="20" max="20" width="16.8984375" customWidth="1"/>
    <col min="21" max="23" width="10.5" bestFit="1" customWidth="1"/>
  </cols>
  <sheetData>
    <row r="1" spans="1:20" s="11" customFormat="1" ht="57.6" customHeight="1">
      <c r="C1" s="12" t="s">
        <v>10</v>
      </c>
      <c r="D1" s="13" t="s">
        <v>11</v>
      </c>
      <c r="E1" s="14" t="s">
        <v>12</v>
      </c>
      <c r="F1" s="584" t="s">
        <v>13</v>
      </c>
      <c r="G1" s="585"/>
      <c r="H1" s="334" t="s">
        <v>629</v>
      </c>
      <c r="I1" s="334" t="s">
        <v>630</v>
      </c>
      <c r="J1" s="306" t="s">
        <v>637</v>
      </c>
      <c r="K1" s="44" t="s">
        <v>645</v>
      </c>
      <c r="L1" s="296" t="s">
        <v>624</v>
      </c>
      <c r="M1" s="15" t="s">
        <v>24</v>
      </c>
      <c r="P1" s="578" t="s">
        <v>996</v>
      </c>
      <c r="R1" s="579" t="s">
        <v>997</v>
      </c>
      <c r="S1" s="580" t="s">
        <v>998</v>
      </c>
      <c r="T1" s="581" t="s">
        <v>999</v>
      </c>
    </row>
    <row r="2" spans="1:20" s="11" customFormat="1" ht="16.2" thickBot="1">
      <c r="B2" t="s">
        <v>14</v>
      </c>
      <c r="C2" s="17"/>
      <c r="D2" s="18"/>
      <c r="E2" s="19"/>
      <c r="F2" s="20">
        <v>45017</v>
      </c>
      <c r="G2" s="20">
        <v>45291</v>
      </c>
      <c r="H2" s="20">
        <v>45444</v>
      </c>
      <c r="I2" s="20"/>
      <c r="J2" s="307"/>
      <c r="K2" s="341"/>
      <c r="L2" s="297"/>
      <c r="M2" s="21">
        <f ca="1">TODAY()</f>
        <v>46038</v>
      </c>
      <c r="P2" s="578"/>
      <c r="R2" s="579"/>
      <c r="S2" s="580"/>
      <c r="T2" s="581"/>
    </row>
    <row r="3" spans="1:20" s="23" customFormat="1" ht="47.85" customHeight="1" thickBot="1">
      <c r="B3" s="24" t="s">
        <v>15</v>
      </c>
      <c r="C3" s="520">
        <f t="shared" ref="C3:M3" si="0">0.3*( SUM(C23+C24+C25+C26+C27*IF(СКЗИ="да",1,0))   /  (1+1+1+1+1*IF(СКЗИ="да",1,0))  )
+0.2*(SUM(C18+C19*IF(СКЗИ="да",1,0)+(C20+C21)*IF(КИИ="да",1,0)+C22*IF(КТ="да",1,0))  /  (1+1*IF(СКЗИ="да",1,0)+(2)*IF(КИИ="да",1,0)+1*IF(КТ="да",1,0)) )
+0.3*(SUM(C4,C6,C28,C37,C38,C39)/6)
+0.2*(SUM(C40:C45,C29:C36,C7:C15,C17,C5, C16*IF(БР="да",1,0)) / (25+1*IF(БР="да",1,0)))</f>
        <v>4.8446458776730514</v>
      </c>
      <c r="D3" s="529">
        <f t="shared" si="0"/>
        <v>4.1010902930402935</v>
      </c>
      <c r="E3" s="523">
        <f t="shared" si="0"/>
        <v>2.5051597858755885</v>
      </c>
      <c r="F3" s="533">
        <f t="shared" si="0"/>
        <v>0</v>
      </c>
      <c r="G3" s="533">
        <f t="shared" si="0"/>
        <v>0</v>
      </c>
      <c r="H3" s="533">
        <f t="shared" si="0"/>
        <v>0</v>
      </c>
      <c r="I3" s="533">
        <f t="shared" si="0"/>
        <v>0</v>
      </c>
      <c r="J3" s="534">
        <f t="shared" si="0"/>
        <v>0</v>
      </c>
      <c r="K3" s="522" t="e">
        <f t="shared" si="0"/>
        <v>#DIV/0!</v>
      </c>
      <c r="L3" s="527">
        <f t="shared" si="0"/>
        <v>2.5133649140807166</v>
      </c>
      <c r="M3" s="528">
        <f t="shared" si="0"/>
        <v>0.35251776057461676</v>
      </c>
      <c r="O3" s="358" t="s">
        <v>653</v>
      </c>
      <c r="P3" s="535">
        <f>1-(0.3*( SUM(P23+P24+P25+P26+P27*IF(СКЗИ="да",1,0))   /  (1+1+1+1+1*IF(СКЗИ="да",1,0))  )
+0.2*(SUM(P18+P19*IF(СКЗИ="да",1,0)+(P20+P21)*IF(КИИ="да",1,0)+P22*IF(КТ="да",1,0))  /  (1+1*IF(СКЗИ="да",1,0)+(2)*IF(КИИ="да",1,0)+1*IF(КТ="да",1,0)) )
+0.3*(SUM(P4,P6,P28,P37,P38,P39)/6)
+0.2*(SUM(P40:P45,P29:P36,P7:P15,P17,P5, P16*IF(БР="да",1,0)) / (25+1*IF(БР="да",1,0))))</f>
        <v>0.28188535913606205</v>
      </c>
      <c r="R3" s="535">
        <f>1-(0.3*( SUM(R23+R24+R25+R26+R27*IF(СКЗИ="да",1,0))   /  (1+1+1+1+1*IF(СКЗИ="да",1,0))  )
+0.2*(SUM(R18+R19*IF(СКЗИ="да",1,0)+(R20+R21)*IF(КИИ="да",1,0)+R22*IF(КТ="да",1,0))  /  (1+1*IF(СКЗИ="да",1,0)+(2)*IF(КИИ="да",1,0)+1*IF(КТ="да",1,0)) )
+0.3*(SUM(R4,R6,R28,R37,R38,R39)/6)
+0.2*(SUM(R40:R45,R29:R36,R7:R15,R17,R5, R16*IF(БР="да",1,0)) / (25+1*IF(БР="да",1,0))))</f>
        <v>7.1458827733898667E-2</v>
      </c>
      <c r="S3" s="536">
        <f>1-(0.3*( SUM(S23+S24+S25+S26+S27*IF(СКЗИ="да",1,0))   /  (1+1+1+1+1*IF(СКЗИ="да",1,0))  )
+0.2*(SUM(S18+S19*IF(СКЗИ="да",1,0)+(S20+S21)*IF(КИИ="да",1,0)+S22*IF(КТ="да",1,0))  /  (1+1*IF(СКЗИ="да",1,0)+(2)*IF(КИИ="да",1,0)+1*IF(КТ="да",1,0)) )
+0.3*(SUM(S4,S6,S28,S37,S38,S39)/6)
+0.2*(SUM(S40:S45,S29:S36,S7:S15,S17,S5, S16*IF(БР="да",1,0)) / (25+1*IF(БР="да",1,0))))</f>
        <v>9.3196017685187704E-2</v>
      </c>
      <c r="T3" s="536">
        <f>1-(0.3*( SUM(T23+T24+T25+T26+T27*IF(СКЗИ="да",1,0))   /  (1+1+1+1+1*IF(СКЗИ="да",1,0))  )
+0.2*(SUM(T18+T19*IF(СКЗИ="да",1,0)+(T20+T21)*IF(КИИ="да",1,0)+T22*IF(КТ="да",1,0))  /  (1+1*IF(СКЗИ="да",1,0)+(2)*IF(КИИ="да",1,0)+1*IF(КТ="да",1,0)) )
+0.3*(SUM(T4,T6,T28,T37,T38,T39)/6)
+0.2*(SUM(T40:T45,T29:T36,T7:T15,T17,T5, T16*IF(БР="да",1,0)) / (25+1*IF(БР="да",1,0))))</f>
        <v>0.28957766682836972</v>
      </c>
    </row>
    <row r="4" spans="1:20" ht="15.6" customHeight="1" thickBot="1">
      <c r="A4" s="588" t="s">
        <v>264</v>
      </c>
      <c r="B4" s="154" t="str">
        <f>'Управление ИБ'!B42</f>
        <v>Система управления ИБ</v>
      </c>
      <c r="C4" s="107">
        <f>'Управление ИБ'!D42</f>
        <v>5</v>
      </c>
      <c r="D4" s="108">
        <f>'Управление ИБ'!E42</f>
        <v>4.6400000000000006</v>
      </c>
      <c r="E4" s="109">
        <f>'Управление ИБ'!F42</f>
        <v>2</v>
      </c>
      <c r="F4" s="132">
        <v>0</v>
      </c>
      <c r="G4" s="132">
        <v>0</v>
      </c>
      <c r="H4" s="132">
        <v>0</v>
      </c>
      <c r="I4" s="329">
        <v>0</v>
      </c>
      <c r="J4" s="308">
        <v>0</v>
      </c>
      <c r="K4" s="339" t="e">
        <f>'Управление ИБ'!J42</f>
        <v>#DIV/0!</v>
      </c>
      <c r="L4" s="298">
        <f>'Управление ИБ'!K42</f>
        <v>2</v>
      </c>
      <c r="M4" s="152">
        <f>'Управление ИБ'!L42</f>
        <v>3.3200000000000003</v>
      </c>
      <c r="N4" s="345">
        <f>L4-M4</f>
        <v>-1.3200000000000003</v>
      </c>
      <c r="O4" s="359">
        <f t="shared" ref="O4:O44" si="1">I4-M4</f>
        <v>-3.3200000000000003</v>
      </c>
      <c r="P4" s="119">
        <f t="shared" ref="P4:P45" si="2">IF((M4-L4)&gt;=0,0,(M4-L4)*(-1)/L4)</f>
        <v>0</v>
      </c>
      <c r="R4" s="119">
        <f>IF(($M4-C4)&gt;=0,0,($M4-C4)*(-1)/C4)</f>
        <v>0.33599999999999997</v>
      </c>
      <c r="S4" s="119">
        <f>IF(($M4-D4)&gt;=0,0,($M4-D4)*(-1)/D4)</f>
        <v>0.28448275862068967</v>
      </c>
      <c r="T4" s="119">
        <f>IF(($M4-E4)&gt;=0,0,($M4-E4)*(-1)/E4)</f>
        <v>0</v>
      </c>
    </row>
    <row r="5" spans="1:20" ht="15.75" customHeight="1" thickBot="1">
      <c r="A5" s="586"/>
      <c r="B5" s="154" t="str">
        <f>'Управление ИБ'!B43</f>
        <v>Управление рисками</v>
      </c>
      <c r="C5" s="107">
        <f>'Управление ИБ'!D43</f>
        <v>4.8</v>
      </c>
      <c r="D5" s="108">
        <f>'Управление ИБ'!E43</f>
        <v>2</v>
      </c>
      <c r="E5" s="109">
        <f>'Управление ИБ'!F43</f>
        <v>1</v>
      </c>
      <c r="F5" s="132">
        <v>0</v>
      </c>
      <c r="G5" s="132">
        <v>0</v>
      </c>
      <c r="H5" s="132">
        <v>0</v>
      </c>
      <c r="I5" s="329">
        <v>0</v>
      </c>
      <c r="J5" s="308">
        <v>0</v>
      </c>
      <c r="K5" s="339" t="e">
        <f>'Управление ИБ'!J43</f>
        <v>#DIV/0!</v>
      </c>
      <c r="L5" s="298">
        <f>'Управление ИБ'!K43</f>
        <v>1</v>
      </c>
      <c r="M5" s="152">
        <f>'Управление ИБ'!L43</f>
        <v>0</v>
      </c>
      <c r="N5" s="345">
        <f t="shared" ref="N5:N45" si="3">L5-M5</f>
        <v>1</v>
      </c>
      <c r="O5" s="359">
        <f t="shared" ref="O5:O45" si="4">I5-M5</f>
        <v>0</v>
      </c>
      <c r="P5" s="119">
        <f t="shared" si="2"/>
        <v>1</v>
      </c>
      <c r="R5" s="119">
        <f t="shared" ref="R5:R45" si="5">IF(($M5-C5)&gt;=0,0,($M5-C5)*(-1)/C5)</f>
        <v>1</v>
      </c>
      <c r="S5" s="119">
        <f t="shared" ref="S5:S45" si="6">IF(($M5-D5)&gt;=0,0,($M5-D5)*(-1)/D5)</f>
        <v>1</v>
      </c>
      <c r="T5" s="119">
        <f t="shared" ref="T5:T44" si="7">IF(($M5-E5)&gt;=0,0,($M5-E5)*(-1)/E5)</f>
        <v>1</v>
      </c>
    </row>
    <row r="6" spans="1:20" ht="15.75" customHeight="1" thickBot="1">
      <c r="A6" s="586"/>
      <c r="B6" s="154" t="str">
        <f>'Управление ИБ'!B44</f>
        <v>Управление рисками в цепочке поставок</v>
      </c>
      <c r="C6" s="107">
        <f>'Управление ИБ'!D44</f>
        <v>5</v>
      </c>
      <c r="D6" s="108">
        <f>'Управление ИБ'!E44</f>
        <v>3.2000000000000006</v>
      </c>
      <c r="E6" s="109">
        <f>'Управление ИБ'!F44</f>
        <v>1.6000000000000003</v>
      </c>
      <c r="F6" s="132">
        <v>0</v>
      </c>
      <c r="G6" s="132">
        <v>0</v>
      </c>
      <c r="H6" s="132">
        <v>0</v>
      </c>
      <c r="I6" s="329">
        <v>0</v>
      </c>
      <c r="J6" s="308">
        <v>0</v>
      </c>
      <c r="K6" s="339" t="e">
        <f>'Управление ИБ'!J44</f>
        <v>#DIV/0!</v>
      </c>
      <c r="L6" s="298">
        <f>'Управление ИБ'!K44</f>
        <v>1.6000000000000003</v>
      </c>
      <c r="M6" s="152">
        <f>'Управление ИБ'!L44</f>
        <v>0</v>
      </c>
      <c r="N6" s="345">
        <f t="shared" si="3"/>
        <v>1.6000000000000003</v>
      </c>
      <c r="O6" s="359">
        <f t="shared" si="1"/>
        <v>0</v>
      </c>
      <c r="P6" s="119">
        <f t="shared" si="2"/>
        <v>1</v>
      </c>
      <c r="R6" s="119">
        <f t="shared" si="5"/>
        <v>1</v>
      </c>
      <c r="S6" s="119">
        <f t="shared" si="6"/>
        <v>1</v>
      </c>
      <c r="T6" s="119">
        <f t="shared" si="7"/>
        <v>1</v>
      </c>
    </row>
    <row r="7" spans="1:20" ht="15.75" customHeight="1" thickBot="1">
      <c r="A7" s="586"/>
      <c r="B7" s="154" t="str">
        <f>'Управление ИБ'!B45</f>
        <v>Инвентаризация</v>
      </c>
      <c r="C7" s="107">
        <f>'Управление ИБ'!D45</f>
        <v>5</v>
      </c>
      <c r="D7" s="108">
        <f>'Управление ИБ'!E45</f>
        <v>3.2</v>
      </c>
      <c r="E7" s="109">
        <f>'Управление ИБ'!F45</f>
        <v>1.2307692307692308</v>
      </c>
      <c r="F7" s="132">
        <v>0</v>
      </c>
      <c r="G7" s="132">
        <v>0</v>
      </c>
      <c r="H7" s="132">
        <v>0</v>
      </c>
      <c r="I7" s="329">
        <v>0</v>
      </c>
      <c r="J7" s="308">
        <v>0</v>
      </c>
      <c r="K7" s="339" t="e">
        <f>'Управление ИБ'!J45</f>
        <v>#DIV/0!</v>
      </c>
      <c r="L7" s="298">
        <f>'Управление ИБ'!K45</f>
        <v>1.2307692307692308</v>
      </c>
      <c r="M7" s="152">
        <f>'Управление ИБ'!L45</f>
        <v>0.24615384615384617</v>
      </c>
      <c r="N7" s="345">
        <f t="shared" si="3"/>
        <v>0.98461538461538467</v>
      </c>
      <c r="O7" s="359">
        <f t="shared" si="4"/>
        <v>-0.24615384615384617</v>
      </c>
      <c r="P7" s="119">
        <f t="shared" si="2"/>
        <v>0.8</v>
      </c>
      <c r="R7" s="119">
        <f t="shared" si="5"/>
        <v>0.95076923076923081</v>
      </c>
      <c r="S7" s="119">
        <f t="shared" si="6"/>
        <v>0.92307692307692313</v>
      </c>
      <c r="T7" s="119">
        <f t="shared" si="7"/>
        <v>0.8</v>
      </c>
    </row>
    <row r="8" spans="1:20" ht="15" customHeight="1" thickBot="1">
      <c r="A8" s="586"/>
      <c r="B8" s="154" t="str">
        <f>'Управление ИБ'!B46</f>
        <v>Управление активами</v>
      </c>
      <c r="C8" s="107">
        <f>'Управление ИБ'!D46</f>
        <v>4.5999999999999996</v>
      </c>
      <c r="D8" s="108">
        <f>'Управление ИБ'!E46</f>
        <v>3.12</v>
      </c>
      <c r="E8" s="109">
        <f>'Управление ИБ'!F46</f>
        <v>0.52</v>
      </c>
      <c r="F8" s="132">
        <v>0</v>
      </c>
      <c r="G8" s="132">
        <v>0</v>
      </c>
      <c r="H8" s="132">
        <v>0</v>
      </c>
      <c r="I8" s="329">
        <v>0</v>
      </c>
      <c r="J8" s="308">
        <v>0</v>
      </c>
      <c r="K8" s="339" t="e">
        <f>'Управление ИБ'!J46</f>
        <v>#DIV/0!</v>
      </c>
      <c r="L8" s="298">
        <f>'Управление ИБ'!K46</f>
        <v>0.52</v>
      </c>
      <c r="M8" s="152">
        <f>'Управление ИБ'!L46</f>
        <v>0.84000000000000008</v>
      </c>
      <c r="N8" s="345">
        <f t="shared" si="3"/>
        <v>-0.32000000000000006</v>
      </c>
      <c r="O8" s="359">
        <f t="shared" si="1"/>
        <v>-0.84000000000000008</v>
      </c>
      <c r="P8" s="119">
        <f t="shared" si="2"/>
        <v>0</v>
      </c>
      <c r="R8" s="119">
        <f t="shared" si="5"/>
        <v>0.81739130434782614</v>
      </c>
      <c r="S8" s="119">
        <f t="shared" si="6"/>
        <v>0.73076923076923084</v>
      </c>
      <c r="T8" s="119">
        <f t="shared" si="7"/>
        <v>0</v>
      </c>
    </row>
    <row r="9" spans="1:20" ht="15.75" customHeight="1" thickBot="1">
      <c r="A9" s="586"/>
      <c r="B9" s="154" t="str">
        <f>'Управление ИБ'!B47</f>
        <v xml:space="preserve">Управление доступом </v>
      </c>
      <c r="C9" s="107">
        <f>'Управление ИБ'!D47</f>
        <v>4.4599999999999991</v>
      </c>
      <c r="D9" s="108">
        <f>'Управление ИБ'!E47</f>
        <v>3.2600000000000002</v>
      </c>
      <c r="E9" s="109">
        <f>'Управление ИБ'!F47</f>
        <v>2.14</v>
      </c>
      <c r="F9" s="132">
        <v>0</v>
      </c>
      <c r="G9" s="132">
        <v>0</v>
      </c>
      <c r="H9" s="132">
        <v>0</v>
      </c>
      <c r="I9" s="329">
        <v>0</v>
      </c>
      <c r="J9" s="308">
        <v>0</v>
      </c>
      <c r="K9" s="339" t="e">
        <f>'Управление ИБ'!J47</f>
        <v>#DIV/0!</v>
      </c>
      <c r="L9" s="298">
        <f>'Управление ИБ'!K47</f>
        <v>2.14</v>
      </c>
      <c r="M9" s="152">
        <f>'Управление ИБ'!L47</f>
        <v>1.3199999999999998</v>
      </c>
      <c r="N9" s="345">
        <f t="shared" si="3"/>
        <v>0.82000000000000028</v>
      </c>
      <c r="O9" s="359">
        <f t="shared" si="4"/>
        <v>-1.3199999999999998</v>
      </c>
      <c r="P9" s="119">
        <f t="shared" si="2"/>
        <v>0.38317757009345804</v>
      </c>
      <c r="R9" s="119">
        <f t="shared" si="5"/>
        <v>0.70403587443946181</v>
      </c>
      <c r="S9" s="119">
        <f t="shared" si="6"/>
        <v>0.59509202453987742</v>
      </c>
      <c r="T9" s="119">
        <f t="shared" si="7"/>
        <v>0.38317757009345804</v>
      </c>
    </row>
    <row r="10" spans="1:20" ht="15.75" customHeight="1" thickBot="1">
      <c r="A10" s="586"/>
      <c r="B10" s="154" t="str">
        <f>'Управление ИБ'!B48</f>
        <v>Идентификация и аутентификация</v>
      </c>
      <c r="C10" s="107">
        <f>'Управление ИБ'!D48</f>
        <v>5</v>
      </c>
      <c r="D10" s="108">
        <f>'Управление ИБ'!E48</f>
        <v>4.6000000000000005</v>
      </c>
      <c r="E10" s="109">
        <f>'Управление ИБ'!F48</f>
        <v>3.3111111111111113</v>
      </c>
      <c r="F10" s="132">
        <v>0</v>
      </c>
      <c r="G10" s="132">
        <v>0</v>
      </c>
      <c r="H10" s="132">
        <v>0</v>
      </c>
      <c r="I10" s="329">
        <v>0</v>
      </c>
      <c r="J10" s="308">
        <v>0</v>
      </c>
      <c r="K10" s="339" t="e">
        <f>'Управление ИБ'!J48</f>
        <v>#DIV/0!</v>
      </c>
      <c r="L10" s="298">
        <f>'Управление ИБ'!K48</f>
        <v>3.3111111111111113</v>
      </c>
      <c r="M10" s="152">
        <f>'Управление ИБ'!L48</f>
        <v>0</v>
      </c>
      <c r="N10" s="345">
        <f t="shared" si="3"/>
        <v>3.3111111111111113</v>
      </c>
      <c r="O10" s="359">
        <f t="shared" si="1"/>
        <v>0</v>
      </c>
      <c r="P10" s="119">
        <f t="shared" si="2"/>
        <v>1</v>
      </c>
      <c r="R10" s="119">
        <f t="shared" si="5"/>
        <v>1</v>
      </c>
      <c r="S10" s="119">
        <f t="shared" si="6"/>
        <v>1</v>
      </c>
      <c r="T10" s="119">
        <f t="shared" si="7"/>
        <v>1</v>
      </c>
    </row>
    <row r="11" spans="1:20" s="91" customFormat="1" ht="15.75" customHeight="1" thickBot="1">
      <c r="A11" s="586"/>
      <c r="B11" s="344" t="str">
        <f>'Управление ИБ'!B49</f>
        <v>Защита данных и информации</v>
      </c>
      <c r="C11" s="107">
        <f>'Управление ИБ'!D49</f>
        <v>4.55</v>
      </c>
      <c r="D11" s="108">
        <f>'Управление ИБ'!E49</f>
        <v>3.6999999999999997</v>
      </c>
      <c r="E11" s="109">
        <f>'Управление ИБ'!F49</f>
        <v>0.8</v>
      </c>
      <c r="F11" s="132">
        <v>0</v>
      </c>
      <c r="G11" s="132">
        <v>0</v>
      </c>
      <c r="H11" s="132">
        <v>0</v>
      </c>
      <c r="I11" s="329">
        <v>0</v>
      </c>
      <c r="J11" s="308">
        <v>0</v>
      </c>
      <c r="K11" s="339" t="e">
        <f>'Управление ИБ'!J49</f>
        <v>#DIV/0!</v>
      </c>
      <c r="L11" s="298">
        <f>'Управление ИБ'!K49</f>
        <v>0.8</v>
      </c>
      <c r="M11" s="152">
        <f>'Управление ИБ'!L49</f>
        <v>2.5</v>
      </c>
      <c r="N11" s="345">
        <f t="shared" si="3"/>
        <v>-1.7</v>
      </c>
      <c r="O11" s="359">
        <f t="shared" si="4"/>
        <v>-2.5</v>
      </c>
      <c r="P11" s="345">
        <f t="shared" si="2"/>
        <v>0</v>
      </c>
      <c r="R11" s="345">
        <f t="shared" si="5"/>
        <v>0.4505494505494505</v>
      </c>
      <c r="S11" s="345">
        <f t="shared" si="6"/>
        <v>0.32432432432432429</v>
      </c>
      <c r="T11" s="119">
        <f t="shared" si="7"/>
        <v>0</v>
      </c>
    </row>
    <row r="12" spans="1:20" ht="15.75" customHeight="1" thickBot="1">
      <c r="A12" s="586"/>
      <c r="B12" s="154" t="str">
        <f>'Управление ИБ'!B50</f>
        <v>Обеспечение доступности</v>
      </c>
      <c r="C12" s="107">
        <f>'Управление ИБ'!D50</f>
        <v>5</v>
      </c>
      <c r="D12" s="108">
        <f>'Управление ИБ'!E50</f>
        <v>3.9199999999999995</v>
      </c>
      <c r="E12" s="109">
        <f>'Управление ИБ'!F50</f>
        <v>0</v>
      </c>
      <c r="F12" s="132">
        <v>0</v>
      </c>
      <c r="G12" s="132">
        <v>0</v>
      </c>
      <c r="H12" s="132">
        <v>0</v>
      </c>
      <c r="I12" s="329">
        <v>0</v>
      </c>
      <c r="J12" s="308">
        <v>0</v>
      </c>
      <c r="K12" s="339" t="e">
        <f>'Управление ИБ'!J50</f>
        <v>#DIV/0!</v>
      </c>
      <c r="L12" s="298">
        <f>'Управление ИБ'!K50</f>
        <v>0</v>
      </c>
      <c r="M12" s="152">
        <f>'Управление ИБ'!L50</f>
        <v>0</v>
      </c>
      <c r="N12" s="345">
        <f t="shared" si="3"/>
        <v>0</v>
      </c>
      <c r="O12" s="359">
        <f t="shared" si="1"/>
        <v>0</v>
      </c>
      <c r="P12" s="119">
        <f t="shared" si="2"/>
        <v>0</v>
      </c>
      <c r="R12" s="119">
        <f t="shared" si="5"/>
        <v>1</v>
      </c>
      <c r="S12" s="119">
        <f t="shared" si="6"/>
        <v>1</v>
      </c>
      <c r="T12" s="119">
        <f t="shared" si="7"/>
        <v>0</v>
      </c>
    </row>
    <row r="13" spans="1:20" ht="15.75" customHeight="1" thickBot="1">
      <c r="A13" s="586"/>
      <c r="B13" s="154" t="str">
        <f>'Управление ИБ'!B51</f>
        <v>Персонал</v>
      </c>
      <c r="C13" s="107">
        <f>'Управление ИБ'!D51</f>
        <v>5</v>
      </c>
      <c r="D13" s="108">
        <f>'Управление ИБ'!E51</f>
        <v>5</v>
      </c>
      <c r="E13" s="109">
        <f>'Управление ИБ'!F51</f>
        <v>5</v>
      </c>
      <c r="F13" s="132">
        <v>0</v>
      </c>
      <c r="G13" s="132">
        <v>0</v>
      </c>
      <c r="H13" s="132">
        <v>0</v>
      </c>
      <c r="I13" s="329">
        <v>0</v>
      </c>
      <c r="J13" s="308">
        <v>0</v>
      </c>
      <c r="K13" s="339" t="e">
        <f>'Управление ИБ'!J51</f>
        <v>#DIV/0!</v>
      </c>
      <c r="L13" s="298">
        <f>'Управление ИБ'!K51</f>
        <v>5</v>
      </c>
      <c r="M13" s="152">
        <f>'Управление ИБ'!L51</f>
        <v>0</v>
      </c>
      <c r="N13" s="345">
        <f t="shared" si="3"/>
        <v>5</v>
      </c>
      <c r="O13" s="359">
        <f t="shared" si="4"/>
        <v>0</v>
      </c>
      <c r="P13" s="119">
        <f t="shared" si="2"/>
        <v>1</v>
      </c>
      <c r="R13" s="119">
        <f t="shared" si="5"/>
        <v>1</v>
      </c>
      <c r="S13" s="119">
        <f t="shared" si="6"/>
        <v>1</v>
      </c>
      <c r="T13" s="119">
        <f t="shared" si="7"/>
        <v>1</v>
      </c>
    </row>
    <row r="14" spans="1:20" ht="15.75" customHeight="1" thickBot="1">
      <c r="A14" s="586"/>
      <c r="B14" s="154" t="str">
        <f>'Управление ИБ'!B52</f>
        <v>Осведомленность пользователей и обучение персонала</v>
      </c>
      <c r="C14" s="107">
        <f>'Управление ИБ'!D52</f>
        <v>5</v>
      </c>
      <c r="D14" s="108">
        <f>'Управление ИБ'!E52</f>
        <v>3.1999999999999997</v>
      </c>
      <c r="E14" s="109">
        <f>'Управление ИБ'!F52</f>
        <v>1.5999999999999999</v>
      </c>
      <c r="F14" s="132">
        <v>0</v>
      </c>
      <c r="G14" s="132">
        <v>0</v>
      </c>
      <c r="H14" s="132">
        <v>0</v>
      </c>
      <c r="I14" s="329">
        <v>0</v>
      </c>
      <c r="J14" s="308">
        <v>0</v>
      </c>
      <c r="K14" s="339" t="e">
        <f>'Управление ИБ'!J52</f>
        <v>#DIV/0!</v>
      </c>
      <c r="L14" s="298">
        <f>'Управление ИБ'!K52</f>
        <v>1.5999999999999999</v>
      </c>
      <c r="M14" s="152">
        <f>'Управление ИБ'!L52</f>
        <v>0.14545454545454548</v>
      </c>
      <c r="N14" s="345">
        <f t="shared" si="3"/>
        <v>1.4545454545454544</v>
      </c>
      <c r="O14" s="359">
        <f t="shared" si="1"/>
        <v>-0.14545454545454548</v>
      </c>
      <c r="P14" s="119">
        <f t="shared" si="2"/>
        <v>0.90909090909090906</v>
      </c>
      <c r="R14" s="119">
        <f t="shared" si="5"/>
        <v>0.97090909090909094</v>
      </c>
      <c r="S14" s="119">
        <f t="shared" si="6"/>
        <v>0.95454545454545447</v>
      </c>
      <c r="T14" s="119">
        <f t="shared" si="7"/>
        <v>0.90909090909090906</v>
      </c>
    </row>
    <row r="15" spans="1:20" ht="15.75" customHeight="1" thickBot="1">
      <c r="A15" s="586"/>
      <c r="B15" s="154" t="str">
        <f>'Управление ИБ'!B53</f>
        <v>Процессы</v>
      </c>
      <c r="C15" s="107">
        <f>'Управление ИБ'!D53</f>
        <v>4.0869565217391308</v>
      </c>
      <c r="D15" s="108">
        <f>'Управление ИБ'!E53</f>
        <v>2.8000000000000003</v>
      </c>
      <c r="E15" s="109">
        <f>'Управление ИБ'!F53</f>
        <v>0.67826086956521736</v>
      </c>
      <c r="F15" s="132">
        <v>0</v>
      </c>
      <c r="G15" s="132">
        <v>0</v>
      </c>
      <c r="H15" s="132">
        <v>0</v>
      </c>
      <c r="I15" s="329">
        <v>0</v>
      </c>
      <c r="J15" s="308">
        <v>0</v>
      </c>
      <c r="K15" s="339">
        <f>'Управление ИБ'!J53</f>
        <v>0</v>
      </c>
      <c r="L15" s="298">
        <f>'Управление ИБ'!K53</f>
        <v>0.67826086956521736</v>
      </c>
      <c r="M15" s="152">
        <f>'Управление ИБ'!L53</f>
        <v>0.2434782608695652</v>
      </c>
      <c r="N15" s="345">
        <f t="shared" si="3"/>
        <v>0.43478260869565216</v>
      </c>
      <c r="O15" s="359">
        <f t="shared" si="4"/>
        <v>-0.2434782608695652</v>
      </c>
      <c r="P15" s="119">
        <f t="shared" si="2"/>
        <v>0.64102564102564108</v>
      </c>
      <c r="R15" s="119">
        <f t="shared" si="5"/>
        <v>0.94042553191489364</v>
      </c>
      <c r="S15" s="119">
        <f t="shared" si="6"/>
        <v>0.91304347826086962</v>
      </c>
      <c r="T15" s="119">
        <f t="shared" si="7"/>
        <v>0.64102564102564108</v>
      </c>
    </row>
    <row r="16" spans="1:20" ht="15.75" customHeight="1" thickBot="1">
      <c r="A16" s="586"/>
      <c r="B16" s="154" t="str">
        <f>'Управление ИБ'!B54</f>
        <v>Безопасная разработка</v>
      </c>
      <c r="C16" s="107">
        <f>'Управление ИБ'!D54</f>
        <v>4.9285714285714288</v>
      </c>
      <c r="D16" s="108">
        <f>'Управление ИБ'!E54</f>
        <v>3.8285714285714292</v>
      </c>
      <c r="E16" s="109">
        <f>'Управление ИБ'!F54</f>
        <v>0.98571428571428565</v>
      </c>
      <c r="F16" s="132">
        <v>0</v>
      </c>
      <c r="G16" s="132">
        <v>0</v>
      </c>
      <c r="H16" s="132">
        <v>0</v>
      </c>
      <c r="I16" s="329">
        <v>0</v>
      </c>
      <c r="J16" s="357">
        <v>0</v>
      </c>
      <c r="K16" s="339" t="e">
        <f>'Управление ИБ'!J54</f>
        <v>#DIV/0!</v>
      </c>
      <c r="L16" s="298">
        <f>'Управление ИБ'!K54</f>
        <v>0.98571428571428565</v>
      </c>
      <c r="M16" s="152">
        <f>'Управление ИБ'!L54</f>
        <v>0</v>
      </c>
      <c r="N16" s="345">
        <f t="shared" si="3"/>
        <v>0.98571428571428565</v>
      </c>
      <c r="O16" s="359">
        <f t="shared" si="1"/>
        <v>0</v>
      </c>
      <c r="P16" s="119">
        <f t="shared" si="2"/>
        <v>1</v>
      </c>
      <c r="R16" s="119">
        <f t="shared" si="5"/>
        <v>1</v>
      </c>
      <c r="S16" s="119">
        <f t="shared" si="6"/>
        <v>1</v>
      </c>
      <c r="T16" s="119">
        <f t="shared" si="7"/>
        <v>1</v>
      </c>
    </row>
    <row r="17" spans="1:20" ht="15.75" customHeight="1" thickBot="1">
      <c r="A17" s="586"/>
      <c r="B17" s="154" t="str">
        <f>'Управление ИБ'!B55</f>
        <v>Физический доступ</v>
      </c>
      <c r="C17" s="107">
        <f>'Управление ИБ'!D55</f>
        <v>5</v>
      </c>
      <c r="D17" s="108">
        <f>'Управление ИБ'!E55</f>
        <v>4.6399999999999997</v>
      </c>
      <c r="E17" s="109">
        <f>'Управление ИБ'!F55</f>
        <v>4.32</v>
      </c>
      <c r="F17" s="132">
        <v>0</v>
      </c>
      <c r="G17" s="132">
        <v>0</v>
      </c>
      <c r="H17" s="132">
        <v>0</v>
      </c>
      <c r="I17" s="329">
        <v>0</v>
      </c>
      <c r="J17" s="346">
        <v>0</v>
      </c>
      <c r="K17" s="340" t="e">
        <f>'Управление ИБ'!J55</f>
        <v>#DIV/0!</v>
      </c>
      <c r="L17" s="298">
        <f>'Управление ИБ'!K55</f>
        <v>4.32</v>
      </c>
      <c r="M17" s="152">
        <f>'Управление ИБ'!L55</f>
        <v>0</v>
      </c>
      <c r="N17" s="345">
        <f t="shared" si="3"/>
        <v>4.32</v>
      </c>
      <c r="O17" s="359">
        <f t="shared" si="4"/>
        <v>0</v>
      </c>
      <c r="P17" s="119">
        <f t="shared" si="2"/>
        <v>1</v>
      </c>
      <c r="R17" s="119">
        <f t="shared" si="5"/>
        <v>1</v>
      </c>
      <c r="S17" s="119">
        <f t="shared" si="6"/>
        <v>1</v>
      </c>
      <c r="T17" s="119">
        <f t="shared" si="7"/>
        <v>1</v>
      </c>
    </row>
    <row r="18" spans="1:20" ht="15.75" customHeight="1" thickBot="1">
      <c r="A18" s="588" t="str">
        <f>'Нормативное соответствие'!B1</f>
        <v>Нормативное соответствие</v>
      </c>
      <c r="B18" s="166" t="str">
        <f>'Нормативное соответствие'!B42</f>
        <v>Персональные данные</v>
      </c>
      <c r="C18" s="113">
        <f>'Нормативное соответствие'!D42</f>
        <v>5</v>
      </c>
      <c r="D18" s="114">
        <f>'Нормативное соответствие'!E42</f>
        <v>5</v>
      </c>
      <c r="E18" s="115">
        <f>'Нормативное соответствие'!F42</f>
        <v>5</v>
      </c>
      <c r="F18" s="132">
        <v>0</v>
      </c>
      <c r="G18" s="132">
        <v>0</v>
      </c>
      <c r="H18" s="132">
        <v>0</v>
      </c>
      <c r="I18" s="329">
        <v>0</v>
      </c>
      <c r="J18" s="308">
        <v>0</v>
      </c>
      <c r="K18" s="338" t="e">
        <f>'Нормативное соответствие'!J42</f>
        <v>#DIV/0!</v>
      </c>
      <c r="L18" s="299">
        <f>'Нормативное соответствие'!K42</f>
        <v>5</v>
      </c>
      <c r="M18" s="150">
        <f>'Нормативное соответствие'!L42</f>
        <v>0.20833333333333334</v>
      </c>
      <c r="N18" s="345">
        <f t="shared" si="3"/>
        <v>4.791666666666667</v>
      </c>
      <c r="O18" s="359">
        <f t="shared" si="1"/>
        <v>-0.20833333333333334</v>
      </c>
      <c r="P18" s="119">
        <f t="shared" si="2"/>
        <v>0.95833333333333337</v>
      </c>
      <c r="R18" s="119">
        <f t="shared" si="5"/>
        <v>0.95833333333333337</v>
      </c>
      <c r="S18" s="119">
        <f t="shared" si="6"/>
        <v>0.95833333333333337</v>
      </c>
      <c r="T18" s="119">
        <f t="shared" si="7"/>
        <v>0.95833333333333337</v>
      </c>
    </row>
    <row r="19" spans="1:20" ht="15.75" customHeight="1" thickBot="1">
      <c r="A19" s="586"/>
      <c r="B19" s="165" t="str">
        <f>'Нормативное соответствие'!B45</f>
        <v>Средства криптографической защиты информации (СКЗИ ГОСТ)</v>
      </c>
      <c r="C19" s="107">
        <f>'Нормативное соответствие'!D45</f>
        <v>5</v>
      </c>
      <c r="D19" s="108">
        <f>'Нормативное соответствие'!E45</f>
        <v>4.82</v>
      </c>
      <c r="E19" s="109">
        <f>'Нормативное соответствие'!F45</f>
        <v>4.66</v>
      </c>
      <c r="F19" s="132">
        <v>0</v>
      </c>
      <c r="G19" s="132">
        <v>0</v>
      </c>
      <c r="H19" s="132">
        <v>0</v>
      </c>
      <c r="I19" s="329">
        <v>0</v>
      </c>
      <c r="J19" s="308">
        <v>0</v>
      </c>
      <c r="K19" s="339" t="e">
        <f>'Нормативное соответствие'!J45</f>
        <v>#DIV/0!</v>
      </c>
      <c r="L19" s="298">
        <f>'Нормативное соответствие'!K45</f>
        <v>4.66</v>
      </c>
      <c r="M19" s="152">
        <f>'Нормативное соответствие'!L45</f>
        <v>0</v>
      </c>
      <c r="N19" s="345">
        <f t="shared" si="3"/>
        <v>4.66</v>
      </c>
      <c r="O19" s="359">
        <f t="shared" si="4"/>
        <v>0</v>
      </c>
      <c r="P19" s="119">
        <f t="shared" si="2"/>
        <v>1</v>
      </c>
      <c r="R19" s="119">
        <f t="shared" si="5"/>
        <v>1</v>
      </c>
      <c r="S19" s="119">
        <f t="shared" si="6"/>
        <v>1</v>
      </c>
      <c r="T19" s="119">
        <f t="shared" si="7"/>
        <v>1</v>
      </c>
    </row>
    <row r="20" spans="1:20" ht="15.75" customHeight="1" thickBot="1">
      <c r="A20" s="586"/>
      <c r="B20" s="165" t="str">
        <f>'Нормативное соответствие'!B43</f>
        <v>КИИ</v>
      </c>
      <c r="C20" s="107">
        <f>'Нормативное соответствие'!D43</f>
        <v>0</v>
      </c>
      <c r="D20" s="108">
        <f>'Нормативное соответствие'!E43</f>
        <v>0</v>
      </c>
      <c r="E20" s="109">
        <f>'Нормативное соответствие'!F43</f>
        <v>0</v>
      </c>
      <c r="F20" s="132">
        <v>0</v>
      </c>
      <c r="G20" s="132">
        <v>0</v>
      </c>
      <c r="H20" s="132">
        <v>0</v>
      </c>
      <c r="I20" s="329">
        <v>0</v>
      </c>
      <c r="J20" s="308">
        <v>0</v>
      </c>
      <c r="K20" s="339" t="e">
        <f>'Нормативное соответствие'!J43</f>
        <v>#DIV/0!</v>
      </c>
      <c r="L20" s="298">
        <f>'Нормативное соответствие'!K43</f>
        <v>0</v>
      </c>
      <c r="M20" s="152">
        <f>'Нормативное соответствие'!L43</f>
        <v>0</v>
      </c>
      <c r="N20" s="345">
        <f t="shared" si="3"/>
        <v>0</v>
      </c>
      <c r="O20" s="359">
        <f t="shared" si="1"/>
        <v>0</v>
      </c>
      <c r="P20" s="119">
        <f t="shared" si="2"/>
        <v>0</v>
      </c>
      <c r="R20" s="119">
        <f t="shared" si="5"/>
        <v>0</v>
      </c>
      <c r="S20" s="119">
        <f t="shared" si="6"/>
        <v>0</v>
      </c>
      <c r="T20" s="119">
        <f t="shared" si="7"/>
        <v>0</v>
      </c>
    </row>
    <row r="21" spans="1:20" ht="15.75" customHeight="1" thickBot="1">
      <c r="A21" s="586"/>
      <c r="B21" s="165" t="str">
        <f>'Нормативное соответствие'!B46</f>
        <v>250 указ</v>
      </c>
      <c r="C21" s="107">
        <f>'Нормативное соответствие'!D46</f>
        <v>0</v>
      </c>
      <c r="D21" s="108">
        <f>'Нормативное соответствие'!E46</f>
        <v>0</v>
      </c>
      <c r="E21" s="109">
        <f>'Нормативное соответствие'!F46</f>
        <v>0</v>
      </c>
      <c r="F21" s="132">
        <v>0</v>
      </c>
      <c r="G21" s="132">
        <v>0</v>
      </c>
      <c r="H21" s="132">
        <v>0</v>
      </c>
      <c r="I21" s="329">
        <v>0</v>
      </c>
      <c r="J21" s="308">
        <v>0</v>
      </c>
      <c r="K21" s="339" t="e">
        <f>'Нормативное соответствие'!J46</f>
        <v>#DIV/0!</v>
      </c>
      <c r="L21" s="298">
        <f>'Нормативное соответствие'!K46</f>
        <v>0.43402777777777785</v>
      </c>
      <c r="M21" s="152">
        <f>'Нормативное соответствие'!L46</f>
        <v>0.48611111111111116</v>
      </c>
      <c r="N21" s="345">
        <f t="shared" si="3"/>
        <v>-5.2083333333333315E-2</v>
      </c>
      <c r="O21" s="359">
        <f t="shared" si="4"/>
        <v>-0.48611111111111116</v>
      </c>
      <c r="P21" s="119">
        <f t="shared" si="2"/>
        <v>0</v>
      </c>
      <c r="R21" s="119">
        <f t="shared" si="5"/>
        <v>0</v>
      </c>
      <c r="S21" s="119">
        <f t="shared" si="6"/>
        <v>0</v>
      </c>
      <c r="T21" s="119">
        <f t="shared" si="7"/>
        <v>0</v>
      </c>
    </row>
    <row r="22" spans="1:20" ht="15.75" customHeight="1" thickBot="1">
      <c r="A22" s="587"/>
      <c r="B22" s="295" t="str">
        <f>'Нормативное соответствие'!B44</f>
        <v>Коммерческая тайна</v>
      </c>
      <c r="C22" s="110">
        <f>'Нормативное соответствие'!D44</f>
        <v>5</v>
      </c>
      <c r="D22" s="111">
        <f>'Нормативное соответствие'!E44</f>
        <v>5</v>
      </c>
      <c r="E22" s="112">
        <f>'Нормативное соответствие'!F44</f>
        <v>5</v>
      </c>
      <c r="F22" s="132">
        <v>0</v>
      </c>
      <c r="G22" s="132">
        <v>0</v>
      </c>
      <c r="H22" s="132">
        <v>0</v>
      </c>
      <c r="I22" s="329">
        <v>0</v>
      </c>
      <c r="J22" s="346">
        <v>0</v>
      </c>
      <c r="K22" s="340" t="e">
        <f>'Нормативное соответствие'!J44</f>
        <v>#DIV/0!</v>
      </c>
      <c r="L22" s="300">
        <f>'Нормативное соответствие'!K44</f>
        <v>5</v>
      </c>
      <c r="M22" s="153">
        <f>'Нормативное соответствие'!L44</f>
        <v>1</v>
      </c>
      <c r="N22" s="345">
        <f t="shared" si="3"/>
        <v>4</v>
      </c>
      <c r="O22" s="359">
        <f t="shared" si="1"/>
        <v>-1</v>
      </c>
      <c r="P22" s="119">
        <f t="shared" si="2"/>
        <v>0.8</v>
      </c>
      <c r="R22" s="119">
        <f t="shared" si="5"/>
        <v>0.8</v>
      </c>
      <c r="S22" s="119">
        <f t="shared" si="6"/>
        <v>0.8</v>
      </c>
      <c r="T22" s="119">
        <f t="shared" si="7"/>
        <v>0.8</v>
      </c>
    </row>
    <row r="23" spans="1:20" ht="15.75" customHeight="1" thickBot="1">
      <c r="A23" s="586" t="s">
        <v>113</v>
      </c>
      <c r="B23" s="154" t="str">
        <f>СЗИ!B29</f>
        <v>Защита от ВПО</v>
      </c>
      <c r="C23" s="107">
        <f>СЗИ!D29</f>
        <v>4.59375</v>
      </c>
      <c r="D23" s="108">
        <f>СЗИ!E29</f>
        <v>4.1875</v>
      </c>
      <c r="E23" s="109">
        <f>СЗИ!F29</f>
        <v>3.4937499999999999</v>
      </c>
      <c r="F23" s="132">
        <v>0</v>
      </c>
      <c r="G23" s="132">
        <v>0</v>
      </c>
      <c r="H23" s="132">
        <v>0</v>
      </c>
      <c r="I23" s="329">
        <v>0</v>
      </c>
      <c r="J23" s="308">
        <v>0</v>
      </c>
      <c r="K23" s="339" t="e">
        <f>СЗИ!J29</f>
        <v>#DIV/0!</v>
      </c>
      <c r="L23" s="298">
        <f>СЗИ!K29</f>
        <v>3.4937499999999999</v>
      </c>
      <c r="M23" s="152">
        <f>СЗИ!L29</f>
        <v>0</v>
      </c>
      <c r="N23" s="345">
        <f t="shared" si="3"/>
        <v>3.4937499999999999</v>
      </c>
      <c r="O23" s="359">
        <f t="shared" si="4"/>
        <v>0</v>
      </c>
      <c r="P23" s="119">
        <f t="shared" si="2"/>
        <v>1</v>
      </c>
      <c r="R23" s="119">
        <f t="shared" si="5"/>
        <v>1</v>
      </c>
      <c r="S23" s="119">
        <f t="shared" si="6"/>
        <v>1</v>
      </c>
      <c r="T23" s="119">
        <f t="shared" si="7"/>
        <v>1</v>
      </c>
    </row>
    <row r="24" spans="1:20" ht="15.75" customHeight="1" thickBot="1">
      <c r="A24" s="586"/>
      <c r="B24" s="154" t="str">
        <f>СЗИ!B30</f>
        <v>Двухфакторная аутентификация пользователей (2FA)</v>
      </c>
      <c r="C24" s="107">
        <f>СЗИ!D30</f>
        <v>5</v>
      </c>
      <c r="D24" s="108">
        <f>СЗИ!E30</f>
        <v>5</v>
      </c>
      <c r="E24" s="109">
        <f>СЗИ!F30</f>
        <v>3.6499999999999995</v>
      </c>
      <c r="F24" s="132">
        <v>0</v>
      </c>
      <c r="G24" s="132">
        <v>0</v>
      </c>
      <c r="H24" s="132">
        <v>0</v>
      </c>
      <c r="I24" s="329">
        <v>0</v>
      </c>
      <c r="J24" s="308">
        <v>0</v>
      </c>
      <c r="K24" s="339" t="e">
        <f>СЗИ!J30</f>
        <v>#DIV/0!</v>
      </c>
      <c r="L24" s="298">
        <f>СЗИ!K30</f>
        <v>3.6499999999999995</v>
      </c>
      <c r="M24" s="152">
        <f>СЗИ!L30</f>
        <v>0</v>
      </c>
      <c r="N24" s="345">
        <f t="shared" si="3"/>
        <v>3.6499999999999995</v>
      </c>
      <c r="O24" s="359">
        <f t="shared" si="1"/>
        <v>0</v>
      </c>
      <c r="P24" s="119">
        <f t="shared" si="2"/>
        <v>1</v>
      </c>
      <c r="R24" s="119">
        <f t="shared" si="5"/>
        <v>1</v>
      </c>
      <c r="S24" s="119">
        <f t="shared" si="6"/>
        <v>1</v>
      </c>
      <c r="T24" s="119">
        <f t="shared" si="7"/>
        <v>1</v>
      </c>
    </row>
    <row r="25" spans="1:20" ht="15.75" customHeight="1" thickBot="1">
      <c r="A25" s="586"/>
      <c r="B25" s="154" t="str">
        <f>СЗИ!B31</f>
        <v>Защита внешнего инфраструктурного периметра (CPT)</v>
      </c>
      <c r="C25" s="107">
        <f>СЗИ!D31</f>
        <v>4.583333333333333</v>
      </c>
      <c r="D25" s="108">
        <f>СЗИ!E31</f>
        <v>4.166666666666667</v>
      </c>
      <c r="E25" s="109">
        <f>СЗИ!F31</f>
        <v>3.25</v>
      </c>
      <c r="F25" s="132">
        <v>0</v>
      </c>
      <c r="G25" s="132">
        <v>0</v>
      </c>
      <c r="H25" s="132">
        <v>0</v>
      </c>
      <c r="I25" s="329">
        <v>0</v>
      </c>
      <c r="J25" s="308">
        <v>0</v>
      </c>
      <c r="K25" s="339" t="e">
        <f>СЗИ!J31</f>
        <v>#DIV/0!</v>
      </c>
      <c r="L25" s="298">
        <f>СЗИ!K31</f>
        <v>3.25</v>
      </c>
      <c r="M25" s="152">
        <f>СЗИ!L31</f>
        <v>0</v>
      </c>
      <c r="N25" s="345">
        <f t="shared" si="3"/>
        <v>3.25</v>
      </c>
      <c r="O25" s="359">
        <f t="shared" si="4"/>
        <v>0</v>
      </c>
      <c r="P25" s="119">
        <f t="shared" si="2"/>
        <v>1</v>
      </c>
      <c r="R25" s="119">
        <f t="shared" si="5"/>
        <v>1</v>
      </c>
      <c r="S25" s="119">
        <f t="shared" si="6"/>
        <v>1</v>
      </c>
      <c r="T25" s="119">
        <f t="shared" si="7"/>
        <v>1</v>
      </c>
    </row>
    <row r="26" spans="1:20" ht="15.75" customHeight="1" thickBot="1">
      <c r="A26" s="586"/>
      <c r="B26" s="154" t="str">
        <f>СЗИ!B32</f>
        <v>Защита удаленного доступа (RA VPN)</v>
      </c>
      <c r="C26" s="107">
        <f>СЗИ!D32</f>
        <v>5</v>
      </c>
      <c r="D26" s="108">
        <f>СЗИ!E32</f>
        <v>4.55</v>
      </c>
      <c r="E26" s="109">
        <f>СЗИ!F32</f>
        <v>4.0999999999999996</v>
      </c>
      <c r="F26" s="132">
        <v>0</v>
      </c>
      <c r="G26" s="132">
        <v>0</v>
      </c>
      <c r="H26" s="132">
        <v>0</v>
      </c>
      <c r="I26" s="329">
        <v>0</v>
      </c>
      <c r="J26" s="308">
        <v>0</v>
      </c>
      <c r="K26" s="339" t="e">
        <f>СЗИ!J32</f>
        <v>#DIV/0!</v>
      </c>
      <c r="L26" s="298">
        <f>СЗИ!K32</f>
        <v>4.0999999999999996</v>
      </c>
      <c r="M26" s="152">
        <f>СЗИ!L32</f>
        <v>0</v>
      </c>
      <c r="N26" s="345">
        <f t="shared" si="3"/>
        <v>4.0999999999999996</v>
      </c>
      <c r="O26" s="359">
        <f t="shared" si="1"/>
        <v>0</v>
      </c>
      <c r="P26" s="119">
        <f t="shared" si="2"/>
        <v>1</v>
      </c>
      <c r="R26" s="119">
        <f t="shared" si="5"/>
        <v>1</v>
      </c>
      <c r="S26" s="119">
        <f t="shared" si="6"/>
        <v>1</v>
      </c>
      <c r="T26" s="119">
        <f t="shared" si="7"/>
        <v>1</v>
      </c>
    </row>
    <row r="27" spans="1:20" ht="15.75" customHeight="1" thickBot="1">
      <c r="A27" s="586"/>
      <c r="B27" s="154" t="str">
        <f>СЗИ!B33</f>
        <v>Средства криптографической защиты информации (СКЗИ ГОСТ)</v>
      </c>
      <c r="C27" s="107">
        <f>СЗИ!D33</f>
        <v>5</v>
      </c>
      <c r="D27" s="108">
        <f>СЗИ!E33</f>
        <v>4.9550000000000001</v>
      </c>
      <c r="E27" s="109">
        <f>СЗИ!F33</f>
        <v>4.4649999999999999</v>
      </c>
      <c r="F27" s="132">
        <v>0</v>
      </c>
      <c r="G27" s="132">
        <v>0</v>
      </c>
      <c r="H27" s="132">
        <v>0</v>
      </c>
      <c r="I27" s="329">
        <v>0</v>
      </c>
      <c r="J27" s="308">
        <v>0</v>
      </c>
      <c r="K27" s="339" t="e">
        <f>СЗИ!J33</f>
        <v>#DIV/0!</v>
      </c>
      <c r="L27" s="298">
        <f>СЗИ!K33</f>
        <v>4.4649999999999999</v>
      </c>
      <c r="M27" s="152">
        <f>СЗИ!L33</f>
        <v>0.91111111111111098</v>
      </c>
      <c r="N27" s="345">
        <f t="shared" si="3"/>
        <v>3.5538888888888889</v>
      </c>
      <c r="O27" s="359">
        <f t="shared" si="4"/>
        <v>-0.91111111111111098</v>
      </c>
      <c r="P27" s="119">
        <f t="shared" si="2"/>
        <v>0.79594376010949364</v>
      </c>
      <c r="R27" s="119">
        <f t="shared" si="5"/>
        <v>0.81777777777777771</v>
      </c>
      <c r="S27" s="119">
        <f t="shared" si="6"/>
        <v>0.81612288373135999</v>
      </c>
      <c r="T27" s="119">
        <f t="shared" si="7"/>
        <v>0.79594376010949364</v>
      </c>
    </row>
    <row r="28" spans="1:20" ht="15.75" customHeight="1" thickBot="1">
      <c r="A28" s="586"/>
      <c r="B28" s="154" t="str">
        <f>СЗИ!B34</f>
        <v>Мониторинг, обнаружение, анализ и реагирование на инциденты в информационных системах (SOC)</v>
      </c>
      <c r="C28" s="107">
        <f>СЗИ!D34</f>
        <v>4.6346153846153841</v>
      </c>
      <c r="D28" s="108">
        <f>СЗИ!E34</f>
        <v>3.7205128205128202</v>
      </c>
      <c r="E28" s="109">
        <f>СЗИ!F34</f>
        <v>4.1025641025641026E-2</v>
      </c>
      <c r="F28" s="132">
        <v>0</v>
      </c>
      <c r="G28" s="132">
        <v>0</v>
      </c>
      <c r="H28" s="132">
        <v>0</v>
      </c>
      <c r="I28" s="329">
        <v>0</v>
      </c>
      <c r="J28" s="308">
        <v>0</v>
      </c>
      <c r="K28" s="339" t="e">
        <f>СЗИ!J34</f>
        <v>#DIV/0!</v>
      </c>
      <c r="L28" s="298">
        <f>СЗИ!K34</f>
        <v>4.1025641025641026E-2</v>
      </c>
      <c r="M28" s="152">
        <f>СЗИ!L34</f>
        <v>0</v>
      </c>
      <c r="N28" s="345">
        <f t="shared" si="3"/>
        <v>4.1025641025641026E-2</v>
      </c>
      <c r="O28" s="359">
        <f t="shared" si="1"/>
        <v>0</v>
      </c>
      <c r="P28" s="119">
        <f t="shared" si="2"/>
        <v>1</v>
      </c>
      <c r="R28" s="119">
        <f t="shared" si="5"/>
        <v>1</v>
      </c>
      <c r="S28" s="119">
        <f t="shared" si="6"/>
        <v>1</v>
      </c>
      <c r="T28" s="119">
        <f>IF(($M28-E28)&gt;=0,0,($M28-E28)*(-1)/E28)</f>
        <v>1</v>
      </c>
    </row>
    <row r="29" spans="1:20" ht="15.75" customHeight="1" thickBot="1">
      <c r="A29" s="586"/>
      <c r="B29" s="154" t="str">
        <f>СЗИ!B35</f>
        <v>Сетевая безопасность (МСЭ\NGFW)</v>
      </c>
      <c r="C29" s="107">
        <f>СЗИ!D35</f>
        <v>5</v>
      </c>
      <c r="D29" s="108">
        <f>СЗИ!E35</f>
        <v>4.0999999999999996</v>
      </c>
      <c r="E29" s="109">
        <f>СЗИ!F35</f>
        <v>0</v>
      </c>
      <c r="F29" s="132">
        <v>0</v>
      </c>
      <c r="G29" s="132">
        <v>0</v>
      </c>
      <c r="H29" s="132">
        <v>0</v>
      </c>
      <c r="I29" s="329">
        <v>0</v>
      </c>
      <c r="J29" s="308">
        <v>0</v>
      </c>
      <c r="K29" s="339" t="e">
        <f>СЗИ!J35</f>
        <v>#DIV/0!</v>
      </c>
      <c r="L29" s="298">
        <f>СЗИ!K35</f>
        <v>0</v>
      </c>
      <c r="M29" s="152">
        <f>СЗИ!L35</f>
        <v>0</v>
      </c>
      <c r="N29" s="345">
        <f t="shared" si="3"/>
        <v>0</v>
      </c>
      <c r="O29" s="359">
        <f t="shared" si="4"/>
        <v>0</v>
      </c>
      <c r="P29" s="119">
        <f t="shared" si="2"/>
        <v>0</v>
      </c>
      <c r="R29" s="119">
        <f t="shared" si="5"/>
        <v>1</v>
      </c>
      <c r="S29" s="119">
        <f t="shared" si="6"/>
        <v>1</v>
      </c>
      <c r="T29" s="119">
        <f t="shared" si="7"/>
        <v>0</v>
      </c>
    </row>
    <row r="30" spans="1:20" ht="15.75" customHeight="1" thickBot="1">
      <c r="A30" s="586"/>
      <c r="B30" s="154" t="str">
        <f>СЗИ!B36</f>
        <v>Защита и фильтрация сетевого трафика (Прокси-сервер)</v>
      </c>
      <c r="C30" s="107">
        <f>СЗИ!D36</f>
        <v>5</v>
      </c>
      <c r="D30" s="108">
        <f>СЗИ!E36</f>
        <v>3.0250000000000004</v>
      </c>
      <c r="E30" s="109">
        <f>СЗИ!F36</f>
        <v>0</v>
      </c>
      <c r="F30" s="132">
        <v>0</v>
      </c>
      <c r="G30" s="132">
        <v>0</v>
      </c>
      <c r="H30" s="132">
        <v>0</v>
      </c>
      <c r="I30" s="329">
        <v>0</v>
      </c>
      <c r="J30" s="308">
        <v>0</v>
      </c>
      <c r="K30" s="339" t="e">
        <f>СЗИ!J36</f>
        <v>#DIV/0!</v>
      </c>
      <c r="L30" s="298">
        <f>СЗИ!K36</f>
        <v>0</v>
      </c>
      <c r="M30" s="152">
        <f>СЗИ!L36</f>
        <v>0</v>
      </c>
      <c r="N30" s="345">
        <f t="shared" si="3"/>
        <v>0</v>
      </c>
      <c r="O30" s="359">
        <f t="shared" si="1"/>
        <v>0</v>
      </c>
      <c r="P30" s="119">
        <f t="shared" si="2"/>
        <v>0</v>
      </c>
      <c r="R30" s="119">
        <f t="shared" si="5"/>
        <v>1</v>
      </c>
      <c r="S30" s="119">
        <f t="shared" si="6"/>
        <v>1</v>
      </c>
      <c r="T30" s="119">
        <f t="shared" si="7"/>
        <v>0</v>
      </c>
    </row>
    <row r="31" spans="1:20" ht="15.75" customHeight="1" thickBot="1">
      <c r="A31" s="586"/>
      <c r="B31" s="154" t="str">
        <f>СЗИ!B37</f>
        <v>Сканер уязвимостей</v>
      </c>
      <c r="C31" s="107">
        <f>СЗИ!D37</f>
        <v>4.666666666666667</v>
      </c>
      <c r="D31" s="108">
        <f>СЗИ!E37</f>
        <v>3.7333333333333329</v>
      </c>
      <c r="E31" s="109">
        <f>СЗИ!F37</f>
        <v>0</v>
      </c>
      <c r="F31" s="132">
        <v>0</v>
      </c>
      <c r="G31" s="132">
        <v>0</v>
      </c>
      <c r="H31" s="132">
        <v>0</v>
      </c>
      <c r="I31" s="329">
        <v>0</v>
      </c>
      <c r="J31" s="308">
        <v>0</v>
      </c>
      <c r="K31" s="339" t="e">
        <f>СЗИ!J37</f>
        <v>#DIV/0!</v>
      </c>
      <c r="L31" s="298">
        <f>СЗИ!K37</f>
        <v>0</v>
      </c>
      <c r="M31" s="152">
        <f>СЗИ!L37</f>
        <v>0.33333333333333331</v>
      </c>
      <c r="N31" s="345">
        <f t="shared" si="3"/>
        <v>-0.33333333333333331</v>
      </c>
      <c r="O31" s="359">
        <f t="shared" si="4"/>
        <v>-0.33333333333333331</v>
      </c>
      <c r="P31" s="119">
        <f t="shared" si="2"/>
        <v>0</v>
      </c>
      <c r="R31" s="119">
        <f t="shared" si="5"/>
        <v>0.9285714285714286</v>
      </c>
      <c r="S31" s="119">
        <f t="shared" si="6"/>
        <v>0.9107142857142857</v>
      </c>
      <c r="T31" s="119">
        <f t="shared" si="7"/>
        <v>0</v>
      </c>
    </row>
    <row r="32" spans="1:20" ht="15.75" customHeight="1" thickBot="1">
      <c r="A32" s="586"/>
      <c r="B32" s="154" t="str">
        <f>СЗИ!B38</f>
        <v>Защита от вредоносного трафика (Anti-DDoS)</v>
      </c>
      <c r="C32" s="107">
        <f>СЗИ!D38</f>
        <v>5</v>
      </c>
      <c r="D32" s="108">
        <f>СЗИ!E38</f>
        <v>4.2</v>
      </c>
      <c r="E32" s="109">
        <f>СЗИ!F38</f>
        <v>0</v>
      </c>
      <c r="F32" s="132">
        <v>0</v>
      </c>
      <c r="G32" s="132">
        <v>0</v>
      </c>
      <c r="H32" s="132">
        <v>0</v>
      </c>
      <c r="I32" s="329">
        <v>0</v>
      </c>
      <c r="J32" s="308">
        <v>0</v>
      </c>
      <c r="K32" s="339" t="e">
        <f>СЗИ!J38</f>
        <v>#DIV/0!</v>
      </c>
      <c r="L32" s="298">
        <f>СЗИ!K38</f>
        <v>0</v>
      </c>
      <c r="M32" s="152">
        <f>СЗИ!L38</f>
        <v>0</v>
      </c>
      <c r="N32" s="345">
        <f t="shared" si="3"/>
        <v>0</v>
      </c>
      <c r="O32" s="359">
        <f t="shared" si="1"/>
        <v>0</v>
      </c>
      <c r="P32" s="119">
        <f t="shared" si="2"/>
        <v>0</v>
      </c>
      <c r="R32" s="119">
        <f t="shared" si="5"/>
        <v>1</v>
      </c>
      <c r="S32" s="119">
        <f t="shared" si="6"/>
        <v>1</v>
      </c>
      <c r="T32" s="119">
        <f t="shared" si="7"/>
        <v>0</v>
      </c>
    </row>
    <row r="33" spans="1:21" ht="15.75" customHeight="1" thickBot="1">
      <c r="A33" s="586"/>
      <c r="B33" s="154" t="str">
        <f>СЗИ!B39</f>
        <v>Фильтрация нежелательных и вредоносных сообщений (Антиспам)</v>
      </c>
      <c r="C33" s="107">
        <f>СЗИ!D39</f>
        <v>5</v>
      </c>
      <c r="D33" s="108">
        <f>СЗИ!E39</f>
        <v>1</v>
      </c>
      <c r="E33" s="109">
        <f>СЗИ!F39</f>
        <v>0</v>
      </c>
      <c r="F33" s="132">
        <v>0</v>
      </c>
      <c r="G33" s="132">
        <v>0</v>
      </c>
      <c r="H33" s="132">
        <v>0</v>
      </c>
      <c r="I33" s="329">
        <v>0</v>
      </c>
      <c r="J33" s="308">
        <v>0</v>
      </c>
      <c r="K33" s="342" t="e">
        <f>СЗИ!J39</f>
        <v>#DIV/0!</v>
      </c>
      <c r="L33" s="337">
        <f>СЗИ!K39</f>
        <v>0</v>
      </c>
      <c r="M33" s="152">
        <f>СЗИ!L39</f>
        <v>0</v>
      </c>
      <c r="N33" s="345">
        <f t="shared" si="3"/>
        <v>0</v>
      </c>
      <c r="O33" s="359">
        <f t="shared" si="4"/>
        <v>0</v>
      </c>
      <c r="P33" s="119">
        <f t="shared" si="2"/>
        <v>0</v>
      </c>
      <c r="R33" s="119">
        <f t="shared" si="5"/>
        <v>1</v>
      </c>
      <c r="S33" s="119">
        <f t="shared" si="6"/>
        <v>1</v>
      </c>
      <c r="T33" s="119">
        <f t="shared" si="7"/>
        <v>0</v>
      </c>
    </row>
    <row r="34" spans="1:21" ht="16.2" thickBot="1">
      <c r="A34" s="586"/>
      <c r="B34" s="154" t="str">
        <f>СЗИ!B40</f>
        <v>Обнаружение и блокирование сетевых атак на web-приложении (WAF)</v>
      </c>
      <c r="C34" s="107">
        <f>СЗИ!D40</f>
        <v>4.8</v>
      </c>
      <c r="D34" s="108">
        <f>СЗИ!E40</f>
        <v>1.24</v>
      </c>
      <c r="E34" s="109">
        <f>СЗИ!F40</f>
        <v>0.84000000000000008</v>
      </c>
      <c r="F34" s="132">
        <v>0</v>
      </c>
      <c r="G34" s="132">
        <v>0</v>
      </c>
      <c r="H34" s="132">
        <v>0</v>
      </c>
      <c r="I34" s="329">
        <v>0</v>
      </c>
      <c r="J34" s="308">
        <v>0</v>
      </c>
      <c r="K34" s="342" t="e">
        <f>СЗИ!J40</f>
        <v>#DIV/0!</v>
      </c>
      <c r="L34" s="337">
        <f>СЗИ!K40</f>
        <v>0.84000000000000008</v>
      </c>
      <c r="M34" s="152">
        <f>СЗИ!L40</f>
        <v>0</v>
      </c>
      <c r="N34" s="345">
        <f t="shared" si="3"/>
        <v>0.84000000000000008</v>
      </c>
      <c r="O34" s="359">
        <f t="shared" si="1"/>
        <v>0</v>
      </c>
      <c r="P34" s="119">
        <f t="shared" si="2"/>
        <v>1</v>
      </c>
      <c r="R34" s="119">
        <f t="shared" si="5"/>
        <v>1</v>
      </c>
      <c r="S34" s="119">
        <f t="shared" si="6"/>
        <v>1</v>
      </c>
      <c r="T34" s="119">
        <f t="shared" si="7"/>
        <v>1</v>
      </c>
    </row>
    <row r="35" spans="1:21" ht="15.75" customHeight="1" thickBot="1">
      <c r="A35" s="586"/>
      <c r="B35" s="154" t="str">
        <f>СЗИ!B41</f>
        <v>Контроль учетных записей (PAM)</v>
      </c>
      <c r="C35" s="107">
        <f>СЗИ!D41</f>
        <v>5</v>
      </c>
      <c r="D35" s="108">
        <f>СЗИ!E41</f>
        <v>0</v>
      </c>
      <c r="E35" s="109">
        <f>СЗИ!F41</f>
        <v>0</v>
      </c>
      <c r="F35" s="132">
        <v>0</v>
      </c>
      <c r="G35" s="132">
        <v>0</v>
      </c>
      <c r="H35" s="132">
        <v>0</v>
      </c>
      <c r="I35" s="329">
        <v>0</v>
      </c>
      <c r="J35" s="308">
        <v>0</v>
      </c>
      <c r="K35" s="342">
        <f>СЗИ!J41</f>
        <v>0</v>
      </c>
      <c r="L35" s="337">
        <f>СЗИ!K41</f>
        <v>0</v>
      </c>
      <c r="M35" s="152">
        <f>СЗИ!L41</f>
        <v>0</v>
      </c>
      <c r="N35" s="345">
        <f t="shared" si="3"/>
        <v>0</v>
      </c>
      <c r="O35" s="359">
        <f t="shared" si="4"/>
        <v>0</v>
      </c>
      <c r="P35" s="119">
        <f t="shared" si="2"/>
        <v>0</v>
      </c>
      <c r="R35" s="119">
        <f t="shared" si="5"/>
        <v>1</v>
      </c>
      <c r="S35" s="119">
        <f t="shared" si="6"/>
        <v>0</v>
      </c>
      <c r="T35" s="119">
        <f t="shared" si="7"/>
        <v>0</v>
      </c>
    </row>
    <row r="36" spans="1:21" ht="15.75" customHeight="1" thickBot="1">
      <c r="A36" s="586"/>
      <c r="B36" s="154" t="str">
        <f>СЗИ!B42</f>
        <v>Предотвращение утечки данных (Data Loss Prevention (DLP)</v>
      </c>
      <c r="C36" s="107">
        <f>СЗИ!D42</f>
        <v>4.8214285714285712</v>
      </c>
      <c r="D36" s="108">
        <f>СЗИ!E42</f>
        <v>0</v>
      </c>
      <c r="E36" s="109">
        <f>СЗИ!F42</f>
        <v>0</v>
      </c>
      <c r="F36" s="132">
        <v>0</v>
      </c>
      <c r="G36" s="132">
        <v>0</v>
      </c>
      <c r="H36" s="132">
        <v>0</v>
      </c>
      <c r="I36" s="329">
        <v>0</v>
      </c>
      <c r="J36" s="346">
        <v>0</v>
      </c>
      <c r="K36" s="342">
        <f>СЗИ!J42</f>
        <v>0</v>
      </c>
      <c r="L36" s="337">
        <f>СЗИ!K42</f>
        <v>0</v>
      </c>
      <c r="M36" s="152">
        <f>СЗИ!L42</f>
        <v>0</v>
      </c>
      <c r="N36" s="345">
        <f t="shared" si="3"/>
        <v>0</v>
      </c>
      <c r="O36" s="359">
        <f t="shared" si="1"/>
        <v>0</v>
      </c>
      <c r="P36" s="119">
        <f t="shared" si="2"/>
        <v>0</v>
      </c>
      <c r="R36" s="119">
        <f t="shared" si="5"/>
        <v>1</v>
      </c>
      <c r="S36" s="119">
        <f t="shared" si="6"/>
        <v>0</v>
      </c>
      <c r="T36" s="119">
        <f t="shared" si="7"/>
        <v>0</v>
      </c>
    </row>
    <row r="37" spans="1:21" ht="15.75" customHeight="1" thickBot="1">
      <c r="A37" s="582" t="s">
        <v>18</v>
      </c>
      <c r="B37" s="293" t="str">
        <f>Мониторинг!B39</f>
        <v>SIEM (внедрение системы как СЗИ)</v>
      </c>
      <c r="C37" s="116">
        <f>Мониторинг!D39</f>
        <v>4.9038461538461542</v>
      </c>
      <c r="D37" s="117">
        <f>Мониторинг!E39</f>
        <v>3.5615384615384613</v>
      </c>
      <c r="E37" s="331">
        <f>Мониторинг!F39</f>
        <v>0.12307692307692308</v>
      </c>
      <c r="F37" s="132">
        <v>0</v>
      </c>
      <c r="G37" s="132">
        <v>0</v>
      </c>
      <c r="H37" s="132">
        <v>0</v>
      </c>
      <c r="I37" s="329">
        <v>0</v>
      </c>
      <c r="J37" s="308">
        <v>0</v>
      </c>
      <c r="K37" s="338" t="e">
        <f>Мониторинг!J39</f>
        <v>#DIV/0!</v>
      </c>
      <c r="L37" s="299">
        <f>Мониторинг!K39</f>
        <v>0.12307692307692308</v>
      </c>
      <c r="M37" s="289">
        <f>Мониторинг!L39</f>
        <v>0</v>
      </c>
      <c r="N37" s="345">
        <f t="shared" si="3"/>
        <v>0.12307692307692308</v>
      </c>
      <c r="O37" s="359">
        <f t="shared" si="4"/>
        <v>0</v>
      </c>
      <c r="P37" s="119">
        <f t="shared" si="2"/>
        <v>1</v>
      </c>
      <c r="R37" s="119">
        <f t="shared" si="5"/>
        <v>1</v>
      </c>
      <c r="S37" s="119">
        <f t="shared" si="6"/>
        <v>1</v>
      </c>
      <c r="T37" s="119">
        <f t="shared" si="7"/>
        <v>1</v>
      </c>
    </row>
    <row r="38" spans="1:21" ht="15.75" customHeight="1" thickBot="1">
      <c r="A38" s="589"/>
      <c r="B38" s="294" t="str">
        <f>Мониторинг!B38</f>
        <v>Аномалии и события (Хранение информации о событиях)</v>
      </c>
      <c r="C38" s="290">
        <f>Мониторинг!D38</f>
        <v>5</v>
      </c>
      <c r="D38" s="291">
        <f>Мониторинг!E38</f>
        <v>5</v>
      </c>
      <c r="E38" s="332">
        <f>Мониторинг!F38</f>
        <v>0</v>
      </c>
      <c r="F38" s="132">
        <v>0</v>
      </c>
      <c r="G38" s="132">
        <v>0</v>
      </c>
      <c r="H38" s="132">
        <v>0</v>
      </c>
      <c r="I38" s="329">
        <v>0</v>
      </c>
      <c r="J38" s="308">
        <v>0</v>
      </c>
      <c r="K38" s="339" t="e">
        <f>Мониторинг!J38</f>
        <v>#DIV/0!</v>
      </c>
      <c r="L38" s="298">
        <f>Мониторинг!K38</f>
        <v>0</v>
      </c>
      <c r="M38" s="292">
        <f>Мониторинг!L38</f>
        <v>0</v>
      </c>
      <c r="N38" s="345">
        <f t="shared" si="3"/>
        <v>0</v>
      </c>
      <c r="O38" s="359">
        <f t="shared" si="1"/>
        <v>0</v>
      </c>
      <c r="P38" s="119">
        <f t="shared" si="2"/>
        <v>0</v>
      </c>
      <c r="R38" s="119">
        <f t="shared" si="5"/>
        <v>1</v>
      </c>
      <c r="S38" s="119">
        <f t="shared" si="6"/>
        <v>1</v>
      </c>
      <c r="T38" s="119">
        <f t="shared" si="7"/>
        <v>0</v>
      </c>
    </row>
    <row r="39" spans="1:21" ht="15.75" customHeight="1" thickBot="1">
      <c r="A39" s="590"/>
      <c r="B39" s="295" t="str">
        <f>Мониторинг!B40</f>
        <v>Мониторинг - Процессы</v>
      </c>
      <c r="C39" s="110">
        <f>Мониторинг!D40</f>
        <v>4</v>
      </c>
      <c r="D39" s="111">
        <f>Мониторинг!E40</f>
        <v>2.6</v>
      </c>
      <c r="E39" s="333">
        <f>Мониторинг!F40</f>
        <v>0</v>
      </c>
      <c r="F39" s="132">
        <v>0</v>
      </c>
      <c r="G39" s="132">
        <v>0</v>
      </c>
      <c r="H39" s="132">
        <v>0</v>
      </c>
      <c r="I39" s="329">
        <v>0</v>
      </c>
      <c r="J39" s="346">
        <v>0</v>
      </c>
      <c r="K39" s="340" t="e">
        <f>Мониторинг!J40</f>
        <v>#DIV/0!</v>
      </c>
      <c r="L39" s="300">
        <f>Мониторинг!K40</f>
        <v>0</v>
      </c>
      <c r="M39" s="153">
        <f>Мониторинг!L40</f>
        <v>0</v>
      </c>
      <c r="N39" s="345">
        <f t="shared" si="3"/>
        <v>0</v>
      </c>
      <c r="O39" s="359">
        <f t="shared" si="4"/>
        <v>0</v>
      </c>
      <c r="P39" s="119">
        <f t="shared" si="2"/>
        <v>0</v>
      </c>
      <c r="R39" s="119">
        <f t="shared" si="5"/>
        <v>1</v>
      </c>
      <c r="S39" s="119">
        <f t="shared" si="6"/>
        <v>1</v>
      </c>
      <c r="T39" s="119">
        <f t="shared" si="7"/>
        <v>0</v>
      </c>
    </row>
    <row r="40" spans="1:21" ht="15.75" customHeight="1" thickBot="1">
      <c r="A40" s="586" t="s">
        <v>19</v>
      </c>
      <c r="B40" s="154" t="str">
        <f>Реагирование!B30</f>
        <v>Планирование реагирования</v>
      </c>
      <c r="C40" s="107">
        <f>Реагирование!D30</f>
        <v>4.5</v>
      </c>
      <c r="D40" s="108">
        <f>Реагирование!E30</f>
        <v>3.0999999999999996</v>
      </c>
      <c r="E40" s="109">
        <f>Реагирование!F30</f>
        <v>0.5</v>
      </c>
      <c r="F40" s="132">
        <v>0</v>
      </c>
      <c r="G40" s="132">
        <v>0</v>
      </c>
      <c r="H40" s="132">
        <v>0</v>
      </c>
      <c r="I40" s="329">
        <v>0</v>
      </c>
      <c r="J40" s="308">
        <v>0</v>
      </c>
      <c r="K40" s="339" t="e">
        <f>Реагирование!J30</f>
        <v>#DIV/0!</v>
      </c>
      <c r="L40" s="298">
        <f>Реагирование!K30</f>
        <v>0.5</v>
      </c>
      <c r="M40" s="152">
        <f>Реагирование!L30</f>
        <v>0</v>
      </c>
      <c r="N40" s="345">
        <f t="shared" si="3"/>
        <v>0.5</v>
      </c>
      <c r="O40" s="359">
        <f t="shared" si="1"/>
        <v>0</v>
      </c>
      <c r="P40" s="119">
        <f t="shared" si="2"/>
        <v>1</v>
      </c>
      <c r="R40" s="119">
        <f t="shared" si="5"/>
        <v>1</v>
      </c>
      <c r="S40" s="119">
        <f t="shared" si="6"/>
        <v>1</v>
      </c>
      <c r="T40" s="119">
        <f t="shared" si="7"/>
        <v>1</v>
      </c>
    </row>
    <row r="41" spans="1:21" ht="15.75" customHeight="1" thickBot="1">
      <c r="A41" s="586"/>
      <c r="B41" s="154" t="str">
        <f>Реагирование!B31</f>
        <v>Коммуникации (реагирование на инциденты)</v>
      </c>
      <c r="C41" s="107">
        <f>Реагирование!D31</f>
        <v>5</v>
      </c>
      <c r="D41" s="108">
        <f>Реагирование!E31</f>
        <v>3.2</v>
      </c>
      <c r="E41" s="109">
        <f>Реагирование!F31</f>
        <v>0.64</v>
      </c>
      <c r="F41" s="132">
        <v>0</v>
      </c>
      <c r="G41" s="132">
        <v>0</v>
      </c>
      <c r="H41" s="132">
        <v>0</v>
      </c>
      <c r="I41" s="329">
        <v>0</v>
      </c>
      <c r="J41" s="308">
        <v>0</v>
      </c>
      <c r="K41" s="339" t="e">
        <f>Реагирование!J31</f>
        <v>#DIV/0!</v>
      </c>
      <c r="L41" s="298">
        <f>Реагирование!K31</f>
        <v>0.64</v>
      </c>
      <c r="M41" s="152">
        <f>Реагирование!L31</f>
        <v>0.32</v>
      </c>
      <c r="N41" s="345">
        <f t="shared" si="3"/>
        <v>0.32</v>
      </c>
      <c r="O41" s="359">
        <f t="shared" si="4"/>
        <v>-0.32</v>
      </c>
      <c r="P41" s="119">
        <f t="shared" si="2"/>
        <v>0.5</v>
      </c>
      <c r="R41" s="119">
        <f t="shared" si="5"/>
        <v>0.93599999999999994</v>
      </c>
      <c r="S41" s="119">
        <f t="shared" si="6"/>
        <v>0.9</v>
      </c>
      <c r="T41" s="119">
        <f t="shared" si="7"/>
        <v>0.5</v>
      </c>
    </row>
    <row r="42" spans="1:21" ht="15.75" customHeight="1" thickBot="1">
      <c r="A42" s="586"/>
      <c r="B42" s="154" t="str">
        <f>Реагирование!B33</f>
        <v>Плейбуки по реагированию</v>
      </c>
      <c r="C42" s="107">
        <f>Реагирование!D33</f>
        <v>4.9090909090909092</v>
      </c>
      <c r="D42" s="108">
        <f>Реагирование!E33</f>
        <v>3.2</v>
      </c>
      <c r="E42" s="109">
        <f>Реагирование!F33</f>
        <v>1.6666666666666667</v>
      </c>
      <c r="F42" s="132">
        <v>0</v>
      </c>
      <c r="G42" s="132">
        <v>0</v>
      </c>
      <c r="H42" s="132">
        <v>0</v>
      </c>
      <c r="I42" s="329">
        <v>0</v>
      </c>
      <c r="J42" s="308">
        <v>0</v>
      </c>
      <c r="K42" s="339" t="e">
        <f>Реагирование!J33</f>
        <v>#DIV/0!</v>
      </c>
      <c r="L42" s="298">
        <f>Реагирование!K33</f>
        <v>1.6666666666666667</v>
      </c>
      <c r="M42" s="152">
        <f>Реагирование!L33</f>
        <v>0</v>
      </c>
      <c r="N42" s="345">
        <f t="shared" si="3"/>
        <v>1.6666666666666667</v>
      </c>
      <c r="O42" s="359">
        <f t="shared" si="1"/>
        <v>0</v>
      </c>
      <c r="P42" s="119">
        <f t="shared" si="2"/>
        <v>1</v>
      </c>
      <c r="R42" s="119">
        <f t="shared" si="5"/>
        <v>1</v>
      </c>
      <c r="S42" s="119">
        <f t="shared" si="6"/>
        <v>1</v>
      </c>
      <c r="T42" s="119">
        <f t="shared" si="7"/>
        <v>1</v>
      </c>
    </row>
    <row r="43" spans="1:21" ht="15.75" customHeight="1" thickBot="1">
      <c r="A43" s="587"/>
      <c r="B43" s="155" t="str">
        <f>Реагирование!B32</f>
        <v>Анализ и расследование</v>
      </c>
      <c r="C43" s="110">
        <f>Реагирование!D32</f>
        <v>4.5999999999999996</v>
      </c>
      <c r="D43" s="111">
        <f>Реагирование!E32</f>
        <v>3.84</v>
      </c>
      <c r="E43" s="112">
        <f>Реагирование!F32</f>
        <v>1.04</v>
      </c>
      <c r="F43" s="132">
        <v>0</v>
      </c>
      <c r="G43" s="132">
        <v>0</v>
      </c>
      <c r="H43" s="132">
        <v>0</v>
      </c>
      <c r="I43" s="329">
        <v>0</v>
      </c>
      <c r="J43" s="346">
        <v>0</v>
      </c>
      <c r="K43" s="340" t="e">
        <f>Реагирование!J32</f>
        <v>#DIV/0!</v>
      </c>
      <c r="L43" s="300">
        <f>Реагирование!K32</f>
        <v>1.04</v>
      </c>
      <c r="M43" s="153">
        <f>Реагирование!L32</f>
        <v>0.72</v>
      </c>
      <c r="N43" s="345">
        <f t="shared" si="3"/>
        <v>0.32000000000000006</v>
      </c>
      <c r="O43" s="359">
        <f t="shared" si="4"/>
        <v>-0.72</v>
      </c>
      <c r="P43" s="119">
        <f t="shared" si="2"/>
        <v>0.30769230769230776</v>
      </c>
      <c r="R43" s="119">
        <f t="shared" si="5"/>
        <v>0.84347826086956523</v>
      </c>
      <c r="S43" s="119">
        <f t="shared" si="6"/>
        <v>0.81250000000000011</v>
      </c>
      <c r="T43" s="119">
        <f t="shared" si="7"/>
        <v>0.30769230769230776</v>
      </c>
    </row>
    <row r="44" spans="1:21" ht="15.75" customHeight="1" thickBot="1">
      <c r="A44" s="588" t="s">
        <v>20</v>
      </c>
      <c r="B44" s="156" t="str">
        <f>Восстановление!B31</f>
        <v>Планирование восстановления</v>
      </c>
      <c r="C44" s="113">
        <f>Восстановление!D27</f>
        <v>5</v>
      </c>
      <c r="D44" s="114">
        <f>Восстановление!E27</f>
        <v>3.2</v>
      </c>
      <c r="E44" s="112">
        <f>Восстановление!F27</f>
        <v>0</v>
      </c>
      <c r="F44" s="132">
        <v>0</v>
      </c>
      <c r="G44" s="132">
        <v>0</v>
      </c>
      <c r="H44" s="132">
        <v>0</v>
      </c>
      <c r="I44" s="329">
        <v>0</v>
      </c>
      <c r="J44" s="308">
        <v>0</v>
      </c>
      <c r="K44" s="338" t="e">
        <f>Восстановление!J27</f>
        <v>#DIV/0!</v>
      </c>
      <c r="L44" s="299">
        <f>Восстановление!K27</f>
        <v>1.0666666666666667</v>
      </c>
      <c r="M44" s="150">
        <f>Восстановление!L27</f>
        <v>0</v>
      </c>
      <c r="N44" s="345">
        <f t="shared" si="3"/>
        <v>1.0666666666666667</v>
      </c>
      <c r="O44" s="359">
        <f t="shared" si="1"/>
        <v>0</v>
      </c>
      <c r="P44" s="119">
        <f t="shared" si="2"/>
        <v>1</v>
      </c>
      <c r="R44" s="119">
        <f t="shared" si="5"/>
        <v>1</v>
      </c>
      <c r="S44" s="119">
        <f t="shared" si="6"/>
        <v>1</v>
      </c>
      <c r="T44" s="119">
        <f t="shared" si="7"/>
        <v>0</v>
      </c>
    </row>
    <row r="45" spans="1:21" ht="14.1" customHeight="1" thickBot="1">
      <c r="A45" s="587"/>
      <c r="B45" s="155" t="str">
        <f>Восстановление!B41</f>
        <v>Восстановление - Коммуникации</v>
      </c>
      <c r="C45" s="110">
        <f>Восстановление!D28</f>
        <v>5</v>
      </c>
      <c r="D45" s="111">
        <f>Восстановление!E28</f>
        <v>1.6</v>
      </c>
      <c r="E45" s="112">
        <f>Восстановление!F28</f>
        <v>0</v>
      </c>
      <c r="F45" s="132">
        <v>0</v>
      </c>
      <c r="G45" s="132">
        <v>0</v>
      </c>
      <c r="H45" s="132">
        <v>0</v>
      </c>
      <c r="I45" s="330">
        <v>0</v>
      </c>
      <c r="J45" s="346">
        <v>0</v>
      </c>
      <c r="K45" s="340" t="e">
        <f>Восстановление!J28</f>
        <v>#DIV/0!</v>
      </c>
      <c r="L45" s="300">
        <f>Восстановление!K28</f>
        <v>0</v>
      </c>
      <c r="M45" s="153">
        <f>Восстановление!L28</f>
        <v>0</v>
      </c>
      <c r="N45" s="345">
        <f t="shared" si="3"/>
        <v>0</v>
      </c>
      <c r="O45" s="359">
        <f t="shared" si="4"/>
        <v>0</v>
      </c>
      <c r="P45" s="119">
        <f t="shared" si="2"/>
        <v>0</v>
      </c>
      <c r="R45" s="119">
        <f t="shared" si="5"/>
        <v>1</v>
      </c>
      <c r="S45" s="119">
        <f t="shared" si="6"/>
        <v>1</v>
      </c>
      <c r="T45" s="119">
        <f>IF(($M45-E45)&gt;=0,0,($M45-E45)*(-1)/E45)</f>
        <v>0</v>
      </c>
    </row>
    <row r="46" spans="1:21" ht="30.6" customHeight="1">
      <c r="R46" s="303">
        <f>1-SUM(Расчет!R23:R36)/COUNTA(Расчет!R23:R36)</f>
        <v>1.8117913832199517E-2</v>
      </c>
      <c r="S46" s="303">
        <f>1-SUM(Расчет!S23:S36)/COUNTA(Расчет!S23:S36)</f>
        <v>0.1623687736110252</v>
      </c>
      <c r="T46" s="303">
        <f>1-SUM(Расчет!T23:T36)/COUNTA(Расчет!T23:T36)</f>
        <v>0.51457544570646474</v>
      </c>
      <c r="U46" s="100" t="s">
        <v>689</v>
      </c>
    </row>
    <row r="47" spans="1:21" ht="25.5" customHeight="1">
      <c r="R47" s="303">
        <f>1-SUM(R4:R17,R18:R22,R39:R45)/COUNTA(R4:R17,R18:R22,R39:R45)</f>
        <v>0.16508107395642868</v>
      </c>
      <c r="S47" s="303">
        <f>1-SUM(S4:S17,S18:S22,S39:S45)/COUNTA(S4:S17,S18:S22,S39:S45)</f>
        <v>0.18476278740497298</v>
      </c>
      <c r="T47" s="303"/>
      <c r="U47" s="100" t="s">
        <v>688</v>
      </c>
    </row>
    <row r="48" spans="1:21" ht="15.75" customHeight="1"/>
    <row r="49" spans="1:13" ht="15.75" customHeight="1"/>
    <row r="50" spans="1:13" ht="15.75" customHeight="1"/>
    <row r="51" spans="1:13" ht="15.75" customHeight="1"/>
    <row r="52" spans="1:13" ht="15.75" customHeight="1" thickBot="1"/>
    <row r="53" spans="1:13" ht="50.85" customHeight="1">
      <c r="A53" s="11"/>
      <c r="B53" s="11"/>
      <c r="C53" s="12" t="s">
        <v>10</v>
      </c>
      <c r="D53" s="13" t="s">
        <v>11</v>
      </c>
      <c r="E53" s="14" t="s">
        <v>12</v>
      </c>
      <c r="F53" s="584" t="s">
        <v>13</v>
      </c>
      <c r="G53" s="585"/>
      <c r="H53" s="161"/>
      <c r="I53" s="161"/>
      <c r="J53" s="161" t="s">
        <v>624</v>
      </c>
      <c r="K53" s="161"/>
      <c r="L53" s="16" t="str">
        <f>L1</f>
        <v>Расчетные данные на 31.12.2025</v>
      </c>
      <c r="M53" s="15" t="s">
        <v>24</v>
      </c>
    </row>
    <row r="54" spans="1:13" ht="15.75" customHeight="1" thickBot="1">
      <c r="A54" s="11"/>
      <c r="B54" t="s">
        <v>14</v>
      </c>
      <c r="C54" s="17"/>
      <c r="D54" s="18"/>
      <c r="E54" s="19"/>
      <c r="F54" s="20">
        <v>45017</v>
      </c>
      <c r="G54" s="20">
        <v>45291</v>
      </c>
      <c r="H54" s="162"/>
      <c r="I54" s="162"/>
      <c r="J54" s="162">
        <v>46022</v>
      </c>
      <c r="K54" s="162"/>
      <c r="L54" s="22">
        <v>46022</v>
      </c>
      <c r="M54" s="21">
        <v>46022</v>
      </c>
    </row>
    <row r="55" spans="1:13" ht="15.75" customHeight="1" thickBot="1">
      <c r="A55" s="582" t="str">
        <f>'Управление ИБ'!B1</f>
        <v>Система управления ИБ</v>
      </c>
      <c r="B55" s="583"/>
      <c r="C55" s="116">
        <f>AVERAGE(C4:C17)</f>
        <v>4.8161091393078976</v>
      </c>
      <c r="D55" s="117">
        <f>AVERAGE(D4:D17)</f>
        <v>3.6506122448979594</v>
      </c>
      <c r="E55" s="118">
        <f>AVERAGE(E4:E17)</f>
        <v>1.7989896783685606</v>
      </c>
      <c r="F55" s="151"/>
      <c r="G55" s="151"/>
      <c r="H55" s="151"/>
      <c r="I55" s="151"/>
      <c r="J55" s="151"/>
      <c r="K55" s="151"/>
      <c r="L55" s="163">
        <f>AVERAGE(L4:L17)</f>
        <v>1.7989896783685606</v>
      </c>
      <c r="M55" s="163">
        <f>AVERAGE(M4:M17)</f>
        <v>0.61536333231985396</v>
      </c>
    </row>
    <row r="56" spans="1:13" ht="15.75" customHeight="1" thickBot="1">
      <c r="A56" s="582" t="s">
        <v>69</v>
      </c>
      <c r="B56" s="583"/>
      <c r="C56" s="116">
        <f>AVERAGE(C18:C22)</f>
        <v>3</v>
      </c>
      <c r="D56" s="117">
        <f>AVERAGE(D18:D22)</f>
        <v>2.964</v>
      </c>
      <c r="E56" s="118">
        <f>AVERAGE(E18:E22)</f>
        <v>2.9319999999999999</v>
      </c>
      <c r="F56" s="151"/>
      <c r="G56" s="151"/>
      <c r="H56" s="151"/>
      <c r="I56" s="151"/>
      <c r="J56" s="151"/>
      <c r="K56" s="151"/>
      <c r="L56" s="163">
        <f>AVERAGE(L18:L22)</f>
        <v>3.0188055555555557</v>
      </c>
      <c r="M56" s="163">
        <f>AVERAGE(M18:M22)</f>
        <v>0.33888888888888891</v>
      </c>
    </row>
    <row r="57" spans="1:13" ht="15.75" customHeight="1" thickBot="1">
      <c r="A57" s="582" t="s">
        <v>113</v>
      </c>
      <c r="B57" s="583"/>
      <c r="C57" s="116">
        <f>AVERAGE(C23:C36)</f>
        <v>4.8642709968602826</v>
      </c>
      <c r="D57" s="117">
        <f>AVERAGE(D23:D36)</f>
        <v>3.1341437728937729</v>
      </c>
      <c r="E57" s="118">
        <f>AVERAGE(E23:E36)</f>
        <v>1.4171268315018313</v>
      </c>
      <c r="F57" s="151"/>
      <c r="G57" s="151"/>
      <c r="H57" s="151"/>
      <c r="I57" s="151"/>
      <c r="J57" s="151"/>
      <c r="K57" s="151"/>
      <c r="L57" s="163">
        <f>AVERAGE(L23:L36)</f>
        <v>1.4171268315018313</v>
      </c>
      <c r="M57" s="163">
        <f>AVERAGE(M23:M36)</f>
        <v>8.8888888888888878E-2</v>
      </c>
    </row>
    <row r="58" spans="1:13" ht="15.75" customHeight="1" thickBot="1">
      <c r="A58" s="582" t="s">
        <v>18</v>
      </c>
      <c r="B58" s="583"/>
      <c r="C58" s="116">
        <f>AVERAGE(C38:C39)</f>
        <v>4.5</v>
      </c>
      <c r="D58" s="117">
        <f>AVERAGE(D38:D39)</f>
        <v>3.8</v>
      </c>
      <c r="E58" s="118">
        <f>AVERAGE(E38:E39)</f>
        <v>0</v>
      </c>
      <c r="F58" s="151"/>
      <c r="G58" s="151"/>
      <c r="H58" s="151"/>
      <c r="I58" s="151"/>
      <c r="J58" s="151"/>
      <c r="K58" s="151"/>
      <c r="L58" s="163">
        <f>AVERAGE(L38:L39)</f>
        <v>0</v>
      </c>
      <c r="M58" s="163">
        <f>AVERAGE(M38:M39)</f>
        <v>0</v>
      </c>
    </row>
    <row r="59" spans="1:13" ht="15.75" customHeight="1" thickBot="1">
      <c r="A59" s="582" t="s">
        <v>19</v>
      </c>
      <c r="B59" s="583"/>
      <c r="C59" s="116">
        <f>AVERAGE(C40:C43)</f>
        <v>4.752272727272727</v>
      </c>
      <c r="D59" s="117">
        <f>AVERAGE(D40:D43)</f>
        <v>3.335</v>
      </c>
      <c r="E59" s="118">
        <f>AVERAGE(E40:E43)</f>
        <v>0.96166666666666667</v>
      </c>
      <c r="F59" s="151"/>
      <c r="G59" s="151"/>
      <c r="H59" s="151"/>
      <c r="I59" s="151"/>
      <c r="J59" s="151"/>
      <c r="K59" s="151"/>
      <c r="L59" s="163">
        <f>AVERAGE(L40:L43)</f>
        <v>0.96166666666666667</v>
      </c>
      <c r="M59" s="163">
        <f>AVERAGE(M40:M43)</f>
        <v>0.26</v>
      </c>
    </row>
    <row r="60" spans="1:13" ht="15.75" customHeight="1">
      <c r="A60" s="582" t="s">
        <v>20</v>
      </c>
      <c r="B60" s="583"/>
      <c r="C60" s="116">
        <f>AVERAGE(C44:C45)</f>
        <v>5</v>
      </c>
      <c r="D60" s="117">
        <f>AVERAGE(D44:D45)</f>
        <v>2.4000000000000004</v>
      </c>
      <c r="E60" s="118">
        <f>AVERAGE(E44:E45)</f>
        <v>0</v>
      </c>
      <c r="F60" s="151"/>
      <c r="G60" s="151"/>
      <c r="H60" s="151"/>
      <c r="I60" s="151"/>
      <c r="J60" s="151"/>
      <c r="K60" s="151"/>
      <c r="L60" s="163">
        <f>AVERAGE(L44:L45)</f>
        <v>0.53333333333333333</v>
      </c>
      <c r="M60" s="163">
        <f>AVERAGE(M44:M45)</f>
        <v>0</v>
      </c>
    </row>
    <row r="61" spans="1:13" ht="15.75" customHeight="1"/>
    <row r="62" spans="1:13" ht="15.75" customHeight="1"/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autoFilter ref="A3:P45" xr:uid="{00000000-0009-0000-0000-000002000000}"/>
  <mergeCells count="18">
    <mergeCell ref="A60:B60"/>
    <mergeCell ref="A59:B59"/>
    <mergeCell ref="A58:B58"/>
    <mergeCell ref="A57:B57"/>
    <mergeCell ref="A56:B56"/>
    <mergeCell ref="P1:P2"/>
    <mergeCell ref="R1:R2"/>
    <mergeCell ref="S1:S2"/>
    <mergeCell ref="T1:T2"/>
    <mergeCell ref="A55:B55"/>
    <mergeCell ref="F53:G53"/>
    <mergeCell ref="A40:A43"/>
    <mergeCell ref="A44:A45"/>
    <mergeCell ref="F1:G1"/>
    <mergeCell ref="A4:A17"/>
    <mergeCell ref="A18:A22"/>
    <mergeCell ref="A23:A36"/>
    <mergeCell ref="A37:A39"/>
  </mergeCells>
  <conditionalFormatting sqref="N4:O45">
    <cfRule type="cellIs" dxfId="57" priority="7" operator="greaterThan">
      <formula>0</formula>
    </cfRule>
  </conditionalFormatting>
  <conditionalFormatting sqref="O4:O45">
    <cfRule type="cellIs" dxfId="56" priority="2" operator="lessThan">
      <formula>0</formula>
    </cfRule>
    <cfRule type="cellIs" dxfId="55" priority="5" operator="lessThan">
      <formula>0</formula>
    </cfRule>
    <cfRule type="cellIs" dxfId="54" priority="6" operator="greaterThan">
      <formula>0</formula>
    </cfRule>
  </conditionalFormatting>
  <conditionalFormatting sqref="P4:P45">
    <cfRule type="dataBar" priority="90">
      <dataBar>
        <cfvo type="min"/>
        <cfvo type="max"/>
        <color theme="4" tint="-0.249977111117893"/>
      </dataBar>
      <extLst>
        <ext xmlns:x14="http://schemas.microsoft.com/office/spreadsheetml/2009/9/main" uri="{B025F937-C7B1-47D3-B67F-A62EFF666E3E}">
          <x14:id>{AAE93102-D98E-4013-AF14-0E974F60483C}</x14:id>
        </ext>
      </extLst>
    </cfRule>
    <cfRule type="dataBar" priority="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{9F428F1E-40BE-4E54-B1C3-21E876B1E7C9}</x14:id>
        </ext>
      </extLst>
    </cfRule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{8A5CC89E-04C2-4409-B5E5-F93FA8BC6352}</x14:id>
        </ext>
      </extLst>
    </cfRule>
  </conditionalFormatting>
  <conditionalFormatting sqref="R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{25F915F6-46CB-4311-9EBA-CCFBACEC1404}</x14:id>
        </ext>
      </extLst>
    </cfRule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{EF3430A5-1668-4915-8D51-0EF89FD3A17A}</x14:id>
        </ext>
      </extLst>
    </cfRule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{11A18A26-23CC-464B-9785-A298221EF075}</x14:id>
        </ext>
      </extLst>
    </cfRule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{AB5EB5F6-CB25-4B36-8C84-CC2CEA57CE11}</x14:id>
        </ext>
      </extLst>
    </cfRule>
  </conditionalFormatting>
  <conditionalFormatting sqref="R4:R45">
    <cfRule type="dataBar" priority="12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{5991A070-9DA7-49FB-9A65-FE25F3E87408}</x14:id>
        </ext>
      </extLst>
    </cfRule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{B4589849-BE00-4FC5-84C2-1D5DDCD90061}</x14:id>
        </ext>
      </extLst>
    </cfRule>
  </conditionalFormatting>
  <conditionalFormatting sqref="R5:S45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{A1186861-0FAF-437C-98E8-B73B65103D15}</x14:id>
        </ext>
      </extLst>
    </cfRule>
    <cfRule type="dataBar" priority="1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{7202090B-84B9-47F4-8E75-CF603D7503AE}</x14:id>
        </ext>
      </extLst>
    </cfRule>
  </conditionalFormatting>
  <conditionalFormatting sqref="S4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{2217FF28-85A6-45F6-A4D2-2E52B048A918}</x14:id>
        </ext>
      </extLst>
    </cfRule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{17CF9160-96AB-47D7-8A3B-6DDF69A7D176}</x14:id>
        </ext>
      </extLst>
    </cfRule>
  </conditionalFormatting>
  <conditionalFormatting sqref="S4:S44">
    <cfRule type="dataBar" priority="1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{09D379DF-CB06-480A-B377-949E94ED88C5}</x14:id>
        </ext>
      </extLst>
    </cfRule>
  </conditionalFormatting>
  <conditionalFormatting sqref="S4:S45">
    <cfRule type="dataBar" priority="13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{6DA7CCA5-20C6-4C06-A0EA-23FD66BD3790}</x14:id>
        </ext>
      </extLst>
    </cfRule>
  </conditionalFormatting>
  <conditionalFormatting sqref="T4:T4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{7C64D532-7918-4B21-86FD-B2F050173150}</x14:id>
        </ext>
      </extLst>
    </cfRule>
  </conditionalFormatting>
  <conditionalFormatting sqref="Z3:AB3">
    <cfRule type="dataBar" priority="1">
      <dataBar showValue="0">
        <cfvo type="percent" val="0"/>
        <cfvo type="max"/>
        <color rgb="FF638EC6"/>
      </dataBar>
      <extLst>
        <ext xmlns:x14="http://schemas.microsoft.com/office/spreadsheetml/2009/9/main" uri="{B025F937-C7B1-47D3-B67F-A62EFF666E3E}">
          <x14:id>{D216A9B7-7CA3-4BF3-A414-0A9C7E64FD68}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E93102-D98E-4013-AF14-0E974F6048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428F1E-40BE-4E54-B1C3-21E876B1E7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5CC89E-04C2-4409-B5E5-F93FA8BC63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P4:P45</xm:sqref>
        </x14:conditionalFormatting>
        <x14:conditionalFormatting xmlns:xm="http://schemas.microsoft.com/office/excel/2006/main">
          <x14:cfRule type="dataBar" id="{25F915F6-46CB-4311-9EBA-CCFBACEC14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3430A5-1668-4915-8D51-0EF89FD3A1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A18A26-23CC-464B-9785-A298221EF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5EB5F6-CB25-4B36-8C84-CC2CEA57CE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91A070-9DA7-49FB-9A65-FE25F3E87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589849-BE00-4FC5-84C2-1D5DDCD900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R4:R45</xm:sqref>
        </x14:conditionalFormatting>
        <x14:conditionalFormatting xmlns:xm="http://schemas.microsoft.com/office/excel/2006/main">
          <x14:cfRule type="dataBar" id="{A1186861-0FAF-437C-98E8-B73B65103D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02090B-84B9-47F4-8E75-CF603D7503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R5:S45</xm:sqref>
        </x14:conditionalFormatting>
        <x14:conditionalFormatting xmlns:xm="http://schemas.microsoft.com/office/excel/2006/main">
          <x14:cfRule type="dataBar" id="{2217FF28-85A6-45F6-A4D2-2E52B048A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CF9160-96AB-47D7-8A3B-6DDF69A7D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</xm:sqref>
        </x14:conditionalFormatting>
        <x14:conditionalFormatting xmlns:xm="http://schemas.microsoft.com/office/excel/2006/main">
          <x14:cfRule type="dataBar" id="{09D379DF-CB06-480A-B377-949E94ED88C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S4:S44</xm:sqref>
        </x14:conditionalFormatting>
        <x14:conditionalFormatting xmlns:xm="http://schemas.microsoft.com/office/excel/2006/main">
          <x14:cfRule type="dataBar" id="{6DA7CCA5-20C6-4C06-A0EA-23FD66BD37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S4:S45</xm:sqref>
        </x14:conditionalFormatting>
        <x14:conditionalFormatting xmlns:xm="http://schemas.microsoft.com/office/excel/2006/main">
          <x14:cfRule type="dataBar" id="{7C64D532-7918-4B21-86FD-B2F0501731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T4:T45</xm:sqref>
        </x14:conditionalFormatting>
        <x14:conditionalFormatting xmlns:xm="http://schemas.microsoft.com/office/excel/2006/main">
          <x14:cfRule type="dataBar" id="{D216A9B7-7CA3-4BF3-A414-0A9C7E64FD68}">
            <x14:dataBar minLength="0" maxLength="100" gradient="0">
              <x14:cfvo type="percent">
                <xm:f>0</xm:f>
              </x14:cfvo>
              <x14:cfvo type="max"/>
              <x14:negativeFillColor rgb="FFFF0000"/>
              <x14:axisColor rgb="FF000000"/>
            </x14:dataBar>
          </x14:cfRule>
          <xm:sqref>Z3:AB3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2">
    <tabColor theme="0"/>
  </sheetPr>
  <dimension ref="A1:P637"/>
  <sheetViews>
    <sheetView topLeftCell="B1" zoomScale="70" zoomScaleNormal="70" workbookViewId="0">
      <selection activeCell="O3" sqref="O3"/>
    </sheetView>
  </sheetViews>
  <sheetFormatPr defaultRowHeight="15.6"/>
  <cols>
    <col min="1" max="1" width="4.69921875" style="270" customWidth="1"/>
    <col min="2" max="2" width="24.59765625" style="263" customWidth="1"/>
    <col min="3" max="3" width="29.8984375" style="47" customWidth="1"/>
    <col min="4" max="4" width="15.09765625" style="47" customWidth="1"/>
    <col min="5" max="5" width="7.09765625" style="47" customWidth="1"/>
    <col min="6" max="6" width="8.3984375" style="47" customWidth="1"/>
    <col min="7" max="7" width="8.09765625" style="47" customWidth="1"/>
    <col min="8" max="8" width="11.59765625" style="73" customWidth="1"/>
    <col min="9" max="9" width="13.5" style="47" customWidth="1"/>
    <col min="10" max="10" width="13.5" style="47" hidden="1" customWidth="1"/>
    <col min="11" max="11" width="12.3984375" style="503" customWidth="1"/>
    <col min="12" max="12" width="12.8984375" style="47" hidden="1" customWidth="1"/>
    <col min="13" max="13" width="12.19921875" style="73" customWidth="1"/>
    <col min="14" max="14" width="86.5" style="484" customWidth="1"/>
    <col min="15" max="15" width="34.19921875" style="484" customWidth="1"/>
    <col min="16" max="16" width="35.3984375" style="484" customWidth="1"/>
  </cols>
  <sheetData>
    <row r="1" spans="1:16">
      <c r="A1" s="505"/>
      <c r="K1" s="47">
        <f>SUBTOTAL(3,K3:K9672)</f>
        <v>611</v>
      </c>
      <c r="M1" s="47">
        <f>SUBTOTAL(3,M3:M9672)</f>
        <v>611</v>
      </c>
      <c r="N1" s="47">
        <f>SUBTOTAL(3,N3:N9672)</f>
        <v>609</v>
      </c>
      <c r="O1" s="47">
        <f>SUBTOTAL(3,O3:O9672)</f>
        <v>3</v>
      </c>
      <c r="P1" s="47">
        <f>SUBTOTAL(3,P3:P9672)</f>
        <v>0</v>
      </c>
    </row>
    <row r="2" spans="1:16" s="254" customFormat="1" ht="46.8">
      <c r="A2" s="270" t="s">
        <v>779</v>
      </c>
      <c r="B2" s="270" t="s">
        <v>585</v>
      </c>
      <c r="C2" s="270" t="s">
        <v>760</v>
      </c>
      <c r="D2" s="400" t="s">
        <v>22</v>
      </c>
      <c r="E2" s="124" t="s">
        <v>10</v>
      </c>
      <c r="F2" s="125" t="s">
        <v>11</v>
      </c>
      <c r="G2" s="126" t="s">
        <v>12</v>
      </c>
      <c r="H2" s="269" t="s">
        <v>588</v>
      </c>
      <c r="I2" s="169" t="s">
        <v>638</v>
      </c>
      <c r="J2" s="127" t="s">
        <v>753</v>
      </c>
      <c r="K2" s="502" t="s">
        <v>24</v>
      </c>
      <c r="L2" s="402" t="s">
        <v>693</v>
      </c>
      <c r="M2" s="269" t="s">
        <v>656</v>
      </c>
      <c r="N2" s="269" t="s">
        <v>592</v>
      </c>
      <c r="O2" s="270" t="s">
        <v>777</v>
      </c>
      <c r="P2" s="270" t="s">
        <v>778</v>
      </c>
    </row>
    <row r="3" spans="1:16" ht="46.8">
      <c r="A3" s="270" t="s">
        <v>113</v>
      </c>
      <c r="B3" s="403" t="s">
        <v>187</v>
      </c>
      <c r="C3" s="404" t="str">
        <f>СЗИ!B46</f>
        <v>Процент покрытия инфраструктуры лицензиями на антивирусное ПО</v>
      </c>
      <c r="D3" s="404" t="str">
        <f>СЗИ!C46</f>
        <v>СЗИ.ВПО.1</v>
      </c>
      <c r="E3" s="404">
        <f>СЗИ!D46</f>
        <v>5</v>
      </c>
      <c r="F3" s="404">
        <f>СЗИ!E46</f>
        <v>5</v>
      </c>
      <c r="G3" s="404">
        <f>СЗИ!F46</f>
        <v>5</v>
      </c>
      <c r="H3" s="373">
        <f>СЗИ!P46</f>
        <v>1.01</v>
      </c>
      <c r="I3" s="404">
        <f>СЗИ!K46</f>
        <v>5</v>
      </c>
      <c r="J3" s="190">
        <f>СЗИ!I46</f>
        <v>0</v>
      </c>
      <c r="K3" s="404">
        <f>СЗИ!L46</f>
        <v>0</v>
      </c>
      <c r="L3" s="404">
        <f t="shared" ref="L3:L5" si="0">IF(J3=I3," ",K3-J3)</f>
        <v>0</v>
      </c>
      <c r="M3" s="373">
        <f t="shared" ref="M3:M66" si="1">IF(H3&lt;100,    IF(K3&gt;=G3,0,I3-K3),       IF(H3&lt;300,     IF(K3&gt;=F3,0,I3-K3),                  IF(K3&gt;=E3,0,I3-K3)))</f>
        <v>5</v>
      </c>
      <c r="N3" s="483" t="str">
        <f>СЗИ!Q46</f>
        <v xml:space="preserve"> - Закупить средства АВЗ в объеме, достаточном для охвата инфраструктуры Общества</v>
      </c>
      <c r="O3" s="483"/>
      <c r="P3" s="483"/>
    </row>
    <row r="4" spans="1:16" ht="46.8">
      <c r="A4" s="270" t="s">
        <v>113</v>
      </c>
      <c r="B4" s="403" t="s">
        <v>187</v>
      </c>
      <c r="C4" s="404" t="str">
        <f>СЗИ!B47</f>
        <v>Процент покрытия инфраструктуры средствами антивирусного ПО</v>
      </c>
      <c r="D4" s="404" t="str">
        <f>СЗИ!C47</f>
        <v>СЗИ.ВПО.2</v>
      </c>
      <c r="E4" s="404">
        <f>СЗИ!D47</f>
        <v>4.75</v>
      </c>
      <c r="F4" s="404">
        <f>СЗИ!E47</f>
        <v>4.5</v>
      </c>
      <c r="G4" s="404">
        <f>СЗИ!F47</f>
        <v>3.75</v>
      </c>
      <c r="H4" s="373">
        <f>СЗИ!P47</f>
        <v>1.02</v>
      </c>
      <c r="I4" s="404">
        <f>СЗИ!K47</f>
        <v>3.75</v>
      </c>
      <c r="J4" s="190">
        <f>СЗИ!I47</f>
        <v>0</v>
      </c>
      <c r="K4" s="190">
        <f>СЗИ!L47</f>
        <v>0</v>
      </c>
      <c r="L4" s="404">
        <f t="shared" si="0"/>
        <v>0</v>
      </c>
      <c r="M4" s="373">
        <f t="shared" si="1"/>
        <v>3.75</v>
      </c>
      <c r="N4" s="483" t="str">
        <f>СЗИ!Q47</f>
        <v>- Обеспечить установку средств АВЗ не менее чем на 75% хостов инфраструктуры Общества</v>
      </c>
      <c r="O4" s="483"/>
      <c r="P4" s="483"/>
    </row>
    <row r="5" spans="1:16" ht="62.4">
      <c r="A5" s="270" t="s">
        <v>113</v>
      </c>
      <c r="B5" s="403" t="s">
        <v>187</v>
      </c>
      <c r="C5" s="404" t="str">
        <f>СЗИ!B48</f>
        <v>Осуществляется централизованное управление средствами антивирусной защиты (САВЗ)</v>
      </c>
      <c r="D5" s="404" t="str">
        <f>СЗИ!C48</f>
        <v>СЗИ.ВПО.3</v>
      </c>
      <c r="E5" s="404">
        <f>СЗИ!D48</f>
        <v>5</v>
      </c>
      <c r="F5" s="404">
        <f>СЗИ!E48</f>
        <v>5</v>
      </c>
      <c r="G5" s="404">
        <f>СЗИ!F48</f>
        <v>3.2</v>
      </c>
      <c r="H5" s="373">
        <f>СЗИ!P48</f>
        <v>1.03</v>
      </c>
      <c r="I5" s="404">
        <f>СЗИ!K48</f>
        <v>3.2</v>
      </c>
      <c r="J5" s="404">
        <f>СЗИ!I48</f>
        <v>0</v>
      </c>
      <c r="K5" s="404">
        <f>СЗИ!L48</f>
        <v>0</v>
      </c>
      <c r="L5" s="404">
        <f t="shared" si="0"/>
        <v>0</v>
      </c>
      <c r="M5" s="373">
        <f t="shared" si="1"/>
        <v>3.2</v>
      </c>
      <c r="N5" s="483" t="str">
        <f>СЗИ!Q48</f>
        <v>- Создать систему централизованного управления средствами АВЗ и обеспечить подключение к ней основных элементов инфраструктуры</v>
      </c>
      <c r="O5" s="483"/>
      <c r="P5" s="483"/>
    </row>
    <row r="6" spans="1:16" ht="118.5" customHeight="1">
      <c r="A6" s="270" t="s">
        <v>113</v>
      </c>
      <c r="B6" s="403" t="s">
        <v>187</v>
      </c>
      <c r="C6" s="404" t="str">
        <f>СЗИ!B49</f>
        <v>Настроены и применены централизованные политики АВЗ, рекомендованые ПАО "Ростелеком"</v>
      </c>
      <c r="D6" s="404" t="str">
        <f>СЗИ!C49</f>
        <v>СЗИ.ВПО.4</v>
      </c>
      <c r="E6" s="404">
        <f>СЗИ!D49</f>
        <v>5</v>
      </c>
      <c r="F6" s="404">
        <f>СЗИ!E49</f>
        <v>5</v>
      </c>
      <c r="G6" s="404">
        <f>СЗИ!F49</f>
        <v>5</v>
      </c>
      <c r="H6" s="373">
        <f>СЗИ!P49</f>
        <v>1.04</v>
      </c>
      <c r="I6" s="404">
        <f>СЗИ!K49</f>
        <v>5</v>
      </c>
      <c r="J6" s="404">
        <f>СЗИ!I49</f>
        <v>0</v>
      </c>
      <c r="K6" s="404">
        <f>СЗИ!L49</f>
        <v>0</v>
      </c>
      <c r="L6" s="404">
        <f t="shared" ref="L6:L69" si="2">IF(J6=I6," ",K6-J6)</f>
        <v>0</v>
      </c>
      <c r="M6" s="373">
        <f t="shared" si="1"/>
        <v>5</v>
      </c>
      <c r="N6" s="407" t="str">
        <f>СЗИ!Q49</f>
        <v>- Получить в Блоке ИБ ПАО Ростелеком конфигурационные решения (КР) по настройке средств АВЗ
_x000D_- Применить настройки средств АВЗ для рабочих станций
_x000D_- Применить настройки средств АВЗ для серверов
_x000D_- Применить настройки средств АВЗ для серверов СУБД
_x000D_- Применить настройки средств АВЗ для платформ виртуализации
_x000D_- Применить настройки средств АВЗ для прокси-серверов
_x000D_- Применить настройки средств АВЗ для почтовых серверов</v>
      </c>
      <c r="O6" s="407"/>
      <c r="P6" s="407"/>
    </row>
    <row r="7" spans="1:16" ht="46.8">
      <c r="A7" s="270" t="s">
        <v>113</v>
      </c>
      <c r="B7" s="403" t="s">
        <v>187</v>
      </c>
      <c r="C7" s="404" t="str">
        <f>СЗИ!B50</f>
        <v>Архитектура решения соответствует ТТР Блока ИБ</v>
      </c>
      <c r="D7" s="404" t="str">
        <f>СЗИ!C50</f>
        <v>СЗИ.ВПО.5</v>
      </c>
      <c r="E7" s="404">
        <f>СЗИ!D50</f>
        <v>5</v>
      </c>
      <c r="F7" s="404">
        <f>СЗИ!E50</f>
        <v>5</v>
      </c>
      <c r="G7" s="404">
        <f>СЗИ!F50</f>
        <v>5</v>
      </c>
      <c r="H7" s="373">
        <f>СЗИ!P50</f>
        <v>1.05</v>
      </c>
      <c r="I7" s="404">
        <f>СЗИ!K50</f>
        <v>5</v>
      </c>
      <c r="J7" s="404">
        <f>СЗИ!I50</f>
        <v>0</v>
      </c>
      <c r="K7" s="404">
        <f>СЗИ!L50</f>
        <v>0</v>
      </c>
      <c r="L7" s="404">
        <f t="shared" si="2"/>
        <v>0</v>
      </c>
      <c r="M7" s="373">
        <f t="shared" si="1"/>
        <v>5</v>
      </c>
      <c r="N7" s="407" t="str">
        <f>СЗИ!Q50</f>
        <v>- Получить в Блоке ИБ ПАО Ростелеком конфигурационные решения (КР) по архитектуре средств АВЗ
_x000D_- Организовать средства централизованного управления АВЗ в соответствии с КР</v>
      </c>
      <c r="O7" s="407"/>
      <c r="P7" s="407"/>
    </row>
    <row r="8" spans="1:16" ht="46.8">
      <c r="A8" s="270" t="s">
        <v>113</v>
      </c>
      <c r="B8" s="403" t="s">
        <v>187</v>
      </c>
      <c r="C8" s="404" t="str">
        <f>СЗИ!B51</f>
        <v>Процесс контроля работоспособности САВЗ</v>
      </c>
      <c r="D8" s="404" t="str">
        <f>СЗИ!C51</f>
        <v>СЗИ.ВПО.6</v>
      </c>
      <c r="E8" s="404">
        <f>СЗИ!D51</f>
        <v>4</v>
      </c>
      <c r="F8" s="404">
        <f>СЗИ!E51</f>
        <v>3</v>
      </c>
      <c r="G8" s="404">
        <f>СЗИ!F51</f>
        <v>2</v>
      </c>
      <c r="H8" s="373">
        <f>СЗИ!P51</f>
        <v>1.06</v>
      </c>
      <c r="I8" s="404">
        <f>СЗИ!K51</f>
        <v>2</v>
      </c>
      <c r="J8" s="404">
        <f>СЗИ!I51</f>
        <v>0</v>
      </c>
      <c r="K8" s="404">
        <f>СЗИ!L51</f>
        <v>0</v>
      </c>
      <c r="L8" s="404">
        <f t="shared" si="2"/>
        <v>0</v>
      </c>
      <c r="M8" s="373">
        <f t="shared" si="1"/>
        <v>2</v>
      </c>
      <c r="N8" s="483" t="str">
        <f>СЗИ!Q51</f>
        <v>- Разработать или Получить в Блоке ИБ ПАО Ростелеком типовое описание процесса контроля рабоспособности средств АВЗ
_x000D_- Утвердить в Обществе ВНД, описывающий процесс контроля рабоспособности средств АВЗ</v>
      </c>
      <c r="O8" s="483"/>
      <c r="P8" s="483"/>
    </row>
    <row r="9" spans="1:16" ht="46.8">
      <c r="A9" s="270" t="s">
        <v>113</v>
      </c>
      <c r="B9" s="403" t="s">
        <v>187</v>
      </c>
      <c r="C9" s="404" t="str">
        <f>СЗИ!B52</f>
        <v>Процесс обновления антивирусных средств</v>
      </c>
      <c r="D9" s="404" t="str">
        <f>СЗИ!C52</f>
        <v>СЗИ.ВПО.7</v>
      </c>
      <c r="E9" s="404">
        <f>СЗИ!D52</f>
        <v>4</v>
      </c>
      <c r="F9" s="404">
        <f>СЗИ!E52</f>
        <v>3</v>
      </c>
      <c r="G9" s="404">
        <f>СЗИ!F52</f>
        <v>2</v>
      </c>
      <c r="H9" s="373">
        <f>СЗИ!P52</f>
        <v>1.07</v>
      </c>
      <c r="I9" s="404">
        <f>СЗИ!K52</f>
        <v>2</v>
      </c>
      <c r="J9" s="404">
        <f>СЗИ!I52</f>
        <v>0</v>
      </c>
      <c r="K9" s="404">
        <f>СЗИ!L52</f>
        <v>0</v>
      </c>
      <c r="L9" s="404">
        <f t="shared" si="2"/>
        <v>0</v>
      </c>
      <c r="M9" s="373">
        <f t="shared" si="1"/>
        <v>2</v>
      </c>
      <c r="N9" s="483" t="str">
        <f>СЗИ!Q52</f>
        <v>- Разработать или Получить в Блоке ИБ ПАО Ростелеком типовое описание процесса обновления средств АВЗ
_x000D_- Утвердить в Обществе ВНД, описывающий процесс обновления средств АВЗ</v>
      </c>
      <c r="O9" s="483"/>
      <c r="P9" s="483"/>
    </row>
    <row r="10" spans="1:16" ht="46.8">
      <c r="A10" s="270" t="s">
        <v>113</v>
      </c>
      <c r="B10" s="403" t="s">
        <v>187</v>
      </c>
      <c r="C10" s="404" t="str">
        <f>СЗИ!B53</f>
        <v>Процесс реагирования на события САВЗ</v>
      </c>
      <c r="D10" s="404" t="str">
        <f>СЗИ!C53</f>
        <v>СЗИ.ВПО.8</v>
      </c>
      <c r="E10" s="404">
        <f>СЗИ!D53</f>
        <v>4</v>
      </c>
      <c r="F10" s="404">
        <f>СЗИ!E53</f>
        <v>3</v>
      </c>
      <c r="G10" s="404">
        <f>СЗИ!F53</f>
        <v>2</v>
      </c>
      <c r="H10" s="373">
        <f>СЗИ!P53</f>
        <v>1.08</v>
      </c>
      <c r="I10" s="404">
        <f>СЗИ!K53</f>
        <v>2</v>
      </c>
      <c r="J10" s="404">
        <f>СЗИ!I53</f>
        <v>0</v>
      </c>
      <c r="K10" s="404">
        <f>СЗИ!L53</f>
        <v>0</v>
      </c>
      <c r="L10" s="404">
        <f t="shared" si="2"/>
        <v>0</v>
      </c>
      <c r="M10" s="373">
        <f t="shared" si="1"/>
        <v>2</v>
      </c>
      <c r="N10" s="483" t="str">
        <f>СЗИ!Q53</f>
        <v>- Разработать или Получить в Блоке ИБ ПАО Ростелеком типовое описание процесса реагирования на события средств АВЗ
_x000D_- Утвердить в Обществе ВНД, описывающий процесс реагирования на события средств АВЗ</v>
      </c>
      <c r="O10" s="483"/>
      <c r="P10" s="483"/>
    </row>
    <row r="11" spans="1:16" ht="46.8">
      <c r="A11" s="270" t="s">
        <v>113</v>
      </c>
      <c r="B11" s="405" t="s">
        <v>332</v>
      </c>
      <c r="C11" s="517" t="str">
        <f>СЗИ!B55</f>
        <v>Использование OTP</v>
      </c>
      <c r="D11" s="404" t="str">
        <f>СЗИ!C55</f>
        <v>СЗИ.2FA.1</v>
      </c>
      <c r="E11" s="404">
        <f>СЗИ!D55</f>
        <v>5</v>
      </c>
      <c r="F11" s="404">
        <f>СЗИ!E55</f>
        <v>5</v>
      </c>
      <c r="G11" s="404">
        <f>СЗИ!F55</f>
        <v>3.2</v>
      </c>
      <c r="H11" s="373">
        <f>СЗИ!P55</f>
        <v>2.0099999999999998</v>
      </c>
      <c r="I11" s="404">
        <f>СЗИ!K55</f>
        <v>3.2</v>
      </c>
      <c r="J11" s="404">
        <f>СЗИ!I55</f>
        <v>0</v>
      </c>
      <c r="K11" s="404">
        <f>СЗИ!L55</f>
        <v>0</v>
      </c>
      <c r="L11" s="404">
        <f t="shared" si="2"/>
        <v>0</v>
      </c>
      <c r="M11" s="373">
        <f t="shared" si="1"/>
        <v>3.2</v>
      </c>
      <c r="N11" s="407" t="str">
        <f>СЗИ!Q55</f>
        <v xml:space="preserve"> - Выбрать и протестировать OTP решения; 
  - Выполнить проектирование; 
  - Провести закупку и внедрение.</v>
      </c>
      <c r="O11" s="407"/>
      <c r="P11" s="407"/>
    </row>
    <row r="12" spans="1:16" ht="62.4">
      <c r="A12" s="270" t="s">
        <v>113</v>
      </c>
      <c r="B12" s="405" t="s">
        <v>332</v>
      </c>
      <c r="C12" s="517" t="str">
        <f>СЗИ!B56</f>
        <v>Двухфакторная аутентификация используется для удаленного доступа  работников к ресурсам Общества</v>
      </c>
      <c r="D12" s="404" t="str">
        <f>СЗИ!C56</f>
        <v>СЗИ.2FA.2</v>
      </c>
      <c r="E12" s="404">
        <f>СЗИ!D56</f>
        <v>5</v>
      </c>
      <c r="F12" s="404">
        <f>СЗИ!E56</f>
        <v>5</v>
      </c>
      <c r="G12" s="404">
        <f>СЗИ!F56</f>
        <v>5</v>
      </c>
      <c r="H12" s="373">
        <f>СЗИ!P56</f>
        <v>2.0199999999999996</v>
      </c>
      <c r="I12" s="404">
        <f>СЗИ!K56</f>
        <v>5</v>
      </c>
      <c r="J12" s="404">
        <f>СЗИ!I56</f>
        <v>0</v>
      </c>
      <c r="K12" s="404">
        <f>СЗИ!L56</f>
        <v>0</v>
      </c>
      <c r="L12" s="404">
        <f t="shared" si="2"/>
        <v>0</v>
      </c>
      <c r="M12" s="373">
        <f t="shared" si="1"/>
        <v>5</v>
      </c>
      <c r="N12" s="407" t="str">
        <f>СЗИ!Q56</f>
        <v xml:space="preserve"> - Внедрить OTP для системы удаленного доступа</v>
      </c>
      <c r="O12" s="407"/>
      <c r="P12" s="407"/>
    </row>
    <row r="13" spans="1:16" ht="62.4">
      <c r="A13" s="270" t="s">
        <v>113</v>
      </c>
      <c r="B13" s="405" t="s">
        <v>332</v>
      </c>
      <c r="C13" s="517" t="str">
        <f>СЗИ!B57</f>
        <v>Двухфакторная аутентификация используется для удаленного доступа подрядчиков к ресурсам Общества</v>
      </c>
      <c r="D13" s="404" t="str">
        <f>СЗИ!C57</f>
        <v>СЗИ.2FA.3</v>
      </c>
      <c r="E13" s="404">
        <f>СЗИ!D57</f>
        <v>5</v>
      </c>
      <c r="F13" s="404">
        <f>СЗИ!E57</f>
        <v>5</v>
      </c>
      <c r="G13" s="404">
        <f>СЗИ!F57</f>
        <v>3.2</v>
      </c>
      <c r="H13" s="373">
        <f>СЗИ!P57</f>
        <v>2.0299999999999994</v>
      </c>
      <c r="I13" s="404">
        <f>СЗИ!K57</f>
        <v>3.2</v>
      </c>
      <c r="J13" s="404">
        <f>СЗИ!I57</f>
        <v>0</v>
      </c>
      <c r="K13" s="404">
        <f>СЗИ!L57</f>
        <v>0</v>
      </c>
      <c r="L13" s="404">
        <f t="shared" si="2"/>
        <v>0</v>
      </c>
      <c r="M13" s="373">
        <f t="shared" si="1"/>
        <v>3.2</v>
      </c>
      <c r="N13" s="407" t="str">
        <f>СЗИ!Q57</f>
        <v xml:space="preserve"> - Внедрить OTP для подрядчиков, выполняющих администрирование ИС Общества</v>
      </c>
      <c r="O13" s="407"/>
      <c r="P13" s="407"/>
    </row>
    <row r="14" spans="1:16" ht="46.8">
      <c r="A14" s="270" t="s">
        <v>113</v>
      </c>
      <c r="B14" s="405" t="s">
        <v>332</v>
      </c>
      <c r="C14" s="517" t="str">
        <f>СЗИ!B58</f>
        <v>Двухфакторная аутентификация используется для привелигированных УЗ</v>
      </c>
      <c r="D14" s="404" t="str">
        <f>СЗИ!C58</f>
        <v>СЗИ.2FA.4</v>
      </c>
      <c r="E14" s="404">
        <f>СЗИ!D58</f>
        <v>5</v>
      </c>
      <c r="F14" s="404">
        <f>СЗИ!E58</f>
        <v>5</v>
      </c>
      <c r="G14" s="404">
        <f>СЗИ!F58</f>
        <v>3.2</v>
      </c>
      <c r="H14" s="373">
        <f>СЗИ!P58</f>
        <v>2.0399999999999991</v>
      </c>
      <c r="I14" s="404">
        <f>СЗИ!K58</f>
        <v>3.2</v>
      </c>
      <c r="J14" s="404">
        <f>СЗИ!I58</f>
        <v>0</v>
      </c>
      <c r="K14" s="404">
        <f>СЗИ!L58</f>
        <v>0</v>
      </c>
      <c r="L14" s="404">
        <f t="shared" si="2"/>
        <v>0</v>
      </c>
      <c r="M14" s="373">
        <f t="shared" si="1"/>
        <v>3.2</v>
      </c>
      <c r="N14" s="407" t="str">
        <f>СЗИ!Q58</f>
        <v xml:space="preserve"> - Внедрить OTP для административного доступа к серверам ИС</v>
      </c>
      <c r="O14" s="407"/>
      <c r="P14" s="407"/>
    </row>
    <row r="15" spans="1:16" ht="46.8">
      <c r="A15" s="270" t="s">
        <v>113</v>
      </c>
      <c r="B15" s="405" t="s">
        <v>333</v>
      </c>
      <c r="C15" s="517" t="str">
        <f>СЗИ!B60</f>
        <v>Процент покрытия активов на внешнем периметре лицензиями/договорами</v>
      </c>
      <c r="D15" s="404" t="str">
        <f>СЗИ!C60</f>
        <v>СЗИ.CPT.1</v>
      </c>
      <c r="E15" s="404">
        <f>СЗИ!D60</f>
        <v>5</v>
      </c>
      <c r="F15" s="404">
        <f>СЗИ!E60</f>
        <v>5</v>
      </c>
      <c r="G15" s="404">
        <f>СЗИ!F60</f>
        <v>5</v>
      </c>
      <c r="H15" s="373">
        <f>СЗИ!P60</f>
        <v>3.01</v>
      </c>
      <c r="I15" s="404">
        <f>СЗИ!K60</f>
        <v>5</v>
      </c>
      <c r="J15" s="190">
        <f>СЗИ!I60</f>
        <v>0</v>
      </c>
      <c r="K15" s="404">
        <f>СЗИ!L60</f>
        <v>0</v>
      </c>
      <c r="L15" s="404">
        <f t="shared" si="2"/>
        <v>0</v>
      </c>
      <c r="M15" s="373">
        <f t="shared" si="1"/>
        <v>5</v>
      </c>
      <c r="N15" s="407" t="str">
        <f>СЗИ!Q60</f>
        <v xml:space="preserve"> - Приобрести средства CPT в достаточном объеме для контроля всех активов, опубликованных на периметре</v>
      </c>
      <c r="O15" s="407"/>
      <c r="P15" s="407"/>
    </row>
    <row r="16" spans="1:16" ht="46.8">
      <c r="A16" s="270" t="s">
        <v>113</v>
      </c>
      <c r="B16" s="405" t="s">
        <v>333</v>
      </c>
      <c r="C16" s="517" t="str">
        <f>СЗИ!B61</f>
        <v>Процент охваченных регулярным сканированием активов</v>
      </c>
      <c r="D16" s="404" t="str">
        <f>СЗИ!C61</f>
        <v>СЗИ.CPT.2</v>
      </c>
      <c r="E16" s="404">
        <f>СЗИ!D61</f>
        <v>4.75</v>
      </c>
      <c r="F16" s="404">
        <f>СЗИ!E61</f>
        <v>4.5</v>
      </c>
      <c r="G16" s="404">
        <f>СЗИ!F61</f>
        <v>3.75</v>
      </c>
      <c r="H16" s="373">
        <f>СЗИ!P61</f>
        <v>3.0199999999999996</v>
      </c>
      <c r="I16" s="404">
        <f>СЗИ!K61</f>
        <v>3.75</v>
      </c>
      <c r="J16" s="190">
        <f>СЗИ!I61</f>
        <v>0</v>
      </c>
      <c r="K16" s="404">
        <f>СЗИ!L61</f>
        <v>0</v>
      </c>
      <c r="L16" s="404">
        <f t="shared" si="2"/>
        <v>0</v>
      </c>
      <c r="M16" s="373">
        <f t="shared" si="1"/>
        <v>3.75</v>
      </c>
      <c r="N16" s="407" t="str">
        <f>СЗИ!Q61</f>
        <v xml:space="preserve"> - Поставить периметр на контроль CPT, всего активов не менее: 75%</v>
      </c>
      <c r="O16" s="407"/>
      <c r="P16" s="407"/>
    </row>
    <row r="17" spans="1:16" ht="46.8">
      <c r="A17" s="270" t="s">
        <v>113</v>
      </c>
      <c r="B17" s="405" t="s">
        <v>333</v>
      </c>
      <c r="C17" s="517" t="str">
        <f>СЗИ!B62</f>
        <v>Внедрен процесс управления уязвимостями на периметре (CPT)</v>
      </c>
      <c r="D17" s="404" t="str">
        <f>СЗИ!C62</f>
        <v>СЗИ.CPT.3</v>
      </c>
      <c r="E17" s="404">
        <f>СЗИ!D62</f>
        <v>4</v>
      </c>
      <c r="F17" s="404">
        <f>СЗИ!E62</f>
        <v>3</v>
      </c>
      <c r="G17" s="404">
        <f>СЗИ!F62</f>
        <v>1</v>
      </c>
      <c r="H17" s="373">
        <f>СЗИ!P62</f>
        <v>3.0299999999999994</v>
      </c>
      <c r="I17" s="404">
        <f>СЗИ!K62</f>
        <v>1</v>
      </c>
      <c r="J17" s="404">
        <f>СЗИ!I62</f>
        <v>0</v>
      </c>
      <c r="K17" s="404">
        <f>СЗИ!L62</f>
        <v>0</v>
      </c>
      <c r="L17" s="404">
        <f t="shared" si="2"/>
        <v>0</v>
      </c>
      <c r="M17" s="373">
        <f t="shared" si="1"/>
        <v>1</v>
      </c>
      <c r="N17" s="407" t="str">
        <f>СЗИ!Q62</f>
        <v xml:space="preserve"> - Разработать или Получить в Блоке ИБ ПАО Ростелеком типовое описание процесса контроля уязвимостей</v>
      </c>
      <c r="O17" s="407"/>
      <c r="P17" s="407"/>
    </row>
    <row r="18" spans="1:16" ht="46.8">
      <c r="A18" s="270" t="s">
        <v>113</v>
      </c>
      <c r="B18" s="405" t="s">
        <v>334</v>
      </c>
      <c r="C18" s="517" t="str">
        <f>СЗИ!B64</f>
        <v>Наличие средств RA VPN</v>
      </c>
      <c r="D18" s="404" t="str">
        <f>СЗИ!C64</f>
        <v>СЗИ.RA-VPN.1</v>
      </c>
      <c r="E18" s="404">
        <f>СЗИ!D64</f>
        <v>5</v>
      </c>
      <c r="F18" s="404">
        <f>СЗИ!E64</f>
        <v>5</v>
      </c>
      <c r="G18" s="404">
        <f>СЗИ!F64</f>
        <v>5</v>
      </c>
      <c r="H18" s="373">
        <f>СЗИ!P64</f>
        <v>4.01</v>
      </c>
      <c r="I18" s="404">
        <f>СЗИ!K64</f>
        <v>5</v>
      </c>
      <c r="J18" s="404">
        <f>СЗИ!I64</f>
        <v>0</v>
      </c>
      <c r="K18" s="404">
        <f>СЗИ!L64</f>
        <v>0</v>
      </c>
      <c r="L18" s="404">
        <f t="shared" si="2"/>
        <v>0</v>
      </c>
      <c r="M18" s="373">
        <f t="shared" si="1"/>
        <v>5</v>
      </c>
      <c r="N18" s="407" t="str">
        <f>СЗИ!Q64</f>
        <v xml:space="preserve"> - Выбрать и протестировать решения RA VPN;
 - Выполнить проектирование;
 - Провести закупку и внедрение.</v>
      </c>
      <c r="O18" s="407"/>
      <c r="P18" s="407"/>
    </row>
    <row r="19" spans="1:16" ht="46.8">
      <c r="A19" s="270" t="s">
        <v>113</v>
      </c>
      <c r="B19" s="405" t="s">
        <v>334</v>
      </c>
      <c r="C19" s="517" t="str">
        <f>СЗИ!B65</f>
        <v>Покрытие инфраструктуры средствами защищенного удаленного доступа</v>
      </c>
      <c r="D19" s="404" t="str">
        <f>СЗИ!C65</f>
        <v>СЗИ.RA-VPN.2</v>
      </c>
      <c r="E19" s="404">
        <f>СЗИ!D65</f>
        <v>5</v>
      </c>
      <c r="F19" s="404">
        <f>СЗИ!E65</f>
        <v>3.2</v>
      </c>
      <c r="G19" s="404">
        <f>СЗИ!F65</f>
        <v>3.2</v>
      </c>
      <c r="H19" s="373">
        <f>СЗИ!P65</f>
        <v>4.0199999999999996</v>
      </c>
      <c r="I19" s="404">
        <f>СЗИ!K65</f>
        <v>3.2</v>
      </c>
      <c r="J19" s="404">
        <f>СЗИ!I65</f>
        <v>0</v>
      </c>
      <c r="K19" s="404">
        <f>СЗИ!L65</f>
        <v>0</v>
      </c>
      <c r="L19" s="404">
        <f t="shared" si="2"/>
        <v>0</v>
      </c>
      <c r="M19" s="373">
        <f t="shared" si="1"/>
        <v>3.2</v>
      </c>
      <c r="N19" s="407" t="str">
        <f>СЗИ!Q65</f>
        <v xml:space="preserve"> - Обеспечить возможность удаленного подключения к инфраструктуре Общества только с использованием RA VPN;
 - VPN должны требовать двухфакторной аутентификации.</v>
      </c>
      <c r="O19" s="407"/>
      <c r="P19" s="407"/>
    </row>
    <row r="20" spans="1:16" ht="46.8">
      <c r="A20" s="270" t="s">
        <v>113</v>
      </c>
      <c r="B20" s="405" t="s">
        <v>334</v>
      </c>
      <c r="C20" s="517" t="str">
        <f>СЗИ!B66</f>
        <v>Осуществляется централизованное управление удаленным доступом</v>
      </c>
      <c r="D20" s="404" t="str">
        <f>СЗИ!C66</f>
        <v>СЗИ.RA-VPN.3</v>
      </c>
      <c r="E20" s="404">
        <f>СЗИ!D66</f>
        <v>5</v>
      </c>
      <c r="F20" s="404">
        <f>СЗИ!E66</f>
        <v>5</v>
      </c>
      <c r="G20" s="404">
        <f>СЗИ!F66</f>
        <v>3.2</v>
      </c>
      <c r="H20" s="373">
        <f>СЗИ!P66</f>
        <v>4.0299999999999994</v>
      </c>
      <c r="I20" s="404">
        <f>СЗИ!K66</f>
        <v>3.2</v>
      </c>
      <c r="J20" s="404">
        <f>СЗИ!I66</f>
        <v>0</v>
      </c>
      <c r="K20" s="404">
        <f>СЗИ!L66</f>
        <v>0</v>
      </c>
      <c r="L20" s="404">
        <f t="shared" si="2"/>
        <v>0</v>
      </c>
      <c r="M20" s="373">
        <f t="shared" si="1"/>
        <v>3.2</v>
      </c>
      <c r="N20" s="407" t="str">
        <f>СЗИ!Q66</f>
        <v xml:space="preserve"> - Создать систему централизованного управления средствами VPN и обеспечить подключение к ней всех средств VPN</v>
      </c>
      <c r="O20" s="407"/>
      <c r="P20" s="407"/>
    </row>
    <row r="21" spans="1:16" ht="46.8">
      <c r="A21" s="270" t="s">
        <v>113</v>
      </c>
      <c r="B21" s="405" t="s">
        <v>334</v>
      </c>
      <c r="C21" s="517" t="str">
        <f>СЗИ!B67</f>
        <v>Наличие действующего сертификата ФСБ России на этапе проведения аудита</v>
      </c>
      <c r="D21" s="404" t="str">
        <f>СЗИ!C67</f>
        <v>СЗИ.RA-VPN.4</v>
      </c>
      <c r="E21" s="404">
        <f>СЗИ!D67</f>
        <v>5</v>
      </c>
      <c r="F21" s="404">
        <f>СЗИ!E67</f>
        <v>5</v>
      </c>
      <c r="G21" s="404">
        <f>СЗИ!F67</f>
        <v>5</v>
      </c>
      <c r="H21" s="401">
        <f>СЗИ!P67</f>
        <v>4.0399999999999991</v>
      </c>
      <c r="I21" s="404">
        <f>СЗИ!K67</f>
        <v>5</v>
      </c>
      <c r="J21" s="404">
        <f>СЗИ!I67</f>
        <v>0</v>
      </c>
      <c r="K21" s="404">
        <f>СЗИ!L67</f>
        <v>0</v>
      </c>
      <c r="L21" s="404">
        <f t="shared" si="2"/>
        <v>0</v>
      </c>
      <c r="M21" s="373">
        <f t="shared" si="1"/>
        <v>5</v>
      </c>
      <c r="N21" s="407" t="str">
        <f>СЗИ!Q67</f>
        <v xml:space="preserve"> - Если требования законодательства применимы, необходимо использовать только сертифицированные VPN</v>
      </c>
      <c r="O21" s="407"/>
      <c r="P21" s="407"/>
    </row>
    <row r="22" spans="1:16" ht="31.2">
      <c r="A22" s="270" t="s">
        <v>113</v>
      </c>
      <c r="B22" s="405" t="s">
        <v>598</v>
      </c>
      <c r="C22" s="517" t="str">
        <f>СЗИ!B69</f>
        <v>Защищены взаимодействия между площадками и ЦОД</v>
      </c>
      <c r="D22" s="404" t="str">
        <f>СЗИ!C69</f>
        <v>СЗИ.СКЗИ.1</v>
      </c>
      <c r="E22" s="404">
        <f>СЗИ!D69</f>
        <v>5</v>
      </c>
      <c r="F22" s="404">
        <f>СЗИ!E69</f>
        <v>5</v>
      </c>
      <c r="G22" s="404">
        <f>СЗИ!F69</f>
        <v>5</v>
      </c>
      <c r="H22" s="373">
        <f>СЗИ!P69</f>
        <v>5.01</v>
      </c>
      <c r="I22" s="404">
        <f>СЗИ!K69</f>
        <v>5</v>
      </c>
      <c r="J22" s="404">
        <f>СЗИ!I69</f>
        <v>0</v>
      </c>
      <c r="K22" s="404">
        <f>СЗИ!L69</f>
        <v>5</v>
      </c>
      <c r="L22" s="404">
        <f t="shared" si="2"/>
        <v>5</v>
      </c>
      <c r="M22" s="373">
        <f t="shared" si="1"/>
        <v>0</v>
      </c>
      <c r="N22" s="407" t="str">
        <f>СЗИ!Q69</f>
        <v/>
      </c>
      <c r="O22" s="407"/>
      <c r="P22" s="407"/>
    </row>
    <row r="23" spans="1:16" ht="46.8">
      <c r="A23" s="270" t="s">
        <v>113</v>
      </c>
      <c r="B23" s="405" t="s">
        <v>598</v>
      </c>
      <c r="C23" s="517" t="str">
        <f>СЗИ!B70</f>
        <v>Осуществляется централизованное управление СКЗИ</v>
      </c>
      <c r="D23" s="404" t="str">
        <f>СЗИ!C70</f>
        <v>СЗИ.СКЗИ.2</v>
      </c>
      <c r="E23" s="404">
        <f>СЗИ!D70</f>
        <v>5</v>
      </c>
      <c r="F23" s="404">
        <f>СЗИ!E70</f>
        <v>5</v>
      </c>
      <c r="G23" s="404">
        <f>СЗИ!F70</f>
        <v>3.2</v>
      </c>
      <c r="H23" s="373">
        <f>СЗИ!P70</f>
        <v>5.0199999999999996</v>
      </c>
      <c r="I23" s="404">
        <f>СЗИ!K70</f>
        <v>3.2</v>
      </c>
      <c r="J23" s="404">
        <f>СЗИ!I70</f>
        <v>0</v>
      </c>
      <c r="K23" s="404">
        <f>СЗИ!L70</f>
        <v>3.2</v>
      </c>
      <c r="L23" s="404">
        <f t="shared" si="2"/>
        <v>3.2</v>
      </c>
      <c r="M23" s="373">
        <f t="shared" si="1"/>
        <v>0</v>
      </c>
      <c r="N23" s="407" t="str">
        <f>СЗИ!Q70</f>
        <v/>
      </c>
      <c r="O23" s="407"/>
      <c r="P23" s="407"/>
    </row>
    <row r="24" spans="1:16" ht="46.8">
      <c r="A24" s="270" t="s">
        <v>113</v>
      </c>
      <c r="B24" s="405" t="s">
        <v>598</v>
      </c>
      <c r="C24" s="517" t="str">
        <f>СЗИ!B72</f>
        <v>Наличие действующего сертификата ФСБ на этапе проведения аудита</v>
      </c>
      <c r="D24" s="404" t="str">
        <f>СЗИ!C72</f>
        <v>СЗИ.СКЗИ.4</v>
      </c>
      <c r="E24" s="404">
        <f>СЗИ!D72</f>
        <v>5</v>
      </c>
      <c r="F24" s="404">
        <f>СЗИ!E72</f>
        <v>5</v>
      </c>
      <c r="G24" s="404">
        <f>СЗИ!F72</f>
        <v>5</v>
      </c>
      <c r="H24" s="373">
        <f>СЗИ!P72</f>
        <v>5.0399999999999991</v>
      </c>
      <c r="I24" s="404">
        <f>СЗИ!K72</f>
        <v>5</v>
      </c>
      <c r="J24" s="404">
        <f>СЗИ!I72</f>
        <v>0</v>
      </c>
      <c r="K24" s="404">
        <f>СЗИ!L72</f>
        <v>0</v>
      </c>
      <c r="L24" s="404">
        <f t="shared" si="2"/>
        <v>0</v>
      </c>
      <c r="M24" s="373">
        <f t="shared" si="1"/>
        <v>5</v>
      </c>
      <c r="N24" s="407" t="str">
        <f>СЗИ!Q72</f>
        <v xml:space="preserve"> - Если требования законодательства применимы, необходимо использовать только сертифицированные СКЗИ</v>
      </c>
      <c r="O24" s="407"/>
      <c r="P24" s="407"/>
    </row>
    <row r="25" spans="1:16" ht="62.4">
      <c r="A25" s="270" t="s">
        <v>18</v>
      </c>
      <c r="B25" s="403" t="s">
        <v>287</v>
      </c>
      <c r="C25" s="404" t="str">
        <f>Мониторинг!B45</f>
        <v>Процент покрытия инфраструктуры лицензиями на мониторинг</v>
      </c>
      <c r="D25" s="404" t="str">
        <f>Мониторинг!C45</f>
        <v>МНТ.SIEM.1</v>
      </c>
      <c r="E25" s="404">
        <f>Мониторинг!D45</f>
        <v>5</v>
      </c>
      <c r="F25" s="404">
        <f>Мониторинг!E45</f>
        <v>5</v>
      </c>
      <c r="G25" s="404">
        <f>Мониторинг!F45</f>
        <v>0</v>
      </c>
      <c r="H25" s="410">
        <f>Мониторинг!P45</f>
        <v>6.01</v>
      </c>
      <c r="I25" s="404">
        <f>Мониторинг!K45</f>
        <v>0</v>
      </c>
      <c r="J25" s="190">
        <f>Мониторинг!I45</f>
        <v>0</v>
      </c>
      <c r="K25" s="404">
        <f>Мониторинг!L45</f>
        <v>0</v>
      </c>
      <c r="L25" s="404" t="str">
        <f t="shared" si="2"/>
        <v xml:space="preserve"> </v>
      </c>
      <c r="M25" s="373">
        <f t="shared" si="1"/>
        <v>0</v>
      </c>
      <c r="N25" s="407" t="str">
        <f>Мониторинг!Q45</f>
        <v/>
      </c>
      <c r="O25" s="407"/>
      <c r="P25" s="407"/>
    </row>
    <row r="26" spans="1:16" ht="62.4">
      <c r="A26" s="270" t="s">
        <v>18</v>
      </c>
      <c r="B26" s="403" t="s">
        <v>287</v>
      </c>
      <c r="C26" s="404" t="str">
        <f>Мониторинг!B46</f>
        <v>Процент покрытия инфраструктуры мониторингом</v>
      </c>
      <c r="D26" s="404" t="str">
        <f>Мониторинг!C46</f>
        <v>МНТ.SIEM.2</v>
      </c>
      <c r="E26" s="404">
        <f>Мониторинг!D46</f>
        <v>4.75</v>
      </c>
      <c r="F26" s="404">
        <f>Мониторинг!E46</f>
        <v>4.5</v>
      </c>
      <c r="G26" s="404">
        <f>Мониторинг!F46</f>
        <v>0</v>
      </c>
      <c r="H26" s="410">
        <f>Мониторинг!P46</f>
        <v>6.02</v>
      </c>
      <c r="I26" s="404">
        <f>Мониторинг!K46</f>
        <v>0</v>
      </c>
      <c r="J26" s="190">
        <f>Мониторинг!I46</f>
        <v>0</v>
      </c>
      <c r="K26" s="404">
        <f>Мониторинг!L46</f>
        <v>0</v>
      </c>
      <c r="L26" s="404" t="str">
        <f t="shared" si="2"/>
        <v xml:space="preserve"> </v>
      </c>
      <c r="M26" s="373">
        <f t="shared" si="1"/>
        <v>0</v>
      </c>
      <c r="N26" s="407" t="str">
        <f>Мониторинг!Q46</f>
        <v/>
      </c>
      <c r="O26" s="407"/>
      <c r="P26" s="407"/>
    </row>
    <row r="27" spans="1:16" ht="62.4">
      <c r="A27" s="270" t="s">
        <v>18</v>
      </c>
      <c r="B27" s="403" t="s">
        <v>287</v>
      </c>
      <c r="C27" s="404" t="str">
        <f>Мониторинг!B47</f>
        <v>Определен набор решающих правил и пороги страбатывания</v>
      </c>
      <c r="D27" s="414" t="str">
        <f>Мониторинг!C47</f>
        <v>МНТ.SIEM.3</v>
      </c>
      <c r="E27" s="414">
        <f>Мониторинг!D47</f>
        <v>5</v>
      </c>
      <c r="F27" s="414">
        <f>Мониторинг!E47</f>
        <v>3.2</v>
      </c>
      <c r="G27" s="414">
        <f>Мониторинг!F47</f>
        <v>0</v>
      </c>
      <c r="H27" s="410">
        <f>Мониторинг!P47</f>
        <v>6.0299999999999994</v>
      </c>
      <c r="I27" s="414">
        <f>Мониторинг!K47</f>
        <v>0</v>
      </c>
      <c r="J27" s="414">
        <f>Мониторинг!I47</f>
        <v>0</v>
      </c>
      <c r="K27" s="414">
        <f>Мониторинг!L47</f>
        <v>0</v>
      </c>
      <c r="L27" s="404" t="str">
        <f t="shared" si="2"/>
        <v xml:space="preserve"> </v>
      </c>
      <c r="M27" s="373">
        <f t="shared" si="1"/>
        <v>0</v>
      </c>
      <c r="N27" s="407" t="str">
        <f>Мониторинг!Q47</f>
        <v/>
      </c>
      <c r="O27" s="407"/>
      <c r="P27" s="407"/>
    </row>
    <row r="28" spans="1:16" ht="265.2">
      <c r="A28" s="270" t="s">
        <v>18</v>
      </c>
      <c r="B28" s="403" t="s">
        <v>287</v>
      </c>
      <c r="C28" s="404" t="str">
        <f>Мониторинг!B48</f>
        <v>Осуществляется сбор событий, необходимых для детекта и обогащения в объеме, достаточном для решения задач            
(- создания, изменения, удаления субъектов и объектов доступа;
- аутентификации (вход и выход субъектов);
- авторизации (доступа субъектов к объектам);
- запуска и остановки, удаления и остановки служб (ПО);
- изменения настроек ПО и средств защиты информации;
- обработки сетевого трафика (netflow))</v>
      </c>
      <c r="D28" s="414" t="str">
        <f>Мониторинг!C48</f>
        <v>МНТ.SIEM.4</v>
      </c>
      <c r="E28" s="414">
        <f>Мониторинг!D48</f>
        <v>5</v>
      </c>
      <c r="F28" s="414">
        <f>Мониторинг!E48</f>
        <v>3.2</v>
      </c>
      <c r="G28" s="414">
        <f>Мониторинг!F48</f>
        <v>0</v>
      </c>
      <c r="H28" s="410">
        <f>Мониторинг!P48</f>
        <v>6.0399999999999991</v>
      </c>
      <c r="I28" s="414">
        <f>Мониторинг!K48</f>
        <v>0</v>
      </c>
      <c r="J28" s="414">
        <f>Мониторинг!I48</f>
        <v>0</v>
      </c>
      <c r="K28" s="414">
        <f>Мониторинг!L48</f>
        <v>0</v>
      </c>
      <c r="L28" s="404" t="str">
        <f t="shared" si="2"/>
        <v xml:space="preserve"> </v>
      </c>
      <c r="M28" s="373">
        <f t="shared" si="1"/>
        <v>0</v>
      </c>
      <c r="N28" s="407" t="str">
        <f>Мониторинг!Q48</f>
        <v/>
      </c>
      <c r="O28" s="407"/>
      <c r="P28" s="407"/>
    </row>
    <row r="29" spans="1:16" ht="62.4">
      <c r="A29" s="270" t="s">
        <v>18</v>
      </c>
      <c r="B29" s="403" t="s">
        <v>287</v>
      </c>
      <c r="C29" s="404" t="str">
        <f>Мониторинг!B49</f>
        <v>Настроенные решающие правила соответствуют ТТР Блока ИБ</v>
      </c>
      <c r="D29" s="404" t="str">
        <f>Мониторинг!C49</f>
        <v>МНТ.SIEM.5</v>
      </c>
      <c r="E29" s="404">
        <f>Мониторинг!D49</f>
        <v>5</v>
      </c>
      <c r="F29" s="404">
        <f>Мониторинг!E49</f>
        <v>3.2</v>
      </c>
      <c r="G29" s="404">
        <f>Мониторинг!F49</f>
        <v>0</v>
      </c>
      <c r="H29" s="410">
        <f>Мониторинг!P49</f>
        <v>6.0499999999999989</v>
      </c>
      <c r="I29" s="404">
        <f>Мониторинг!K49</f>
        <v>0</v>
      </c>
      <c r="J29" s="404">
        <f>Мониторинг!I49</f>
        <v>0</v>
      </c>
      <c r="K29" s="404">
        <f>Мониторинг!L49</f>
        <v>0</v>
      </c>
      <c r="L29" s="404" t="str">
        <f t="shared" si="2"/>
        <v xml:space="preserve"> </v>
      </c>
      <c r="M29" s="373">
        <f t="shared" si="1"/>
        <v>0</v>
      </c>
      <c r="N29" s="407" t="str">
        <f>Мониторинг!Q49</f>
        <v/>
      </c>
      <c r="O29" s="407"/>
      <c r="P29" s="407"/>
    </row>
    <row r="30" spans="1:16" ht="62.4">
      <c r="A30" s="270" t="s">
        <v>18</v>
      </c>
      <c r="B30" s="403" t="s">
        <v>287</v>
      </c>
      <c r="C30" s="404" t="str">
        <f>Мониторинг!B50</f>
        <v>Контролируются сетевые события</v>
      </c>
      <c r="D30" s="404" t="str">
        <f>Мониторинг!C50</f>
        <v>МНТ.SIEM.6</v>
      </c>
      <c r="E30" s="404">
        <f>Мониторинг!D50</f>
        <v>5</v>
      </c>
      <c r="F30" s="404">
        <f>Мониторинг!E50</f>
        <v>3.2</v>
      </c>
      <c r="G30" s="404">
        <f>Мониторинг!F50</f>
        <v>0</v>
      </c>
      <c r="H30" s="410">
        <f>Мониторинг!P50</f>
        <v>6.0599999999999987</v>
      </c>
      <c r="I30" s="404">
        <f>Мониторинг!K50</f>
        <v>0</v>
      </c>
      <c r="J30" s="404">
        <f>Мониторинг!I50</f>
        <v>0</v>
      </c>
      <c r="K30" s="404">
        <f>Мониторинг!L50</f>
        <v>0</v>
      </c>
      <c r="L30" s="404" t="str">
        <f t="shared" si="2"/>
        <v xml:space="preserve"> </v>
      </c>
      <c r="M30" s="373">
        <f t="shared" si="1"/>
        <v>0</v>
      </c>
      <c r="N30" s="407" t="str">
        <f>Мониторинг!Q50</f>
        <v/>
      </c>
      <c r="O30" s="407"/>
      <c r="P30" s="407"/>
    </row>
    <row r="31" spans="1:16" ht="62.4">
      <c r="A31" s="270" t="s">
        <v>18</v>
      </c>
      <c r="B31" s="403" t="s">
        <v>287</v>
      </c>
      <c r="C31" s="404" t="str">
        <f>Мониторинг!B51</f>
        <v>Контролируются  события ОС</v>
      </c>
      <c r="D31" s="404" t="str">
        <f>Мониторинг!C51</f>
        <v>МНТ.SIEM.7</v>
      </c>
      <c r="E31" s="404">
        <f>Мониторинг!D51</f>
        <v>5</v>
      </c>
      <c r="F31" s="404">
        <f>Мониторинг!E51</f>
        <v>3.2</v>
      </c>
      <c r="G31" s="404">
        <f>Мониторинг!F51</f>
        <v>0</v>
      </c>
      <c r="H31" s="410">
        <f>Мониторинг!P51</f>
        <v>6.0699999999999985</v>
      </c>
      <c r="I31" s="404">
        <f>Мониторинг!K51</f>
        <v>0</v>
      </c>
      <c r="J31" s="404">
        <f>Мониторинг!I51</f>
        <v>0</v>
      </c>
      <c r="K31" s="404">
        <f>Мониторинг!L51</f>
        <v>0</v>
      </c>
      <c r="L31" s="404" t="str">
        <f t="shared" si="2"/>
        <v xml:space="preserve"> </v>
      </c>
      <c r="M31" s="373">
        <f t="shared" si="1"/>
        <v>0</v>
      </c>
      <c r="N31" s="407" t="str">
        <f>Мониторинг!Q51</f>
        <v/>
      </c>
      <c r="O31" s="407"/>
      <c r="P31" s="407"/>
    </row>
    <row r="32" spans="1:16" ht="62.4">
      <c r="A32" s="270" t="s">
        <v>18</v>
      </c>
      <c r="B32" s="403" t="s">
        <v>287</v>
      </c>
      <c r="C32" s="404" t="str">
        <f>Мониторинг!B52</f>
        <v>Контролируются события СУБД</v>
      </c>
      <c r="D32" s="404" t="str">
        <f>Мониторинг!C52</f>
        <v>МНТ.SIEM.8</v>
      </c>
      <c r="E32" s="404">
        <f>Мониторинг!D52</f>
        <v>5</v>
      </c>
      <c r="F32" s="404">
        <f>Мониторинг!E52</f>
        <v>3.2</v>
      </c>
      <c r="G32" s="404">
        <f>Мониторинг!F52</f>
        <v>0</v>
      </c>
      <c r="H32" s="410">
        <f>Мониторинг!P52</f>
        <v>6.0799999999999983</v>
      </c>
      <c r="I32" s="404">
        <f>Мониторинг!K52</f>
        <v>0</v>
      </c>
      <c r="J32" s="404">
        <f>Мониторинг!I52</f>
        <v>0</v>
      </c>
      <c r="K32" s="404">
        <f>Мониторинг!L52</f>
        <v>0</v>
      </c>
      <c r="L32" s="404" t="str">
        <f t="shared" si="2"/>
        <v xml:space="preserve"> </v>
      </c>
      <c r="M32" s="373">
        <f t="shared" si="1"/>
        <v>0</v>
      </c>
      <c r="N32" s="407" t="str">
        <f>Мониторинг!Q52</f>
        <v/>
      </c>
      <c r="O32" s="407"/>
      <c r="P32" s="407"/>
    </row>
    <row r="33" spans="1:16" ht="62.4">
      <c r="A33" s="270" t="s">
        <v>18</v>
      </c>
      <c r="B33" s="403" t="s">
        <v>287</v>
      </c>
      <c r="C33" s="404" t="str">
        <f>Мониторинг!B53</f>
        <v>Контролируются события прикладных ИС</v>
      </c>
      <c r="D33" s="404" t="str">
        <f>Мониторинг!C53</f>
        <v>МНТ.SIEM.9</v>
      </c>
      <c r="E33" s="404">
        <f>Мониторинг!D53</f>
        <v>5</v>
      </c>
      <c r="F33" s="404">
        <f>Мониторинг!E53</f>
        <v>3.2</v>
      </c>
      <c r="G33" s="404">
        <f>Мониторинг!F53</f>
        <v>0</v>
      </c>
      <c r="H33" s="410">
        <f>Мониторинг!P53</f>
        <v>6.0899999999999981</v>
      </c>
      <c r="I33" s="404">
        <f>Мониторинг!K53</f>
        <v>0</v>
      </c>
      <c r="J33" s="404">
        <f>Мониторинг!I53</f>
        <v>0</v>
      </c>
      <c r="K33" s="404">
        <f>Мониторинг!L53</f>
        <v>0</v>
      </c>
      <c r="L33" s="404" t="str">
        <f t="shared" si="2"/>
        <v xml:space="preserve"> </v>
      </c>
      <c r="M33" s="373">
        <f t="shared" si="1"/>
        <v>0</v>
      </c>
      <c r="N33" s="407" t="str">
        <f>Мониторинг!Q53</f>
        <v/>
      </c>
      <c r="O33" s="407"/>
      <c r="P33" s="407"/>
    </row>
    <row r="34" spans="1:16" ht="62.4">
      <c r="A34" s="270" t="s">
        <v>18</v>
      </c>
      <c r="B34" s="403" t="s">
        <v>287</v>
      </c>
      <c r="C34" s="404" t="str">
        <f>Мониторинг!B54</f>
        <v>Контроль событий СЗИ</v>
      </c>
      <c r="D34" s="404" t="str">
        <f>Мониторинг!C54</f>
        <v>МНТ.SIEM.10</v>
      </c>
      <c r="E34" s="404">
        <f>Мониторинг!D54</f>
        <v>5</v>
      </c>
      <c r="F34" s="404">
        <f>Мониторинг!E54</f>
        <v>3.2</v>
      </c>
      <c r="G34" s="404">
        <f>Мониторинг!F54</f>
        <v>0</v>
      </c>
      <c r="H34" s="410">
        <f>Мониторинг!P54</f>
        <v>6.0999999999999979</v>
      </c>
      <c r="I34" s="404">
        <f>Мониторинг!K54</f>
        <v>0</v>
      </c>
      <c r="J34" s="404">
        <f>Мониторинг!I54</f>
        <v>0</v>
      </c>
      <c r="K34" s="404">
        <f>Мониторинг!L54</f>
        <v>0</v>
      </c>
      <c r="L34" s="404" t="str">
        <f t="shared" si="2"/>
        <v xml:space="preserve"> </v>
      </c>
      <c r="M34" s="373">
        <f t="shared" si="1"/>
        <v>0</v>
      </c>
      <c r="N34" s="407" t="str">
        <f>Мониторинг!Q54</f>
        <v/>
      </c>
      <c r="O34" s="407"/>
      <c r="P34" s="407"/>
    </row>
    <row r="35" spans="1:16" ht="62.4">
      <c r="A35" s="270" t="s">
        <v>18</v>
      </c>
      <c r="B35" s="403" t="s">
        <v>287</v>
      </c>
      <c r="C35" s="404" t="str">
        <f>Мониторинг!B55</f>
        <v>Контроль событий о действиях привелигированных пользователей</v>
      </c>
      <c r="D35" s="404" t="str">
        <f>Мониторинг!C55</f>
        <v>МНТ.SIEM.11</v>
      </c>
      <c r="E35" s="404">
        <f>Мониторинг!D55</f>
        <v>5</v>
      </c>
      <c r="F35" s="404">
        <f>Мониторинг!E55</f>
        <v>3.2</v>
      </c>
      <c r="G35" s="404">
        <f>Мониторинг!F55</f>
        <v>1.6</v>
      </c>
      <c r="H35" s="410">
        <f>Мониторинг!P55</f>
        <v>6.1099999999999977</v>
      </c>
      <c r="I35" s="404">
        <f>Мониторинг!K55</f>
        <v>1.6</v>
      </c>
      <c r="J35" s="404">
        <f>Мониторинг!I55</f>
        <v>0</v>
      </c>
      <c r="K35" s="404">
        <f>Мониторинг!L55</f>
        <v>0</v>
      </c>
      <c r="L35" s="404">
        <f t="shared" si="2"/>
        <v>0</v>
      </c>
      <c r="M35" s="373">
        <f t="shared" si="1"/>
        <v>1.6</v>
      </c>
      <c r="N35" s="407" t="str">
        <f>Мониторинг!Q55</f>
        <v xml:space="preserve"> - Составить перчень привилегированных пользователей и групп;
  -  Разработать решающие правила SIEM для выявления действий привилегированных пользователей;
  -  Контролировать действия привилегированных пользователей в критичных ИС</v>
      </c>
      <c r="O35" s="407"/>
      <c r="P35" s="407"/>
    </row>
    <row r="36" spans="1:16" ht="62.4">
      <c r="A36" s="270" t="s">
        <v>18</v>
      </c>
      <c r="B36" s="403" t="s">
        <v>287</v>
      </c>
      <c r="C36" s="404" t="str">
        <f>Мониторинг!B56</f>
        <v>Внедрен процесс управления сбоями и мониторинга работоспособности SIEM</v>
      </c>
      <c r="D36" s="404" t="str">
        <f>Мониторинг!C56</f>
        <v>МНТ.SIEM.12</v>
      </c>
      <c r="E36" s="404">
        <f>Мониторинг!D56</f>
        <v>4</v>
      </c>
      <c r="F36" s="404">
        <f>Мониторинг!E56</f>
        <v>3</v>
      </c>
      <c r="G36" s="404">
        <f>Мониторинг!F56</f>
        <v>0</v>
      </c>
      <c r="H36" s="410">
        <f>Мониторинг!P56</f>
        <v>6.1199999999999974</v>
      </c>
      <c r="I36" s="404">
        <f>Мониторинг!K56</f>
        <v>0</v>
      </c>
      <c r="J36" s="404">
        <f>Мониторинг!I56</f>
        <v>0</v>
      </c>
      <c r="K36" s="404">
        <f>Мониторинг!L56</f>
        <v>0</v>
      </c>
      <c r="L36" s="404" t="str">
        <f t="shared" si="2"/>
        <v xml:space="preserve"> </v>
      </c>
      <c r="M36" s="373">
        <f t="shared" si="1"/>
        <v>0</v>
      </c>
      <c r="N36" s="407" t="str">
        <f>Мониторинг!Q56</f>
        <v/>
      </c>
      <c r="O36" s="407"/>
      <c r="P36" s="407"/>
    </row>
    <row r="37" spans="1:16" ht="109.2">
      <c r="A37" s="270" t="s">
        <v>19</v>
      </c>
      <c r="B37" s="403" t="s">
        <v>202</v>
      </c>
      <c r="C37" s="404" t="str">
        <f>Реагирование!B39</f>
        <v>Процесс реагирования на инциденты ИБ</v>
      </c>
      <c r="D37" s="404" t="str">
        <f>Реагирование!C39</f>
        <v>РЕАГ.ПЛР.1</v>
      </c>
      <c r="E37" s="404">
        <f>Реагирование!D39</f>
        <v>4</v>
      </c>
      <c r="F37" s="404">
        <f>Реагирование!E39</f>
        <v>3</v>
      </c>
      <c r="G37" s="404">
        <f>Реагирование!F39</f>
        <v>1</v>
      </c>
      <c r="H37" s="373">
        <f>Реагирование!P39</f>
        <v>7.01</v>
      </c>
      <c r="I37" s="404">
        <f>Реагирование!K39</f>
        <v>1</v>
      </c>
      <c r="J37" s="404">
        <f>Реагирование!I39</f>
        <v>0</v>
      </c>
      <c r="K37" s="404">
        <f>Реагирование!L39</f>
        <v>0</v>
      </c>
      <c r="L37" s="404">
        <f t="shared" si="2"/>
        <v>0</v>
      </c>
      <c r="M37" s="373">
        <f t="shared" si="1"/>
        <v>1</v>
      </c>
      <c r="N37" s="407" t="str">
        <f>Реагирование!Q39</f>
        <v xml:space="preserve"> - Назначить ответственных за решение инцидентов ИБ, включая ответственного за коммуникации внутри и со сторонними компаниями;
  -  Составить и актуализировать список заинтересованных лиц, которые должны получить уведомление об инциденте;
  -  Для критичных инцидентов определить SLA и порядок действий по реагированию;
  -  Автоматизировать процесс реагирования на инциденты ИБ с применением не специализированных средств.</v>
      </c>
      <c r="O37" s="407"/>
      <c r="P37" s="407"/>
    </row>
    <row r="38" spans="1:16" ht="62.4">
      <c r="A38" s="270" t="s">
        <v>19</v>
      </c>
      <c r="B38" s="403" t="s">
        <v>202</v>
      </c>
      <c r="C38" s="404" t="str">
        <f>Реагирование!B40</f>
        <v>Процесс категорирования инцидентов ИБ</v>
      </c>
      <c r="D38" s="404" t="str">
        <f>Реагирование!C40</f>
        <v>РЕАГ.ПЛР.2</v>
      </c>
      <c r="E38" s="404">
        <f>Реагирование!D40</f>
        <v>4</v>
      </c>
      <c r="F38" s="404">
        <f>Реагирование!E40</f>
        <v>3</v>
      </c>
      <c r="G38" s="404">
        <f>Реагирование!F40</f>
        <v>1</v>
      </c>
      <c r="H38" s="373">
        <f>Реагирование!P40</f>
        <v>7.02</v>
      </c>
      <c r="I38" s="404">
        <f>Реагирование!K40</f>
        <v>1</v>
      </c>
      <c r="J38" s="404">
        <f>Реагирование!I40</f>
        <v>0</v>
      </c>
      <c r="K38" s="404">
        <f>Реагирование!L40</f>
        <v>0</v>
      </c>
      <c r="L38" s="404">
        <f t="shared" si="2"/>
        <v>0</v>
      </c>
      <c r="M38" s="373">
        <f t="shared" si="1"/>
        <v>1</v>
      </c>
      <c r="N38" s="407" t="str">
        <f>Реагирование!Q40</f>
        <v xml:space="preserve"> - В Обществе неформально определить категории инцидентов ИБ</v>
      </c>
      <c r="O38" s="407"/>
      <c r="P38" s="407"/>
    </row>
    <row r="39" spans="1:16" ht="62.4">
      <c r="A39" s="270" t="s">
        <v>19</v>
      </c>
      <c r="B39" s="403" t="s">
        <v>202</v>
      </c>
      <c r="C39" s="404" t="str">
        <f>Реагирование!B41</f>
        <v>Определен мандат на действие в ходе реагирования на инцидент</v>
      </c>
      <c r="D39" s="404" t="str">
        <f>Реагирование!C41</f>
        <v>РЕАГ.ПЛР.3</v>
      </c>
      <c r="E39" s="404">
        <f>Реагирование!D41</f>
        <v>5</v>
      </c>
      <c r="F39" s="404">
        <f>Реагирование!E41</f>
        <v>3.2</v>
      </c>
      <c r="G39" s="404">
        <f>Реагирование!F41</f>
        <v>0</v>
      </c>
      <c r="H39" s="373">
        <f>Реагирование!P41</f>
        <v>7.0299999999999994</v>
      </c>
      <c r="I39" s="404">
        <f>Реагирование!K41</f>
        <v>0</v>
      </c>
      <c r="J39" s="404">
        <f>Реагирование!I41</f>
        <v>0</v>
      </c>
      <c r="K39" s="404">
        <f>Реагирование!L41</f>
        <v>0</v>
      </c>
      <c r="L39" s="404" t="str">
        <f t="shared" si="2"/>
        <v xml:space="preserve"> </v>
      </c>
      <c r="M39" s="373">
        <f t="shared" si="1"/>
        <v>0</v>
      </c>
      <c r="N39" s="407" t="str">
        <f>Реагирование!Q41</f>
        <v/>
      </c>
      <c r="O39" s="407"/>
      <c r="P39" s="407"/>
    </row>
    <row r="40" spans="1:16" ht="62.4">
      <c r="A40" s="270" t="s">
        <v>19</v>
      </c>
      <c r="B40" s="403" t="s">
        <v>202</v>
      </c>
      <c r="C40" s="404" t="str">
        <f>Реагирование!B42</f>
        <v>Планы реагирования совершенствуются по результатам тестирования и пост-анализа</v>
      </c>
      <c r="D40" s="404" t="str">
        <f>Реагирование!C42</f>
        <v>РЕАГ.ПЛР.4</v>
      </c>
      <c r="E40" s="404">
        <f>Реагирование!D42</f>
        <v>5</v>
      </c>
      <c r="F40" s="404">
        <f>Реагирование!E42</f>
        <v>3.2</v>
      </c>
      <c r="G40" s="404">
        <f>Реагирование!F42</f>
        <v>0</v>
      </c>
      <c r="H40" s="373">
        <f>Реагирование!P42</f>
        <v>7.0399999999999991</v>
      </c>
      <c r="I40" s="404">
        <f>Реагирование!K42</f>
        <v>0</v>
      </c>
      <c r="J40" s="404">
        <f>Реагирование!I42</f>
        <v>0</v>
      </c>
      <c r="K40" s="404">
        <f>Реагирование!L42</f>
        <v>0</v>
      </c>
      <c r="L40" s="404" t="str">
        <f t="shared" si="2"/>
        <v xml:space="preserve"> </v>
      </c>
      <c r="M40" s="373">
        <f t="shared" si="1"/>
        <v>0</v>
      </c>
      <c r="N40" s="407" t="str">
        <f>Реагирование!Q42</f>
        <v/>
      </c>
      <c r="O40" s="407"/>
      <c r="P40" s="407"/>
    </row>
    <row r="41" spans="1:16" ht="46.8">
      <c r="A41" s="504" t="s">
        <v>69</v>
      </c>
      <c r="B41" s="405" t="s">
        <v>76</v>
      </c>
      <c r="C41" s="517" t="str">
        <f>'Нормативное соответствие'!B75</f>
        <v>Полномочия по обеспечению ИБ возложены на заместителя руководителя Общества</v>
      </c>
      <c r="D41" s="404" t="str">
        <f>'Нормативное соответствие'!C75</f>
        <v>НС.КИИ.1</v>
      </c>
      <c r="E41" s="404">
        <f>'Нормативное соответствие'!D75</f>
        <v>0</v>
      </c>
      <c r="F41" s="404">
        <f>'Нормативное соответствие'!E75</f>
        <v>0</v>
      </c>
      <c r="G41" s="404">
        <f>'Нормативное соответствие'!F75</f>
        <v>0</v>
      </c>
      <c r="H41" s="373">
        <f>'Нормативное соответствие'!P75</f>
        <v>8.01</v>
      </c>
      <c r="I41" s="404">
        <f>'Нормативное соответствие'!K75</f>
        <v>0</v>
      </c>
      <c r="J41" s="404">
        <f>'Нормативное соответствие'!I75</f>
        <v>0</v>
      </c>
      <c r="K41" s="404">
        <f>'Нормативное соответствие'!L75</f>
        <v>0</v>
      </c>
      <c r="L41" s="404" t="str">
        <f t="shared" si="2"/>
        <v xml:space="preserve"> </v>
      </c>
      <c r="M41" s="373">
        <f t="shared" si="1"/>
        <v>0</v>
      </c>
      <c r="N41" s="407" t="str">
        <f>'Нормативное соответствие'!Q75</f>
        <v/>
      </c>
      <c r="O41" s="407"/>
      <c r="P41" s="407"/>
    </row>
    <row r="42" spans="1:16" ht="46.8">
      <c r="A42" s="504" t="s">
        <v>69</v>
      </c>
      <c r="B42" s="405" t="s">
        <v>76</v>
      </c>
      <c r="C42" s="517" t="str">
        <f>'Нормативное соответствие'!B76</f>
        <v>Функции по обеспечению Иб возложены на структурное подразделение</v>
      </c>
      <c r="D42" s="404" t="str">
        <f>'Нормативное соответствие'!C76</f>
        <v>НС.КИИ.2</v>
      </c>
      <c r="E42" s="404">
        <f>'Нормативное соответствие'!D76</f>
        <v>0</v>
      </c>
      <c r="F42" s="404">
        <f>'Нормативное соответствие'!E76</f>
        <v>0</v>
      </c>
      <c r="G42" s="404">
        <f>'Нормативное соответствие'!F76</f>
        <v>0</v>
      </c>
      <c r="H42" s="373">
        <f>'Нормативное соответствие'!P76</f>
        <v>8.02</v>
      </c>
      <c r="I42" s="404">
        <f>'Нормативное соответствие'!K76</f>
        <v>0</v>
      </c>
      <c r="J42" s="404">
        <f>'Нормативное соответствие'!I76</f>
        <v>0</v>
      </c>
      <c r="K42" s="404">
        <f>'Нормативное соответствие'!L76</f>
        <v>0</v>
      </c>
      <c r="L42" s="404" t="str">
        <f t="shared" si="2"/>
        <v xml:space="preserve"> </v>
      </c>
      <c r="M42" s="373">
        <f t="shared" si="1"/>
        <v>0</v>
      </c>
      <c r="N42" s="407" t="str">
        <f>'Нормативное соответствие'!Q76</f>
        <v/>
      </c>
      <c r="O42" s="407"/>
      <c r="P42" s="407"/>
    </row>
    <row r="43" spans="1:16" ht="40.799999999999997">
      <c r="A43" s="504" t="s">
        <v>69</v>
      </c>
      <c r="B43" s="405" t="s">
        <v>76</v>
      </c>
      <c r="C43" s="517" t="str">
        <f>'Нормативное соответствие'!B77</f>
        <v>Создана Комиссия по категорированию объектов КИИ</v>
      </c>
      <c r="D43" s="404" t="str">
        <f>'Нормативное соответствие'!C77</f>
        <v>НС.КИИ.3</v>
      </c>
      <c r="E43" s="404">
        <f>'Нормативное соответствие'!D77</f>
        <v>0</v>
      </c>
      <c r="F43" s="404">
        <f>'Нормативное соответствие'!E77</f>
        <v>0</v>
      </c>
      <c r="G43" s="404">
        <f>'Нормативное соответствие'!F77</f>
        <v>0</v>
      </c>
      <c r="H43" s="373">
        <f>'Нормативное соответствие'!P77</f>
        <v>8.0299999999999994</v>
      </c>
      <c r="I43" s="404">
        <f>'Нормативное соответствие'!K77</f>
        <v>0</v>
      </c>
      <c r="J43" s="404">
        <f>'Нормативное соответствие'!I77</f>
        <v>0</v>
      </c>
      <c r="K43" s="404">
        <f>'Нормативное соответствие'!L77</f>
        <v>0</v>
      </c>
      <c r="L43" s="404" t="str">
        <f t="shared" si="2"/>
        <v xml:space="preserve"> </v>
      </c>
      <c r="M43" s="373">
        <f t="shared" si="1"/>
        <v>0</v>
      </c>
      <c r="N43" s="407" t="str">
        <f>'Нормативное соответствие'!Q77</f>
        <v/>
      </c>
      <c r="O43" s="407"/>
      <c r="P43" s="407"/>
    </row>
    <row r="44" spans="1:16" ht="78">
      <c r="A44" s="504" t="s">
        <v>69</v>
      </c>
      <c r="B44" s="405" t="s">
        <v>76</v>
      </c>
      <c r="C44" s="517" t="str">
        <f>'Нормативное соответствие'!B78</f>
        <v>Проведен анализ  критичных процессов,  сформирован перечень систем, подлежащих категорированию (ИС, ИТКС, АСУ)</v>
      </c>
      <c r="D44" s="404" t="str">
        <f>'Нормативное соответствие'!C78</f>
        <v>НС.КИИ.4</v>
      </c>
      <c r="E44" s="404">
        <f>'Нормативное соответствие'!D78</f>
        <v>0</v>
      </c>
      <c r="F44" s="404">
        <f>'Нормативное соответствие'!E78</f>
        <v>0</v>
      </c>
      <c r="G44" s="404">
        <f>'Нормативное соответствие'!F78</f>
        <v>0</v>
      </c>
      <c r="H44" s="373">
        <f>'Нормативное соответствие'!P78</f>
        <v>8.0399999999999991</v>
      </c>
      <c r="I44" s="404">
        <f>'Нормативное соответствие'!K78</f>
        <v>0</v>
      </c>
      <c r="J44" s="404">
        <f>'Нормативное соответствие'!I78</f>
        <v>0</v>
      </c>
      <c r="K44" s="404">
        <f>'Нормативное соответствие'!L78</f>
        <v>0</v>
      </c>
      <c r="L44" s="404" t="str">
        <f t="shared" si="2"/>
        <v xml:space="preserve"> </v>
      </c>
      <c r="M44" s="373">
        <f t="shared" si="1"/>
        <v>0</v>
      </c>
      <c r="N44" s="407" t="str">
        <f>'Нормативное соответствие'!Q78</f>
        <v/>
      </c>
      <c r="O44" s="407"/>
      <c r="P44" s="407"/>
    </row>
    <row r="45" spans="1:16" ht="40.799999999999997">
      <c r="A45" s="504" t="s">
        <v>69</v>
      </c>
      <c r="B45" s="405" t="s">
        <v>76</v>
      </c>
      <c r="C45" s="517" t="str">
        <f>'Нормативное соответствие'!B79</f>
        <v>Проведено категорирование объктов КИИ</v>
      </c>
      <c r="D45" s="404" t="str">
        <f>'Нормативное соответствие'!C79</f>
        <v>НС.КИИ.5</v>
      </c>
      <c r="E45" s="404">
        <f>'Нормативное соответствие'!D79</f>
        <v>0</v>
      </c>
      <c r="F45" s="404">
        <f>'Нормативное соответствие'!E79</f>
        <v>0</v>
      </c>
      <c r="G45" s="404">
        <f>'Нормативное соответствие'!F79</f>
        <v>0</v>
      </c>
      <c r="H45" s="373">
        <f>'Нормативное соответствие'!P79</f>
        <v>8.0499999999999989</v>
      </c>
      <c r="I45" s="404">
        <f>'Нормативное соответствие'!K79</f>
        <v>0</v>
      </c>
      <c r="J45" s="404">
        <f>'Нормативное соответствие'!I79</f>
        <v>0</v>
      </c>
      <c r="K45" s="404">
        <f>'Нормативное соответствие'!L79</f>
        <v>0</v>
      </c>
      <c r="L45" s="404" t="str">
        <f t="shared" si="2"/>
        <v xml:space="preserve"> </v>
      </c>
      <c r="M45" s="373">
        <f t="shared" si="1"/>
        <v>0</v>
      </c>
      <c r="N45" s="407" t="str">
        <f>'Нормативное соответствие'!Q79</f>
        <v/>
      </c>
      <c r="O45" s="407"/>
      <c r="P45" s="407"/>
    </row>
    <row r="46" spans="1:16" ht="40.799999999999997">
      <c r="A46" s="504" t="s">
        <v>69</v>
      </c>
      <c r="B46" s="405" t="s">
        <v>76</v>
      </c>
      <c r="C46" s="517" t="str">
        <f>'Нормативное соответствие'!B80</f>
        <v>Сведения о системах передаются в ФСТЭК России</v>
      </c>
      <c r="D46" s="404" t="str">
        <f>'Нормативное соответствие'!C80</f>
        <v>НС.КИИ.6</v>
      </c>
      <c r="E46" s="404">
        <f>'Нормативное соответствие'!D80</f>
        <v>0</v>
      </c>
      <c r="F46" s="404">
        <f>'Нормативное соответствие'!E80</f>
        <v>0</v>
      </c>
      <c r="G46" s="404">
        <f>'Нормативное соответствие'!F80</f>
        <v>0</v>
      </c>
      <c r="H46" s="373">
        <f>'Нормативное соответствие'!P80</f>
        <v>8.0599999999999987</v>
      </c>
      <c r="I46" s="404">
        <f>'Нормативное соответствие'!K80</f>
        <v>0</v>
      </c>
      <c r="J46" s="404">
        <f>'Нормативное соответствие'!I80</f>
        <v>0</v>
      </c>
      <c r="K46" s="404">
        <f>'Нормативное соответствие'!L80</f>
        <v>0</v>
      </c>
      <c r="L46" s="404" t="str">
        <f t="shared" si="2"/>
        <v xml:space="preserve"> </v>
      </c>
      <c r="M46" s="373">
        <f t="shared" si="1"/>
        <v>0</v>
      </c>
      <c r="N46" s="407" t="str">
        <f>'Нормативное соответствие'!Q80</f>
        <v/>
      </c>
      <c r="O46" s="407"/>
      <c r="P46" s="407"/>
    </row>
    <row r="47" spans="1:16" ht="78">
      <c r="A47" s="504" t="s">
        <v>69</v>
      </c>
      <c r="B47" s="405" t="s">
        <v>76</v>
      </c>
      <c r="C47" s="517" t="str">
        <f>'Нормативное соответствие'!B81</f>
        <v xml:space="preserve">Реализованы организационные меры для обеспечения информационной безопаности значимых объектов КИИ (ЗОКИИ) </v>
      </c>
      <c r="D47" s="404" t="str">
        <f>'Нормативное соответствие'!C81</f>
        <v>НС.КИИ.7</v>
      </c>
      <c r="E47" s="404">
        <f>'Нормативное соответствие'!D81</f>
        <v>0</v>
      </c>
      <c r="F47" s="404">
        <f>'Нормативное соответствие'!E81</f>
        <v>0</v>
      </c>
      <c r="G47" s="404">
        <f>'Нормативное соответствие'!F81</f>
        <v>0</v>
      </c>
      <c r="H47" s="373">
        <f>'Нормативное соответствие'!P81</f>
        <v>8.0699999999999985</v>
      </c>
      <c r="I47" s="404">
        <f>'Нормативное соответствие'!K81</f>
        <v>0</v>
      </c>
      <c r="J47" s="404">
        <f>'Нормативное соответствие'!I81</f>
        <v>0</v>
      </c>
      <c r="K47" s="404">
        <f>'Нормативное соответствие'!L81</f>
        <v>0</v>
      </c>
      <c r="L47" s="404" t="str">
        <f t="shared" si="2"/>
        <v xml:space="preserve"> </v>
      </c>
      <c r="M47" s="373">
        <f t="shared" si="1"/>
        <v>0</v>
      </c>
      <c r="N47" s="482" t="str">
        <f>'Нормативное соответствие'!Q81</f>
        <v/>
      </c>
      <c r="O47" s="482"/>
      <c r="P47" s="482"/>
    </row>
    <row r="48" spans="1:16" ht="78">
      <c r="A48" s="504" t="s">
        <v>69</v>
      </c>
      <c r="B48" s="405" t="s">
        <v>76</v>
      </c>
      <c r="C48" s="517" t="str">
        <f>'Нормативное соответствие'!B82</f>
        <v xml:space="preserve">Реализованы технические меры для обеспечения информационной безопаности значимых объектов КИИ (ЗОКИИ) </v>
      </c>
      <c r="D48" s="404" t="str">
        <f>'Нормативное соответствие'!C82</f>
        <v>НС.КИИ.8</v>
      </c>
      <c r="E48" s="404">
        <f>'Нормативное соответствие'!D82</f>
        <v>0</v>
      </c>
      <c r="F48" s="404">
        <f>'Нормативное соответствие'!E82</f>
        <v>0</v>
      </c>
      <c r="G48" s="404">
        <f>'Нормативное соответствие'!F82</f>
        <v>0</v>
      </c>
      <c r="H48" s="373">
        <f>'Нормативное соответствие'!P82</f>
        <v>8.0799999999999983</v>
      </c>
      <c r="I48" s="404">
        <f>'Нормативное соответствие'!K82</f>
        <v>0</v>
      </c>
      <c r="J48" s="404">
        <f>'Нормативное соответствие'!I82</f>
        <v>0</v>
      </c>
      <c r="K48" s="404">
        <f>'Нормативное соответствие'!L82</f>
        <v>0</v>
      </c>
      <c r="L48" s="404" t="str">
        <f t="shared" si="2"/>
        <v xml:space="preserve"> </v>
      </c>
      <c r="M48" s="373">
        <f t="shared" si="1"/>
        <v>0</v>
      </c>
      <c r="N48" s="407" t="str">
        <f>'Нормативное соответствие'!Q82</f>
        <v/>
      </c>
      <c r="O48" s="407"/>
      <c r="P48" s="407"/>
    </row>
    <row r="49" spans="1:16" ht="109.2">
      <c r="A49" s="504" t="s">
        <v>69</v>
      </c>
      <c r="B49" s="405" t="s">
        <v>76</v>
      </c>
      <c r="C49" s="517" t="str">
        <f>'Нормативное соответствие'!B83</f>
        <v>Проведены мероприятия по оценке уровня защищенности
информационных систем с привлечением организаций, имеющих соответствующие лицензии ФСБ России и ФСТЭК России</v>
      </c>
      <c r="D49" s="404" t="str">
        <f>'Нормативное соответствие'!C83</f>
        <v>НС.КИИ.9</v>
      </c>
      <c r="E49" s="404">
        <f>'Нормативное соответствие'!D83</f>
        <v>0</v>
      </c>
      <c r="F49" s="404">
        <f>'Нормативное соответствие'!E83</f>
        <v>0</v>
      </c>
      <c r="G49" s="404">
        <f>'Нормативное соответствие'!F83</f>
        <v>0</v>
      </c>
      <c r="H49" s="411">
        <f>'Нормативное соответствие'!P83</f>
        <v>8.0899999999999981</v>
      </c>
      <c r="I49" s="404">
        <f>'Нормативное соответствие'!K83</f>
        <v>0</v>
      </c>
      <c r="J49" s="404">
        <f>'Нормативное соответствие'!I83</f>
        <v>0</v>
      </c>
      <c r="K49" s="404">
        <f>'Нормативное соответствие'!L83</f>
        <v>0</v>
      </c>
      <c r="L49" s="404" t="str">
        <f t="shared" si="2"/>
        <v xml:space="preserve"> </v>
      </c>
      <c r="M49" s="373">
        <f t="shared" si="1"/>
        <v>0</v>
      </c>
      <c r="N49" s="407" t="str">
        <f>'Нормативное соответствие'!Q83</f>
        <v/>
      </c>
      <c r="O49" s="407"/>
      <c r="P49" s="407"/>
    </row>
    <row r="50" spans="1:16" ht="93.6">
      <c r="A50" s="504" t="s">
        <v>69</v>
      </c>
      <c r="B50" s="405" t="s">
        <v>76</v>
      </c>
      <c r="C50" s="517" t="str">
        <f>'Нормативное соответствие'!B84</f>
        <v>Подготовка к импортозамещению (до 1 января 2025г.) иностранного ПО на значимых объектах КИИ: в части общесистемного (ОС) и прикладного ПО</v>
      </c>
      <c r="D50" s="404" t="str">
        <f>'Нормативное соответствие'!C84</f>
        <v>НС.КИИ.10</v>
      </c>
      <c r="E50" s="404">
        <f>'Нормативное соответствие'!D84</f>
        <v>0</v>
      </c>
      <c r="F50" s="404">
        <f>'Нормативное соответствие'!E84</f>
        <v>0</v>
      </c>
      <c r="G50" s="404">
        <f>'Нормативное соответствие'!F84</f>
        <v>0</v>
      </c>
      <c r="H50" s="373">
        <f>'Нормативное соответствие'!P84</f>
        <v>8.0999999999999979</v>
      </c>
      <c r="I50" s="404">
        <f>'Нормативное соответствие'!K84</f>
        <v>0</v>
      </c>
      <c r="J50" s="404">
        <f>'Нормативное соответствие'!I84</f>
        <v>0</v>
      </c>
      <c r="K50" s="404">
        <f>'Нормативное соответствие'!L84</f>
        <v>0</v>
      </c>
      <c r="L50" s="404" t="str">
        <f t="shared" si="2"/>
        <v xml:space="preserve"> </v>
      </c>
      <c r="M50" s="373">
        <f t="shared" si="1"/>
        <v>0</v>
      </c>
      <c r="N50" s="407" t="str">
        <f>'Нормативное соответствие'!Q84</f>
        <v/>
      </c>
      <c r="O50" s="407"/>
      <c r="P50" s="407"/>
    </row>
    <row r="51" spans="1:16" ht="109.2">
      <c r="A51" s="504" t="s">
        <v>69</v>
      </c>
      <c r="B51" s="405" t="s">
        <v>76</v>
      </c>
      <c r="C51" s="517" t="str">
        <f>'Нормативное соответствие'!B85</f>
        <v>Подготовка к импортозамещению (до 1 января 2025г.) иностранного ПО на значимых объектах КИИ: в части ПО входящего в состав средств (систем) обеспечения ИБ</v>
      </c>
      <c r="D51" s="404" t="str">
        <f>'Нормативное соответствие'!C85</f>
        <v>НС.КИИ.11</v>
      </c>
      <c r="E51" s="404">
        <f>'Нормативное соответствие'!D85</f>
        <v>0</v>
      </c>
      <c r="F51" s="404">
        <f>'Нормативное соответствие'!E85</f>
        <v>0</v>
      </c>
      <c r="G51" s="404">
        <f>'Нормативное соответствие'!F85</f>
        <v>0</v>
      </c>
      <c r="H51" s="373">
        <f>'Нормативное соответствие'!P85</f>
        <v>8.1099999999999977</v>
      </c>
      <c r="I51" s="404">
        <f>'Нормативное соответствие'!K85</f>
        <v>0</v>
      </c>
      <c r="J51" s="404">
        <f>'Нормативное соответствие'!I85</f>
        <v>0</v>
      </c>
      <c r="K51" s="404">
        <f>'Нормативное соответствие'!L85</f>
        <v>0</v>
      </c>
      <c r="L51" s="404" t="str">
        <f t="shared" si="2"/>
        <v xml:space="preserve"> </v>
      </c>
      <c r="M51" s="373">
        <f t="shared" si="1"/>
        <v>0</v>
      </c>
      <c r="N51" s="407" t="str">
        <f>'Нормативное соответствие'!Q85</f>
        <v/>
      </c>
      <c r="O51" s="407"/>
      <c r="P51" s="407"/>
    </row>
    <row r="52" spans="1:16" ht="62.4">
      <c r="A52" s="504" t="s">
        <v>69</v>
      </c>
      <c r="B52" s="405" t="s">
        <v>76</v>
      </c>
      <c r="C52" s="517" t="str">
        <f>'Нормативное соответствие'!B86</f>
        <v xml:space="preserve">Подготовка к импортозамещению (до 1 января 2025г.) ПАК на значимых объектах КИИ </v>
      </c>
      <c r="D52" s="517" t="str">
        <f>'Нормативное соответствие'!C86</f>
        <v>НС.КИИ.12</v>
      </c>
      <c r="E52" s="517">
        <f>'Нормативное соответствие'!D86</f>
        <v>0</v>
      </c>
      <c r="F52" s="517">
        <f>'Нормативное соответствие'!E86</f>
        <v>0</v>
      </c>
      <c r="G52" s="517">
        <f>'Нормативное соответствие'!F86</f>
        <v>0</v>
      </c>
      <c r="H52" s="373">
        <f>'Нормативное соответствие'!P86</f>
        <v>8.1199999999999974</v>
      </c>
      <c r="I52" s="404">
        <f>'Нормативное соответствие'!K86</f>
        <v>0</v>
      </c>
      <c r="J52" s="404"/>
      <c r="K52" s="404">
        <f>'Нормативное соответствие'!L86</f>
        <v>0</v>
      </c>
      <c r="L52" s="404" t="str">
        <f t="shared" si="2"/>
        <v xml:space="preserve"> </v>
      </c>
      <c r="M52" s="373">
        <f t="shared" si="1"/>
        <v>0</v>
      </c>
      <c r="N52" s="407" t="str">
        <f>'Нормативное соответствие'!Q86</f>
        <v/>
      </c>
      <c r="O52" s="407"/>
      <c r="P52" s="407"/>
    </row>
    <row r="53" spans="1:16" ht="40.799999999999997">
      <c r="A53" s="504" t="s">
        <v>69</v>
      </c>
      <c r="B53" s="405" t="s">
        <v>76</v>
      </c>
      <c r="C53" s="517" t="str">
        <f>'Нормативное соответствие'!B87</f>
        <v>Информирование и обучение персонала</v>
      </c>
      <c r="D53" s="404" t="str">
        <f>'Нормативное соответствие'!C87</f>
        <v>НС.КИИ.13</v>
      </c>
      <c r="E53" s="404">
        <f>'Нормативное соответствие'!D87</f>
        <v>0</v>
      </c>
      <c r="F53" s="404">
        <f>'Нормативное соответствие'!E87</f>
        <v>0</v>
      </c>
      <c r="G53" s="404">
        <f>'Нормативное соответствие'!F87</f>
        <v>0</v>
      </c>
      <c r="H53" s="373">
        <f>'Нормативное соответствие'!P87</f>
        <v>8.1299999999999972</v>
      </c>
      <c r="I53" s="404">
        <f>'Нормативное соответствие'!K87</f>
        <v>0</v>
      </c>
      <c r="J53" s="404">
        <f>'Нормативное соответствие'!I87</f>
        <v>0</v>
      </c>
      <c r="K53" s="404">
        <f>'Нормативное соответствие'!L87</f>
        <v>0</v>
      </c>
      <c r="L53" s="404" t="str">
        <f t="shared" si="2"/>
        <v xml:space="preserve"> </v>
      </c>
      <c r="M53" s="373">
        <f t="shared" si="1"/>
        <v>0</v>
      </c>
      <c r="N53" s="407" t="str">
        <f>'Нормативное соответствие'!Q87</f>
        <v/>
      </c>
      <c r="O53" s="407"/>
      <c r="P53" s="407"/>
    </row>
    <row r="54" spans="1:16" ht="40.799999999999997">
      <c r="A54" s="504" t="s">
        <v>69</v>
      </c>
      <c r="B54" s="405" t="s">
        <v>76</v>
      </c>
      <c r="C54" s="517" t="str">
        <f>'Нормативное соответствие'!B88</f>
        <v>Взаимодействие с ГОССОПКА</v>
      </c>
      <c r="D54" s="404" t="str">
        <f>'Нормативное соответствие'!C88</f>
        <v>НС.КИИ.14</v>
      </c>
      <c r="E54" s="404">
        <f>'Нормативное соответствие'!D88</f>
        <v>0</v>
      </c>
      <c r="F54" s="404">
        <f>'Нормативное соответствие'!E88</f>
        <v>0</v>
      </c>
      <c r="G54" s="404">
        <f>'Нормативное соответствие'!F88</f>
        <v>0</v>
      </c>
      <c r="H54" s="373">
        <f>'Нормативное соответствие'!P88</f>
        <v>8.139999999999997</v>
      </c>
      <c r="I54" s="404">
        <f>'Нормативное соответствие'!K88</f>
        <v>0</v>
      </c>
      <c r="J54" s="404"/>
      <c r="K54" s="404">
        <f>'Нормативное соответствие'!L88</f>
        <v>0</v>
      </c>
      <c r="L54" s="404" t="str">
        <f t="shared" si="2"/>
        <v xml:space="preserve"> </v>
      </c>
      <c r="M54" s="373">
        <f t="shared" si="1"/>
        <v>0</v>
      </c>
      <c r="N54" s="407"/>
      <c r="O54" s="407"/>
      <c r="P54" s="407"/>
    </row>
    <row r="55" spans="1:16" ht="109.2">
      <c r="A55" s="504" t="s">
        <v>69</v>
      </c>
      <c r="B55" s="405" t="s">
        <v>76</v>
      </c>
      <c r="C55" s="517" t="str">
        <f>'Нормативное соответствие'!B89</f>
        <v>Предоставлены своевременные ответы на запросы ФСТЭК России о выполнении мер по защите информации, рекомендованных к реализации (ответы предоставлены на более чем 95% запросов)</v>
      </c>
      <c r="D55" s="404" t="str">
        <f>'Нормативное соответствие'!C89</f>
        <v>НС.КИИ.15</v>
      </c>
      <c r="E55" s="404">
        <f>'Нормативное соответствие'!D89</f>
        <v>0</v>
      </c>
      <c r="F55" s="404">
        <f>'Нормативное соответствие'!E89</f>
        <v>0</v>
      </c>
      <c r="G55" s="404">
        <f>'Нормативное соответствие'!F89</f>
        <v>0</v>
      </c>
      <c r="H55" s="373">
        <f>'Нормативное соответствие'!P89</f>
        <v>8.1499999999999968</v>
      </c>
      <c r="I55" s="404">
        <f>'Нормативное соответствие'!K89</f>
        <v>0</v>
      </c>
      <c r="J55" s="404"/>
      <c r="K55" s="404">
        <f>'Нормативное соответствие'!L89</f>
        <v>0</v>
      </c>
      <c r="L55" s="404" t="str">
        <f t="shared" si="2"/>
        <v xml:space="preserve"> </v>
      </c>
      <c r="M55" s="373">
        <f t="shared" si="1"/>
        <v>0</v>
      </c>
      <c r="N55" s="407" t="str">
        <f>'Нормативное соответствие'!Q89</f>
        <v/>
      </c>
      <c r="O55" s="407"/>
      <c r="P55" s="407"/>
    </row>
    <row r="56" spans="1:16" ht="40.799999999999997">
      <c r="A56" s="504" t="s">
        <v>69</v>
      </c>
      <c r="B56" s="405" t="s">
        <v>594</v>
      </c>
      <c r="C56" s="517" t="str">
        <f>'Нормативное соответствие'!B108</f>
        <v xml:space="preserve">Созданы органы управления </v>
      </c>
      <c r="D56" s="404" t="str">
        <f>'Нормативное соответствие'!C108</f>
        <v>НС.250.1</v>
      </c>
      <c r="E56" s="404">
        <f>'Нормативное соответствие'!D108</f>
        <v>0.625</v>
      </c>
      <c r="F56" s="404">
        <f>'Нормативное соответствие'!E108</f>
        <v>0.625</v>
      </c>
      <c r="G56" s="404">
        <f>'Нормативное соответствие'!F108</f>
        <v>0.625</v>
      </c>
      <c r="H56" s="373">
        <f>'Нормативное соответствие'!P108</f>
        <v>9.01</v>
      </c>
      <c r="I56" s="404">
        <f>'Нормативное соответствие'!K108</f>
        <v>0.625</v>
      </c>
      <c r="J56" s="190">
        <f>'Нормативное соответствие'!I108</f>
        <v>0</v>
      </c>
      <c r="K56" s="404">
        <f>'Нормативное соответствие'!L108</f>
        <v>0.625</v>
      </c>
      <c r="L56" s="404">
        <f t="shared" si="2"/>
        <v>0.625</v>
      </c>
      <c r="M56" s="373">
        <f t="shared" si="1"/>
        <v>0</v>
      </c>
      <c r="N56" s="407" t="str">
        <f>'Нормативное соответствие'!Q108</f>
        <v/>
      </c>
      <c r="O56" s="407"/>
      <c r="P56" s="407"/>
    </row>
    <row r="57" spans="1:16" ht="40.799999999999997">
      <c r="A57" s="504" t="s">
        <v>69</v>
      </c>
      <c r="B57" s="405" t="s">
        <v>594</v>
      </c>
      <c r="C57" s="517" t="str">
        <f>'Нормативное соответствие'!B109</f>
        <v>Подразделение по ИБ</v>
      </c>
      <c r="D57" s="404" t="str">
        <f>'Нормативное соответствие'!C109</f>
        <v>НС.250.2</v>
      </c>
      <c r="E57" s="404">
        <f>'Нормативное соответствие'!D109</f>
        <v>1.6666666666666667</v>
      </c>
      <c r="F57" s="404">
        <f>'Нормативное соответствие'!E109</f>
        <v>1.6666666666666667</v>
      </c>
      <c r="G57" s="404">
        <f>'Нормативное соответствие'!F109</f>
        <v>1.6666666666666667</v>
      </c>
      <c r="H57" s="373">
        <f>'Нормативное соответствие'!P109</f>
        <v>9.02</v>
      </c>
      <c r="I57" s="404">
        <f>'Нормативное соответствие'!K109</f>
        <v>1.6666666666666667</v>
      </c>
      <c r="J57" s="190">
        <f>'Нормативное соответствие'!I109</f>
        <v>0</v>
      </c>
      <c r="K57" s="404">
        <f>'Нормативное соответствие'!L109</f>
        <v>1.6666666666666667</v>
      </c>
      <c r="L57" s="404">
        <f t="shared" si="2"/>
        <v>1.6666666666666667</v>
      </c>
      <c r="M57" s="373">
        <f t="shared" si="1"/>
        <v>0</v>
      </c>
      <c r="N57" s="407" t="str">
        <f>'Нормативное соответствие'!Q109</f>
        <v/>
      </c>
      <c r="O57" s="407"/>
      <c r="P57" s="407"/>
    </row>
    <row r="58" spans="1:16" ht="40.799999999999997">
      <c r="A58" s="504" t="s">
        <v>69</v>
      </c>
      <c r="B58" s="405" t="s">
        <v>594</v>
      </c>
      <c r="C58" s="517" t="str">
        <f>'Нормативное соответствие'!B110</f>
        <v>Организованно взаимодействие с подрядчиками</v>
      </c>
      <c r="D58" s="404" t="str">
        <f>'Нормативное соответствие'!C110</f>
        <v>НС.250.3</v>
      </c>
      <c r="E58" s="404">
        <f>'Нормативное соответствие'!D110</f>
        <v>0</v>
      </c>
      <c r="F58" s="404">
        <f>'Нормативное соответствие'!E110</f>
        <v>0</v>
      </c>
      <c r="G58" s="404">
        <f>'Нормативное соответствие'!F110</f>
        <v>0</v>
      </c>
      <c r="H58" s="373">
        <f>'Нормативное соответствие'!P110</f>
        <v>9.0299999999999994</v>
      </c>
      <c r="I58" s="404">
        <f>'Нормативное соответствие'!K110</f>
        <v>0</v>
      </c>
      <c r="J58" s="190">
        <f>'Нормативное соответствие'!I110</f>
        <v>0</v>
      </c>
      <c r="K58" s="404">
        <f>'Нормативное соответствие'!L110</f>
        <v>0</v>
      </c>
      <c r="L58" s="404" t="str">
        <f t="shared" si="2"/>
        <v xml:space="preserve"> </v>
      </c>
      <c r="M58" s="373">
        <f t="shared" si="1"/>
        <v>0</v>
      </c>
      <c r="N58" s="407" t="str">
        <f>'Нормативное соответствие'!Q110</f>
        <v/>
      </c>
      <c r="O58" s="407"/>
      <c r="P58" s="407"/>
    </row>
    <row r="59" spans="1:16" ht="40.799999999999997">
      <c r="A59" s="504" t="s">
        <v>69</v>
      </c>
      <c r="B59" s="405" t="s">
        <v>594</v>
      </c>
      <c r="C59" s="517" t="str">
        <f>'Нормативное соответствие'!B112</f>
        <v>Использование СЗИ</v>
      </c>
      <c r="D59" s="404" t="str">
        <f>'Нормативное соответствие'!C112</f>
        <v>НС.250.5</v>
      </c>
      <c r="E59" s="404">
        <f>'Нормативное соответствие'!D112</f>
        <v>0</v>
      </c>
      <c r="F59" s="404">
        <f>'Нормативное соответствие'!E112</f>
        <v>0</v>
      </c>
      <c r="G59" s="404">
        <f>'Нормативное соответствие'!F112</f>
        <v>0</v>
      </c>
      <c r="H59" s="373">
        <f>'Нормативное соответствие'!P112</f>
        <v>9.0499999999999989</v>
      </c>
      <c r="I59" s="404">
        <f>'Нормативное соответствие'!K112</f>
        <v>0</v>
      </c>
      <c r="J59" s="190">
        <f>'Нормативное соответствие'!I112</f>
        <v>0</v>
      </c>
      <c r="K59" s="404">
        <f>'Нормативное соответствие'!L112</f>
        <v>0</v>
      </c>
      <c r="L59" s="404" t="str">
        <f t="shared" si="2"/>
        <v xml:space="preserve"> </v>
      </c>
      <c r="M59" s="373">
        <f t="shared" si="1"/>
        <v>0</v>
      </c>
      <c r="N59" s="407" t="str">
        <f>'Нормативное соответствие'!Q112</f>
        <v/>
      </c>
      <c r="O59" s="407"/>
      <c r="P59" s="407"/>
    </row>
    <row r="60" spans="1:16" ht="40.799999999999997">
      <c r="A60" s="504" t="s">
        <v>69</v>
      </c>
      <c r="B60" s="405" t="s">
        <v>594</v>
      </c>
      <c r="C60" s="517" t="str">
        <f>'Нормативное соответствие'!B113</f>
        <v>Взаимодействие с ГОССОПКА</v>
      </c>
      <c r="D60" s="404" t="str">
        <f>'Нормативное соответствие'!C113</f>
        <v>НС.250.6</v>
      </c>
      <c r="E60" s="404">
        <f>'Нормативное соответствие'!D113</f>
        <v>0</v>
      </c>
      <c r="F60" s="404">
        <f>'Нормативное соответствие'!E113</f>
        <v>0</v>
      </c>
      <c r="G60" s="404">
        <f>'Нормативное соответствие'!F113</f>
        <v>0</v>
      </c>
      <c r="H60" s="373">
        <f>'Нормативное соответствие'!P113</f>
        <v>9.0599999999999987</v>
      </c>
      <c r="I60" s="404">
        <f>'Нормативное соответствие'!K113</f>
        <v>0</v>
      </c>
      <c r="J60" s="190">
        <f>'Нормативное соответствие'!I113</f>
        <v>0</v>
      </c>
      <c r="K60" s="404">
        <f>'Нормативное соответствие'!L113</f>
        <v>0</v>
      </c>
      <c r="L60" s="404" t="str">
        <f t="shared" si="2"/>
        <v xml:space="preserve"> </v>
      </c>
      <c r="M60" s="373">
        <f t="shared" si="1"/>
        <v>0</v>
      </c>
      <c r="N60" s="407" t="str">
        <f>'Нормативное соответствие'!Q113</f>
        <v/>
      </c>
      <c r="O60" s="407"/>
      <c r="P60" s="407"/>
    </row>
    <row r="61" spans="1:16" ht="31.2">
      <c r="A61" s="270" t="s">
        <v>113</v>
      </c>
      <c r="B61" s="403" t="s">
        <v>339</v>
      </c>
      <c r="C61" s="404" t="str">
        <f>СЗИ!B86</f>
        <v>Процент покрытия активов  лицензиями</v>
      </c>
      <c r="D61" s="404" t="str">
        <f>СЗИ!C86</f>
        <v>СЗИ.САЗ.1</v>
      </c>
      <c r="E61" s="404">
        <f>СЗИ!D86</f>
        <v>5</v>
      </c>
      <c r="F61" s="404">
        <f>СЗИ!E86</f>
        <v>5</v>
      </c>
      <c r="G61" s="404">
        <f>СЗИ!F86</f>
        <v>0</v>
      </c>
      <c r="H61" s="373">
        <f>СЗИ!P86</f>
        <v>10.01</v>
      </c>
      <c r="I61" s="404">
        <f>СЗИ!K86</f>
        <v>0</v>
      </c>
      <c r="J61" s="190">
        <f>СЗИ!I86</f>
        <v>0</v>
      </c>
      <c r="K61" s="404">
        <f>СЗИ!L86</f>
        <v>0</v>
      </c>
      <c r="L61" s="404" t="str">
        <f t="shared" si="2"/>
        <v xml:space="preserve"> </v>
      </c>
      <c r="M61" s="373">
        <f t="shared" si="1"/>
        <v>0</v>
      </c>
      <c r="N61" s="407" t="str">
        <f>СЗИ!Q86</f>
        <v/>
      </c>
      <c r="O61" s="407"/>
      <c r="P61" s="407"/>
    </row>
    <row r="62" spans="1:16" ht="46.8">
      <c r="A62" s="270" t="s">
        <v>113</v>
      </c>
      <c r="B62" s="403" t="s">
        <v>339</v>
      </c>
      <c r="C62" s="404" t="str">
        <f>СЗИ!B87</f>
        <v>Процент охваченных регулярным сканированием активов</v>
      </c>
      <c r="D62" s="404" t="str">
        <f>СЗИ!C87</f>
        <v>СЗИ.САЗ.2</v>
      </c>
      <c r="E62" s="404">
        <f>СЗИ!D87</f>
        <v>5</v>
      </c>
      <c r="F62" s="404">
        <f>СЗИ!E87</f>
        <v>3.2</v>
      </c>
      <c r="G62" s="404">
        <f>СЗИ!F87</f>
        <v>0</v>
      </c>
      <c r="H62" s="373">
        <f>СЗИ!P87</f>
        <v>10.02</v>
      </c>
      <c r="I62" s="404">
        <f>СЗИ!K87</f>
        <v>0</v>
      </c>
      <c r="J62" s="190">
        <f>СЗИ!I87</f>
        <v>0</v>
      </c>
      <c r="K62" s="404">
        <f>СЗИ!L87</f>
        <v>0</v>
      </c>
      <c r="L62" s="404" t="str">
        <f t="shared" si="2"/>
        <v xml:space="preserve"> </v>
      </c>
      <c r="M62" s="373">
        <f t="shared" si="1"/>
        <v>0</v>
      </c>
      <c r="N62" s="407" t="str">
        <f>СЗИ!Q87</f>
        <v/>
      </c>
      <c r="O62" s="407"/>
      <c r="P62" s="407"/>
    </row>
    <row r="63" spans="1:16" ht="31.2">
      <c r="A63" s="270" t="s">
        <v>113</v>
      </c>
      <c r="B63" s="403" t="s">
        <v>339</v>
      </c>
      <c r="C63" s="404" t="str">
        <f>СЗИ!B88</f>
        <v>Внедрен процесс управления уязвимостями</v>
      </c>
      <c r="D63" s="404" t="str">
        <f>СЗИ!C88</f>
        <v>СЗИ.САЗ.3</v>
      </c>
      <c r="E63" s="404">
        <f>СЗИ!D88</f>
        <v>4</v>
      </c>
      <c r="F63" s="404">
        <f>СЗИ!E88</f>
        <v>3</v>
      </c>
      <c r="G63" s="404">
        <f>СЗИ!F88</f>
        <v>0</v>
      </c>
      <c r="H63" s="373">
        <f>СЗИ!P88</f>
        <v>10.029999999999999</v>
      </c>
      <c r="I63" s="404">
        <f>СЗИ!K88</f>
        <v>0</v>
      </c>
      <c r="J63" s="404">
        <f>СЗИ!I88</f>
        <v>0</v>
      </c>
      <c r="K63" s="404">
        <f>СЗИ!L88</f>
        <v>1</v>
      </c>
      <c r="L63" s="404" t="str">
        <f t="shared" si="2"/>
        <v xml:space="preserve"> </v>
      </c>
      <c r="M63" s="373">
        <f t="shared" si="1"/>
        <v>0</v>
      </c>
      <c r="N63" s="407" t="str">
        <f>СЗИ!Q88</f>
        <v/>
      </c>
      <c r="O63" s="407"/>
      <c r="P63" s="407"/>
    </row>
    <row r="64" spans="1:16" ht="46.8">
      <c r="A64" s="270" t="s">
        <v>113</v>
      </c>
      <c r="B64" s="405" t="s">
        <v>337</v>
      </c>
      <c r="C64" s="517" t="str">
        <f>СЗИ!B76</f>
        <v>Защита периметра и DMZ реализована с использованием аппаратных NGFW</v>
      </c>
      <c r="D64" s="404" t="str">
        <f>СЗИ!C76</f>
        <v>СЗИ.NGFW.1</v>
      </c>
      <c r="E64" s="404">
        <f>СЗИ!D76</f>
        <v>5</v>
      </c>
      <c r="F64" s="404">
        <f>СЗИ!E76</f>
        <v>5</v>
      </c>
      <c r="G64" s="404">
        <f>СЗИ!F76</f>
        <v>0</v>
      </c>
      <c r="H64" s="373">
        <f>СЗИ!P76</f>
        <v>11.01</v>
      </c>
      <c r="I64" s="404">
        <f>СЗИ!K76</f>
        <v>0</v>
      </c>
      <c r="J64" s="404">
        <f>СЗИ!I76</f>
        <v>0</v>
      </c>
      <c r="K64" s="404">
        <f>СЗИ!L76</f>
        <v>0</v>
      </c>
      <c r="L64" s="404" t="str">
        <f t="shared" si="2"/>
        <v xml:space="preserve"> </v>
      </c>
      <c r="M64" s="373">
        <f t="shared" si="1"/>
        <v>0</v>
      </c>
      <c r="N64" s="407" t="str">
        <f>СЗИ!Q76</f>
        <v/>
      </c>
      <c r="O64" s="407"/>
      <c r="P64" s="407"/>
    </row>
    <row r="65" spans="1:16" ht="62.4">
      <c r="A65" s="270" t="s">
        <v>113</v>
      </c>
      <c r="B65" s="405" t="s">
        <v>337</v>
      </c>
      <c r="C65" s="517" t="str">
        <f>СЗИ!B77</f>
        <v>Межсегментное взаимодействие реализовано с учетом критичности этих сегментов</v>
      </c>
      <c r="D65" s="404" t="str">
        <f>СЗИ!C77</f>
        <v>СЗИ.NGFW.2</v>
      </c>
      <c r="E65" s="404">
        <f>СЗИ!D77</f>
        <v>5</v>
      </c>
      <c r="F65" s="404">
        <f>СЗИ!E77</f>
        <v>5</v>
      </c>
      <c r="G65" s="404">
        <f>СЗИ!F77</f>
        <v>0</v>
      </c>
      <c r="H65" s="373">
        <f>СЗИ!P77</f>
        <v>11.02</v>
      </c>
      <c r="I65" s="404">
        <f>СЗИ!K77</f>
        <v>0</v>
      </c>
      <c r="J65" s="404">
        <f>СЗИ!I77</f>
        <v>0</v>
      </c>
      <c r="K65" s="404">
        <f>СЗИ!L77</f>
        <v>0</v>
      </c>
      <c r="L65" s="404" t="str">
        <f t="shared" si="2"/>
        <v xml:space="preserve"> </v>
      </c>
      <c r="M65" s="373">
        <f t="shared" si="1"/>
        <v>0</v>
      </c>
      <c r="N65" s="407" t="str">
        <f>СЗИ!Q77</f>
        <v/>
      </c>
      <c r="O65" s="407"/>
      <c r="P65" s="407"/>
    </row>
    <row r="66" spans="1:16" ht="46.8">
      <c r="A66" s="270" t="s">
        <v>113</v>
      </c>
      <c r="B66" s="405" t="s">
        <v>337</v>
      </c>
      <c r="C66" s="517" t="str">
        <f>СЗИ!B78</f>
        <v>Осуществляется централизованное управление и контроль настроек</v>
      </c>
      <c r="D66" s="404" t="str">
        <f>СЗИ!C78</f>
        <v>СЗИ.NGFW.3</v>
      </c>
      <c r="E66" s="404">
        <f>СЗИ!D78</f>
        <v>5</v>
      </c>
      <c r="F66" s="404">
        <f>СЗИ!E78</f>
        <v>3.2</v>
      </c>
      <c r="G66" s="404">
        <f>СЗИ!F78</f>
        <v>0</v>
      </c>
      <c r="H66" s="373">
        <f>СЗИ!P78</f>
        <v>11.03</v>
      </c>
      <c r="I66" s="404">
        <f>СЗИ!K78</f>
        <v>0</v>
      </c>
      <c r="J66" s="404">
        <f>СЗИ!I78</f>
        <v>0</v>
      </c>
      <c r="K66" s="404">
        <f>СЗИ!L78</f>
        <v>0</v>
      </c>
      <c r="L66" s="404" t="str">
        <f t="shared" si="2"/>
        <v xml:space="preserve"> </v>
      </c>
      <c r="M66" s="373">
        <f t="shared" si="1"/>
        <v>0</v>
      </c>
      <c r="N66" s="407" t="str">
        <f>СЗИ!Q78</f>
        <v/>
      </c>
      <c r="O66" s="407"/>
      <c r="P66" s="407"/>
    </row>
    <row r="67" spans="1:16" ht="31.2">
      <c r="A67" s="270" t="s">
        <v>113</v>
      </c>
      <c r="B67" s="405" t="s">
        <v>337</v>
      </c>
      <c r="C67" s="517" t="str">
        <f>СЗИ!B79</f>
        <v>Настроенные политики соответствуют ТТР Блока ИБ</v>
      </c>
      <c r="D67" s="404" t="str">
        <f>СЗИ!C79</f>
        <v>СЗИ.NGFW.4</v>
      </c>
      <c r="E67" s="404">
        <f>СЗИ!D79</f>
        <v>5</v>
      </c>
      <c r="F67" s="404">
        <f>СЗИ!E79</f>
        <v>3.2</v>
      </c>
      <c r="G67" s="404">
        <f>СЗИ!F79</f>
        <v>0</v>
      </c>
      <c r="H67" s="373">
        <f>СЗИ!P79</f>
        <v>11.04</v>
      </c>
      <c r="I67" s="404">
        <f>СЗИ!K79</f>
        <v>0</v>
      </c>
      <c r="J67" s="404">
        <f>СЗИ!I79</f>
        <v>0</v>
      </c>
      <c r="K67" s="404">
        <f>СЗИ!L79</f>
        <v>0</v>
      </c>
      <c r="L67" s="404" t="str">
        <f t="shared" si="2"/>
        <v xml:space="preserve"> </v>
      </c>
      <c r="M67" s="373">
        <f t="shared" ref="M67:M130" si="3">IF(H67&lt;100,    IF(K67&gt;=G67,0,I67-K67),       IF(H67&lt;300,     IF(K67&gt;=F67,0,I67-K67),                  IF(K67&gt;=E67,0,I67-K67)))</f>
        <v>0</v>
      </c>
      <c r="N67" s="407" t="str">
        <f>СЗИ!Q79</f>
        <v/>
      </c>
      <c r="O67" s="407"/>
      <c r="P67" s="407"/>
    </row>
    <row r="68" spans="1:16" ht="46.8">
      <c r="A68" s="270" t="s">
        <v>113</v>
      </c>
      <c r="B68" s="403" t="s">
        <v>338</v>
      </c>
      <c r="C68" s="404" t="str">
        <f>СЗИ!B81</f>
        <v>Доступ пользователей в интернет организован через PROXY</v>
      </c>
      <c r="D68" s="404" t="str">
        <f>СЗИ!C81</f>
        <v>СЗИ.PROXY.1</v>
      </c>
      <c r="E68" s="404">
        <f>СЗИ!D81</f>
        <v>5</v>
      </c>
      <c r="F68" s="404">
        <f>СЗИ!E81</f>
        <v>3.2</v>
      </c>
      <c r="G68" s="404">
        <f>СЗИ!F81</f>
        <v>0</v>
      </c>
      <c r="H68" s="373">
        <f>СЗИ!P81</f>
        <v>12.01</v>
      </c>
      <c r="I68" s="404">
        <f>СЗИ!K81</f>
        <v>0</v>
      </c>
      <c r="J68" s="404">
        <f>СЗИ!I81</f>
        <v>0</v>
      </c>
      <c r="K68" s="404">
        <f>СЗИ!L81</f>
        <v>0</v>
      </c>
      <c r="L68" s="404" t="str">
        <f t="shared" si="2"/>
        <v xml:space="preserve"> </v>
      </c>
      <c r="M68" s="373">
        <f t="shared" si="3"/>
        <v>0</v>
      </c>
      <c r="N68" s="407" t="str">
        <f>СЗИ!Q81</f>
        <v/>
      </c>
      <c r="O68" s="407"/>
      <c r="P68" s="407"/>
    </row>
    <row r="69" spans="1:16" ht="46.8">
      <c r="A69" s="270" t="s">
        <v>113</v>
      </c>
      <c r="B69" s="403" t="s">
        <v>338</v>
      </c>
      <c r="C69" s="404" t="str">
        <f>СЗИ!B82</f>
        <v>Настроены политики разграничения доступа</v>
      </c>
      <c r="D69" s="404" t="str">
        <f>СЗИ!C82</f>
        <v>СЗИ.PROXY.2</v>
      </c>
      <c r="E69" s="404">
        <f>СЗИ!D82</f>
        <v>5</v>
      </c>
      <c r="F69" s="404">
        <f>СЗИ!E82</f>
        <v>3.2</v>
      </c>
      <c r="G69" s="404">
        <f>СЗИ!F82</f>
        <v>0</v>
      </c>
      <c r="H69" s="373">
        <f>СЗИ!P82</f>
        <v>12.02</v>
      </c>
      <c r="I69" s="404">
        <f>СЗИ!K82</f>
        <v>0</v>
      </c>
      <c r="J69" s="404">
        <f>СЗИ!I82</f>
        <v>0</v>
      </c>
      <c r="K69" s="404">
        <f>СЗИ!L82</f>
        <v>0</v>
      </c>
      <c r="L69" s="404" t="str">
        <f t="shared" si="2"/>
        <v xml:space="preserve"> </v>
      </c>
      <c r="M69" s="373">
        <f t="shared" si="3"/>
        <v>0</v>
      </c>
      <c r="N69" s="407" t="str">
        <f>СЗИ!Q82</f>
        <v/>
      </c>
      <c r="O69" s="407"/>
      <c r="P69" s="407"/>
    </row>
    <row r="70" spans="1:16" ht="46.8">
      <c r="A70" s="270" t="s">
        <v>113</v>
      </c>
      <c r="B70" s="403" t="s">
        <v>338</v>
      </c>
      <c r="C70" s="404" t="str">
        <f>СЗИ!B83</f>
        <v>Проведена интеграция со средствами защиты от ВПО и AD</v>
      </c>
      <c r="D70" s="404" t="str">
        <f>СЗИ!C83</f>
        <v>СЗИ.PROXY.3</v>
      </c>
      <c r="E70" s="404">
        <f>СЗИ!D83</f>
        <v>5</v>
      </c>
      <c r="F70" s="404">
        <f>СЗИ!E83</f>
        <v>2.5</v>
      </c>
      <c r="G70" s="404">
        <f>СЗИ!F83</f>
        <v>0</v>
      </c>
      <c r="H70" s="373">
        <f>СЗИ!P83</f>
        <v>12.03</v>
      </c>
      <c r="I70" s="404">
        <f>СЗИ!K83</f>
        <v>0</v>
      </c>
      <c r="J70" s="404">
        <f>СЗИ!I83</f>
        <v>0</v>
      </c>
      <c r="K70" s="404">
        <f>СЗИ!L83</f>
        <v>0</v>
      </c>
      <c r="L70" s="404" t="str">
        <f t="shared" ref="L70:L133" si="4">IF(J70=I70," ",K70-J70)</f>
        <v xml:space="preserve"> </v>
      </c>
      <c r="M70" s="373">
        <f t="shared" si="3"/>
        <v>0</v>
      </c>
      <c r="N70" s="407" t="str">
        <f>СЗИ!Q83</f>
        <v/>
      </c>
      <c r="O70" s="407"/>
      <c r="P70" s="407"/>
    </row>
    <row r="71" spans="1:16" ht="46.8">
      <c r="A71" s="270" t="s">
        <v>113</v>
      </c>
      <c r="B71" s="403" t="s">
        <v>338</v>
      </c>
      <c r="C71" s="404" t="str">
        <f>СЗИ!B84</f>
        <v>Настроенные политики соответствуют ТТР Блока ИБ</v>
      </c>
      <c r="D71" s="404" t="str">
        <f>СЗИ!C84</f>
        <v>СЗИ.PROXY.4</v>
      </c>
      <c r="E71" s="404">
        <f>СЗИ!D84</f>
        <v>5</v>
      </c>
      <c r="F71" s="404">
        <f>СЗИ!E84</f>
        <v>3.2</v>
      </c>
      <c r="G71" s="404">
        <f>СЗИ!F84</f>
        <v>0</v>
      </c>
      <c r="H71" s="373">
        <f>СЗИ!P84</f>
        <v>12.04</v>
      </c>
      <c r="I71" s="404">
        <f>СЗИ!K84</f>
        <v>0</v>
      </c>
      <c r="J71" s="404">
        <f>СЗИ!I84</f>
        <v>0</v>
      </c>
      <c r="K71" s="404">
        <f>СЗИ!L84</f>
        <v>0</v>
      </c>
      <c r="L71" s="404" t="str">
        <f t="shared" si="4"/>
        <v xml:space="preserve"> </v>
      </c>
      <c r="M71" s="373">
        <f t="shared" si="3"/>
        <v>0</v>
      </c>
      <c r="N71" s="407" t="str">
        <f>СЗИ!Q84</f>
        <v/>
      </c>
      <c r="O71" s="407"/>
      <c r="P71" s="407"/>
    </row>
    <row r="72" spans="1:16" ht="78">
      <c r="A72" s="270" t="s">
        <v>780</v>
      </c>
      <c r="B72" s="403" t="s">
        <v>237</v>
      </c>
      <c r="C72" s="404" t="str">
        <f>'Управление ИБ'!B61</f>
        <v>Утверждена Политика информационной безопасности Общества</v>
      </c>
      <c r="D72" s="404" t="str">
        <f>'Управление ИБ'!C61</f>
        <v>СУИБ.УР.1</v>
      </c>
      <c r="E72" s="404">
        <f>'Управление ИБ'!D61</f>
        <v>5</v>
      </c>
      <c r="F72" s="404">
        <f>'Управление ИБ'!E61</f>
        <v>5</v>
      </c>
      <c r="G72" s="404">
        <f>'Управление ИБ'!F61</f>
        <v>5</v>
      </c>
      <c r="H72" s="373">
        <f>'Управление ИБ'!P61</f>
        <v>14.01</v>
      </c>
      <c r="I72" s="404">
        <f>'Управление ИБ'!K61</f>
        <v>5</v>
      </c>
      <c r="J72" s="404">
        <f>'Управление ИБ'!I61</f>
        <v>0</v>
      </c>
      <c r="K72" s="404">
        <f>'Управление ИБ'!L61</f>
        <v>5</v>
      </c>
      <c r="L72" s="404">
        <f t="shared" si="4"/>
        <v>5</v>
      </c>
      <c r="M72" s="373">
        <f t="shared" si="3"/>
        <v>0</v>
      </c>
      <c r="N72" s="407" t="str">
        <f>'Управление ИБ'!Q61</f>
        <v/>
      </c>
      <c r="O72" s="407"/>
      <c r="P72" s="407"/>
    </row>
    <row r="73" spans="1:16" ht="78">
      <c r="A73" s="270" t="s">
        <v>780</v>
      </c>
      <c r="B73" s="403" t="s">
        <v>237</v>
      </c>
      <c r="C73" s="404" t="str">
        <f>'Управление ИБ'!B62</f>
        <v>Назначено лицо, ответственное за обеспечение информационной безопасности</v>
      </c>
      <c r="D73" s="404" t="str">
        <f>'Управление ИБ'!C62</f>
        <v>СУИБ.УР.10</v>
      </c>
      <c r="E73" s="404">
        <f>'Управление ИБ'!D62</f>
        <v>5</v>
      </c>
      <c r="F73" s="404">
        <f>'Управление ИБ'!E62</f>
        <v>5</v>
      </c>
      <c r="G73" s="404">
        <f>'Управление ИБ'!F62</f>
        <v>5</v>
      </c>
      <c r="H73" s="373">
        <f>'Управление ИБ'!P62</f>
        <v>14.02</v>
      </c>
      <c r="I73" s="373">
        <f>'Управление ИБ'!K62</f>
        <v>5</v>
      </c>
      <c r="J73" s="373">
        <f>'Управление ИБ'!I62</f>
        <v>0</v>
      </c>
      <c r="K73" s="404">
        <f>'Управление ИБ'!L62</f>
        <v>5</v>
      </c>
      <c r="L73" s="404">
        <f t="shared" si="4"/>
        <v>5</v>
      </c>
      <c r="M73" s="373">
        <f t="shared" si="3"/>
        <v>0</v>
      </c>
      <c r="N73" s="407" t="str">
        <f>'Управление ИБ'!Q62</f>
        <v/>
      </c>
      <c r="O73" s="407"/>
      <c r="P73" s="407"/>
    </row>
    <row r="74" spans="1:16" ht="78">
      <c r="A74" s="270" t="s">
        <v>780</v>
      </c>
      <c r="B74" s="403" t="s">
        <v>237</v>
      </c>
      <c r="C74" s="404" t="str">
        <f>'Управление ИБ'!B63</f>
        <v>Создано подразделение по ИБ или задачи возложены на подразделение</v>
      </c>
      <c r="D74" s="404" t="str">
        <f>'Управление ИБ'!C63</f>
        <v>СУИБ.УР.11</v>
      </c>
      <c r="E74" s="404">
        <f>'Управление ИБ'!D63</f>
        <v>5</v>
      </c>
      <c r="F74" s="404">
        <f>'Управление ИБ'!E63</f>
        <v>5</v>
      </c>
      <c r="G74" s="404">
        <f>'Управление ИБ'!F63</f>
        <v>5</v>
      </c>
      <c r="H74" s="373">
        <f>'Управление ИБ'!P63</f>
        <v>14.03</v>
      </c>
      <c r="I74" s="404">
        <f>'Управление ИБ'!K63</f>
        <v>5</v>
      </c>
      <c r="J74" s="404">
        <f>'Управление ИБ'!I63</f>
        <v>0</v>
      </c>
      <c r="K74" s="404">
        <f>'Управление ИБ'!L63</f>
        <v>5</v>
      </c>
      <c r="L74" s="404">
        <f t="shared" si="4"/>
        <v>5</v>
      </c>
      <c r="M74" s="373">
        <f t="shared" si="3"/>
        <v>0</v>
      </c>
      <c r="N74" s="407" t="str">
        <f>'Управление ИБ'!Q63</f>
        <v/>
      </c>
      <c r="O74" s="407"/>
      <c r="P74" s="407"/>
    </row>
    <row r="75" spans="1:16" ht="78">
      <c r="A75" s="270" t="s">
        <v>780</v>
      </c>
      <c r="B75" s="403" t="s">
        <v>237</v>
      </c>
      <c r="C75" s="404" t="str">
        <f>'Управление ИБ'!B64</f>
        <v>Определены цели обеспечения ИБ</v>
      </c>
      <c r="D75" s="404" t="str">
        <f>'Управление ИБ'!C64</f>
        <v>СУИБ.УР.2</v>
      </c>
      <c r="E75" s="404">
        <f>'Управление ИБ'!D64</f>
        <v>5</v>
      </c>
      <c r="F75" s="404">
        <f>'Управление ИБ'!E64</f>
        <v>5</v>
      </c>
      <c r="G75" s="404">
        <f>'Управление ИБ'!F64</f>
        <v>0</v>
      </c>
      <c r="H75" s="373">
        <f>'Управление ИБ'!P64</f>
        <v>14.04</v>
      </c>
      <c r="I75" s="404">
        <f>'Управление ИБ'!K64</f>
        <v>0</v>
      </c>
      <c r="J75" s="404">
        <f>'Управление ИБ'!I64</f>
        <v>0</v>
      </c>
      <c r="K75" s="404">
        <f>'Управление ИБ'!L64</f>
        <v>5</v>
      </c>
      <c r="L75" s="404" t="str">
        <f t="shared" si="4"/>
        <v xml:space="preserve"> </v>
      </c>
      <c r="M75" s="373">
        <f t="shared" si="3"/>
        <v>0</v>
      </c>
      <c r="N75" s="407" t="str">
        <f>'Управление ИБ'!Q64</f>
        <v/>
      </c>
      <c r="O75" s="407"/>
      <c r="P75" s="407"/>
    </row>
    <row r="76" spans="1:16" ht="78">
      <c r="A76" s="270" t="s">
        <v>780</v>
      </c>
      <c r="B76" s="403" t="s">
        <v>237</v>
      </c>
      <c r="C76" s="404" t="str">
        <f>'Управление ИБ'!B65</f>
        <v>Наличие планов развития ИБ</v>
      </c>
      <c r="D76" s="404" t="str">
        <f>'Управление ИБ'!C65</f>
        <v>СУИБ.УР.3</v>
      </c>
      <c r="E76" s="404">
        <f>'Управление ИБ'!D65</f>
        <v>5</v>
      </c>
      <c r="F76" s="404">
        <f>'Управление ИБ'!E65</f>
        <v>5</v>
      </c>
      <c r="G76" s="404">
        <f>'Управление ИБ'!F65</f>
        <v>5</v>
      </c>
      <c r="H76" s="373">
        <f>'Управление ИБ'!P65</f>
        <v>14.049999999999999</v>
      </c>
      <c r="I76" s="404">
        <f>'Управление ИБ'!K65</f>
        <v>5</v>
      </c>
      <c r="J76" s="404">
        <f>'Управление ИБ'!I65</f>
        <v>0</v>
      </c>
      <c r="K76" s="404">
        <f>'Управление ИБ'!L65</f>
        <v>5</v>
      </c>
      <c r="L76" s="404">
        <f t="shared" si="4"/>
        <v>5</v>
      </c>
      <c r="M76" s="373">
        <f t="shared" si="3"/>
        <v>0</v>
      </c>
      <c r="N76" s="407" t="str">
        <f>'Управление ИБ'!Q65</f>
        <v/>
      </c>
      <c r="O76" s="407"/>
      <c r="P76" s="407"/>
    </row>
    <row r="77" spans="1:16" ht="78">
      <c r="A77" s="270" t="s">
        <v>780</v>
      </c>
      <c r="B77" s="403" t="s">
        <v>237</v>
      </c>
      <c r="C77" s="404" t="str">
        <f>'Управление ИБ'!B66</f>
        <v>Статус достижения целей ИБ регулярно доводится до руководства Общества</v>
      </c>
      <c r="D77" s="404" t="str">
        <f>'Управление ИБ'!C66</f>
        <v>СУИБ.УР.4</v>
      </c>
      <c r="E77" s="404">
        <f>'Управление ИБ'!D66</f>
        <v>5</v>
      </c>
      <c r="F77" s="404">
        <f>'Управление ИБ'!E66</f>
        <v>3.2</v>
      </c>
      <c r="G77" s="404">
        <f>'Управление ИБ'!F66</f>
        <v>0</v>
      </c>
      <c r="H77" s="373">
        <f>'Управление ИБ'!P66</f>
        <v>14.059999999999999</v>
      </c>
      <c r="I77" s="404">
        <f>'Управление ИБ'!K66</f>
        <v>0</v>
      </c>
      <c r="J77" s="404">
        <f>'Управление ИБ'!I66</f>
        <v>0</v>
      </c>
      <c r="K77" s="404">
        <f>'Управление ИБ'!L66</f>
        <v>1.6</v>
      </c>
      <c r="L77" s="404" t="str">
        <f t="shared" si="4"/>
        <v xml:space="preserve"> </v>
      </c>
      <c r="M77" s="373">
        <f t="shared" si="3"/>
        <v>0</v>
      </c>
      <c r="N77" s="407" t="str">
        <f>'Управление ИБ'!Q66</f>
        <v/>
      </c>
      <c r="O77" s="407"/>
      <c r="P77" s="407"/>
    </row>
    <row r="78" spans="1:16" ht="78">
      <c r="A78" s="270" t="s">
        <v>780</v>
      </c>
      <c r="B78" s="403" t="s">
        <v>237</v>
      </c>
      <c r="C78" s="404" t="str">
        <f>'Управление ИБ'!B67</f>
        <v>Проводится регулярный (ежегодный) внешний аудит</v>
      </c>
      <c r="D78" s="404" t="str">
        <f>'Управление ИБ'!C67</f>
        <v>СУИБ.УР.5</v>
      </c>
      <c r="E78" s="404">
        <f>'Управление ИБ'!D67</f>
        <v>5</v>
      </c>
      <c r="F78" s="404">
        <f>'Управление ИБ'!E67</f>
        <v>5</v>
      </c>
      <c r="G78" s="404">
        <f>'Управление ИБ'!F67</f>
        <v>0</v>
      </c>
      <c r="H78" s="373">
        <f>'Управление ИБ'!P67</f>
        <v>14.069999999999999</v>
      </c>
      <c r="I78" s="404">
        <f>'Управление ИБ'!K67</f>
        <v>0</v>
      </c>
      <c r="J78" s="404">
        <f>'Управление ИБ'!I67</f>
        <v>0</v>
      </c>
      <c r="K78" s="404">
        <f>'Управление ИБ'!L67</f>
        <v>0</v>
      </c>
      <c r="L78" s="404" t="str">
        <f t="shared" si="4"/>
        <v xml:space="preserve"> </v>
      </c>
      <c r="M78" s="373">
        <f t="shared" si="3"/>
        <v>0</v>
      </c>
      <c r="N78" s="407" t="str">
        <f>'Управление ИБ'!Q67</f>
        <v/>
      </c>
      <c r="O78" s="407"/>
      <c r="P78" s="407"/>
    </row>
    <row r="79" spans="1:16" ht="78">
      <c r="A79" s="270" t="s">
        <v>780</v>
      </c>
      <c r="B79" s="403" t="s">
        <v>237</v>
      </c>
      <c r="C79" s="404" t="str">
        <f>'Управление ИБ'!B68</f>
        <v>Проводятся регулярные (ежегодные) киберучения</v>
      </c>
      <c r="D79" s="404" t="str">
        <f>'Управление ИБ'!C68</f>
        <v>СУИБ.УР.6</v>
      </c>
      <c r="E79" s="404">
        <f>'Управление ИБ'!D68</f>
        <v>5</v>
      </c>
      <c r="F79" s="404">
        <f>'Управление ИБ'!E68</f>
        <v>5</v>
      </c>
      <c r="G79" s="404">
        <f>'Управление ИБ'!F68</f>
        <v>0</v>
      </c>
      <c r="H79" s="373">
        <f>'Управление ИБ'!P68</f>
        <v>14.079999999999998</v>
      </c>
      <c r="I79" s="404">
        <f>'Управление ИБ'!K68</f>
        <v>0</v>
      </c>
      <c r="J79" s="404">
        <f>'Управление ИБ'!I68</f>
        <v>0</v>
      </c>
      <c r="K79" s="404">
        <f>'Управление ИБ'!L68</f>
        <v>0</v>
      </c>
      <c r="L79" s="404" t="str">
        <f t="shared" si="4"/>
        <v xml:space="preserve"> </v>
      </c>
      <c r="M79" s="373">
        <f t="shared" si="3"/>
        <v>0</v>
      </c>
      <c r="N79" s="407" t="str">
        <f>'Управление ИБ'!Q68</f>
        <v/>
      </c>
      <c r="O79" s="407"/>
      <c r="P79" s="407"/>
    </row>
    <row r="80" spans="1:16" ht="78">
      <c r="A80" s="270" t="s">
        <v>780</v>
      </c>
      <c r="B80" s="403" t="s">
        <v>237</v>
      </c>
      <c r="C80" s="404" t="str">
        <f>'Управление ИБ'!B69</f>
        <v>Требования по ИБ к информационным активам (ИА) предьявляются на стадиях принятия решения о создании/приобретении ИА</v>
      </c>
      <c r="D80" s="404" t="str">
        <f>'Управление ИБ'!C69</f>
        <v>СУИБ.УР.7</v>
      </c>
      <c r="E80" s="404">
        <f>'Управление ИБ'!D69</f>
        <v>5</v>
      </c>
      <c r="F80" s="404">
        <f>'Управление ИБ'!E69</f>
        <v>3.2</v>
      </c>
      <c r="G80" s="404">
        <f>'Управление ИБ'!F69</f>
        <v>0</v>
      </c>
      <c r="H80" s="373">
        <f>'Управление ИБ'!P69</f>
        <v>14.089999999999998</v>
      </c>
      <c r="I80" s="404">
        <f>'Управление ИБ'!K69</f>
        <v>0</v>
      </c>
      <c r="J80" s="404">
        <f>'Управление ИБ'!I69</f>
        <v>0</v>
      </c>
      <c r="K80" s="404">
        <f>'Управление ИБ'!L69</f>
        <v>1.6</v>
      </c>
      <c r="L80" s="404" t="str">
        <f t="shared" si="4"/>
        <v xml:space="preserve"> </v>
      </c>
      <c r="M80" s="373">
        <f t="shared" si="3"/>
        <v>0</v>
      </c>
      <c r="N80" s="407" t="str">
        <f>'Управление ИБ'!Q69</f>
        <v/>
      </c>
      <c r="O80" s="407"/>
      <c r="P80" s="407"/>
    </row>
    <row r="81" spans="1:16" ht="109.2">
      <c r="A81" s="270" t="s">
        <v>780</v>
      </c>
      <c r="B81" s="403" t="s">
        <v>237</v>
      </c>
      <c r="C81" s="404" t="str">
        <f>'Управление ИБ'!B70</f>
        <v>Актуализация внутренних нормативных документов в соответствии с изменениями в нормативно-правовых актах и распоряжениях регуляторов и контрольных (надзорных) ведомств в сфере ИБ</v>
      </c>
      <c r="D81" s="404" t="str">
        <f>'Управление ИБ'!C70</f>
        <v>СУИБ.УР.8</v>
      </c>
      <c r="E81" s="404">
        <f>'Управление ИБ'!D70</f>
        <v>5</v>
      </c>
      <c r="F81" s="404">
        <f>'Управление ИБ'!E70</f>
        <v>5</v>
      </c>
      <c r="G81" s="404">
        <f>'Управление ИБ'!F70</f>
        <v>0</v>
      </c>
      <c r="H81" s="373">
        <f>'Управление ИБ'!P70</f>
        <v>14.099999999999998</v>
      </c>
      <c r="I81" s="404">
        <f>'Управление ИБ'!K70</f>
        <v>0</v>
      </c>
      <c r="J81" s="404">
        <f>'Управление ИБ'!I70</f>
        <v>0</v>
      </c>
      <c r="K81" s="404">
        <f>'Управление ИБ'!L70</f>
        <v>5</v>
      </c>
      <c r="L81" s="404" t="str">
        <f t="shared" si="4"/>
        <v xml:space="preserve"> </v>
      </c>
      <c r="M81" s="373">
        <f t="shared" si="3"/>
        <v>0</v>
      </c>
      <c r="N81" s="407" t="str">
        <f>'Управление ИБ'!Q70</f>
        <v/>
      </c>
      <c r="O81" s="407"/>
      <c r="P81" s="407"/>
    </row>
    <row r="82" spans="1:16" ht="93.6">
      <c r="A82" s="270" t="s">
        <v>780</v>
      </c>
      <c r="B82" s="412" t="s">
        <v>16</v>
      </c>
      <c r="C82" s="515" t="str">
        <f>'Управление ИБ'!B112</f>
        <v>Ведется учет используемых и (или) эксплуатируемых физических устройств (АРМ, сервера, принтеры, коммутационное оборудование и т.п.)</v>
      </c>
      <c r="D82" s="408" t="str">
        <f>'Управление ИБ'!C112</f>
        <v>УИБ.ИН.1</v>
      </c>
      <c r="E82" s="408">
        <f>'Управление ИБ'!D112</f>
        <v>5</v>
      </c>
      <c r="F82" s="408">
        <f>'Управление ИБ'!E112</f>
        <v>3.2</v>
      </c>
      <c r="G82" s="408">
        <f>'Управление ИБ'!F112</f>
        <v>1.6</v>
      </c>
      <c r="H82" s="409">
        <f>'Управление ИБ'!P112</f>
        <v>15.01</v>
      </c>
      <c r="I82" s="408">
        <f>'Управление ИБ'!K112</f>
        <v>1.6</v>
      </c>
      <c r="J82" s="408">
        <f>'Управление ИБ'!I112</f>
        <v>0</v>
      </c>
      <c r="K82" s="404">
        <f>'Управление ИБ'!L112</f>
        <v>1.6</v>
      </c>
      <c r="L82" s="404">
        <f t="shared" si="4"/>
        <v>1.6</v>
      </c>
      <c r="M82" s="373">
        <f t="shared" si="3"/>
        <v>0</v>
      </c>
      <c r="N82" s="407" t="str">
        <f>'Управление ИБ'!Q112</f>
        <v/>
      </c>
      <c r="O82" s="407"/>
      <c r="P82" s="407"/>
    </row>
    <row r="83" spans="1:16" ht="140.4">
      <c r="A83" s="270" t="s">
        <v>780</v>
      </c>
      <c r="B83" s="412" t="s">
        <v>16</v>
      </c>
      <c r="C83" s="515" t="str">
        <f>'Управление ИБ'!B113</f>
        <v>Ведется учет имеющегося и используемого ПО</v>
      </c>
      <c r="D83" s="408" t="str">
        <f>'Управление ИБ'!C113</f>
        <v>УИБ.ИН.2</v>
      </c>
      <c r="E83" s="408">
        <f>'Управление ИБ'!D113</f>
        <v>5</v>
      </c>
      <c r="F83" s="408">
        <f>'Управление ИБ'!E113</f>
        <v>3.2</v>
      </c>
      <c r="G83" s="408">
        <f>'Управление ИБ'!F113</f>
        <v>1.6</v>
      </c>
      <c r="H83" s="409">
        <f>'Управление ИБ'!P113</f>
        <v>15.02</v>
      </c>
      <c r="I83" s="408">
        <f>'Управление ИБ'!K113</f>
        <v>1.6</v>
      </c>
      <c r="J83" s="408">
        <f>'Управление ИБ'!I113</f>
        <v>0</v>
      </c>
      <c r="K83" s="404">
        <f>'Управление ИБ'!L113</f>
        <v>0</v>
      </c>
      <c r="L83" s="404">
        <f t="shared" si="4"/>
        <v>0</v>
      </c>
      <c r="M83" s="373">
        <f t="shared" si="3"/>
        <v>1.6</v>
      </c>
      <c r="N83" s="407" t="str">
        <f>'Управление ИБ'!Q113</f>
        <v xml:space="preserve"> - Разработать и поддерживать реестр используемого ПО:
 - Реестр должен содержать название ПО, разработчика, дату установки/начала использования и бизнес-задачу ПО;
 - При необходимости указаны версия, механизм развертывания и дата вывода из эксплуатации;  
  - Для программ с веб- и мобильным доступом должны быть указаны их URL, магазин приложений;
 - Реестр должен пересматриваться и обновляться не реже одного раза в полугодие;
 - Для ведения учета имеющегося и используемого ПО применять средства автоматизации. </v>
      </c>
      <c r="O83" s="407"/>
      <c r="P83" s="407"/>
    </row>
    <row r="84" spans="1:16" ht="78">
      <c r="A84" s="270" t="s">
        <v>780</v>
      </c>
      <c r="B84" s="412" t="s">
        <v>16</v>
      </c>
      <c r="C84" s="515" t="str">
        <f>'Управление ИБ'!B114</f>
        <v>Ведется персонифицированный учет учетных записей (УЗ), технологических УЗ, привилегированных УЗ и УЗ групповых почтовых ящиков</v>
      </c>
      <c r="D84" s="408" t="str">
        <f>'Управление ИБ'!C114</f>
        <v>УИБ.ИН.3</v>
      </c>
      <c r="E84" s="408">
        <f>'Управление ИБ'!D114</f>
        <v>5</v>
      </c>
      <c r="F84" s="408">
        <f>'Управление ИБ'!E114</f>
        <v>3.2</v>
      </c>
      <c r="G84" s="408">
        <f>'Управление ИБ'!F114</f>
        <v>1.6</v>
      </c>
      <c r="H84" s="409">
        <f>'Управление ИБ'!P114</f>
        <v>15.03</v>
      </c>
      <c r="I84" s="408">
        <f>'Управление ИБ'!K114</f>
        <v>1.6</v>
      </c>
      <c r="J84" s="408">
        <f>'Управление ИБ'!I114</f>
        <v>0</v>
      </c>
      <c r="K84" s="404">
        <f>'Управление ИБ'!L114</f>
        <v>1.6</v>
      </c>
      <c r="L84" s="404">
        <f t="shared" si="4"/>
        <v>1.6</v>
      </c>
      <c r="M84" s="373">
        <f t="shared" si="3"/>
        <v>0</v>
      </c>
      <c r="N84" s="407" t="str">
        <f>'Управление ИБ'!Q114</f>
        <v/>
      </c>
      <c r="O84" s="407"/>
      <c r="P84" s="407"/>
    </row>
    <row r="85" spans="1:16" ht="124.8">
      <c r="A85" s="270" t="s">
        <v>780</v>
      </c>
      <c r="B85" s="412" t="s">
        <v>16</v>
      </c>
      <c r="C85" s="515" t="str">
        <f>'Управление ИБ'!B115</f>
        <v>Контроль белого (разрешенного) и черного (неразрешенного) списка программного обеспечения.</v>
      </c>
      <c r="D85" s="408" t="str">
        <f>'Управление ИБ'!C115</f>
        <v>УИБ.ИН.4</v>
      </c>
      <c r="E85" s="408">
        <f>'Управление ИБ'!D115</f>
        <v>5</v>
      </c>
      <c r="F85" s="408">
        <f>'Управление ИБ'!E115</f>
        <v>3.2</v>
      </c>
      <c r="G85" s="408">
        <f>'Управление ИБ'!F115</f>
        <v>1.6</v>
      </c>
      <c r="H85" s="409">
        <f>'Управление ИБ'!P115</f>
        <v>15.04</v>
      </c>
      <c r="I85" s="408">
        <f>'Управление ИБ'!K115</f>
        <v>1.6</v>
      </c>
      <c r="J85" s="408">
        <f>'Управление ИБ'!I115</f>
        <v>0</v>
      </c>
      <c r="K85" s="404">
        <f>'Управление ИБ'!L115</f>
        <v>0</v>
      </c>
      <c r="L85" s="404">
        <f t="shared" si="4"/>
        <v>0</v>
      </c>
      <c r="M85" s="373">
        <f t="shared" si="3"/>
        <v>1.6</v>
      </c>
      <c r="N85" s="407" t="str">
        <f>'Управление ИБ'!Q115</f>
        <v xml:space="preserve"> - Реализовать процесс авторизации ПО до начала его применения в Обществе;
   - Разработать и поддерживать реестр разрешенного и запрещенного ПО:
  v Реестр должен содержать название ПО, разработчика, дату установки/начала использования и бизнес-задачу ПО. При необходимости должны быть указаны версия, механизм развертывания и дата вывода из эксплуатации;
 - Для программ с веб- и мобильным доступом должны быть указаны их URL, магазин приложений;
 - Реестр должен пересматриваться и обновляться не реже одного раза в полугодие</v>
      </c>
      <c r="O85" s="407"/>
      <c r="P85" s="407"/>
    </row>
    <row r="86" spans="1:16" ht="78">
      <c r="A86" s="270" t="s">
        <v>780</v>
      </c>
      <c r="B86" s="412" t="s">
        <v>16</v>
      </c>
      <c r="C86" s="515" t="str">
        <f>'Управление ИБ'!B116</f>
        <v>Ведется учет использования адресных пространств (IP)</v>
      </c>
      <c r="D86" s="408" t="str">
        <f>'Управление ИБ'!C116</f>
        <v>УИБ.ИН.5</v>
      </c>
      <c r="E86" s="408">
        <f>'Управление ИБ'!D116</f>
        <v>5</v>
      </c>
      <c r="F86" s="408">
        <f>'Управление ИБ'!E116</f>
        <v>3.2</v>
      </c>
      <c r="G86" s="408">
        <f>'Управление ИБ'!F116</f>
        <v>1.6</v>
      </c>
      <c r="H86" s="409">
        <f>'Управление ИБ'!P116</f>
        <v>15.049999999999999</v>
      </c>
      <c r="I86" s="408">
        <f>'Управление ИБ'!K116</f>
        <v>1.6</v>
      </c>
      <c r="J86" s="408">
        <f>'Управление ИБ'!I116</f>
        <v>0</v>
      </c>
      <c r="K86" s="404">
        <f>'Управление ИБ'!L116</f>
        <v>0</v>
      </c>
      <c r="L86" s="404">
        <f t="shared" si="4"/>
        <v>0</v>
      </c>
      <c r="M86" s="373">
        <f t="shared" si="3"/>
        <v>1.6</v>
      </c>
      <c r="N86" s="407" t="str">
        <f>'Управление ИБ'!Q116</f>
        <v xml:space="preserve"> - Разработать и поддерживать  реестр адресных пространств (IP);
   - Реестр должен пересматриваться и обновляться не реже одного раза в полугодие</v>
      </c>
      <c r="O86" s="407"/>
      <c r="P86" s="407"/>
    </row>
    <row r="87" spans="1:16" ht="78">
      <c r="A87" s="270" t="s">
        <v>780</v>
      </c>
      <c r="B87" s="412" t="s">
        <v>16</v>
      </c>
      <c r="C87" s="515" t="str">
        <f>'Управление ИБ'!B117</f>
        <v>Ведется учет созданных, используемых и (или) эксплуатируемых ИС</v>
      </c>
      <c r="D87" s="408" t="str">
        <f>'Управление ИБ'!C117</f>
        <v>УИБ.ИН.6</v>
      </c>
      <c r="E87" s="408">
        <f>'Управление ИБ'!D117</f>
        <v>5</v>
      </c>
      <c r="F87" s="408">
        <f>'Управление ИБ'!E117</f>
        <v>3.2</v>
      </c>
      <c r="G87" s="408">
        <f>'Управление ИБ'!F117</f>
        <v>1.6</v>
      </c>
      <c r="H87" s="409">
        <f>'Управление ИБ'!P117</f>
        <v>15.059999999999999</v>
      </c>
      <c r="I87" s="408">
        <f>'Управление ИБ'!K117</f>
        <v>1.6</v>
      </c>
      <c r="J87" s="408">
        <f>'Управление ИБ'!I117</f>
        <v>0</v>
      </c>
      <c r="K87" s="404">
        <f>'Управление ИБ'!L117</f>
        <v>0</v>
      </c>
      <c r="L87" s="404">
        <f t="shared" si="4"/>
        <v>0</v>
      </c>
      <c r="M87" s="373">
        <f t="shared" si="3"/>
        <v>1.6</v>
      </c>
      <c r="N87" s="407" t="str">
        <f>'Управление ИБ'!Q117</f>
        <v xml:space="preserve"> - Разработать и поддерживать  реестр информационных систем;
   - Реестр должен пересматриваться и обновляться не реже одного раза в полугодие</v>
      </c>
      <c r="O87" s="407"/>
      <c r="P87" s="407"/>
    </row>
    <row r="88" spans="1:16" ht="78">
      <c r="A88" s="270" t="s">
        <v>780</v>
      </c>
      <c r="B88" s="412" t="s">
        <v>16</v>
      </c>
      <c r="C88" s="515" t="str">
        <f>'Управление ИБ'!B118</f>
        <v>Ведется учет опубликованных на внешнем периметре информационные системы, домены</v>
      </c>
      <c r="D88" s="408" t="str">
        <f>'Управление ИБ'!C118</f>
        <v>УИБ.ИН.7</v>
      </c>
      <c r="E88" s="408">
        <f>'Управление ИБ'!D118</f>
        <v>5</v>
      </c>
      <c r="F88" s="408">
        <f>'Управление ИБ'!E118</f>
        <v>3.2</v>
      </c>
      <c r="G88" s="408">
        <f>'Управление ИБ'!F118</f>
        <v>3.2</v>
      </c>
      <c r="H88" s="409">
        <f>'Управление ИБ'!P118</f>
        <v>15.069999999999999</v>
      </c>
      <c r="I88" s="408">
        <f>'Управление ИБ'!K118</f>
        <v>3.2</v>
      </c>
      <c r="J88" s="408">
        <f>'Управление ИБ'!I118</f>
        <v>0</v>
      </c>
      <c r="K88" s="404">
        <f>'Управление ИБ'!L118</f>
        <v>0</v>
      </c>
      <c r="L88" s="404">
        <f t="shared" si="4"/>
        <v>0</v>
      </c>
      <c r="M88" s="373">
        <f t="shared" si="3"/>
        <v>3.2</v>
      </c>
      <c r="N88" s="407" t="str">
        <f>'Управление ИБ'!Q118</f>
        <v xml:space="preserve"> - Разработать и поддерживать  реестр информационных систем и доменов, опубликованных на внешнем периметре;
  - Реестр должен пересматриваться и обновляться не реже одного раза в полугодие</v>
      </c>
      <c r="O88" s="407"/>
      <c r="P88" s="407"/>
    </row>
    <row r="89" spans="1:16" ht="78">
      <c r="A89" s="270" t="s">
        <v>780</v>
      </c>
      <c r="B89" s="412" t="s">
        <v>16</v>
      </c>
      <c r="C89" s="515" t="str">
        <f>'Управление ИБ'!B119</f>
        <v>За информационными активами закреплены ответственные</v>
      </c>
      <c r="D89" s="408" t="str">
        <f>'Управление ИБ'!C119</f>
        <v>УИБ.ИН.8</v>
      </c>
      <c r="E89" s="408">
        <f>'Управление ИБ'!D119</f>
        <v>5</v>
      </c>
      <c r="F89" s="408">
        <f>'Управление ИБ'!E119</f>
        <v>3.2</v>
      </c>
      <c r="G89" s="408">
        <f>'Управление ИБ'!F119</f>
        <v>3.2</v>
      </c>
      <c r="H89" s="409">
        <f>'Управление ИБ'!P119</f>
        <v>15.079999999999998</v>
      </c>
      <c r="I89" s="408">
        <f>'Управление ИБ'!K119</f>
        <v>3.2</v>
      </c>
      <c r="J89" s="408">
        <f>'Управление ИБ'!I119</f>
        <v>0</v>
      </c>
      <c r="K89" s="404">
        <f>'Управление ИБ'!L119</f>
        <v>0</v>
      </c>
      <c r="L89" s="404">
        <f t="shared" si="4"/>
        <v>0</v>
      </c>
      <c r="M89" s="373">
        <f t="shared" si="3"/>
        <v>3.2</v>
      </c>
      <c r="N89" s="407">
        <f>'Управление ИБ'!Q119</f>
        <v>0</v>
      </c>
      <c r="O89" s="407"/>
      <c r="P89" s="407"/>
    </row>
    <row r="90" spans="1:16" ht="78">
      <c r="A90" s="270" t="s">
        <v>780</v>
      </c>
      <c r="B90" s="412" t="s">
        <v>16</v>
      </c>
      <c r="C90" s="515" t="str">
        <f>'Управление ИБ'!B120</f>
        <v>Наличие специализированного ПО для хранения инвентаризационных данных</v>
      </c>
      <c r="D90" s="408" t="str">
        <f>'Управление ИБ'!C120</f>
        <v>УИБ.ИН.9</v>
      </c>
      <c r="E90" s="408">
        <f>'Управление ИБ'!D120</f>
        <v>5</v>
      </c>
      <c r="F90" s="408">
        <f>'Управление ИБ'!E120</f>
        <v>3.2</v>
      </c>
      <c r="G90" s="408">
        <f>'Управление ИБ'!F120</f>
        <v>0</v>
      </c>
      <c r="H90" s="409">
        <f>'Управление ИБ'!P120</f>
        <v>15.089999999999998</v>
      </c>
      <c r="I90" s="408">
        <f>'Управление ИБ'!K120</f>
        <v>0</v>
      </c>
      <c r="J90" s="408">
        <f>'Управление ИБ'!I120</f>
        <v>0</v>
      </c>
      <c r="K90" s="404">
        <f>'Управление ИБ'!L120</f>
        <v>0</v>
      </c>
      <c r="L90" s="404" t="str">
        <f t="shared" si="4"/>
        <v xml:space="preserve"> </v>
      </c>
      <c r="M90" s="373">
        <f t="shared" si="3"/>
        <v>0</v>
      </c>
      <c r="N90" s="407" t="str">
        <f>'Управление ИБ'!Q120</f>
        <v/>
      </c>
      <c r="O90" s="407"/>
      <c r="P90" s="407"/>
    </row>
    <row r="91" spans="1:16" ht="78">
      <c r="A91" s="270" t="s">
        <v>780</v>
      </c>
      <c r="B91" s="412" t="s">
        <v>16</v>
      </c>
      <c r="C91" s="515" t="str">
        <f>'Управление ИБ'!B121</f>
        <v>Используется инструментарий активного/пассивного обнаружения активов</v>
      </c>
      <c r="D91" s="408" t="str">
        <f>'Управление ИБ'!C121</f>
        <v>УИБ.ИН.10</v>
      </c>
      <c r="E91" s="408">
        <f>'Управление ИБ'!D121</f>
        <v>5</v>
      </c>
      <c r="F91" s="408">
        <f>'Управление ИБ'!E121</f>
        <v>3.2</v>
      </c>
      <c r="G91" s="408">
        <f>'Управление ИБ'!F121</f>
        <v>0</v>
      </c>
      <c r="H91" s="409">
        <f>'Управление ИБ'!P121</f>
        <v>15.099999999999998</v>
      </c>
      <c r="I91" s="408">
        <f>'Управление ИБ'!K121</f>
        <v>0</v>
      </c>
      <c r="J91" s="408">
        <f>'Управление ИБ'!I121</f>
        <v>0</v>
      </c>
      <c r="K91" s="404">
        <f>'Управление ИБ'!L121</f>
        <v>0</v>
      </c>
      <c r="L91" s="404" t="str">
        <f t="shared" si="4"/>
        <v xml:space="preserve"> </v>
      </c>
      <c r="M91" s="373">
        <f t="shared" si="3"/>
        <v>0</v>
      </c>
      <c r="N91" s="407" t="str">
        <f>'Управление ИБ'!Q121</f>
        <v/>
      </c>
      <c r="O91" s="407"/>
      <c r="P91" s="407"/>
    </row>
    <row r="92" spans="1:16" ht="78">
      <c r="A92" s="270" t="s">
        <v>780</v>
      </c>
      <c r="B92" s="412" t="s">
        <v>16</v>
      </c>
      <c r="C92" s="515" t="str">
        <f>'Управление ИБ'!B122</f>
        <v>Результаты работы сканеров уязвимости являются источниками для пополнения БД систем инвентаризации</v>
      </c>
      <c r="D92" s="408" t="str">
        <f>'Управление ИБ'!C122</f>
        <v>УИБ.ИН.11</v>
      </c>
      <c r="E92" s="408">
        <f>'Управление ИБ'!D122</f>
        <v>5</v>
      </c>
      <c r="F92" s="408">
        <f>'Управление ИБ'!E122</f>
        <v>3.2</v>
      </c>
      <c r="G92" s="408">
        <f>'Управление ИБ'!F122</f>
        <v>0</v>
      </c>
      <c r="H92" s="409">
        <f>'Управление ИБ'!P122</f>
        <v>15.109999999999998</v>
      </c>
      <c r="I92" s="408">
        <f>'Управление ИБ'!K122</f>
        <v>0</v>
      </c>
      <c r="J92" s="408">
        <f>'Управление ИБ'!I122</f>
        <v>0</v>
      </c>
      <c r="K92" s="404">
        <f>'Управление ИБ'!L122</f>
        <v>0</v>
      </c>
      <c r="L92" s="404" t="str">
        <f t="shared" si="4"/>
        <v xml:space="preserve"> </v>
      </c>
      <c r="M92" s="373">
        <f t="shared" si="3"/>
        <v>0</v>
      </c>
      <c r="N92" s="407" t="str">
        <f>'Управление ИБ'!Q122</f>
        <v/>
      </c>
      <c r="O92" s="407"/>
      <c r="P92" s="407"/>
    </row>
    <row r="93" spans="1:16" ht="124.8">
      <c r="A93" s="270" t="s">
        <v>780</v>
      </c>
      <c r="B93" s="412" t="s">
        <v>16</v>
      </c>
      <c r="C93" s="515" t="str">
        <f>'Управление ИБ'!B123</f>
        <v>Производится регулярный контроль фактического состава созданных, используемых и (или) эксплуатируемых информационных активов и их корректного размещения в сегментах вычислительных сетей</v>
      </c>
      <c r="D93" s="408" t="str">
        <f>'Управление ИБ'!C123</f>
        <v>УИБ.ИН.12</v>
      </c>
      <c r="E93" s="408">
        <f>'Управление ИБ'!D123</f>
        <v>5</v>
      </c>
      <c r="F93" s="408">
        <f>'Управление ИБ'!E123</f>
        <v>3.2</v>
      </c>
      <c r="G93" s="408">
        <f>'Управление ИБ'!F123</f>
        <v>0</v>
      </c>
      <c r="H93" s="409">
        <f>'Управление ИБ'!P123</f>
        <v>15.119999999999997</v>
      </c>
      <c r="I93" s="408">
        <f>'Управление ИБ'!K123</f>
        <v>0</v>
      </c>
      <c r="J93" s="408">
        <f>'Управление ИБ'!I123</f>
        <v>0</v>
      </c>
      <c r="K93" s="404">
        <f>'Управление ИБ'!L123</f>
        <v>0</v>
      </c>
      <c r="L93" s="404" t="str">
        <f t="shared" si="4"/>
        <v xml:space="preserve"> </v>
      </c>
      <c r="M93" s="373">
        <f t="shared" si="3"/>
        <v>0</v>
      </c>
      <c r="N93" s="407" t="str">
        <f>'Управление ИБ'!Q123</f>
        <v/>
      </c>
      <c r="O93" s="407"/>
      <c r="P93" s="407"/>
    </row>
    <row r="94" spans="1:16" ht="93.6">
      <c r="A94" s="270" t="s">
        <v>780</v>
      </c>
      <c r="B94" s="412" t="s">
        <v>16</v>
      </c>
      <c r="C94" s="515" t="str">
        <f>'Управление ИБ'!B124</f>
        <v>Осуществляется разработка, ведение, актуализация, хранение проектной, рабочей, эксплуатационной документации на информационные системы</v>
      </c>
      <c r="D94" s="408" t="str">
        <f>'Управление ИБ'!C124</f>
        <v>УИБ.ИН.13</v>
      </c>
      <c r="E94" s="408">
        <f>'Управление ИБ'!D124</f>
        <v>5</v>
      </c>
      <c r="F94" s="408">
        <f>'Управление ИБ'!E124</f>
        <v>3.2</v>
      </c>
      <c r="G94" s="408">
        <f>'Управление ИБ'!F124</f>
        <v>0</v>
      </c>
      <c r="H94" s="409">
        <f>'Управление ИБ'!P124</f>
        <v>15.129999999999997</v>
      </c>
      <c r="I94" s="408">
        <f>'Управление ИБ'!K124</f>
        <v>0</v>
      </c>
      <c r="J94" s="408">
        <f>'Управление ИБ'!I124</f>
        <v>0</v>
      </c>
      <c r="K94" s="404">
        <f>'Управление ИБ'!L124</f>
        <v>0</v>
      </c>
      <c r="L94" s="404" t="str">
        <f t="shared" si="4"/>
        <v xml:space="preserve"> </v>
      </c>
      <c r="M94" s="373">
        <f t="shared" si="3"/>
        <v>0</v>
      </c>
      <c r="N94" s="407" t="str">
        <f>'Управление ИБ'!Q124</f>
        <v/>
      </c>
      <c r="O94" s="407"/>
      <c r="P94" s="407"/>
    </row>
    <row r="95" spans="1:16" ht="78">
      <c r="A95" s="270" t="s">
        <v>780</v>
      </c>
      <c r="B95" s="403" t="s">
        <v>182</v>
      </c>
      <c r="C95" s="404" t="str">
        <f>'Управление ИБ'!B169</f>
        <v>Наличие политики/регламентов управления доступом к ИА</v>
      </c>
      <c r="D95" s="404" t="str">
        <f>'Управление ИБ'!C169</f>
        <v>УИБ.УД.1</v>
      </c>
      <c r="E95" s="404">
        <f>'Управление ИБ'!D169</f>
        <v>3.2</v>
      </c>
      <c r="F95" s="404">
        <f>'Управление ИБ'!E169</f>
        <v>1.6</v>
      </c>
      <c r="G95" s="404">
        <f>'Управление ИБ'!F169</f>
        <v>0</v>
      </c>
      <c r="H95" s="410">
        <f>'Управление ИБ'!P169</f>
        <v>16.010000000000002</v>
      </c>
      <c r="I95" s="404">
        <f>'Управление ИБ'!K169</f>
        <v>0</v>
      </c>
      <c r="J95" s="404">
        <f>'Управление ИБ'!I169</f>
        <v>0</v>
      </c>
      <c r="K95" s="404">
        <f>'Управление ИБ'!L169</f>
        <v>0</v>
      </c>
      <c r="L95" s="404" t="str">
        <f t="shared" si="4"/>
        <v xml:space="preserve"> </v>
      </c>
      <c r="M95" s="373">
        <f t="shared" si="3"/>
        <v>0</v>
      </c>
      <c r="N95" s="407" t="str">
        <f>'Управление ИБ'!Q169</f>
        <v/>
      </c>
      <c r="O95" s="407"/>
      <c r="P95" s="407"/>
    </row>
    <row r="96" spans="1:16" ht="78">
      <c r="A96" s="270" t="s">
        <v>780</v>
      </c>
      <c r="B96" s="403" t="s">
        <v>182</v>
      </c>
      <c r="C96" s="404" t="str">
        <f>'Управление ИБ'!B170</f>
        <v>Доступ к ИА Осуществляется на основе согласованных с ИБ ролевых моделей (исключение SoD-конфликтов)</v>
      </c>
      <c r="D96" s="404" t="str">
        <f>'Управление ИБ'!C170</f>
        <v>УИБ.УД.2</v>
      </c>
      <c r="E96" s="404">
        <f>'Управление ИБ'!D170</f>
        <v>5</v>
      </c>
      <c r="F96" s="404">
        <f>'Управление ИБ'!E170</f>
        <v>3.2</v>
      </c>
      <c r="G96" s="404">
        <f>'Управление ИБ'!F170</f>
        <v>1.6</v>
      </c>
      <c r="H96" s="410">
        <f>'Управление ИБ'!P170</f>
        <v>16.020000000000003</v>
      </c>
      <c r="I96" s="404">
        <f>'Управление ИБ'!K170</f>
        <v>1.6</v>
      </c>
      <c r="J96" s="404">
        <f>'Управление ИБ'!I170</f>
        <v>0</v>
      </c>
      <c r="K96" s="404">
        <f>'Управление ИБ'!L170</f>
        <v>0</v>
      </c>
      <c r="L96" s="404">
        <f t="shared" si="4"/>
        <v>0</v>
      </c>
      <c r="M96" s="373">
        <f t="shared" si="3"/>
        <v>1.6</v>
      </c>
      <c r="N96" s="407" t="str">
        <f>'Управление ИБ'!Q170</f>
        <v xml:space="preserve"> - Определить порядок формирования ролевых моделей;
  - Разработать ролевые модели для информационных систем и согласовать с подразделением ИБ. </v>
      </c>
      <c r="O96" s="407"/>
      <c r="P96" s="407"/>
    </row>
    <row r="97" spans="1:16" ht="78">
      <c r="A97" s="270" t="s">
        <v>780</v>
      </c>
      <c r="B97" s="403" t="s">
        <v>182</v>
      </c>
      <c r="C97" s="404" t="str">
        <f>'Управление ИБ'!B171</f>
        <v>ИБ участвует в согласовании и предоставлении доступа</v>
      </c>
      <c r="D97" s="404" t="str">
        <f>'Управление ИБ'!C171</f>
        <v>УИБ.УД.3</v>
      </c>
      <c r="E97" s="404">
        <f>'Управление ИБ'!D171</f>
        <v>5</v>
      </c>
      <c r="F97" s="404">
        <f>'Управление ИБ'!E171</f>
        <v>3.2</v>
      </c>
      <c r="G97" s="404">
        <f>'Управление ИБ'!F171</f>
        <v>1.6</v>
      </c>
      <c r="H97" s="410">
        <f>'Управление ИБ'!P171</f>
        <v>16.030000000000005</v>
      </c>
      <c r="I97" s="404">
        <f>'Управление ИБ'!K171</f>
        <v>1.6</v>
      </c>
      <c r="J97" s="404">
        <f>'Управление ИБ'!I171</f>
        <v>0</v>
      </c>
      <c r="K97" s="404">
        <f>'Управление ИБ'!L171</f>
        <v>0</v>
      </c>
      <c r="L97" s="404">
        <f t="shared" si="4"/>
        <v>0</v>
      </c>
      <c r="M97" s="373">
        <f t="shared" si="3"/>
        <v>1.6</v>
      </c>
      <c r="N97" s="407" t="str">
        <f>'Управление ИБ'!Q171</f>
        <v xml:space="preserve"> - Регламентировать процесс согласования прав доступа для ИС, находящихся в промышленной эксплуатации;
   - Включить подразделение ИБ в цепочку согласования. </v>
      </c>
      <c r="O97" s="407"/>
      <c r="P97" s="407"/>
    </row>
    <row r="98" spans="1:16" ht="78">
      <c r="A98" s="270" t="s">
        <v>780</v>
      </c>
      <c r="B98" s="403" t="s">
        <v>182</v>
      </c>
      <c r="C98" s="404" t="str">
        <f>'Управление ИБ'!B172</f>
        <v>При приеме нового сотрудника, изменении должности или роли осуществляется автоматическое назначение прав доступа</v>
      </c>
      <c r="D98" s="404" t="str">
        <f>'Управление ИБ'!C172</f>
        <v>УИБ.УД.4</v>
      </c>
      <c r="E98" s="404">
        <f>'Управление ИБ'!D172</f>
        <v>3.2</v>
      </c>
      <c r="F98" s="404">
        <f>'Управление ИБ'!E172</f>
        <v>1.6</v>
      </c>
      <c r="G98" s="404">
        <f>'Управление ИБ'!F172</f>
        <v>0</v>
      </c>
      <c r="H98" s="410">
        <f>'Управление ИБ'!P172</f>
        <v>16.040000000000006</v>
      </c>
      <c r="I98" s="404">
        <f>'Управление ИБ'!K172</f>
        <v>0</v>
      </c>
      <c r="J98" s="404">
        <f>'Управление ИБ'!I172</f>
        <v>0</v>
      </c>
      <c r="K98" s="404">
        <f>'Управление ИБ'!L172</f>
        <v>0</v>
      </c>
      <c r="L98" s="404" t="str">
        <f t="shared" si="4"/>
        <v xml:space="preserve"> </v>
      </c>
      <c r="M98" s="373">
        <f t="shared" si="3"/>
        <v>0</v>
      </c>
      <c r="N98" s="407" t="str">
        <f>'Управление ИБ'!Q172</f>
        <v/>
      </c>
      <c r="O98" s="407"/>
      <c r="P98" s="407"/>
    </row>
    <row r="99" spans="1:16" ht="78">
      <c r="A99" s="270" t="s">
        <v>780</v>
      </c>
      <c r="B99" s="403" t="s">
        <v>182</v>
      </c>
      <c r="C99" s="404" t="str">
        <f>'Управление ИБ'!B173</f>
        <v>При увольнении работника происходит автоматический отзыв прав и блокировка УЗ</v>
      </c>
      <c r="D99" s="404" t="str">
        <f>'Управление ИБ'!C173</f>
        <v>УИБ.УД.5</v>
      </c>
      <c r="E99" s="404">
        <f>'Управление ИБ'!D173</f>
        <v>3.2</v>
      </c>
      <c r="F99" s="404">
        <f>'Управление ИБ'!E173</f>
        <v>1.6</v>
      </c>
      <c r="G99" s="404">
        <f>'Управление ИБ'!F173</f>
        <v>0</v>
      </c>
      <c r="H99" s="410">
        <f>'Управление ИБ'!P173</f>
        <v>16.050000000000008</v>
      </c>
      <c r="I99" s="404">
        <f>'Управление ИБ'!K173</f>
        <v>0</v>
      </c>
      <c r="J99" s="404">
        <f>'Управление ИБ'!I173</f>
        <v>0</v>
      </c>
      <c r="K99" s="404">
        <f>'Управление ИБ'!L173</f>
        <v>0</v>
      </c>
      <c r="L99" s="404" t="str">
        <f t="shared" si="4"/>
        <v xml:space="preserve"> </v>
      </c>
      <c r="M99" s="373">
        <f t="shared" si="3"/>
        <v>0</v>
      </c>
      <c r="N99" s="407" t="str">
        <f>'Управление ИБ'!Q173</f>
        <v/>
      </c>
      <c r="O99" s="407"/>
      <c r="P99" s="407"/>
    </row>
    <row r="100" spans="1:16" ht="78">
      <c r="A100" s="270" t="s">
        <v>780</v>
      </c>
      <c r="B100" s="403" t="s">
        <v>182</v>
      </c>
      <c r="C100" s="404" t="str">
        <f>'Управление ИБ'!B174</f>
        <v>Проводится регулярный аудит УЗ и доступов не реже одного раза в год</v>
      </c>
      <c r="D100" s="404" t="str">
        <f>'Управление ИБ'!C174</f>
        <v>УИБ.УД.6</v>
      </c>
      <c r="E100" s="404">
        <f>'Управление ИБ'!D174</f>
        <v>5</v>
      </c>
      <c r="F100" s="404">
        <f>'Управление ИБ'!E174</f>
        <v>3.2</v>
      </c>
      <c r="G100" s="404">
        <f>'Управление ИБ'!F174</f>
        <v>1.6</v>
      </c>
      <c r="H100" s="410">
        <f>'Управление ИБ'!P174</f>
        <v>16.060000000000009</v>
      </c>
      <c r="I100" s="404">
        <f>'Управление ИБ'!K174</f>
        <v>1.6</v>
      </c>
      <c r="J100" s="404">
        <f>'Управление ИБ'!I174</f>
        <v>0</v>
      </c>
      <c r="K100" s="404">
        <f>'Управление ИБ'!L174</f>
        <v>1.6</v>
      </c>
      <c r="L100" s="404">
        <f t="shared" si="4"/>
        <v>1.6</v>
      </c>
      <c r="M100" s="373">
        <f t="shared" si="3"/>
        <v>0</v>
      </c>
      <c r="N100" s="407" t="str">
        <f>'Управление ИБ'!Q174</f>
        <v/>
      </c>
      <c r="O100" s="407"/>
      <c r="P100" s="407"/>
    </row>
    <row r="101" spans="1:16" ht="140.4">
      <c r="A101" s="270" t="s">
        <v>780</v>
      </c>
      <c r="B101" s="403" t="s">
        <v>182</v>
      </c>
      <c r="C101" s="404" t="str">
        <f>'Управление ИБ'!B175</f>
        <v>Привелигированные пользователи для администрирования используют дополнительные учетные записи</v>
      </c>
      <c r="D101" s="404" t="str">
        <f>'Управление ИБ'!C175</f>
        <v>УИБ.УД.7</v>
      </c>
      <c r="E101" s="404">
        <f>'Управление ИБ'!D175</f>
        <v>5</v>
      </c>
      <c r="F101" s="404">
        <f>'Управление ИБ'!E175</f>
        <v>5</v>
      </c>
      <c r="G101" s="404">
        <f>'Управление ИБ'!F175</f>
        <v>5</v>
      </c>
      <c r="H101" s="410">
        <f>'Управление ИБ'!P175</f>
        <v>16.070000000000011</v>
      </c>
      <c r="I101" s="404">
        <f>'Управление ИБ'!K175</f>
        <v>5</v>
      </c>
      <c r="J101" s="404">
        <f>'Управление ИБ'!I175</f>
        <v>0</v>
      </c>
      <c r="K101" s="404">
        <f>'Управление ИБ'!L175</f>
        <v>0</v>
      </c>
      <c r="L101" s="404">
        <f t="shared" si="4"/>
        <v>0</v>
      </c>
      <c r="M101" s="373">
        <f t="shared" si="3"/>
        <v>5</v>
      </c>
      <c r="N101" s="407" t="str">
        <f>'Управление ИБ'!Q175</f>
        <v xml:space="preserve"> - Создать для администраторов ИС раздельные учетные записи - привилегированная УЗ для задач администрирования и непривилегированная УЗ для других задач;
   - Запретить использовать административную учетную запись не по назначению.</v>
      </c>
      <c r="O101" s="407" t="s">
        <v>889</v>
      </c>
      <c r="P101" s="407"/>
    </row>
    <row r="102" spans="1:16" ht="78">
      <c r="A102" s="270" t="s">
        <v>780</v>
      </c>
      <c r="B102" s="403" t="s">
        <v>182</v>
      </c>
      <c r="C102" s="404" t="str">
        <f>'Управление ИБ'!B176</f>
        <v>Существует возможность быстрого отзыва прав доступа</v>
      </c>
      <c r="D102" s="404" t="str">
        <f>'Управление ИБ'!C176</f>
        <v>УИБ.УД.9</v>
      </c>
      <c r="E102" s="404">
        <f>'Управление ИБ'!D176</f>
        <v>5</v>
      </c>
      <c r="F102" s="404">
        <f>'Управление ИБ'!E176</f>
        <v>5</v>
      </c>
      <c r="G102" s="404">
        <f>'Управление ИБ'!F176</f>
        <v>5</v>
      </c>
      <c r="H102" s="410">
        <f>'Управление ИБ'!P176</f>
        <v>16.080000000000013</v>
      </c>
      <c r="I102" s="404">
        <f>'Управление ИБ'!K176</f>
        <v>5</v>
      </c>
      <c r="J102" s="404">
        <f>'Управление ИБ'!I176</f>
        <v>0</v>
      </c>
      <c r="K102" s="404">
        <f>'Управление ИБ'!L176</f>
        <v>5</v>
      </c>
      <c r="L102" s="404">
        <f t="shared" si="4"/>
        <v>5</v>
      </c>
      <c r="M102" s="373">
        <f t="shared" si="3"/>
        <v>0</v>
      </c>
      <c r="N102" s="407" t="str">
        <f>'Управление ИБ'!Q176</f>
        <v/>
      </c>
      <c r="O102" s="407"/>
      <c r="P102" s="407"/>
    </row>
    <row r="103" spans="1:16" ht="93.6">
      <c r="A103" s="270" t="s">
        <v>780</v>
      </c>
      <c r="B103" s="403" t="s">
        <v>182</v>
      </c>
      <c r="C103" s="404" t="str">
        <f>'Управление ИБ'!B177</f>
        <v>Обеспечиваются возможности принудительного прерывания сессии доступа пользователем, а также прохождение процедуры повторной аутентификации после прерывания сессии</v>
      </c>
      <c r="D103" s="404" t="str">
        <f>'Управление ИБ'!C177</f>
        <v>УИБ.УД.10</v>
      </c>
      <c r="E103" s="404">
        <f>'Управление ИБ'!D177</f>
        <v>5</v>
      </c>
      <c r="F103" s="404">
        <f>'Управление ИБ'!E177</f>
        <v>5</v>
      </c>
      <c r="G103" s="404">
        <f>'Управление ИБ'!F177</f>
        <v>5</v>
      </c>
      <c r="H103" s="410">
        <f>'Управление ИБ'!P177</f>
        <v>16.090000000000014</v>
      </c>
      <c r="I103" s="404">
        <f>'Управление ИБ'!K177</f>
        <v>5</v>
      </c>
      <c r="J103" s="404">
        <f>'Управление ИБ'!I177</f>
        <v>0</v>
      </c>
      <c r="K103" s="404">
        <f>'Управление ИБ'!L177</f>
        <v>5</v>
      </c>
      <c r="L103" s="404">
        <f t="shared" si="4"/>
        <v>5</v>
      </c>
      <c r="M103" s="373">
        <f t="shared" si="3"/>
        <v>0</v>
      </c>
      <c r="N103" s="407" t="str">
        <f>'Управление ИБ'!Q177</f>
        <v/>
      </c>
      <c r="O103" s="407"/>
      <c r="P103" s="407"/>
    </row>
    <row r="104" spans="1:16" ht="78">
      <c r="A104" s="270" t="s">
        <v>780</v>
      </c>
      <c r="B104" s="403" t="s">
        <v>182</v>
      </c>
      <c r="C104" s="404" t="str">
        <f>'Управление ИБ'!B178</f>
        <v xml:space="preserve">При организации доступа к сети Интернет осуществляется контроль сетевых  протоколов и портов, URL адресов </v>
      </c>
      <c r="D104" s="404" t="str">
        <f>'Управление ИБ'!C178</f>
        <v>УИБ.УД.11</v>
      </c>
      <c r="E104" s="404">
        <f>'Управление ИБ'!D178</f>
        <v>5</v>
      </c>
      <c r="F104" s="404">
        <f>'Управление ИБ'!E178</f>
        <v>3.2</v>
      </c>
      <c r="G104" s="404">
        <f>'Управление ИБ'!F178</f>
        <v>1.6</v>
      </c>
      <c r="H104" s="410">
        <f>'Управление ИБ'!P178</f>
        <v>16.100000000000016</v>
      </c>
      <c r="I104" s="404">
        <f>'Управление ИБ'!K178</f>
        <v>1.6</v>
      </c>
      <c r="J104" s="404">
        <f>'Управление ИБ'!I178</f>
        <v>0</v>
      </c>
      <c r="K104" s="404">
        <f>'Управление ИБ'!L178</f>
        <v>1.6</v>
      </c>
      <c r="L104" s="404">
        <f t="shared" si="4"/>
        <v>1.6</v>
      </c>
      <c r="M104" s="373">
        <f t="shared" si="3"/>
        <v>0</v>
      </c>
      <c r="N104" s="407" t="str">
        <f>'Управление ИБ'!Q178</f>
        <v/>
      </c>
      <c r="O104" s="407"/>
      <c r="P104" s="407"/>
    </row>
    <row r="105" spans="1:16" ht="78">
      <c r="A105" s="270" t="s">
        <v>780</v>
      </c>
      <c r="B105" s="403" t="s">
        <v>193</v>
      </c>
      <c r="C105" s="404" t="str">
        <f>'Управление ИБ'!B180</f>
        <v>Парольная политика соответствуют требованиям ПАО "Ростелеком"</v>
      </c>
      <c r="D105" s="404" t="str">
        <f>'Управление ИБ'!C180</f>
        <v>УИБ.ИА.1</v>
      </c>
      <c r="E105" s="404">
        <f>'Управление ИБ'!D180</f>
        <v>5</v>
      </c>
      <c r="F105" s="404">
        <f>'Управление ИБ'!E180</f>
        <v>5</v>
      </c>
      <c r="G105" s="404">
        <f>'Управление ИБ'!F180</f>
        <v>5</v>
      </c>
      <c r="H105" s="373">
        <f>'Управление ИБ'!P180</f>
        <v>17.010000000000002</v>
      </c>
      <c r="I105" s="404">
        <f>'Управление ИБ'!K180</f>
        <v>5</v>
      </c>
      <c r="J105" s="404">
        <f>'Управление ИБ'!I180</f>
        <v>0</v>
      </c>
      <c r="K105" s="404">
        <f>'Управление ИБ'!L180</f>
        <v>0</v>
      </c>
      <c r="L105" s="404">
        <f t="shared" si="4"/>
        <v>0</v>
      </c>
      <c r="M105" s="373">
        <f t="shared" si="3"/>
        <v>5</v>
      </c>
      <c r="N105" s="407" t="str">
        <f>'Управление ИБ'!Q180</f>
        <v xml:space="preserve"> - Получить в Блоке ИБ ПАО Ростелеком требования парольной политики и применить во всех ИС парольные политики, соответствуюещие требованиям.</v>
      </c>
      <c r="O105" s="407"/>
      <c r="P105" s="407"/>
    </row>
    <row r="106" spans="1:16" ht="140.4">
      <c r="A106" s="270" t="s">
        <v>780</v>
      </c>
      <c r="B106" s="403" t="s">
        <v>193</v>
      </c>
      <c r="C106" s="404" t="str">
        <f>'Управление ИБ'!B181</f>
        <v>Доступ пользователей осуществляется под уникальными и персонифицированными учетными записями</v>
      </c>
      <c r="D106" s="404" t="str">
        <f>'Управление ИБ'!C181</f>
        <v>УИБ.ИА.2</v>
      </c>
      <c r="E106" s="404">
        <f>'Управление ИБ'!D181</f>
        <v>5</v>
      </c>
      <c r="F106" s="404">
        <f>'Управление ИБ'!E181</f>
        <v>5</v>
      </c>
      <c r="G106" s="404">
        <f>'Управление ИБ'!F181</f>
        <v>3.2</v>
      </c>
      <c r="H106" s="373">
        <f>'Управление ИБ'!P181</f>
        <v>17.020000000000003</v>
      </c>
      <c r="I106" s="404">
        <f>'Управление ИБ'!K181</f>
        <v>3.2</v>
      </c>
      <c r="J106" s="404">
        <f>'Управление ИБ'!I181</f>
        <v>0</v>
      </c>
      <c r="K106" s="404">
        <f>'Управление ИБ'!L181</f>
        <v>0</v>
      </c>
      <c r="L106" s="404">
        <f t="shared" si="4"/>
        <v>0</v>
      </c>
      <c r="M106" s="373">
        <f t="shared" si="3"/>
        <v>3.2</v>
      </c>
      <c r="N106" s="407" t="str">
        <f>'Управление ИБ'!Q181</f>
        <v xml:space="preserve"> - Реализовать процесс создания уникальных персонифицированных учетных записей для пользователей;
  - Определить требования к наименованию учетных записей;
  - Определить требования к назначению и использованию учетных записей (пользовательские, привилегированные, технологические)</v>
      </c>
      <c r="O106" s="407" t="s">
        <v>781</v>
      </c>
      <c r="P106" s="407"/>
    </row>
    <row r="107" spans="1:16" ht="93.6">
      <c r="A107" s="270" t="s">
        <v>780</v>
      </c>
      <c r="B107" s="403" t="s">
        <v>193</v>
      </c>
      <c r="C107" s="404" t="str">
        <f>'Управление ИБ'!B182</f>
        <v>Аутентификация программных сервисов, устройств и т.п. осуществляется с использованием технологических учетных записей</v>
      </c>
      <c r="D107" s="404" t="str">
        <f>'Управление ИБ'!C182</f>
        <v>УИБ.ИА.3</v>
      </c>
      <c r="E107" s="404">
        <f>'Управление ИБ'!D182</f>
        <v>5</v>
      </c>
      <c r="F107" s="404">
        <f>'Управление ИБ'!E182</f>
        <v>5</v>
      </c>
      <c r="G107" s="404">
        <f>'Управление ИБ'!F182</f>
        <v>5</v>
      </c>
      <c r="H107" s="373">
        <f>'Управление ИБ'!P182</f>
        <v>17.030000000000005</v>
      </c>
      <c r="I107" s="404">
        <f>'Управление ИБ'!K182</f>
        <v>5</v>
      </c>
      <c r="J107" s="404">
        <f>'Управление ИБ'!I182</f>
        <v>0</v>
      </c>
      <c r="K107" s="404">
        <f>'Управление ИБ'!L182</f>
        <v>0</v>
      </c>
      <c r="L107" s="404">
        <f t="shared" si="4"/>
        <v>0</v>
      </c>
      <c r="M107" s="373">
        <f t="shared" si="3"/>
        <v>5</v>
      </c>
      <c r="N107" s="407" t="str">
        <f>'Управление ИБ'!Q182</f>
        <v xml:space="preserve"> - Обеспечить применение технологических учетных записей для всех программных сервисов;
  - Установить запрет на запуск сервисов с использованием учетных записей пользователей.</v>
      </c>
      <c r="O107" s="407"/>
      <c r="P107" s="407"/>
    </row>
    <row r="108" spans="1:16" ht="109.2">
      <c r="A108" s="270" t="s">
        <v>780</v>
      </c>
      <c r="B108" s="403" t="s">
        <v>193</v>
      </c>
      <c r="C108" s="404" t="str">
        <f>'Управление ИБ'!B183</f>
        <v>Запрещено использование предустановленных аутентификационных данных, создание учетных записей с пустыми паролями и предоставление доступа без идентификации</v>
      </c>
      <c r="D108" s="404" t="str">
        <f>'Управление ИБ'!C183</f>
        <v>УИБ.ИА.4</v>
      </c>
      <c r="E108" s="404">
        <f>'Управление ИБ'!D183</f>
        <v>5</v>
      </c>
      <c r="F108" s="404">
        <f>'Управление ИБ'!E183</f>
        <v>5</v>
      </c>
      <c r="G108" s="404">
        <f>'Управление ИБ'!F183</f>
        <v>5</v>
      </c>
      <c r="H108" s="373">
        <f>'Управление ИБ'!P183</f>
        <v>17.040000000000006</v>
      </c>
      <c r="I108" s="404">
        <f>'Управление ИБ'!K183</f>
        <v>5</v>
      </c>
      <c r="J108" s="404">
        <f>'Управление ИБ'!I183</f>
        <v>0</v>
      </c>
      <c r="K108" s="404">
        <f>'Управление ИБ'!L183</f>
        <v>0</v>
      </c>
      <c r="L108" s="404">
        <f t="shared" si="4"/>
        <v>0</v>
      </c>
      <c r="M108" s="373">
        <f t="shared" si="3"/>
        <v>5</v>
      </c>
      <c r="N108" s="407" t="str">
        <f>'Управление ИБ'!Q183</f>
        <v xml:space="preserve"> - Выполнить блокировку или смену пароля для всех встроенных учетных записей во всех ИС и устройствах, учетных записей без паролей; 
  - Обеспечить выполнение аутентификации при доступе во всех ИС;
  - Вывести из эксплуатации все ИС, не требующие аутентификации (кроме общедоступных веб-сайтов)</v>
      </c>
      <c r="O108" s="407"/>
      <c r="P108" s="407"/>
    </row>
    <row r="109" spans="1:16" ht="78">
      <c r="A109" s="270" t="s">
        <v>780</v>
      </c>
      <c r="B109" s="403" t="s">
        <v>193</v>
      </c>
      <c r="C109" s="404" t="str">
        <f>'Управление ИБ'!B184</f>
        <v>Пароли локальных УЗ администраторов на АРМ с ОС Windows хранятся с применением технологии LAPS</v>
      </c>
      <c r="D109" s="404" t="str">
        <f>'Управление ИБ'!C184</f>
        <v>УИБ.ИА.5</v>
      </c>
      <c r="E109" s="404">
        <f>'Управление ИБ'!D184</f>
        <v>5</v>
      </c>
      <c r="F109" s="404">
        <f>'Управление ИБ'!E184</f>
        <v>3.2</v>
      </c>
      <c r="G109" s="404">
        <f>'Управление ИБ'!F184</f>
        <v>0</v>
      </c>
      <c r="H109" s="373">
        <f>'Управление ИБ'!P184</f>
        <v>17.050000000000008</v>
      </c>
      <c r="I109" s="404">
        <f>'Управление ИБ'!K184</f>
        <v>0</v>
      </c>
      <c r="J109" s="404">
        <f>'Управление ИБ'!I184</f>
        <v>0</v>
      </c>
      <c r="K109" s="404">
        <f>'Управление ИБ'!L184</f>
        <v>0</v>
      </c>
      <c r="L109" s="404" t="str">
        <f t="shared" si="4"/>
        <v xml:space="preserve"> </v>
      </c>
      <c r="M109" s="373">
        <f t="shared" si="3"/>
        <v>0</v>
      </c>
      <c r="N109" s="407" t="str">
        <f>'Управление ИБ'!Q184</f>
        <v/>
      </c>
      <c r="O109" s="407"/>
      <c r="P109" s="407"/>
    </row>
    <row r="110" spans="1:16" ht="93.6">
      <c r="A110" s="270" t="s">
        <v>780</v>
      </c>
      <c r="B110" s="403" t="s">
        <v>193</v>
      </c>
      <c r="C110" s="404" t="str">
        <f>'Управление ИБ'!B185</f>
        <v>Внедрены политики и механизмы безопасности блокирования УЗ при неправильном вводе пароля, рекомендованые ПАО Ростелеком</v>
      </c>
      <c r="D110" s="404" t="str">
        <f>'Управление ИБ'!C185</f>
        <v>УИБ.ИА.6</v>
      </c>
      <c r="E110" s="404">
        <f>'Управление ИБ'!D185</f>
        <v>5</v>
      </c>
      <c r="F110" s="404">
        <f>'Управление ИБ'!E185</f>
        <v>5</v>
      </c>
      <c r="G110" s="404">
        <f>'Управление ИБ'!F185</f>
        <v>5</v>
      </c>
      <c r="H110" s="373">
        <f>'Управление ИБ'!P185</f>
        <v>17.060000000000009</v>
      </c>
      <c r="I110" s="404">
        <f>'Управление ИБ'!K185</f>
        <v>5</v>
      </c>
      <c r="J110" s="404">
        <f>'Управление ИБ'!I185</f>
        <v>0</v>
      </c>
      <c r="K110" s="404">
        <f>'Управление ИБ'!L185</f>
        <v>0</v>
      </c>
      <c r="L110" s="404">
        <f t="shared" si="4"/>
        <v>0</v>
      </c>
      <c r="M110" s="373">
        <f t="shared" si="3"/>
        <v>5</v>
      </c>
      <c r="N110" s="407" t="str">
        <f>'Управление ИБ'!Q185</f>
        <v xml:space="preserve"> - Во всех ИС применить политики пароля для противодействия атакам подбора</v>
      </c>
      <c r="O110" s="407"/>
      <c r="P110" s="407"/>
    </row>
    <row r="111" spans="1:16" ht="124.8">
      <c r="A111" s="270" t="s">
        <v>780</v>
      </c>
      <c r="B111" s="403" t="s">
        <v>193</v>
      </c>
      <c r="C111" s="404" t="str">
        <f>'Управление ИБ'!B186</f>
        <v>Наличие ограничения количества параллельных сессий у одной учетной записи (пользователя, администратора, технической). Количество зависит от архитектуры защищаемого ИА и категории учетной записи.</v>
      </c>
      <c r="D111" s="404" t="str">
        <f>'Управление ИБ'!C186</f>
        <v>УИБ.ИА.7</v>
      </c>
      <c r="E111" s="404">
        <f>'Управление ИБ'!D186</f>
        <v>5</v>
      </c>
      <c r="F111" s="404">
        <f>'Управление ИБ'!E186</f>
        <v>5</v>
      </c>
      <c r="G111" s="404">
        <f>'Управление ИБ'!F186</f>
        <v>5</v>
      </c>
      <c r="H111" s="373">
        <f>'Управление ИБ'!P186</f>
        <v>17.070000000000011</v>
      </c>
      <c r="I111" s="404">
        <f>'Управление ИБ'!K186</f>
        <v>5</v>
      </c>
      <c r="J111" s="404">
        <f>'Управление ИБ'!I186</f>
        <v>0</v>
      </c>
      <c r="K111" s="404">
        <f>'Управление ИБ'!L186</f>
        <v>0</v>
      </c>
      <c r="L111" s="404">
        <f t="shared" si="4"/>
        <v>0</v>
      </c>
      <c r="M111" s="373">
        <f t="shared" si="3"/>
        <v>5</v>
      </c>
      <c r="N111" s="407">
        <f>'Управление ИБ'!Q186</f>
        <v>0</v>
      </c>
      <c r="O111" s="407"/>
      <c r="P111" s="407"/>
    </row>
    <row r="112" spans="1:16" ht="78">
      <c r="A112" s="270" t="s">
        <v>780</v>
      </c>
      <c r="B112" s="403" t="s">
        <v>193</v>
      </c>
      <c r="C112" s="404" t="str">
        <f>'Управление ИБ'!B187</f>
        <v>Осуществляется запрет на хранение, использование и передачу аутентификационных данных в открытом виде</v>
      </c>
      <c r="D112" s="404" t="str">
        <f>'Управление ИБ'!C187</f>
        <v>УИБ.ИА.8</v>
      </c>
      <c r="E112" s="404">
        <f>'Управление ИБ'!D187</f>
        <v>5</v>
      </c>
      <c r="F112" s="404">
        <f>'Управление ИБ'!E187</f>
        <v>5</v>
      </c>
      <c r="G112" s="404">
        <f>'Управление ИБ'!F187</f>
        <v>1.6</v>
      </c>
      <c r="H112" s="373">
        <f>'Управление ИБ'!P187</f>
        <v>17.080000000000013</v>
      </c>
      <c r="I112" s="404">
        <f>'Управление ИБ'!K187</f>
        <v>1.6</v>
      </c>
      <c r="J112" s="404">
        <f>'Управление ИБ'!I187</f>
        <v>0</v>
      </c>
      <c r="K112" s="404">
        <f>'Управление ИБ'!L187</f>
        <v>0</v>
      </c>
      <c r="L112" s="404">
        <f t="shared" si="4"/>
        <v>0</v>
      </c>
      <c r="M112" s="373">
        <f t="shared" si="3"/>
        <v>1.6</v>
      </c>
      <c r="N112" s="407" t="str">
        <f>'Управление ИБ'!Q187</f>
        <v xml:space="preserve"> - Внести в ВНД Общества  запрет на пересылку паролей пользователями в открытом виде;
  - Определить порядок защищенной передачи паролей пользователями.</v>
      </c>
      <c r="O112" s="407"/>
      <c r="P112" s="407"/>
    </row>
    <row r="113" spans="1:16" ht="78">
      <c r="A113" s="270" t="s">
        <v>780</v>
      </c>
      <c r="B113" s="403" t="s">
        <v>193</v>
      </c>
      <c r="C113" s="404" t="str">
        <f>'Управление ИБ'!B188</f>
        <v>Наличие специализированного ПО для хранения аутентификационных данных (оценить покрытие средством)</v>
      </c>
      <c r="D113" s="404" t="str">
        <f>'Управление ИБ'!C188</f>
        <v>УИБ.ИА.9</v>
      </c>
      <c r="E113" s="404">
        <f>'Управление ИБ'!D188</f>
        <v>5</v>
      </c>
      <c r="F113" s="404">
        <f>'Управление ИБ'!E188</f>
        <v>3.2</v>
      </c>
      <c r="G113" s="404">
        <f>'Управление ИБ'!F188</f>
        <v>0</v>
      </c>
      <c r="H113" s="373">
        <f>'Управление ИБ'!P188</f>
        <v>17.090000000000014</v>
      </c>
      <c r="I113" s="404">
        <f>'Управление ИБ'!K188</f>
        <v>0</v>
      </c>
      <c r="J113" s="404">
        <f>'Управление ИБ'!I188</f>
        <v>0</v>
      </c>
      <c r="K113" s="404">
        <f>'Управление ИБ'!L188</f>
        <v>0</v>
      </c>
      <c r="L113" s="404" t="str">
        <f t="shared" si="4"/>
        <v xml:space="preserve"> </v>
      </c>
      <c r="M113" s="373">
        <f t="shared" si="3"/>
        <v>0</v>
      </c>
      <c r="N113" s="407" t="str">
        <f>'Управление ИБ'!Q188</f>
        <v/>
      </c>
      <c r="O113" s="407"/>
      <c r="P113" s="407"/>
    </row>
    <row r="114" spans="1:16" ht="62.4">
      <c r="A114" s="270" t="s">
        <v>113</v>
      </c>
      <c r="B114" s="403" t="s">
        <v>341</v>
      </c>
      <c r="C114" s="404" t="str">
        <f>СЗИ!B95</f>
        <v>Настроены и актуализированы SPF, DKIM, DMARC записи</v>
      </c>
      <c r="D114" s="404" t="str">
        <f>СЗИ!C95</f>
        <v>СЗИ.SPAM.1</v>
      </c>
      <c r="E114" s="404">
        <f>СЗИ!D95</f>
        <v>5</v>
      </c>
      <c r="F114" s="404">
        <f>СЗИ!E95</f>
        <v>0</v>
      </c>
      <c r="G114" s="404">
        <f>СЗИ!F95</f>
        <v>0</v>
      </c>
      <c r="H114" s="373">
        <f>СЗИ!P95</f>
        <v>18.010000000000002</v>
      </c>
      <c r="I114" s="404">
        <f>СЗИ!K95</f>
        <v>0</v>
      </c>
      <c r="J114" s="404">
        <f>СЗИ!I95</f>
        <v>0</v>
      </c>
      <c r="K114" s="404">
        <f>СЗИ!L95</f>
        <v>0</v>
      </c>
      <c r="L114" s="404" t="str">
        <f t="shared" si="4"/>
        <v xml:space="preserve"> </v>
      </c>
      <c r="M114" s="373">
        <f t="shared" si="3"/>
        <v>0</v>
      </c>
      <c r="N114" s="407" t="str">
        <f>СЗИ!Q95</f>
        <v/>
      </c>
      <c r="O114" s="407"/>
      <c r="P114" s="407"/>
    </row>
    <row r="115" spans="1:16" ht="62.4">
      <c r="A115" s="270" t="s">
        <v>113</v>
      </c>
      <c r="B115" s="403" t="s">
        <v>341</v>
      </c>
      <c r="C115" s="404" t="str">
        <f>СЗИ!B96</f>
        <v>Наличие антиспам решения, реализующего контентный, сигнатурный и динамический анализ писем и вложений</v>
      </c>
      <c r="D115" s="404" t="str">
        <f>СЗИ!C96</f>
        <v>СЗИ.SPAM.2</v>
      </c>
      <c r="E115" s="404">
        <f>СЗИ!D96</f>
        <v>5</v>
      </c>
      <c r="F115" s="404">
        <f>СЗИ!E96</f>
        <v>0</v>
      </c>
      <c r="G115" s="404">
        <f>СЗИ!F96</f>
        <v>0</v>
      </c>
      <c r="H115" s="373">
        <f>СЗИ!P96</f>
        <v>18.020000000000003</v>
      </c>
      <c r="I115" s="404">
        <f>СЗИ!K96</f>
        <v>0</v>
      </c>
      <c r="J115" s="404">
        <f>СЗИ!I96</f>
        <v>0</v>
      </c>
      <c r="K115" s="404">
        <f>СЗИ!L96</f>
        <v>0</v>
      </c>
      <c r="L115" s="404" t="str">
        <f t="shared" si="4"/>
        <v xml:space="preserve"> </v>
      </c>
      <c r="M115" s="373">
        <f t="shared" si="3"/>
        <v>0</v>
      </c>
      <c r="N115" s="407" t="str">
        <f>СЗИ!Q96</f>
        <v/>
      </c>
      <c r="O115" s="407"/>
      <c r="P115" s="407"/>
    </row>
    <row r="116" spans="1:16" ht="78">
      <c r="A116" s="270" t="s">
        <v>113</v>
      </c>
      <c r="B116" s="403" t="s">
        <v>341</v>
      </c>
      <c r="C116" s="404" t="str">
        <f>СЗИ!B97</f>
        <v>Наличие антиспам решения, осуществляющего проверки писем на предмет вредоносного содержимого антивирусными средствами</v>
      </c>
      <c r="D116" s="404" t="str">
        <f>СЗИ!C97</f>
        <v>СЗИ.SPAM.3</v>
      </c>
      <c r="E116" s="404">
        <f>СЗИ!D97</f>
        <v>5</v>
      </c>
      <c r="F116" s="404">
        <f>СЗИ!E97</f>
        <v>0</v>
      </c>
      <c r="G116" s="404">
        <f>СЗИ!F97</f>
        <v>0</v>
      </c>
      <c r="H116" s="373">
        <f>СЗИ!P97</f>
        <v>18.030000000000005</v>
      </c>
      <c r="I116" s="404">
        <f>СЗИ!K97</f>
        <v>0</v>
      </c>
      <c r="J116" s="404">
        <f>СЗИ!I97</f>
        <v>0</v>
      </c>
      <c r="K116" s="404">
        <f>СЗИ!L97</f>
        <v>0</v>
      </c>
      <c r="L116" s="404" t="str">
        <f t="shared" si="4"/>
        <v xml:space="preserve"> </v>
      </c>
      <c r="M116" s="373">
        <f t="shared" si="3"/>
        <v>0</v>
      </c>
      <c r="N116" s="407" t="str">
        <f>СЗИ!Q97</f>
        <v/>
      </c>
      <c r="O116" s="407"/>
      <c r="P116" s="407"/>
    </row>
    <row r="117" spans="1:16" ht="62.4">
      <c r="A117" s="270" t="s">
        <v>113</v>
      </c>
      <c r="B117" s="403" t="s">
        <v>341</v>
      </c>
      <c r="C117" s="404" t="str">
        <f>СЗИ!B98</f>
        <v>Весь почтовый трафик Общества предварительно проходит через системы Антиспам</v>
      </c>
      <c r="D117" s="404" t="str">
        <f>СЗИ!C98</f>
        <v>СЗИ.SPAM.4</v>
      </c>
      <c r="E117" s="404">
        <f>СЗИ!D98</f>
        <v>5</v>
      </c>
      <c r="F117" s="404">
        <f>СЗИ!E98</f>
        <v>0</v>
      </c>
      <c r="G117" s="404">
        <f>СЗИ!F98</f>
        <v>0</v>
      </c>
      <c r="H117" s="373">
        <f>СЗИ!P98</f>
        <v>18.040000000000006</v>
      </c>
      <c r="I117" s="404">
        <f>СЗИ!K98</f>
        <v>0</v>
      </c>
      <c r="J117" s="404">
        <f>СЗИ!I98</f>
        <v>0</v>
      </c>
      <c r="K117" s="404">
        <f>СЗИ!L98</f>
        <v>0</v>
      </c>
      <c r="L117" s="404" t="str">
        <f t="shared" si="4"/>
        <v xml:space="preserve"> </v>
      </c>
      <c r="M117" s="373">
        <f t="shared" si="3"/>
        <v>0</v>
      </c>
      <c r="N117" s="407" t="str">
        <f>СЗИ!Q98</f>
        <v/>
      </c>
      <c r="O117" s="407"/>
      <c r="P117" s="407"/>
    </row>
    <row r="118" spans="1:16" ht="78">
      <c r="A118" s="270" t="s">
        <v>780</v>
      </c>
      <c r="B118" s="403" t="s">
        <v>340</v>
      </c>
      <c r="C118" s="404" t="str">
        <f>СЗИ!B90</f>
        <v>Наличие собственного решения или внешнего сервиса по защите от DDoS</v>
      </c>
      <c r="D118" s="404" t="str">
        <f>СЗИ!C90</f>
        <v>УИБ.DDoS.1</v>
      </c>
      <c r="E118" s="404">
        <f>СЗИ!D90</f>
        <v>5</v>
      </c>
      <c r="F118" s="404">
        <f>СЗИ!E90</f>
        <v>5</v>
      </c>
      <c r="G118" s="404">
        <f>СЗИ!F90</f>
        <v>0</v>
      </c>
      <c r="H118" s="373">
        <f>СЗИ!P90</f>
        <v>19.010000000000002</v>
      </c>
      <c r="I118" s="404">
        <f>СЗИ!K90</f>
        <v>0</v>
      </c>
      <c r="J118" s="404">
        <f>СЗИ!I90</f>
        <v>0</v>
      </c>
      <c r="K118" s="404">
        <f>СЗИ!L90</f>
        <v>0</v>
      </c>
      <c r="L118" s="404" t="str">
        <f t="shared" si="4"/>
        <v xml:space="preserve"> </v>
      </c>
      <c r="M118" s="373">
        <f t="shared" si="3"/>
        <v>0</v>
      </c>
      <c r="N118" s="407" t="str">
        <f>СЗИ!Q90</f>
        <v/>
      </c>
      <c r="O118" s="407"/>
      <c r="P118" s="407"/>
    </row>
    <row r="119" spans="1:16" ht="78">
      <c r="A119" s="270" t="s">
        <v>780</v>
      </c>
      <c r="B119" s="403" t="s">
        <v>340</v>
      </c>
      <c r="C119" s="404" t="str">
        <f>СЗИ!B91</f>
        <v>Осуществляется блокирование атак типа «отказ в обслуживании» в масштабе времени, близком к реальному</v>
      </c>
      <c r="D119" s="404" t="str">
        <f>СЗИ!C91</f>
        <v>УИБ.DDoS.2</v>
      </c>
      <c r="E119" s="404">
        <f>СЗИ!D91</f>
        <v>5</v>
      </c>
      <c r="F119" s="404">
        <f>СЗИ!E91</f>
        <v>3.2</v>
      </c>
      <c r="G119" s="404">
        <f>СЗИ!F91</f>
        <v>0</v>
      </c>
      <c r="H119" s="373">
        <f>СЗИ!P91</f>
        <v>19.020000000000003</v>
      </c>
      <c r="I119" s="404">
        <f>СЗИ!K91</f>
        <v>0</v>
      </c>
      <c r="J119" s="404">
        <f>СЗИ!I91</f>
        <v>0</v>
      </c>
      <c r="K119" s="404">
        <f>СЗИ!L91</f>
        <v>0</v>
      </c>
      <c r="L119" s="404" t="str">
        <f t="shared" si="4"/>
        <v xml:space="preserve"> </v>
      </c>
      <c r="M119" s="373">
        <f t="shared" si="3"/>
        <v>0</v>
      </c>
      <c r="N119" s="407" t="str">
        <f>СЗИ!Q91</f>
        <v/>
      </c>
      <c r="O119" s="407"/>
      <c r="P119" s="407"/>
    </row>
    <row r="120" spans="1:16" ht="62.4">
      <c r="A120" s="270" t="s">
        <v>19</v>
      </c>
      <c r="B120" s="403" t="s">
        <v>340</v>
      </c>
      <c r="C120" s="404" t="str">
        <f>СЗИ!B92</f>
        <v>Наличие плейбука по реагированию на сработки (Anti-DDoS)</v>
      </c>
      <c r="D120" s="404" t="str">
        <f>СЗИ!C92</f>
        <v>РЕАГ.PB.10</v>
      </c>
      <c r="E120" s="404">
        <f>СЗИ!D92</f>
        <v>5</v>
      </c>
      <c r="F120" s="404">
        <f>СЗИ!E92</f>
        <v>5</v>
      </c>
      <c r="G120" s="404">
        <f>СЗИ!F92</f>
        <v>0</v>
      </c>
      <c r="H120" s="373">
        <f>СЗИ!P92</f>
        <v>19.030000000000005</v>
      </c>
      <c r="I120" s="404">
        <f>СЗИ!K92</f>
        <v>0</v>
      </c>
      <c r="J120" s="404">
        <f>СЗИ!I92</f>
        <v>0</v>
      </c>
      <c r="K120" s="404">
        <f>СЗИ!L92</f>
        <v>0</v>
      </c>
      <c r="L120" s="404" t="str">
        <f t="shared" si="4"/>
        <v xml:space="preserve"> </v>
      </c>
      <c r="M120" s="373">
        <f t="shared" si="3"/>
        <v>0</v>
      </c>
      <c r="N120" s="407" t="str">
        <f>СЗИ!Q92</f>
        <v/>
      </c>
      <c r="O120" s="407"/>
      <c r="P120" s="407"/>
    </row>
    <row r="121" spans="1:16" ht="78">
      <c r="A121" s="270" t="s">
        <v>780</v>
      </c>
      <c r="B121" s="403" t="s">
        <v>340</v>
      </c>
      <c r="C121" s="404" t="str">
        <f>СЗИ!B93</f>
        <v>Проводится актуализация защищаемых ресурсов и порогов срабатывания защиты от отказа в обслуживании</v>
      </c>
      <c r="D121" s="404" t="str">
        <f>СЗИ!C93</f>
        <v>УИБ.DDoS.3</v>
      </c>
      <c r="E121" s="404">
        <f>СЗИ!D93</f>
        <v>5</v>
      </c>
      <c r="F121" s="404">
        <f>СЗИ!E93</f>
        <v>3.6</v>
      </c>
      <c r="G121" s="404">
        <f>СЗИ!F93</f>
        <v>0</v>
      </c>
      <c r="H121" s="373">
        <f>СЗИ!P93</f>
        <v>19.040000000000006</v>
      </c>
      <c r="I121" s="404">
        <f>СЗИ!K93</f>
        <v>0</v>
      </c>
      <c r="J121" s="404">
        <f>СЗИ!I93</f>
        <v>0</v>
      </c>
      <c r="K121" s="404">
        <f>СЗИ!L93</f>
        <v>0</v>
      </c>
      <c r="L121" s="404" t="str">
        <f t="shared" si="4"/>
        <v xml:space="preserve"> </v>
      </c>
      <c r="M121" s="373">
        <f t="shared" si="3"/>
        <v>0</v>
      </c>
      <c r="N121" s="407" t="str">
        <f>СЗИ!Q93</f>
        <v/>
      </c>
      <c r="O121" s="407"/>
      <c r="P121" s="407"/>
    </row>
    <row r="122" spans="1:16" ht="62.4">
      <c r="A122" s="270" t="s">
        <v>18</v>
      </c>
      <c r="B122" s="403" t="s">
        <v>498</v>
      </c>
      <c r="C122" s="404" t="str">
        <f>Мониторинг!B61</f>
        <v>Процесс анализа информации о киберугрозах</v>
      </c>
      <c r="D122" s="404" t="str">
        <f>Мониторинг!C61</f>
        <v>МНТ.ПР.1</v>
      </c>
      <c r="E122" s="404">
        <f>Мониторинг!D61</f>
        <v>4</v>
      </c>
      <c r="F122" s="404">
        <f>Мониторинг!E61</f>
        <v>1</v>
      </c>
      <c r="G122" s="404">
        <f>Мониторинг!F61</f>
        <v>0</v>
      </c>
      <c r="H122" s="373">
        <f>Мониторинг!P61</f>
        <v>21.01</v>
      </c>
      <c r="I122" s="404">
        <f>Мониторинг!K61</f>
        <v>0</v>
      </c>
      <c r="J122" s="404">
        <f>Мониторинг!I61</f>
        <v>0</v>
      </c>
      <c r="K122" s="404">
        <f>Мониторинг!L61</f>
        <v>0</v>
      </c>
      <c r="L122" s="404" t="str">
        <f t="shared" si="4"/>
        <v xml:space="preserve"> </v>
      </c>
      <c r="M122" s="373">
        <f t="shared" si="3"/>
        <v>0</v>
      </c>
      <c r="N122" s="407" t="str">
        <f>Мониторинг!Q61</f>
        <v/>
      </c>
      <c r="O122" s="407"/>
      <c r="P122" s="407"/>
    </row>
    <row r="123" spans="1:16" ht="62.4">
      <c r="A123" s="270" t="s">
        <v>18</v>
      </c>
      <c r="B123" s="403" t="s">
        <v>498</v>
      </c>
      <c r="C123" s="404" t="str">
        <f>Мониторинг!B62</f>
        <v>Процесс мониторинга событий ИБ</v>
      </c>
      <c r="D123" s="404" t="str">
        <f>Мониторинг!C62</f>
        <v>МНТ.ПР.2</v>
      </c>
      <c r="E123" s="404">
        <f>Мониторинг!D62</f>
        <v>4</v>
      </c>
      <c r="F123" s="404">
        <f>Мониторинг!E62</f>
        <v>4</v>
      </c>
      <c r="G123" s="404">
        <f>Мониторинг!F62</f>
        <v>0</v>
      </c>
      <c r="H123" s="373">
        <f>Мониторинг!P62</f>
        <v>21.020000000000003</v>
      </c>
      <c r="I123" s="404">
        <f>Мониторинг!K62</f>
        <v>0</v>
      </c>
      <c r="J123" s="404">
        <f>Мониторинг!I62</f>
        <v>0</v>
      </c>
      <c r="K123" s="404">
        <f>Мониторинг!L62</f>
        <v>0</v>
      </c>
      <c r="L123" s="404" t="str">
        <f t="shared" si="4"/>
        <v xml:space="preserve"> </v>
      </c>
      <c r="M123" s="373">
        <f t="shared" si="3"/>
        <v>0</v>
      </c>
      <c r="N123" s="407" t="str">
        <f>Мониторинг!Q62</f>
        <v/>
      </c>
      <c r="O123" s="407"/>
      <c r="P123" s="407"/>
    </row>
    <row r="124" spans="1:16" ht="62.4">
      <c r="A124" s="270" t="s">
        <v>18</v>
      </c>
      <c r="B124" s="403" t="s">
        <v>498</v>
      </c>
      <c r="C124" s="404" t="str">
        <f>Мониторинг!B63</f>
        <v>Процесс создания решающих правил</v>
      </c>
      <c r="D124" s="404" t="str">
        <f>Мониторинг!C63</f>
        <v>МНТ.ПР.3</v>
      </c>
      <c r="E124" s="404">
        <f>Мониторинг!D63</f>
        <v>4</v>
      </c>
      <c r="F124" s="404">
        <f>Мониторинг!E63</f>
        <v>3</v>
      </c>
      <c r="G124" s="404">
        <f>Мониторинг!F63</f>
        <v>0</v>
      </c>
      <c r="H124" s="373">
        <f>Мониторинг!P63</f>
        <v>21.030000000000005</v>
      </c>
      <c r="I124" s="404">
        <f>Мониторинг!K63</f>
        <v>0</v>
      </c>
      <c r="J124" s="404">
        <f>Мониторинг!I63</f>
        <v>0</v>
      </c>
      <c r="K124" s="404">
        <f>Мониторинг!L63</f>
        <v>0</v>
      </c>
      <c r="L124" s="404" t="str">
        <f t="shared" si="4"/>
        <v xml:space="preserve"> </v>
      </c>
      <c r="M124" s="373">
        <f t="shared" si="3"/>
        <v>0</v>
      </c>
      <c r="N124" s="407" t="str">
        <f>Мониторинг!Q63</f>
        <v/>
      </c>
      <c r="O124" s="407"/>
      <c r="P124" s="407"/>
    </row>
    <row r="125" spans="1:16" ht="62.4">
      <c r="A125" s="270" t="s">
        <v>18</v>
      </c>
      <c r="B125" s="403" t="s">
        <v>498</v>
      </c>
      <c r="C125" s="404" t="str">
        <f>Мониторинг!B64</f>
        <v>Процесс подключения источников информации</v>
      </c>
      <c r="D125" s="404" t="str">
        <f>Мониторинг!C64</f>
        <v>МНТ.ПР.4</v>
      </c>
      <c r="E125" s="404">
        <f>Мониторинг!D64</f>
        <v>4</v>
      </c>
      <c r="F125" s="404">
        <f>Мониторинг!E64</f>
        <v>2</v>
      </c>
      <c r="G125" s="404">
        <f>Мониторинг!F64</f>
        <v>0</v>
      </c>
      <c r="H125" s="373">
        <f>Мониторинг!P64</f>
        <v>21.040000000000006</v>
      </c>
      <c r="I125" s="404">
        <f>Мониторинг!K64</f>
        <v>0</v>
      </c>
      <c r="J125" s="404">
        <f>Мониторинг!I64</f>
        <v>0</v>
      </c>
      <c r="K125" s="404">
        <f>Мониторинг!L64</f>
        <v>0</v>
      </c>
      <c r="L125" s="404" t="str">
        <f t="shared" si="4"/>
        <v xml:space="preserve"> </v>
      </c>
      <c r="M125" s="373">
        <f t="shared" si="3"/>
        <v>0</v>
      </c>
      <c r="N125" s="407" t="str">
        <f>Мониторинг!Q64</f>
        <v/>
      </c>
      <c r="O125" s="407"/>
      <c r="P125" s="407"/>
    </row>
    <row r="126" spans="1:16" ht="62.4">
      <c r="A126" s="270" t="s">
        <v>18</v>
      </c>
      <c r="B126" s="403" t="s">
        <v>498</v>
      </c>
      <c r="C126" s="404" t="str">
        <f>Мониторинг!B65</f>
        <v>Процесс контроля источников информации</v>
      </c>
      <c r="D126" s="404" t="str">
        <f>Мониторинг!C65</f>
        <v>МНТ.ПР.5</v>
      </c>
      <c r="E126" s="404">
        <f>Мониторинг!D65</f>
        <v>4</v>
      </c>
      <c r="F126" s="404">
        <f>Мониторинг!E65</f>
        <v>3</v>
      </c>
      <c r="G126" s="404">
        <f>Мониторинг!F65</f>
        <v>0</v>
      </c>
      <c r="H126" s="373">
        <f>Мониторинг!P65</f>
        <v>21.050000000000008</v>
      </c>
      <c r="I126" s="404">
        <f>Мониторинг!K65</f>
        <v>0</v>
      </c>
      <c r="J126" s="404">
        <f>Мониторинг!I65</f>
        <v>0</v>
      </c>
      <c r="K126" s="404">
        <f>Мониторинг!L65</f>
        <v>0</v>
      </c>
      <c r="L126" s="404" t="str">
        <f t="shared" si="4"/>
        <v xml:space="preserve"> </v>
      </c>
      <c r="M126" s="373">
        <f t="shared" si="3"/>
        <v>0</v>
      </c>
      <c r="N126" s="407" t="str">
        <f>Мониторинг!Q65</f>
        <v/>
      </c>
      <c r="O126" s="407"/>
      <c r="P126" s="407"/>
    </row>
    <row r="127" spans="1:16" s="73" customFormat="1" ht="78">
      <c r="A127" s="270" t="s">
        <v>20</v>
      </c>
      <c r="B127" s="403" t="s">
        <v>216</v>
      </c>
      <c r="C127" s="518" t="str">
        <f>Восстановление!B32</f>
        <v>Разработана политика обеспечения непрерывности и восстановления деятельности (ОНИВД)</v>
      </c>
      <c r="D127" s="404" t="str">
        <f>Восстановление!C32</f>
        <v>ВССТ.ПЛН.1</v>
      </c>
      <c r="E127" s="404">
        <f>Восстановление!D32</f>
        <v>5</v>
      </c>
      <c r="F127" s="404">
        <f>Восстановление!E32</f>
        <v>5</v>
      </c>
      <c r="G127" s="404">
        <f>Восстановление!F32</f>
        <v>0</v>
      </c>
      <c r="H127" s="404">
        <f>Восстановление!P32</f>
        <v>22.01</v>
      </c>
      <c r="I127" s="404">
        <f>Восстановление!K32</f>
        <v>0</v>
      </c>
      <c r="J127" s="404">
        <f>Восстановление!I32</f>
        <v>0</v>
      </c>
      <c r="K127" s="404">
        <f>Восстановление!L32</f>
        <v>0</v>
      </c>
      <c r="L127" s="404" t="str">
        <f t="shared" si="4"/>
        <v xml:space="preserve"> </v>
      </c>
      <c r="M127" s="373">
        <f t="shared" si="3"/>
        <v>0</v>
      </c>
      <c r="N127" s="404" t="str">
        <f>Восстановление!Q32</f>
        <v/>
      </c>
      <c r="O127" s="407"/>
      <c r="P127" s="407"/>
    </row>
    <row r="128" spans="1:16" ht="78">
      <c r="A128" s="270" t="s">
        <v>20</v>
      </c>
      <c r="B128" s="403" t="s">
        <v>216</v>
      </c>
      <c r="C128" s="518" t="str">
        <f>Восстановление!B33</f>
        <v>Определены уровни и сроки восстановления систем в зависимости от критичности ИА</v>
      </c>
      <c r="D128" s="404" t="str">
        <f>Восстановление!C33</f>
        <v>ВССТ.ПЛН.2</v>
      </c>
      <c r="E128" s="404">
        <f>Восстановление!D33</f>
        <v>5</v>
      </c>
      <c r="F128" s="404">
        <f>Восстановление!E33</f>
        <v>5</v>
      </c>
      <c r="G128" s="404">
        <f>Восстановление!F33</f>
        <v>0</v>
      </c>
      <c r="H128" s="404">
        <f>Восстановление!P33</f>
        <v>22.020000000000003</v>
      </c>
      <c r="I128" s="404">
        <f>Восстановление!K33</f>
        <v>0</v>
      </c>
      <c r="J128" s="404">
        <f>Восстановление!I33</f>
        <v>0</v>
      </c>
      <c r="K128" s="404">
        <f>Восстановление!L33</f>
        <v>0</v>
      </c>
      <c r="L128" s="404" t="str">
        <f t="shared" si="4"/>
        <v xml:space="preserve"> </v>
      </c>
      <c r="M128" s="373">
        <f t="shared" si="3"/>
        <v>0</v>
      </c>
      <c r="N128" s="404" t="str">
        <f>Восстановление!Q33</f>
        <v/>
      </c>
      <c r="O128" s="407"/>
      <c r="P128" s="407"/>
    </row>
    <row r="129" spans="1:16" ht="78">
      <c r="A129" s="270" t="s">
        <v>20</v>
      </c>
      <c r="B129" s="403" t="s">
        <v>216</v>
      </c>
      <c r="C129" s="518" t="str">
        <f>Восстановление!B34</f>
        <v>Планы ОНИВД разработаны</v>
      </c>
      <c r="D129" s="404" t="str">
        <f>Восстановление!C34</f>
        <v>ВССТ.ПЛН.3</v>
      </c>
      <c r="E129" s="404">
        <f>Восстановление!D34</f>
        <v>5</v>
      </c>
      <c r="F129" s="404">
        <f>Восстановление!E34</f>
        <v>3.2</v>
      </c>
      <c r="G129" s="404">
        <f>Восстановление!F34</f>
        <v>0</v>
      </c>
      <c r="H129" s="404">
        <f>Восстановление!P34</f>
        <v>22.030000000000005</v>
      </c>
      <c r="I129" s="404">
        <f>Восстановление!K34</f>
        <v>0</v>
      </c>
      <c r="J129" s="404">
        <f>Восстановление!I34</f>
        <v>0</v>
      </c>
      <c r="K129" s="404">
        <f>Восстановление!L34</f>
        <v>0</v>
      </c>
      <c r="L129" s="404" t="str">
        <f t="shared" si="4"/>
        <v xml:space="preserve"> </v>
      </c>
      <c r="M129" s="373">
        <f t="shared" si="3"/>
        <v>0</v>
      </c>
      <c r="N129" s="404" t="str">
        <f>Восстановление!Q34</f>
        <v/>
      </c>
      <c r="O129" s="407"/>
      <c r="P129" s="407"/>
    </row>
    <row r="130" spans="1:16" ht="78">
      <c r="A130" s="270" t="s">
        <v>20</v>
      </c>
      <c r="B130" s="403" t="s">
        <v>216</v>
      </c>
      <c r="C130" s="518" t="str">
        <f>Восстановление!B35</f>
        <v>Разработан регламент резервного копирования</v>
      </c>
      <c r="D130" s="404" t="str">
        <f>Восстановление!C35</f>
        <v>ВССТ.ПЛН.4</v>
      </c>
      <c r="E130" s="404">
        <f>Восстановление!D35</f>
        <v>5</v>
      </c>
      <c r="F130" s="404">
        <f>Восстановление!E35</f>
        <v>3.2</v>
      </c>
      <c r="G130" s="404">
        <f>Восстановление!F35</f>
        <v>0</v>
      </c>
      <c r="H130" s="404">
        <f>Восстановление!P35</f>
        <v>22.040000000000006</v>
      </c>
      <c r="I130" s="404">
        <f>Восстановление!K35</f>
        <v>0</v>
      </c>
      <c r="J130" s="404">
        <f>Восстановление!I35</f>
        <v>0</v>
      </c>
      <c r="K130" s="404">
        <f>Восстановление!L35</f>
        <v>0</v>
      </c>
      <c r="L130" s="404" t="str">
        <f t="shared" si="4"/>
        <v xml:space="preserve"> </v>
      </c>
      <c r="M130" s="373">
        <f t="shared" si="3"/>
        <v>0</v>
      </c>
      <c r="N130" s="404" t="str">
        <f>Восстановление!Q35</f>
        <v/>
      </c>
      <c r="O130" s="407"/>
      <c r="P130" s="407"/>
    </row>
    <row r="131" spans="1:16" ht="78">
      <c r="A131" s="270" t="s">
        <v>20</v>
      </c>
      <c r="B131" s="403" t="s">
        <v>216</v>
      </c>
      <c r="C131" s="518" t="str">
        <f>Восстановление!B36</f>
        <v>Выполняется регулярное создание резервных копий в соответствии с регламентом</v>
      </c>
      <c r="D131" s="404" t="str">
        <f>Восстановление!C36</f>
        <v>ВССТ.ПЛН.5</v>
      </c>
      <c r="E131" s="404">
        <f>Восстановление!D36</f>
        <v>5</v>
      </c>
      <c r="F131" s="404">
        <f>Восстановление!E36</f>
        <v>3.2</v>
      </c>
      <c r="G131" s="404">
        <f>Восстановление!F36</f>
        <v>3.2</v>
      </c>
      <c r="H131" s="404">
        <f>Восстановление!P36</f>
        <v>22.050000000000008</v>
      </c>
      <c r="I131" s="404">
        <f>Восстановление!K36</f>
        <v>3.2</v>
      </c>
      <c r="J131" s="404">
        <f>Восстановление!I36</f>
        <v>0</v>
      </c>
      <c r="K131" s="404">
        <f>Восстановление!L36</f>
        <v>0</v>
      </c>
      <c r="L131" s="404">
        <f t="shared" si="4"/>
        <v>0</v>
      </c>
      <c r="M131" s="373">
        <f t="shared" ref="M131:M194" si="5">IF(H131&lt;100,    IF(K131&gt;=G131,0,I131-K131),       IF(H131&lt;300,     IF(K131&gt;=F131,0,I131-K131),                  IF(K131&gt;=E131,0,I131-K131)))</f>
        <v>3.2</v>
      </c>
      <c r="N131" s="404" t="str">
        <f>Восстановление!Q36</f>
        <v xml:space="preserve"> - Обеспечить регулярное создание резервных копий</v>
      </c>
      <c r="O131" s="407"/>
      <c r="P131" s="407"/>
    </row>
    <row r="132" spans="1:16" ht="78">
      <c r="A132" s="270" t="s">
        <v>20</v>
      </c>
      <c r="B132" s="403" t="s">
        <v>216</v>
      </c>
      <c r="C132" s="518" t="str">
        <f>Восстановление!B37</f>
        <v>Резервные копии хранятся на сторонних площадках</v>
      </c>
      <c r="D132" s="404" t="str">
        <f>Восстановление!C37</f>
        <v>ВССТ.ПЛН.6</v>
      </c>
      <c r="E132" s="404">
        <f>Восстановление!D37</f>
        <v>5</v>
      </c>
      <c r="F132" s="404">
        <f>Восстановление!E37</f>
        <v>3.2</v>
      </c>
      <c r="G132" s="404">
        <f>Восстановление!F37</f>
        <v>1.6</v>
      </c>
      <c r="H132" s="404">
        <f>Восстановление!P37</f>
        <v>22.060000000000009</v>
      </c>
      <c r="I132" s="404">
        <f>Восстановление!K37</f>
        <v>1.6</v>
      </c>
      <c r="J132" s="404">
        <f>Восстановление!I37</f>
        <v>0</v>
      </c>
      <c r="K132" s="404">
        <f>Восстановление!L37</f>
        <v>0</v>
      </c>
      <c r="L132" s="404">
        <f t="shared" si="4"/>
        <v>0</v>
      </c>
      <c r="M132" s="373">
        <f t="shared" si="5"/>
        <v>1.6</v>
      </c>
      <c r="N132" s="404" t="str">
        <f>Восстановление!Q37</f>
        <v xml:space="preserve"> - Обеспечить хранение резервных копий вне площадки расположения ИА</v>
      </c>
      <c r="O132" s="407"/>
      <c r="P132" s="407"/>
    </row>
    <row r="133" spans="1:16" ht="78">
      <c r="A133" s="270" t="s">
        <v>20</v>
      </c>
      <c r="B133" s="403" t="s">
        <v>216</v>
      </c>
      <c r="C133" s="518" t="str">
        <f>Восстановление!B38</f>
        <v>Определены требования восстановления и проводятся тестирования</v>
      </c>
      <c r="D133" s="404" t="str">
        <f>Восстановление!C38</f>
        <v>ВССТ.ПЛН.7</v>
      </c>
      <c r="E133" s="404">
        <f>Восстановление!D38</f>
        <v>5</v>
      </c>
      <c r="F133" s="404">
        <f>Восстановление!E38</f>
        <v>3.2</v>
      </c>
      <c r="G133" s="404">
        <f>Восстановление!F38</f>
        <v>1.6</v>
      </c>
      <c r="H133" s="404">
        <f>Восстановление!P38</f>
        <v>22.070000000000011</v>
      </c>
      <c r="I133" s="404">
        <f>Восстановление!K38</f>
        <v>1.6</v>
      </c>
      <c r="J133" s="404">
        <f>Восстановление!I38</f>
        <v>0</v>
      </c>
      <c r="K133" s="404">
        <f>Восстановление!L38</f>
        <v>0</v>
      </c>
      <c r="L133" s="404">
        <f t="shared" si="4"/>
        <v>0</v>
      </c>
      <c r="M133" s="373">
        <f t="shared" si="5"/>
        <v>1.6</v>
      </c>
      <c r="N133" s="404" t="str">
        <f>Восстановление!Q38</f>
        <v xml:space="preserve"> - Протестировать планы восстановления</v>
      </c>
      <c r="O133" s="407"/>
      <c r="P133" s="407"/>
    </row>
    <row r="134" spans="1:16" ht="78">
      <c r="A134" s="270" t="s">
        <v>20</v>
      </c>
      <c r="B134" s="403" t="s">
        <v>216</v>
      </c>
      <c r="C134" s="518" t="str">
        <f>Восстановление!B39</f>
        <v>Тестирование планов по реагированию и восстановлению проводятся совместно с поставщиками и сторонними провайдерами</v>
      </c>
      <c r="D134" s="404" t="str">
        <f>Восстановление!C39</f>
        <v>ВССТ.ПЛН.8</v>
      </c>
      <c r="E134" s="404">
        <f>Восстановление!D39</f>
        <v>5</v>
      </c>
      <c r="F134" s="404">
        <f>Восстановление!E39</f>
        <v>3.2</v>
      </c>
      <c r="G134" s="404">
        <f>Восстановление!F39</f>
        <v>1.6</v>
      </c>
      <c r="H134" s="404">
        <f>Восстановление!P39</f>
        <v>22.080000000000013</v>
      </c>
      <c r="I134" s="404">
        <f>Восстановление!K39</f>
        <v>1.6</v>
      </c>
      <c r="J134" s="404">
        <f>Восстановление!I39</f>
        <v>0</v>
      </c>
      <c r="K134" s="404">
        <f>Восстановление!L39</f>
        <v>0</v>
      </c>
      <c r="L134" s="404">
        <f t="shared" ref="L134:L194" si="6">IF(J134=I134," ",K134-J134)</f>
        <v>0</v>
      </c>
      <c r="M134" s="373">
        <f t="shared" si="5"/>
        <v>1.6</v>
      </c>
      <c r="N134" s="404" t="str">
        <f>Восстановление!Q39</f>
        <v xml:space="preserve"> - Совместно с поставщиками составить и протестировать планы восстановления</v>
      </c>
      <c r="O134" s="407"/>
      <c r="P134" s="407"/>
    </row>
    <row r="135" spans="1:16" ht="78">
      <c r="A135" s="270" t="s">
        <v>20</v>
      </c>
      <c r="B135" s="403" t="s">
        <v>216</v>
      </c>
      <c r="C135" s="518" t="str">
        <f>Восстановление!B40</f>
        <v>Планы восстановления совершенствуются по результатам тестирования и реагирования</v>
      </c>
      <c r="D135" s="404" t="str">
        <f>Восстановление!C40</f>
        <v>ВССТ.ПЛН.9</v>
      </c>
      <c r="E135" s="404">
        <f>Восстановление!D40</f>
        <v>5</v>
      </c>
      <c r="F135" s="404">
        <f>Восстановление!E40</f>
        <v>3.2</v>
      </c>
      <c r="G135" s="404">
        <f>Восстановление!F40</f>
        <v>1.6</v>
      </c>
      <c r="H135" s="404">
        <f>Восстановление!P40</f>
        <v>22.090000000000014</v>
      </c>
      <c r="I135" s="404">
        <f>Восстановление!K40</f>
        <v>1.6</v>
      </c>
      <c r="J135" s="404">
        <f>Восстановление!I40</f>
        <v>0</v>
      </c>
      <c r="K135" s="404">
        <f>Восстановление!L40</f>
        <v>0</v>
      </c>
      <c r="L135" s="404">
        <f t="shared" si="6"/>
        <v>0</v>
      </c>
      <c r="M135" s="373">
        <f t="shared" si="5"/>
        <v>1.6</v>
      </c>
      <c r="N135" s="404" t="str">
        <f>Восстановление!Q40</f>
        <v xml:space="preserve"> - Проводить анализ результатов тестирования планов восстановления. Фиксировать отклонения от планов.</v>
      </c>
      <c r="O135" s="407"/>
      <c r="P135" s="407"/>
    </row>
    <row r="136" spans="1:16" ht="62.4">
      <c r="A136" s="270" t="s">
        <v>113</v>
      </c>
      <c r="B136" s="403" t="s">
        <v>342</v>
      </c>
      <c r="C136" s="404" t="str">
        <f>СЗИ!B101</f>
        <v>Процент покрытия внешних активов лицензиями и/или услугами</v>
      </c>
      <c r="D136" s="404" t="str">
        <f>СЗИ!C101</f>
        <v>СЗИ.WAF.1</v>
      </c>
      <c r="E136" s="404">
        <f>СЗИ!D101</f>
        <v>5</v>
      </c>
      <c r="F136" s="404">
        <f>СЗИ!E101</f>
        <v>0</v>
      </c>
      <c r="G136" s="404">
        <f>СЗИ!F101</f>
        <v>0</v>
      </c>
      <c r="H136" s="373">
        <f>СЗИ!P101</f>
        <v>23.01</v>
      </c>
      <c r="I136" s="404">
        <f>СЗИ!K101</f>
        <v>0</v>
      </c>
      <c r="J136" s="190">
        <f>СЗИ!I101</f>
        <v>0</v>
      </c>
      <c r="K136" s="404">
        <f>СЗИ!L101</f>
        <v>0</v>
      </c>
      <c r="L136" s="404" t="str">
        <f t="shared" si="6"/>
        <v xml:space="preserve"> </v>
      </c>
      <c r="M136" s="373">
        <f t="shared" si="5"/>
        <v>0</v>
      </c>
      <c r="N136" s="407" t="str">
        <f>СЗИ!Q101</f>
        <v/>
      </c>
      <c r="O136" s="407"/>
      <c r="P136" s="407"/>
    </row>
    <row r="137" spans="1:16" ht="62.4">
      <c r="A137" s="270" t="s">
        <v>113</v>
      </c>
      <c r="B137" s="403" t="s">
        <v>342</v>
      </c>
      <c r="C137" s="404" t="str">
        <f>СЗИ!B103</f>
        <v xml:space="preserve">Процедура публикации внешних ресурсов описана и контролируется службой ИБ </v>
      </c>
      <c r="D137" s="404" t="str">
        <f>СЗИ!C103</f>
        <v>СЗИ.WAF.2</v>
      </c>
      <c r="E137" s="404">
        <f>СЗИ!D103</f>
        <v>4</v>
      </c>
      <c r="F137" s="404">
        <f>СЗИ!E103</f>
        <v>3</v>
      </c>
      <c r="G137" s="404">
        <f>СЗИ!F103</f>
        <v>1</v>
      </c>
      <c r="H137" s="373">
        <f>СЗИ!P103</f>
        <v>23.030000000000005</v>
      </c>
      <c r="I137" s="404">
        <f>СЗИ!K103</f>
        <v>1</v>
      </c>
      <c r="J137" s="404">
        <f>СЗИ!I103</f>
        <v>0</v>
      </c>
      <c r="K137" s="404">
        <f>СЗИ!L103</f>
        <v>0</v>
      </c>
      <c r="L137" s="404">
        <f t="shared" si="6"/>
        <v>0</v>
      </c>
      <c r="M137" s="373">
        <f t="shared" si="5"/>
        <v>1</v>
      </c>
      <c r="N137" s="407">
        <f>СЗИ!Q103</f>
        <v>0</v>
      </c>
      <c r="O137" s="407"/>
      <c r="P137" s="407"/>
    </row>
    <row r="138" spans="1:16" ht="62.4">
      <c r="A138" s="270" t="s">
        <v>19</v>
      </c>
      <c r="B138" s="403" t="s">
        <v>342</v>
      </c>
      <c r="C138" s="404" t="str">
        <f>СЗИ!B104</f>
        <v>Наличие плейбука по реагированию на сработки (WAF)</v>
      </c>
      <c r="D138" s="404" t="str">
        <f>СЗИ!C104</f>
        <v>РЕАГ.PB.5.9.3.11</v>
      </c>
      <c r="E138" s="404">
        <f>СЗИ!D104</f>
        <v>5</v>
      </c>
      <c r="F138" s="404">
        <f>СЗИ!E104</f>
        <v>0</v>
      </c>
      <c r="G138" s="404">
        <f>СЗИ!F104</f>
        <v>0</v>
      </c>
      <c r="H138" s="373">
        <f>СЗИ!P104</f>
        <v>23.040000000000006</v>
      </c>
      <c r="I138" s="404">
        <f>СЗИ!K104</f>
        <v>0</v>
      </c>
      <c r="J138" s="404">
        <f>СЗИ!I104</f>
        <v>0</v>
      </c>
      <c r="K138" s="404">
        <f>СЗИ!L104</f>
        <v>0</v>
      </c>
      <c r="L138" s="404" t="str">
        <f t="shared" si="6"/>
        <v xml:space="preserve"> </v>
      </c>
      <c r="M138" s="373">
        <f t="shared" si="5"/>
        <v>0</v>
      </c>
      <c r="N138" s="407" t="str">
        <f>СЗИ!Q104</f>
        <v/>
      </c>
      <c r="O138" s="407"/>
      <c r="P138" s="407"/>
    </row>
    <row r="139" spans="1:16" ht="62.4">
      <c r="A139" s="270" t="s">
        <v>113</v>
      </c>
      <c r="B139" s="403" t="s">
        <v>342</v>
      </c>
      <c r="C139" s="404" t="str">
        <f>СЗИ!B105</f>
        <v>Как часто обновляются правила и сигнатуры в WAF и проверяются настройки</v>
      </c>
      <c r="D139" s="404" t="str">
        <f>СЗИ!C105</f>
        <v>СЗИ.WAF.3</v>
      </c>
      <c r="E139" s="404">
        <f>СЗИ!D105</f>
        <v>5</v>
      </c>
      <c r="F139" s="404">
        <f>СЗИ!E105</f>
        <v>0</v>
      </c>
      <c r="G139" s="404">
        <f>СЗИ!F105</f>
        <v>0</v>
      </c>
      <c r="H139" s="373">
        <f>СЗИ!P105</f>
        <v>23.050000000000008</v>
      </c>
      <c r="I139" s="404">
        <f>СЗИ!K105</f>
        <v>0</v>
      </c>
      <c r="J139" s="404">
        <f>СЗИ!I105</f>
        <v>0</v>
      </c>
      <c r="K139" s="404">
        <f>СЗИ!L105</f>
        <v>0</v>
      </c>
      <c r="L139" s="404" t="str">
        <f t="shared" si="6"/>
        <v xml:space="preserve"> </v>
      </c>
      <c r="M139" s="373">
        <f t="shared" si="5"/>
        <v>0</v>
      </c>
      <c r="N139" s="407" t="str">
        <f>СЗИ!Q105</f>
        <v/>
      </c>
      <c r="O139" s="407"/>
      <c r="P139" s="407"/>
    </row>
    <row r="140" spans="1:16" ht="31.2">
      <c r="A140" s="270" t="s">
        <v>113</v>
      </c>
      <c r="B140" s="403" t="s">
        <v>343</v>
      </c>
      <c r="C140" s="404" t="str">
        <f>СЗИ!B107</f>
        <v>Процент покрытия инфраструктуры JumpHost</v>
      </c>
      <c r="D140" s="404" t="str">
        <f>СЗИ!C107</f>
        <v>СЗИ.PAM.1</v>
      </c>
      <c r="E140" s="404">
        <f>СЗИ!D107</f>
        <v>5</v>
      </c>
      <c r="F140" s="404">
        <f>СЗИ!E107</f>
        <v>0</v>
      </c>
      <c r="G140" s="404">
        <f>СЗИ!F107</f>
        <v>0</v>
      </c>
      <c r="H140" s="373">
        <f>СЗИ!P107</f>
        <v>24.01</v>
      </c>
      <c r="I140" s="404">
        <f>СЗИ!K107</f>
        <v>0</v>
      </c>
      <c r="J140" s="414">
        <f>СЗИ!I107</f>
        <v>0</v>
      </c>
      <c r="K140" s="404">
        <f>СЗИ!L107</f>
        <v>0</v>
      </c>
      <c r="L140" s="404" t="str">
        <f t="shared" si="6"/>
        <v xml:space="preserve"> </v>
      </c>
      <c r="M140" s="373">
        <f t="shared" si="5"/>
        <v>0</v>
      </c>
      <c r="N140" s="407" t="str">
        <f>СЗИ!Q107</f>
        <v/>
      </c>
      <c r="O140" s="407"/>
      <c r="P140" s="407"/>
    </row>
    <row r="141" spans="1:16" ht="46.8">
      <c r="A141" s="270" t="s">
        <v>113</v>
      </c>
      <c r="B141" s="403" t="s">
        <v>343</v>
      </c>
      <c r="C141" s="404" t="str">
        <f>СЗИ!B108</f>
        <v>JumpHost настроены в соответствии с требованиями ТТР</v>
      </c>
      <c r="D141" s="404" t="str">
        <f>СЗИ!C108</f>
        <v>СЗИ.PAM.2</v>
      </c>
      <c r="E141" s="404">
        <f>СЗИ!D108</f>
        <v>5</v>
      </c>
      <c r="F141" s="404">
        <f>СЗИ!E108</f>
        <v>0</v>
      </c>
      <c r="G141" s="404">
        <f>СЗИ!F108</f>
        <v>0</v>
      </c>
      <c r="H141" s="373">
        <f>СЗИ!P108</f>
        <v>24.020000000000003</v>
      </c>
      <c r="I141" s="404">
        <f>СЗИ!K108</f>
        <v>0</v>
      </c>
      <c r="J141" s="404">
        <f>СЗИ!I108</f>
        <v>0</v>
      </c>
      <c r="K141" s="404">
        <f>СЗИ!L108</f>
        <v>0</v>
      </c>
      <c r="L141" s="404" t="str">
        <f t="shared" si="6"/>
        <v xml:space="preserve"> </v>
      </c>
      <c r="M141" s="373">
        <f t="shared" si="5"/>
        <v>0</v>
      </c>
      <c r="N141" s="407" t="str">
        <f>СЗИ!Q108</f>
        <v/>
      </c>
      <c r="O141" s="407"/>
      <c r="P141" s="407"/>
    </row>
    <row r="142" spans="1:16" ht="46.8">
      <c r="A142" s="270" t="s">
        <v>113</v>
      </c>
      <c r="B142" s="403" t="s">
        <v>343</v>
      </c>
      <c r="C142" s="404" t="str">
        <f>СЗИ!B109</f>
        <v>Процент покрытия инфраструктуры лицензиями PAM</v>
      </c>
      <c r="D142" s="404" t="str">
        <f>СЗИ!C109</f>
        <v>СЗИ.PAM.3</v>
      </c>
      <c r="E142" s="404">
        <f>СЗИ!D109</f>
        <v>5</v>
      </c>
      <c r="F142" s="404">
        <f>СЗИ!E109</f>
        <v>0</v>
      </c>
      <c r="G142" s="404">
        <f>СЗИ!F109</f>
        <v>0</v>
      </c>
      <c r="H142" s="373">
        <f>СЗИ!P109</f>
        <v>24.030000000000005</v>
      </c>
      <c r="I142" s="404">
        <f>СЗИ!K109</f>
        <v>0</v>
      </c>
      <c r="J142" s="404">
        <f>СЗИ!I109</f>
        <v>0</v>
      </c>
      <c r="K142" s="404">
        <f>СЗИ!L109</f>
        <v>0</v>
      </c>
      <c r="L142" s="404" t="str">
        <f t="shared" si="6"/>
        <v xml:space="preserve"> </v>
      </c>
      <c r="M142" s="373">
        <f t="shared" si="5"/>
        <v>0</v>
      </c>
      <c r="N142" s="407" t="str">
        <f>СЗИ!Q109</f>
        <v/>
      </c>
      <c r="O142" s="407"/>
      <c r="P142" s="407"/>
    </row>
    <row r="143" spans="1:16" ht="31.2">
      <c r="A143" s="270" t="s">
        <v>113</v>
      </c>
      <c r="B143" s="403" t="s">
        <v>343</v>
      </c>
      <c r="C143" s="404" t="str">
        <f>СЗИ!B110</f>
        <v>Процент активов, администрируемых через PAM</v>
      </c>
      <c r="D143" s="404" t="str">
        <f>СЗИ!C110</f>
        <v>СЗИ.PAM.4</v>
      </c>
      <c r="E143" s="404">
        <f>СЗИ!D110</f>
        <v>5</v>
      </c>
      <c r="F143" s="404">
        <f>СЗИ!E110</f>
        <v>0</v>
      </c>
      <c r="G143" s="404">
        <f>СЗИ!F110</f>
        <v>0</v>
      </c>
      <c r="H143" s="373">
        <f>СЗИ!P110</f>
        <v>24.040000000000006</v>
      </c>
      <c r="I143" s="404">
        <f>СЗИ!K110</f>
        <v>0</v>
      </c>
      <c r="J143" s="404">
        <f>СЗИ!I110</f>
        <v>0</v>
      </c>
      <c r="K143" s="404">
        <f>СЗИ!L110</f>
        <v>0</v>
      </c>
      <c r="L143" s="404" t="str">
        <f t="shared" si="6"/>
        <v xml:space="preserve"> </v>
      </c>
      <c r="M143" s="373">
        <f t="shared" si="5"/>
        <v>0</v>
      </c>
      <c r="N143" s="407" t="str">
        <f>СЗИ!Q110</f>
        <v/>
      </c>
      <c r="O143" s="407"/>
      <c r="P143" s="407"/>
    </row>
    <row r="144" spans="1:16" ht="31.2">
      <c r="A144" s="270" t="s">
        <v>113</v>
      </c>
      <c r="B144" s="403" t="s">
        <v>343</v>
      </c>
      <c r="C144" s="404" t="str">
        <f>СЗИ!B111</f>
        <v>Настроенные политики соответствуют ТТР Блока ИБ</v>
      </c>
      <c r="D144" s="404" t="str">
        <f>СЗИ!C111</f>
        <v>СЗИ.PAM.5</v>
      </c>
      <c r="E144" s="404">
        <f>СЗИ!D111</f>
        <v>5</v>
      </c>
      <c r="F144" s="404">
        <f>СЗИ!E111</f>
        <v>0</v>
      </c>
      <c r="G144" s="404">
        <f>СЗИ!F111</f>
        <v>0</v>
      </c>
      <c r="H144" s="373">
        <f>СЗИ!P111</f>
        <v>24.050000000000008</v>
      </c>
      <c r="I144" s="404">
        <f>СЗИ!K111</f>
        <v>0</v>
      </c>
      <c r="J144" s="404">
        <f>СЗИ!I111</f>
        <v>0</v>
      </c>
      <c r="K144" s="404">
        <f>СЗИ!L111</f>
        <v>0</v>
      </c>
      <c r="L144" s="404" t="str">
        <f t="shared" si="6"/>
        <v xml:space="preserve"> </v>
      </c>
      <c r="M144" s="373">
        <f t="shared" si="5"/>
        <v>0</v>
      </c>
      <c r="N144" s="407" t="str">
        <f>СЗИ!Q111</f>
        <v/>
      </c>
      <c r="O144" s="407"/>
      <c r="P144" s="407"/>
    </row>
    <row r="145" spans="1:16" ht="46.8">
      <c r="A145" s="270" t="s">
        <v>113</v>
      </c>
      <c r="B145" s="403" t="s">
        <v>344</v>
      </c>
      <c r="C145" s="404" t="str">
        <f>СЗИ!B114</f>
        <v>Все каналы выхода информации за периметр Общества контролируются средствами DLP</v>
      </c>
      <c r="D145" s="404" t="str">
        <f>СЗИ!C114</f>
        <v>СЗИ.DLP.1</v>
      </c>
      <c r="E145" s="404">
        <f>СЗИ!D114</f>
        <v>5</v>
      </c>
      <c r="F145" s="404">
        <f>СЗИ!E114</f>
        <v>0</v>
      </c>
      <c r="G145" s="404">
        <f>СЗИ!F114</f>
        <v>0</v>
      </c>
      <c r="H145" s="373">
        <f>СЗИ!P114</f>
        <v>25.01</v>
      </c>
      <c r="I145" s="404">
        <f>СЗИ!K114</f>
        <v>0</v>
      </c>
      <c r="J145" s="404">
        <f>СЗИ!I114</f>
        <v>0</v>
      </c>
      <c r="K145" s="404">
        <f>СЗИ!L114</f>
        <v>0</v>
      </c>
      <c r="L145" s="404" t="str">
        <f t="shared" si="6"/>
        <v xml:space="preserve"> </v>
      </c>
      <c r="M145" s="373">
        <f t="shared" si="5"/>
        <v>0</v>
      </c>
      <c r="N145" s="407" t="str">
        <f>СЗИ!Q114</f>
        <v/>
      </c>
      <c r="O145" s="407"/>
      <c r="P145" s="407"/>
    </row>
    <row r="146" spans="1:16" ht="46.8">
      <c r="A146" s="270" t="s">
        <v>113</v>
      </c>
      <c r="B146" s="403" t="s">
        <v>344</v>
      </c>
      <c r="C146" s="404" t="str">
        <f>СЗИ!B115</f>
        <v>Процент покрытия инфраструктуры лицензиями на DLP</v>
      </c>
      <c r="D146" s="404" t="str">
        <f>СЗИ!C115</f>
        <v>СЗИ.DLP.3</v>
      </c>
      <c r="E146" s="404">
        <f>СЗИ!D115</f>
        <v>5</v>
      </c>
      <c r="F146" s="404">
        <f>СЗИ!E115</f>
        <v>0</v>
      </c>
      <c r="G146" s="404">
        <f>СЗИ!F115</f>
        <v>0</v>
      </c>
      <c r="H146" s="373">
        <f>СЗИ!P115</f>
        <v>25.020000000000003</v>
      </c>
      <c r="I146" s="404">
        <f>СЗИ!K115</f>
        <v>0</v>
      </c>
      <c r="J146" s="190">
        <f>СЗИ!I115</f>
        <v>0</v>
      </c>
      <c r="K146" s="404">
        <f>СЗИ!L115</f>
        <v>0</v>
      </c>
      <c r="L146" s="404" t="str">
        <f t="shared" si="6"/>
        <v xml:space="preserve"> </v>
      </c>
      <c r="M146" s="373">
        <f t="shared" si="5"/>
        <v>0</v>
      </c>
      <c r="N146" s="407" t="str">
        <f>СЗИ!Q115</f>
        <v/>
      </c>
      <c r="O146" s="407"/>
      <c r="P146" s="407"/>
    </row>
    <row r="147" spans="1:16" ht="46.8">
      <c r="A147" s="270" t="s">
        <v>113</v>
      </c>
      <c r="B147" s="403" t="s">
        <v>344</v>
      </c>
      <c r="C147" s="404" t="str">
        <f>СЗИ!B116</f>
        <v>Процент покрытия инфраструктуры средствами DLP</v>
      </c>
      <c r="D147" s="404" t="str">
        <f>СЗИ!C116</f>
        <v>СЗИ.DLP.4</v>
      </c>
      <c r="E147" s="404">
        <f>СЗИ!D116</f>
        <v>4.75</v>
      </c>
      <c r="F147" s="404">
        <f>СЗИ!E116</f>
        <v>0</v>
      </c>
      <c r="G147" s="404">
        <f>СЗИ!F116</f>
        <v>0</v>
      </c>
      <c r="H147" s="373">
        <f>СЗИ!P116</f>
        <v>25.030000000000005</v>
      </c>
      <c r="I147" s="404">
        <f>СЗИ!K116</f>
        <v>0</v>
      </c>
      <c r="J147" s="190">
        <f>СЗИ!I116</f>
        <v>0</v>
      </c>
      <c r="K147" s="404">
        <f>СЗИ!L116</f>
        <v>0</v>
      </c>
      <c r="L147" s="404" t="str">
        <f t="shared" si="6"/>
        <v xml:space="preserve"> </v>
      </c>
      <c r="M147" s="373">
        <f t="shared" si="5"/>
        <v>0</v>
      </c>
      <c r="N147" s="407" t="str">
        <f>СЗИ!Q116</f>
        <v/>
      </c>
      <c r="O147" s="407"/>
      <c r="P147" s="407"/>
    </row>
    <row r="148" spans="1:16" ht="46.8">
      <c r="A148" s="270" t="s">
        <v>113</v>
      </c>
      <c r="B148" s="403" t="s">
        <v>344</v>
      </c>
      <c r="C148" s="404" t="str">
        <f>СЗИ!B117</f>
        <v>Осуществляется централизованное управление DLP</v>
      </c>
      <c r="D148" s="404" t="str">
        <f>СЗИ!C117</f>
        <v>СЗИ.DLP.5</v>
      </c>
      <c r="E148" s="404">
        <f>СЗИ!D117</f>
        <v>5</v>
      </c>
      <c r="F148" s="404">
        <f>СЗИ!E117</f>
        <v>0</v>
      </c>
      <c r="G148" s="404">
        <f>СЗИ!F117</f>
        <v>0</v>
      </c>
      <c r="H148" s="373">
        <f>СЗИ!P117</f>
        <v>25.040000000000006</v>
      </c>
      <c r="I148" s="404">
        <f>СЗИ!K117</f>
        <v>0</v>
      </c>
      <c r="J148" s="404">
        <f>СЗИ!I117</f>
        <v>0</v>
      </c>
      <c r="K148" s="404">
        <f>СЗИ!L117</f>
        <v>0</v>
      </c>
      <c r="L148" s="404" t="str">
        <f t="shared" si="6"/>
        <v xml:space="preserve"> </v>
      </c>
      <c r="M148" s="373">
        <f t="shared" si="5"/>
        <v>0</v>
      </c>
      <c r="N148" s="407" t="str">
        <f>СЗИ!Q117</f>
        <v/>
      </c>
      <c r="O148" s="407"/>
      <c r="P148" s="407"/>
    </row>
    <row r="149" spans="1:16" ht="46.8">
      <c r="A149" s="270" t="s">
        <v>113</v>
      </c>
      <c r="B149" s="403" t="s">
        <v>344</v>
      </c>
      <c r="C149" s="404" t="str">
        <f>СЗИ!B118</f>
        <v>Настроенные политики соответствуют ТТР Блока ИБ</v>
      </c>
      <c r="D149" s="404" t="str">
        <f>СЗИ!C118</f>
        <v>СЗИ.DLP.6</v>
      </c>
      <c r="E149" s="404">
        <f>СЗИ!D118</f>
        <v>5</v>
      </c>
      <c r="F149" s="404">
        <f>СЗИ!E118</f>
        <v>0</v>
      </c>
      <c r="G149" s="404">
        <f>СЗИ!F118</f>
        <v>0</v>
      </c>
      <c r="H149" s="373">
        <f>СЗИ!P118</f>
        <v>25.050000000000008</v>
      </c>
      <c r="I149" s="404">
        <f>СЗИ!K118</f>
        <v>0</v>
      </c>
      <c r="J149" s="404">
        <f>СЗИ!I118</f>
        <v>0</v>
      </c>
      <c r="K149" s="404">
        <f>СЗИ!L118</f>
        <v>0</v>
      </c>
      <c r="L149" s="404" t="str">
        <f t="shared" si="6"/>
        <v xml:space="preserve"> </v>
      </c>
      <c r="M149" s="373">
        <f t="shared" si="5"/>
        <v>0</v>
      </c>
      <c r="N149" s="407" t="str">
        <f>СЗИ!Q118</f>
        <v/>
      </c>
      <c r="O149" s="407"/>
      <c r="P149" s="407"/>
    </row>
    <row r="150" spans="1:16" ht="46.8">
      <c r="A150" s="270" t="s">
        <v>113</v>
      </c>
      <c r="B150" s="403" t="s">
        <v>344</v>
      </c>
      <c r="C150" s="404" t="str">
        <f>СЗИ!B119</f>
        <v>Процесс контроля работоспособности DLP</v>
      </c>
      <c r="D150" s="404" t="str">
        <f>СЗИ!C119</f>
        <v>СЗИ.DLP.7</v>
      </c>
      <c r="E150" s="404">
        <f>СЗИ!D119</f>
        <v>4</v>
      </c>
      <c r="F150" s="404">
        <f>СЗИ!E119</f>
        <v>0</v>
      </c>
      <c r="G150" s="404">
        <f>СЗИ!F119</f>
        <v>0</v>
      </c>
      <c r="H150" s="373">
        <f>СЗИ!P119</f>
        <v>25.060000000000009</v>
      </c>
      <c r="I150" s="404">
        <f>СЗИ!K119</f>
        <v>0</v>
      </c>
      <c r="J150" s="404">
        <f>СЗИ!I119</f>
        <v>0</v>
      </c>
      <c r="K150" s="404">
        <f>СЗИ!L119</f>
        <v>0</v>
      </c>
      <c r="L150" s="404" t="str">
        <f t="shared" si="6"/>
        <v xml:space="preserve"> </v>
      </c>
      <c r="M150" s="373">
        <f t="shared" si="5"/>
        <v>0</v>
      </c>
      <c r="N150" s="407" t="str">
        <f>СЗИ!Q119</f>
        <v/>
      </c>
      <c r="O150" s="407"/>
      <c r="P150" s="407"/>
    </row>
    <row r="151" spans="1:16" ht="46.8">
      <c r="A151" s="270" t="s">
        <v>113</v>
      </c>
      <c r="B151" s="403" t="s">
        <v>344</v>
      </c>
      <c r="C151" s="404" t="str">
        <f>СЗИ!B120</f>
        <v>Наличие плейбука по реагированию на события DLP</v>
      </c>
      <c r="D151" s="404" t="str">
        <f>СЗИ!C120</f>
        <v>РЕАГ.PB.5.9.3.10</v>
      </c>
      <c r="E151" s="404">
        <f>СЗИ!D120</f>
        <v>5</v>
      </c>
      <c r="F151" s="404">
        <f>СЗИ!E120</f>
        <v>0</v>
      </c>
      <c r="G151" s="404">
        <f>СЗИ!F120</f>
        <v>0</v>
      </c>
      <c r="H151" s="373">
        <f>СЗИ!P120</f>
        <v>25.070000000000011</v>
      </c>
      <c r="I151" s="404">
        <f>СЗИ!K120</f>
        <v>0</v>
      </c>
      <c r="J151" s="404">
        <f>СЗИ!I120</f>
        <v>0</v>
      </c>
      <c r="K151" s="404">
        <f>СЗИ!L120</f>
        <v>0</v>
      </c>
      <c r="L151" s="404" t="str">
        <f t="shared" si="6"/>
        <v xml:space="preserve"> </v>
      </c>
      <c r="M151" s="373">
        <f t="shared" si="5"/>
        <v>0</v>
      </c>
      <c r="N151" s="407" t="str">
        <f>СЗИ!Q120</f>
        <v/>
      </c>
      <c r="O151" s="407"/>
      <c r="P151" s="407"/>
    </row>
    <row r="152" spans="1:16" ht="93.6">
      <c r="A152" s="504" t="s">
        <v>69</v>
      </c>
      <c r="B152" s="405" t="s">
        <v>595</v>
      </c>
      <c r="C152" s="517" t="str">
        <f>'Нормативное соответствие'!B50</f>
        <v xml:space="preserve">Наличие политики в отношении обработки ПДН, соответствующей требованиям законодательтсва (https://62.rkn.gov.ru/directions/p3535/p6528) </v>
      </c>
      <c r="D152" s="404" t="str">
        <f>'Нормативное соответствие'!C50</f>
        <v>НС.ПР.5.8.15.1</v>
      </c>
      <c r="E152" s="404">
        <f>'Нормативное соответствие'!D50</f>
        <v>5</v>
      </c>
      <c r="F152" s="404">
        <f>'Нормативное соответствие'!E50</f>
        <v>5</v>
      </c>
      <c r="G152" s="404">
        <f>'Нормативное соответствие'!F50</f>
        <v>5</v>
      </c>
      <c r="H152" s="373">
        <f>'Нормативное соответствие'!P50</f>
        <v>26.01</v>
      </c>
      <c r="I152" s="404">
        <f>'Нормативное соответствие'!K50</f>
        <v>5</v>
      </c>
      <c r="J152" s="404">
        <f>'Нормативное соответствие'!I50</f>
        <v>0</v>
      </c>
      <c r="K152" s="404">
        <f>'Нормативное соответствие'!L50</f>
        <v>5</v>
      </c>
      <c r="L152" s="404">
        <f t="shared" si="6"/>
        <v>5</v>
      </c>
      <c r="M152" s="373">
        <f t="shared" si="5"/>
        <v>0</v>
      </c>
      <c r="N152" s="407" t="str">
        <f>'Нормативное соответствие'!Q50</f>
        <v/>
      </c>
      <c r="O152" s="407"/>
      <c r="P152" s="407"/>
    </row>
    <row r="153" spans="1:16" ht="124.8">
      <c r="A153" s="504" t="s">
        <v>69</v>
      </c>
      <c r="B153" s="405" t="s">
        <v>595</v>
      </c>
      <c r="C153" s="517" t="str">
        <f>'Нормативное соответствие'!B51</f>
        <v>Политика опубликована и/или доступна (вебсайт или иные ресурсы) для чтения субъектам ПДН</v>
      </c>
      <c r="D153" s="404" t="str">
        <f>'Нормативное соответствие'!C51</f>
        <v>НС.ПР.5.8.15.2</v>
      </c>
      <c r="E153" s="404">
        <f>'Нормативное соответствие'!D51</f>
        <v>5</v>
      </c>
      <c r="F153" s="404">
        <f>'Нормативное соответствие'!E51</f>
        <v>5</v>
      </c>
      <c r="G153" s="404">
        <f>'Нормативное соответствие'!F51</f>
        <v>5</v>
      </c>
      <c r="H153" s="373">
        <f>'Нормативное соответствие'!P51</f>
        <v>26.020000000000003</v>
      </c>
      <c r="I153" s="404">
        <f>'Нормативное соответствие'!K51</f>
        <v>5</v>
      </c>
      <c r="J153" s="404">
        <f>'Нормативное соответствие'!I51</f>
        <v>0</v>
      </c>
      <c r="K153" s="404">
        <f>'Нормативное соответствие'!L51</f>
        <v>0</v>
      </c>
      <c r="L153" s="404">
        <f t="shared" si="6"/>
        <v>0</v>
      </c>
      <c r="M153" s="373">
        <f t="shared" si="5"/>
        <v>5</v>
      </c>
      <c r="N153" s="407" t="str">
        <f>'Нормативное соответствие'!Q51</f>
        <v xml:space="preserve">  -  Разместить Политику по обработке персональных данных в Организации (или выписку из неё) на веб-сайте Организации;
    -  Разместить печатную версию Политики по обработке персональных данных в Организации в общедоступной части офиса Организации;
    -  Обеспечить ознакомление всех работников Организации с Политикой по обработке персональных данных в Организации (с возможностью подтверждения такого ознакомления - посредством системы электронного документооборота или под роспись на бумажном носителе</v>
      </c>
      <c r="O153" s="407"/>
      <c r="P153" s="407"/>
    </row>
    <row r="154" spans="1:16" ht="78">
      <c r="A154" s="504" t="s">
        <v>69</v>
      </c>
      <c r="B154" s="405" t="s">
        <v>595</v>
      </c>
      <c r="C154" s="517" t="str">
        <f>'Нормативное соответствие'!B52</f>
        <v>Назначено лицо, ответственное за организацию обработки персональных данных, определены его функции и обязанности</v>
      </c>
      <c r="D154" s="404" t="str">
        <f>'Нормативное соответствие'!C52</f>
        <v>НС.ПР.5.8.15.3</v>
      </c>
      <c r="E154" s="404">
        <f>'Нормативное соответствие'!D52</f>
        <v>5</v>
      </c>
      <c r="F154" s="404">
        <f>'Нормативное соответствие'!E52</f>
        <v>5</v>
      </c>
      <c r="G154" s="404">
        <f>'Нормативное соответствие'!F52</f>
        <v>5</v>
      </c>
      <c r="H154" s="373">
        <f>'Нормативное соответствие'!P52</f>
        <v>26.030000000000005</v>
      </c>
      <c r="I154" s="404">
        <f>'Нормативное соответствие'!K52</f>
        <v>5</v>
      </c>
      <c r="J154" s="404">
        <f>'Нормативное соответствие'!I52</f>
        <v>0</v>
      </c>
      <c r="K154" s="404">
        <f>'Нормативное соответствие'!L52</f>
        <v>0</v>
      </c>
      <c r="L154" s="404">
        <f t="shared" si="6"/>
        <v>0</v>
      </c>
      <c r="M154" s="373">
        <f t="shared" si="5"/>
        <v>5</v>
      </c>
      <c r="N154" s="407" t="str">
        <f>'Нормативное соответствие'!Q52</f>
        <v xml:space="preserve">  -  Разработать и утвердить Приказ о назначении лица, ответственного за организацию обработки персональных данных.</v>
      </c>
      <c r="O154" s="407"/>
      <c r="P154" s="407"/>
    </row>
    <row r="155" spans="1:16" ht="93.6">
      <c r="A155" s="504" t="s">
        <v>69</v>
      </c>
      <c r="B155" s="405" t="s">
        <v>595</v>
      </c>
      <c r="C155" s="517" t="str">
        <f>'Нормативное соответствие'!B53</f>
        <v xml:space="preserve">Уведомление об обработке персональных данных направлено в Роскомнадзор, сведения об организации в реестре РКН поддерживаются в акутальном состоянии </v>
      </c>
      <c r="D155" s="404" t="str">
        <f>'Нормативное соответствие'!C53</f>
        <v>НС.ПР.5.8.15.4</v>
      </c>
      <c r="E155" s="404">
        <f>'Нормативное соответствие'!D53</f>
        <v>5</v>
      </c>
      <c r="F155" s="404">
        <f>'Нормативное соответствие'!E53</f>
        <v>5</v>
      </c>
      <c r="G155" s="404">
        <f>'Нормативное соответствие'!F53</f>
        <v>5</v>
      </c>
      <c r="H155" s="373">
        <f>'Нормативное соответствие'!P53</f>
        <v>26.040000000000006</v>
      </c>
      <c r="I155" s="404">
        <f>'Нормативное соответствие'!K53</f>
        <v>5</v>
      </c>
      <c r="J155" s="404">
        <f>'Нормативное соответствие'!I53</f>
        <v>0</v>
      </c>
      <c r="K155" s="404">
        <f>'Нормативное соответствие'!L53</f>
        <v>0</v>
      </c>
      <c r="L155" s="404">
        <f t="shared" si="6"/>
        <v>0</v>
      </c>
      <c r="M155" s="373">
        <f t="shared" si="5"/>
        <v>5</v>
      </c>
      <c r="N155" s="407" t="str">
        <f>'Нормативное соответствие'!Q53</f>
        <v xml:space="preserve"> - Разработать и направить в Роскомнадзор Уведомление об обработке персональных данных</v>
      </c>
      <c r="O155" s="407"/>
      <c r="P155" s="407"/>
    </row>
    <row r="156" spans="1:16" ht="109.2">
      <c r="A156" s="504" t="s">
        <v>69</v>
      </c>
      <c r="B156" s="405" t="s">
        <v>595</v>
      </c>
      <c r="C156" s="517" t="str">
        <f>'Нормативное соответствие'!B54</f>
        <v>Наличие ВНД, регламентирующих порядок реализации процессов обработки ПДН в соответствии с рекомендациями ПАО "Ростелеком" (размещено на киберпортале)</v>
      </c>
      <c r="D156" s="404" t="str">
        <f>'Нормативное соответствие'!C54</f>
        <v>НС.ПР.5.8.15.5</v>
      </c>
      <c r="E156" s="404">
        <f>'Нормативное соответствие'!D54</f>
        <v>5</v>
      </c>
      <c r="F156" s="404">
        <f>'Нормативное соответствие'!E54</f>
        <v>5</v>
      </c>
      <c r="G156" s="404">
        <f>'Нормативное соответствие'!F54</f>
        <v>5</v>
      </c>
      <c r="H156" s="373">
        <f>'Нормативное соответствие'!P54</f>
        <v>26.050000000000008</v>
      </c>
      <c r="I156" s="404">
        <f>'Нормативное соответствие'!K54</f>
        <v>5</v>
      </c>
      <c r="J156" s="404">
        <f>'Нормативное соответствие'!I54</f>
        <v>0</v>
      </c>
      <c r="K156" s="404">
        <f>'Нормативное соответствие'!L54</f>
        <v>0</v>
      </c>
      <c r="L156" s="404">
        <f t="shared" si="6"/>
        <v>0</v>
      </c>
      <c r="M156" s="373">
        <f t="shared" si="5"/>
        <v>5</v>
      </c>
      <c r="N156" s="407" t="str">
        <f>'Нормативное соответствие'!Q54</f>
        <v xml:space="preserve"> -  Провести процедуру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организации;
  -  В случае выявления необходимости, актуализировать и направить повторно Уведомление в Роскомнадзор;
  -  Запланировать регулярный процесс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 и подачи актуальных сведений в Роскомнадзор</v>
      </c>
      <c r="O156" s="407"/>
      <c r="P156" s="407"/>
    </row>
    <row r="157" spans="1:16" ht="156">
      <c r="A157" s="504" t="s">
        <v>69</v>
      </c>
      <c r="B157" s="405" t="s">
        <v>595</v>
      </c>
      <c r="C157" s="517" t="str">
        <f>'Нормативное соответствие'!B55</f>
        <v xml:space="preserve">Наличие согласия на обработку персональных данных от субъекта персональных данных в соответствии с законодательством РФ </v>
      </c>
      <c r="D157" s="404" t="str">
        <f>'Нормативное соответствие'!C55</f>
        <v>НС.ПР.5.8.15.6</v>
      </c>
      <c r="E157" s="404">
        <f>'Нормативное соответствие'!D55</f>
        <v>5</v>
      </c>
      <c r="F157" s="404">
        <f>'Нормативное соответствие'!E55</f>
        <v>5</v>
      </c>
      <c r="G157" s="404">
        <f>'Нормативное соответствие'!F55</f>
        <v>5</v>
      </c>
      <c r="H157" s="373">
        <f>'Нормативное соответствие'!P55</f>
        <v>26.060000000000009</v>
      </c>
      <c r="I157" s="404">
        <f>'Нормативное соответствие'!K55</f>
        <v>5</v>
      </c>
      <c r="J157" s="404">
        <f>'Нормативное соответствие'!I55</f>
        <v>0</v>
      </c>
      <c r="K157" s="404">
        <f>'Нормативное соответствие'!L55</f>
        <v>0</v>
      </c>
      <c r="L157" s="404">
        <f t="shared" si="6"/>
        <v>0</v>
      </c>
      <c r="M157" s="373">
        <f t="shared" si="5"/>
        <v>5</v>
      </c>
      <c r="N157" s="407" t="str">
        <f>'Нормативное соответствие'!Q55</f>
        <v xml:space="preserve"> - Провести процедуру определения оснований для обработки персональных данных для каждой заявленной в ВНД организации цели их обработки;
   -  Разработать формы Согласия на обработку персональных данных от субъекта персональных данных для всех случаев (целей) обработки персональных данных в организации, для которых отсутствует иное законное основание;
   -  Обеспечить сбор Согласий на обработку персональных данных от субъектов персональных данных согласно разработанным формам;
   - Разработать процесс учета и хранения Согласий на обработку персональных данных от субъектов персональных данных для всех случаев (целей) обработки персональных данных в организации</v>
      </c>
      <c r="O157" s="407"/>
      <c r="P157" s="407"/>
    </row>
    <row r="158" spans="1:16" ht="218.4">
      <c r="A158" s="504" t="s">
        <v>69</v>
      </c>
      <c r="B158" s="405" t="s">
        <v>595</v>
      </c>
      <c r="C158" s="517" t="str">
        <f>'Нормативное соответствие'!B56</f>
        <v>При поступлении на работу работник дает согласие на передачу его персональных данных третьим лицам</v>
      </c>
      <c r="D158" s="404" t="str">
        <f>'Нормативное соответствие'!C56</f>
        <v>НС.ПР.5.8.15.7</v>
      </c>
      <c r="E158" s="404">
        <f>'Нормативное соответствие'!D56</f>
        <v>5</v>
      </c>
      <c r="F158" s="404">
        <f>'Нормативное соответствие'!E56</f>
        <v>5</v>
      </c>
      <c r="G158" s="404">
        <f>'Нормативное соответствие'!F56</f>
        <v>5</v>
      </c>
      <c r="H158" s="373">
        <f>'Нормативное соответствие'!P56</f>
        <v>26.070000000000011</v>
      </c>
      <c r="I158" s="404">
        <f>'Нормативное соответствие'!K56</f>
        <v>5</v>
      </c>
      <c r="J158" s="404">
        <f>'Нормативное соответствие'!I56</f>
        <v>0</v>
      </c>
      <c r="K158" s="404">
        <f>'Нормативное соответствие'!L56</f>
        <v>0</v>
      </c>
      <c r="L158" s="404">
        <f t="shared" si="6"/>
        <v>0</v>
      </c>
      <c r="M158" s="373">
        <f t="shared" si="5"/>
        <v>5</v>
      </c>
      <c r="N158" s="407" t="str">
        <f>'Нормативное соответствие'!Q56</f>
        <v xml:space="preserve"> -  Разработать или получить в Блоке ИБ ПАО Ростелеком типовую форму Согласия на передачу персональных данных работника;
   -  Провести аудит процессов обработки персональных данных работников с целью выявления случаев их передачи третьим лицам;
   -  Проанализировать выявленные случаи передачи персональных данных работников третьим лицам на предмет отсеивания случаев, когда такая передача осуществляется в целях соблюдения законодательства Российской федерации;
   -  Адаптировать форму Согласия на передачу персональных данных работника для выявленных случаев, не имеющих правовых оснований для передачи;
   -  Разработать процесс учета и хранения Согласий на передачу персональных данных работников третьим лицам;
   -  Разработать и внедрить процедуру адаптации формы Согласия на передачу персональных данных работников третьим лицам для всех вновь возникающих в организации случаев такой передачи.</v>
      </c>
      <c r="O158" s="407"/>
      <c r="P158" s="407"/>
    </row>
    <row r="159" spans="1:16" ht="124.8">
      <c r="A159" s="504" t="s">
        <v>69</v>
      </c>
      <c r="B159" s="405" t="s">
        <v>595</v>
      </c>
      <c r="C159" s="517" t="str">
        <f>'Нормативное соответствие'!B57</f>
        <v>Обеспечивается ли прекращение обработки персональных данных в случае отзыва субъектом персональных данных согласия на обработку своих персональных данных в срок, установленный законодательством РФ?</v>
      </c>
      <c r="D159" s="404" t="str">
        <f>'Нормативное соответствие'!C57</f>
        <v>НС.ПР.5.8.15.8</v>
      </c>
      <c r="E159" s="404">
        <f>'Нормативное соответствие'!D57</f>
        <v>5</v>
      </c>
      <c r="F159" s="404">
        <f>'Нормативное соответствие'!E57</f>
        <v>5</v>
      </c>
      <c r="G159" s="404">
        <f>'Нормативное соответствие'!F57</f>
        <v>5</v>
      </c>
      <c r="H159" s="373">
        <f>'Нормативное соответствие'!P57</f>
        <v>26.080000000000013</v>
      </c>
      <c r="I159" s="404">
        <f>'Нормативное соответствие'!K57</f>
        <v>5</v>
      </c>
      <c r="J159" s="404">
        <f>'Нормативное соответствие'!I57</f>
        <v>0</v>
      </c>
      <c r="K159" s="404">
        <f>'Нормативное соответствие'!L57</f>
        <v>0</v>
      </c>
      <c r="L159" s="404">
        <f t="shared" si="6"/>
        <v>0</v>
      </c>
      <c r="M159" s="373">
        <f t="shared" si="5"/>
        <v>5</v>
      </c>
      <c r="N159" s="407" t="str">
        <f>'Нормативное соответствие'!Q57</f>
        <v xml:space="preserve"> - Разработать Порядок отзыва субъектом персональных данных  согласия на обработку его персональных данных, определяющий процедуру и сроки прекращения обработки его персональных данных (блокирование, уничтожение) в случае невозможности обеспечения правомерности дальнейшей их обработки</v>
      </c>
      <c r="O159" s="407"/>
      <c r="P159" s="407"/>
    </row>
    <row r="160" spans="1:16" s="73" customFormat="1" ht="109.2">
      <c r="A160" s="504" t="s">
        <v>69</v>
      </c>
      <c r="B160" s="405" t="s">
        <v>595</v>
      </c>
      <c r="C160" s="517" t="str">
        <f>'Нормативное соответствие'!B58</f>
        <v>Осуществляется ознакомление всех работников с требованием о неразглашении информации, содержащей персональные данные субъектов персональных данных третьим лицам</v>
      </c>
      <c r="D160" s="404" t="str">
        <f>'Нормативное соответствие'!C58</f>
        <v>НС.ПР.5.8.15.9</v>
      </c>
      <c r="E160" s="404">
        <f>'Нормативное соответствие'!D58</f>
        <v>5</v>
      </c>
      <c r="F160" s="404">
        <f>'Нормативное соответствие'!E58</f>
        <v>5</v>
      </c>
      <c r="G160" s="404">
        <f>'Нормативное соответствие'!F58</f>
        <v>5</v>
      </c>
      <c r="H160" s="373">
        <f>'Нормативное соответствие'!P58</f>
        <v>26.090000000000014</v>
      </c>
      <c r="I160" s="404">
        <f>'Нормативное соответствие'!K58</f>
        <v>5</v>
      </c>
      <c r="J160" s="404">
        <f>'Нормативное соответствие'!I58</f>
        <v>0</v>
      </c>
      <c r="K160" s="404">
        <f>'Нормативное соответствие'!L58</f>
        <v>0</v>
      </c>
      <c r="L160" s="404">
        <f t="shared" si="6"/>
        <v>0</v>
      </c>
      <c r="M160" s="373">
        <f t="shared" si="5"/>
        <v>5</v>
      </c>
      <c r="N160" s="407" t="str">
        <f>'Нормативное соответствие'!Q58</f>
        <v xml:space="preserve"> -  Разработать или получить в Блоке ИБ ПАО Ростелеком типовую форму Обязательства о неразглашении конфиденциальной информации (персональных данных);
   -  Разработать процесс сбора Обязательств о неразглашении конфиденциальной информации (персональных данных) с  вновь устроившихся работников организации, либо подтверждения их ознакомления в с требованием о неразглашении в иной форме</v>
      </c>
      <c r="O160" s="407"/>
      <c r="P160" s="407"/>
    </row>
    <row r="161" spans="1:16" ht="62.4">
      <c r="A161" s="504" t="s">
        <v>69</v>
      </c>
      <c r="B161" s="405" t="s">
        <v>595</v>
      </c>
      <c r="C161" s="517" t="str">
        <f>'Нормативное соответствие'!B59</f>
        <v>Наличие документа, подтверждающего определение угроз безопасности ПДн при их обработке</v>
      </c>
      <c r="D161" s="404" t="str">
        <f>'Нормативное соответствие'!C59</f>
        <v>НС.ПР.5.8.15.10</v>
      </c>
      <c r="E161" s="404">
        <f>'Нормативное соответствие'!D59</f>
        <v>5</v>
      </c>
      <c r="F161" s="404">
        <f>'Нормативное соответствие'!E59</f>
        <v>5</v>
      </c>
      <c r="G161" s="404">
        <f>'Нормативное соответствие'!F59</f>
        <v>5</v>
      </c>
      <c r="H161" s="373">
        <f>'Нормативное соответствие'!P59</f>
        <v>26.100000000000016</v>
      </c>
      <c r="I161" s="404">
        <f>'Нормативное соответствие'!K59</f>
        <v>5</v>
      </c>
      <c r="J161" s="404">
        <f>'Нормативное соответствие'!I59</f>
        <v>0</v>
      </c>
      <c r="K161" s="404">
        <f>'Нормативное соответствие'!L59</f>
        <v>0</v>
      </c>
      <c r="L161" s="404">
        <f t="shared" si="6"/>
        <v>0</v>
      </c>
      <c r="M161" s="373">
        <f t="shared" si="5"/>
        <v>5</v>
      </c>
      <c r="N161" s="407" t="str">
        <f>'Нормативное соответствие'!Q59</f>
        <v xml:space="preserve"> Разработать нормативный документ, в котором определены угрозы безопасности ПДн при их обработке;</v>
      </c>
      <c r="O161" s="407"/>
      <c r="P161" s="407"/>
    </row>
    <row r="162" spans="1:16" ht="78">
      <c r="A162" s="504" t="s">
        <v>69</v>
      </c>
      <c r="B162" s="405" t="s">
        <v>595</v>
      </c>
      <c r="C162" s="517" t="str">
        <f>'Нормативное соответствие'!B60</f>
        <v xml:space="preserve">Направлено отдельное уведомление в Роскомнадзор  в случае трансграничной передачи персональных данных </v>
      </c>
      <c r="D162" s="404" t="str">
        <f>'Нормативное соответствие'!C60</f>
        <v>НС.ПР.5.8.15.11</v>
      </c>
      <c r="E162" s="404">
        <f>'Нормативное соответствие'!D60</f>
        <v>5</v>
      </c>
      <c r="F162" s="404">
        <f>'Нормативное соответствие'!E60</f>
        <v>5</v>
      </c>
      <c r="G162" s="404">
        <f>'Нормативное соответствие'!F60</f>
        <v>5</v>
      </c>
      <c r="H162" s="373">
        <f>'Нормативное соответствие'!P60</f>
        <v>26.110000000000017</v>
      </c>
      <c r="I162" s="404">
        <f>'Нормативное соответствие'!K60</f>
        <v>5</v>
      </c>
      <c r="J162" s="404">
        <f>'Нормативное соответствие'!I60</f>
        <v>0</v>
      </c>
      <c r="K162" s="404">
        <f>'Нормативное соответствие'!L60</f>
        <v>0</v>
      </c>
      <c r="L162" s="404">
        <f t="shared" si="6"/>
        <v>0</v>
      </c>
      <c r="M162" s="373">
        <f t="shared" si="5"/>
        <v>5</v>
      </c>
      <c r="N162" s="407" t="str">
        <f>'Нормативное соответствие'!Q60</f>
        <v xml:space="preserve"> - Разработать и направить в Роскомнадзор Уведомление намерении осуществлять трансграничную передачу персональных данных (при наличии такого вида обработки);
  -  Разработать процесс внесения изменений в Уведомление Роскомнадзора о намерении осуществлять трансграничную передачу персональных данных для всех новых организуемых бизнес-процессов, предусматривающих трансграничную передачу персональных данных </v>
      </c>
      <c r="O162" s="407"/>
      <c r="P162" s="407"/>
    </row>
    <row r="163" spans="1:16" ht="249.6">
      <c r="A163" s="516" t="s">
        <v>69</v>
      </c>
      <c r="B163" s="517" t="s">
        <v>595</v>
      </c>
      <c r="C163" s="517" t="str">
        <f>'Нормативное соответствие'!B61</f>
        <v xml:space="preserve">При сборе персональных данных, в том числе посредством информационно-телекоммуникационной сети "Интернет", запись, систематизация, накопление, хранение, уточнение (обновление, изменение), извлечение персональных данных граждан Российской Федерации с использованием баз данных, находящихся за пределами территории Российской Федерации, не допускаются.
</v>
      </c>
      <c r="D163" s="404" t="str">
        <f>'Нормативное соответствие'!C61</f>
        <v>НС.ПР.5.8.15.12</v>
      </c>
      <c r="E163" s="404">
        <f>'Нормативное соответствие'!D61</f>
        <v>5</v>
      </c>
      <c r="F163" s="404">
        <f>'Нормативное соответствие'!E61</f>
        <v>5</v>
      </c>
      <c r="G163" s="404">
        <f>'Нормативное соответствие'!F61</f>
        <v>5</v>
      </c>
      <c r="H163" s="373">
        <f>'Нормативное соответствие'!P61</f>
        <v>26.120000000000019</v>
      </c>
      <c r="I163" s="404">
        <f>'Нормативное соответствие'!K61</f>
        <v>5</v>
      </c>
      <c r="J163" s="404">
        <f>'Нормативное соответствие'!I61</f>
        <v>0</v>
      </c>
      <c r="K163" s="404">
        <f>'Нормативное соответствие'!L61</f>
        <v>0</v>
      </c>
      <c r="L163" s="404">
        <f t="shared" si="6"/>
        <v>0</v>
      </c>
      <c r="M163" s="373">
        <f t="shared" si="5"/>
        <v>5</v>
      </c>
      <c r="N163" s="408" t="str">
        <f>'Нормативное соответствие'!Q61</f>
        <v xml:space="preserve"> - Провести аудит фактического размещения баз данных, обеспечивающих систематизацию, накопление, хранение, уточнение (обновления, изменения), извлечение персональных данных граждан РФ;
   -  В случае выявления баз данных, размещенных за пределами территории РФ, запланировать модернизацию инфраструктуры, предусматривающую релокацию таких баз;
   -  Разработать процесс учета всех баз данных организации, обеспечивающих систематизацию, накопление, хранение, уточнение (обновления, изменения), извлечение персональных данных, с указанием их местонахождения</v>
      </c>
      <c r="O163" s="408"/>
      <c r="P163" s="408"/>
    </row>
    <row r="164" spans="1:16" ht="62.4">
      <c r="A164" s="504" t="s">
        <v>69</v>
      </c>
      <c r="B164" s="405" t="s">
        <v>595</v>
      </c>
      <c r="C164" s="517" t="str">
        <f>'Нормативное соответствие'!B62</f>
        <v xml:space="preserve">Наличие перечня ИСПДН </v>
      </c>
      <c r="D164" s="404" t="str">
        <f>'Нормативное соответствие'!C62</f>
        <v>НС.ПР.5.8.15.13</v>
      </c>
      <c r="E164" s="404">
        <f>'Нормативное соответствие'!D62</f>
        <v>5</v>
      </c>
      <c r="F164" s="404">
        <f>'Нормативное соответствие'!E62</f>
        <v>5</v>
      </c>
      <c r="G164" s="404">
        <f>'Нормативное соответствие'!F62</f>
        <v>5</v>
      </c>
      <c r="H164" s="373">
        <f>'Нормативное соответствие'!P62</f>
        <v>26.13000000000002</v>
      </c>
      <c r="I164" s="404">
        <f>'Нормативное соответствие'!K62</f>
        <v>5</v>
      </c>
      <c r="J164" s="404">
        <f>'Нормативное соответствие'!I62</f>
        <v>0</v>
      </c>
      <c r="K164" s="404">
        <f>'Нормативное соответствие'!L62</f>
        <v>0</v>
      </c>
      <c r="L164" s="404">
        <f t="shared" si="6"/>
        <v>0</v>
      </c>
      <c r="M164" s="373">
        <f t="shared" si="5"/>
        <v>5</v>
      </c>
      <c r="N164" s="407" t="str">
        <f>'Нормативное соответствие'!Q62</f>
        <v xml:space="preserve"> - Разработать и утвердить ВНД, определяющий угрозы безопасности персональных данных при их обработке в организации;
   -  Убедиться, что для всех информационных систем персональных данных организации определены угрозы безопасности персональных данных</v>
      </c>
      <c r="O164" s="407"/>
      <c r="P164" s="407"/>
    </row>
    <row r="165" spans="1:16" ht="62.4">
      <c r="A165" s="504" t="s">
        <v>69</v>
      </c>
      <c r="B165" s="405" t="s">
        <v>595</v>
      </c>
      <c r="C165" s="517" t="str">
        <f>'Нормативное соответствие'!B63</f>
        <v>Учет машинных носителей персональных данных;</v>
      </c>
      <c r="D165" s="404" t="str">
        <f>'Нормативное соответствие'!C63</f>
        <v>НС.ПР.5.8.15.14</v>
      </c>
      <c r="E165" s="404">
        <f>'Нормативное соответствие'!D63</f>
        <v>5</v>
      </c>
      <c r="F165" s="404">
        <f>'Нормативное соответствие'!E63</f>
        <v>5</v>
      </c>
      <c r="G165" s="404">
        <f>'Нормативное соответствие'!F63</f>
        <v>5</v>
      </c>
      <c r="H165" s="373">
        <f>'Нормативное соответствие'!P63</f>
        <v>26.140000000000022</v>
      </c>
      <c r="I165" s="404">
        <f>'Нормативное соответствие'!K63</f>
        <v>5</v>
      </c>
      <c r="J165" s="404">
        <f>'Нормативное соответствие'!I63</f>
        <v>0</v>
      </c>
      <c r="K165" s="404">
        <f>'Нормативное соответствие'!L63</f>
        <v>0</v>
      </c>
      <c r="L165" s="404">
        <f t="shared" si="6"/>
        <v>0</v>
      </c>
      <c r="M165" s="373">
        <f t="shared" si="5"/>
        <v>5</v>
      </c>
      <c r="N165" s="407" t="str">
        <f>'Нормативное соответствие'!Q63</f>
        <v xml:space="preserve"> - Разработать и утвердить ВНД, определяющий порядок использования съемных носителей информации, в т.ч. правила их учета; 
   - Запланировать регулярный процесс контроля ведения учета съемных носителей информации</v>
      </c>
      <c r="O165" s="407"/>
      <c r="P165" s="407"/>
    </row>
    <row r="166" spans="1:16" ht="62.4">
      <c r="A166" s="504" t="s">
        <v>69</v>
      </c>
      <c r="B166" s="405" t="s">
        <v>595</v>
      </c>
      <c r="C166" s="517" t="str">
        <f>'Нормативное соответствие'!B64</f>
        <v>Наличие документов, подтверждающих определение уровня защищенности ПДн в ИСПДн</v>
      </c>
      <c r="D166" s="404" t="str">
        <f>'Нормативное соответствие'!C64</f>
        <v>НС.ПР.5.8.15.15</v>
      </c>
      <c r="E166" s="404">
        <f>'Нормативное соответствие'!D64</f>
        <v>5</v>
      </c>
      <c r="F166" s="404">
        <f>'Нормативное соответствие'!E64</f>
        <v>5</v>
      </c>
      <c r="G166" s="404">
        <f>'Нормативное соответствие'!F64</f>
        <v>5</v>
      </c>
      <c r="H166" s="373">
        <f>'Нормативное соответствие'!P64</f>
        <v>26.150000000000023</v>
      </c>
      <c r="I166" s="404">
        <f>'Нормативное соответствие'!K64</f>
        <v>5</v>
      </c>
      <c r="J166" s="404">
        <f>'Нормативное соответствие'!I64</f>
        <v>0</v>
      </c>
      <c r="K166" s="404">
        <f>'Нормативное соответствие'!L64</f>
        <v>0</v>
      </c>
      <c r="L166" s="404">
        <f t="shared" si="6"/>
        <v>0</v>
      </c>
      <c r="M166" s="373">
        <f t="shared" si="5"/>
        <v>5</v>
      </c>
      <c r="N166" s="407" t="str">
        <f>'Нормативное соответствие'!Q64</f>
        <v xml:space="preserve"> - Разработать и утвердить Акты категорирования для каждой ИСПДн;</v>
      </c>
      <c r="O166" s="407"/>
      <c r="P166" s="407"/>
    </row>
    <row r="167" spans="1:16" ht="187.2">
      <c r="A167" s="504" t="s">
        <v>69</v>
      </c>
      <c r="B167" s="405" t="s">
        <v>595</v>
      </c>
      <c r="C167" s="517" t="str">
        <f>'Нормативное соответствие'!B65</f>
        <v>Проводится периодический внутренний контроль и (или) аудит соответствия обработки персональных данных Федеральному закону №152-ФЗ "О персональных данных" и принятым требованиям к защите персональных данных, политике в отношении обработки персональных данных и прочим внутренним нормативным документам.</v>
      </c>
      <c r="D167" s="404" t="str">
        <f>'Нормативное соответствие'!C65</f>
        <v>НС.ПР.5.8.15.16</v>
      </c>
      <c r="E167" s="404">
        <f>'Нормативное соответствие'!D65</f>
        <v>5</v>
      </c>
      <c r="F167" s="404">
        <f>'Нормативное соответствие'!E65</f>
        <v>5</v>
      </c>
      <c r="G167" s="404">
        <f>'Нормативное соответствие'!F65</f>
        <v>5</v>
      </c>
      <c r="H167" s="373">
        <f>'Нормативное соответствие'!P65</f>
        <v>26.160000000000025</v>
      </c>
      <c r="I167" s="404">
        <f>'Нормативное соответствие'!K65</f>
        <v>5</v>
      </c>
      <c r="J167" s="404">
        <f>'Нормативное соответствие'!I65</f>
        <v>0</v>
      </c>
      <c r="K167" s="404">
        <f>'Нормативное соответствие'!L65</f>
        <v>0</v>
      </c>
      <c r="L167" s="404">
        <f t="shared" si="6"/>
        <v>0</v>
      </c>
      <c r="M167" s="373">
        <f t="shared" si="5"/>
        <v>5</v>
      </c>
      <c r="N167" s="407" t="str">
        <f>'Нормативное соответствие'!Q65</f>
        <v xml:space="preserve"> - Ответственныи за организацию обработки персональных данных либо комиссией провести процедуру оценку вреда. В ходе оценки определить в соответствии с требованиями Приказа Росконадзора № 178 одну из степеней вреда, который может быть причинен субъекту персональных данных - высокую, среднюю или низкую;
2) Оформить результаты оценки вреда Актом.</v>
      </c>
      <c r="O167" s="407"/>
      <c r="P167" s="407"/>
    </row>
    <row r="168" spans="1:16" ht="140.4">
      <c r="A168" s="504" t="s">
        <v>69</v>
      </c>
      <c r="B168" s="405" t="s">
        <v>595</v>
      </c>
      <c r="C168" s="517" t="str">
        <f>'Нормативное соответствие'!B66</f>
        <v>Наличие оценки вреда, который может быть причинен субъектам персональных данных в случае нарушения законодательства в области персональных данных, в соответствии с требованиями, установленными Роскомнадзором.</v>
      </c>
      <c r="D168" s="404" t="str">
        <f>'Нормативное соответствие'!C66</f>
        <v>НС.ПР.5.8.15.17</v>
      </c>
      <c r="E168" s="404">
        <f>'Нормативное соответствие'!D66</f>
        <v>5</v>
      </c>
      <c r="F168" s="404">
        <f>'Нормативное соответствие'!E66</f>
        <v>5</v>
      </c>
      <c r="G168" s="404">
        <f>'Нормативное соответствие'!F66</f>
        <v>5</v>
      </c>
      <c r="H168" s="373">
        <f>'Нормативное соответствие'!P66</f>
        <v>26.170000000000027</v>
      </c>
      <c r="I168" s="404">
        <f>'Нормативное соответствие'!K66</f>
        <v>5</v>
      </c>
      <c r="J168" s="404">
        <f>'Нормативное соответствие'!I66</f>
        <v>0</v>
      </c>
      <c r="K168" s="404">
        <f>'Нормативное соответствие'!L66</f>
        <v>0</v>
      </c>
      <c r="L168" s="404">
        <f t="shared" si="6"/>
        <v>0</v>
      </c>
      <c r="M168" s="373">
        <f t="shared" si="5"/>
        <v>5</v>
      </c>
      <c r="N168" s="407" t="str">
        <f>'Нормативное соответствие'!Q66</f>
        <v xml:space="preserve"> - Разработать и утвердить Положение о проведении контроля информационной безопасности (в т.ч. устанавливающий порядок проведения аудита соответствия обработки персональных данных требованиям ФЗ-152);
   -  Разработать и утвердить План проведения контроля информационной безопасности и (или) аудита соответствия обработки персональных данных требованиям ФЗ-152</v>
      </c>
      <c r="O168" s="407"/>
      <c r="P168" s="407"/>
    </row>
    <row r="169" spans="1:16" ht="187.2">
      <c r="A169" s="504" t="s">
        <v>69</v>
      </c>
      <c r="B169" s="405" t="s">
        <v>595</v>
      </c>
      <c r="C169" s="517" t="str">
        <f>'Нормативное соответствие'!B67</f>
        <v>Осуществляется информирование Роскомнадзора об инцидентах, связанных с обработкой персональных данных, повлекших нарушение прав субъектов персональных данных, с момента выявления такого инцидента в порядке, определенном Федеральным законом 152-ФЗ "О персональных данных".</v>
      </c>
      <c r="D169" s="404" t="str">
        <f>'Нормативное соответствие'!C67</f>
        <v>НС.ПР.5.8.15.18</v>
      </c>
      <c r="E169" s="404">
        <f>'Нормативное соответствие'!D67</f>
        <v>5</v>
      </c>
      <c r="F169" s="404">
        <f>'Нормативное соответствие'!E67</f>
        <v>5</v>
      </c>
      <c r="G169" s="404">
        <f>'Нормативное соответствие'!F67</f>
        <v>5</v>
      </c>
      <c r="H169" s="373">
        <f>'Нормативное соответствие'!P67</f>
        <v>26.180000000000028</v>
      </c>
      <c r="I169" s="404">
        <f>'Нормативное соответствие'!K67</f>
        <v>5</v>
      </c>
      <c r="J169" s="404">
        <f>'Нормативное соответствие'!I67</f>
        <v>0</v>
      </c>
      <c r="K169" s="404">
        <f>'Нормативное соответствие'!L67</f>
        <v>0</v>
      </c>
      <c r="L169" s="404">
        <f t="shared" si="6"/>
        <v>0</v>
      </c>
      <c r="M169" s="373">
        <f t="shared" si="5"/>
        <v>5</v>
      </c>
      <c r="N169" s="407" t="str">
        <f>'Нормативное соответствие'!Q67</f>
        <v xml:space="preserve"> - Выстроить в организации сквозной процесс по сбору информации об инцидентах, связанных с обработкой персональных данных, повлекших нарушение прав субъектов персональных данных, установить временные ограничения;
 -  Регламентировать процесс по информированию Роскомнадзора об инцидентах, связанных с обработкой персональных данных, повлекших нарушение прав субъектов персональных данных, в сроки и порядке согласно п. - 1 Ст.21 ФЗ № 152;
3) Запланировать регулярный процесс контроля информирования Роскомнадзора об инцидентах, связанных с обработкой персональных данных, повлекших нарушение прав субъектов персональных данных (в случае их обнаружения)</v>
      </c>
      <c r="O169" s="407"/>
      <c r="P169" s="407"/>
    </row>
    <row r="170" spans="1:16" ht="218.4">
      <c r="A170" s="504" t="s">
        <v>69</v>
      </c>
      <c r="B170" s="405" t="s">
        <v>595</v>
      </c>
      <c r="C170" s="517" t="str">
        <f>'Нормативное соответствие'!B68</f>
        <v>Организовано периодическое ознакомление работников, непосредственно осуществляющих обработку персональных данных, с положениями законодательства Российской Федерации о персональных данных, в том числе с требованиями к защите персональных данных и внутренними нормативными документами по вопросам обработки персональных данных</v>
      </c>
      <c r="D170" s="404" t="str">
        <f>'Нормативное соответствие'!C68</f>
        <v>НС.ПР.5.8.15.19</v>
      </c>
      <c r="E170" s="404">
        <f>'Нормативное соответствие'!D68</f>
        <v>5</v>
      </c>
      <c r="F170" s="404">
        <f>'Нормативное соответствие'!E68</f>
        <v>5</v>
      </c>
      <c r="G170" s="404">
        <f>'Нормативное соответствие'!F68</f>
        <v>5</v>
      </c>
      <c r="H170" s="373">
        <f>'Нормативное соответствие'!P68</f>
        <v>26.19000000000003</v>
      </c>
      <c r="I170" s="404">
        <f>'Нормативное соответствие'!K68</f>
        <v>5</v>
      </c>
      <c r="J170" s="404">
        <f>'Нормативное соответствие'!I68</f>
        <v>0</v>
      </c>
      <c r="K170" s="404">
        <f>'Нормативное соответствие'!L68</f>
        <v>0</v>
      </c>
      <c r="L170" s="404">
        <f t="shared" si="6"/>
        <v>0</v>
      </c>
      <c r="M170" s="373">
        <f t="shared" si="5"/>
        <v>5</v>
      </c>
      <c r="N170" s="407" t="str">
        <f>'Нормативное соответствие'!Q68</f>
        <v xml:space="preserve"> - Выстроить в организации процесс по ознакомлению работников, непосредственно осуществляющих обработку персональных данных, с положениями законодательства РФ и ВНД организации по вопросам обработки и обеспечения безопасности персональных данных (в т.ч. при трудоустройстве);
2) Закрепить данный процесс в ВНД</v>
      </c>
      <c r="O170" s="407"/>
      <c r="P170" s="407"/>
    </row>
    <row r="171" spans="1:16" ht="93.6">
      <c r="A171" s="504" t="s">
        <v>69</v>
      </c>
      <c r="B171" s="405" t="s">
        <v>595</v>
      </c>
      <c r="C171" s="517" t="str">
        <f>'Нормативное соответствие'!B69</f>
        <v>Наличие перечня лиц, доступ которых к ПДн, обрабатываемым в ИСПДн, необходим им для выполнения служебных (трудовых) обязанностей</v>
      </c>
      <c r="D171" s="404" t="str">
        <f>'Нормативное соответствие'!C69</f>
        <v>НС.ПР.5.8.15.20</v>
      </c>
      <c r="E171" s="404">
        <f>'Нормативное соответствие'!D69</f>
        <v>5</v>
      </c>
      <c r="F171" s="404">
        <f>'Нормативное соответствие'!E69</f>
        <v>5</v>
      </c>
      <c r="G171" s="404">
        <f>'Нормативное соответствие'!F69</f>
        <v>5</v>
      </c>
      <c r="H171" s="373">
        <f>'Нормативное соответствие'!P69</f>
        <v>26.200000000000031</v>
      </c>
      <c r="I171" s="404">
        <f>'Нормативное соответствие'!K69</f>
        <v>5</v>
      </c>
      <c r="J171" s="404">
        <f>'Нормативное соответствие'!I69</f>
        <v>0</v>
      </c>
      <c r="K171" s="404">
        <f>'Нормативное соответствие'!L69</f>
        <v>0</v>
      </c>
      <c r="L171" s="404">
        <f t="shared" si="6"/>
        <v>0</v>
      </c>
      <c r="M171" s="373">
        <f t="shared" si="5"/>
        <v>5</v>
      </c>
      <c r="N171" s="407" t="str">
        <f>'Нормативное соответствие'!Q69</f>
        <v xml:space="preserve"> Разработать и утвердить перечень лиц, доступ которых к ПДн, обрабатываемым в ИСПДн, необходим им для выполнения служебных (трудовых) обязанностей</v>
      </c>
      <c r="O171" s="407"/>
      <c r="P171" s="407"/>
    </row>
    <row r="172" spans="1:16" ht="109.2">
      <c r="A172" s="504" t="s">
        <v>69</v>
      </c>
      <c r="B172" s="405" t="s">
        <v>595</v>
      </c>
      <c r="C172" s="517" t="str">
        <f>'Нормативное соответствие'!B70</f>
        <v>Определены места хранения персональных данных (материальных носителей), а также перечни лиц, осуществляющих обработку персональных данных либо имеющих к ним доступ</v>
      </c>
      <c r="D172" s="413" t="str">
        <f>'Нормативное соответствие'!C70</f>
        <v>НС.ПР.5.8.15.21</v>
      </c>
      <c r="E172" s="413">
        <f>'Нормативное соответствие'!D70</f>
        <v>5</v>
      </c>
      <c r="F172" s="413">
        <f>'Нормативное соответствие'!E70</f>
        <v>5</v>
      </c>
      <c r="G172" s="413">
        <f>'Нормативное соответствие'!F70</f>
        <v>5</v>
      </c>
      <c r="H172" s="373">
        <f>'Нормативное соответствие'!P70</f>
        <v>26.210000000000033</v>
      </c>
      <c r="I172" s="413">
        <f>'Нормативное соответствие'!K70</f>
        <v>5</v>
      </c>
      <c r="J172" s="413">
        <f>'Нормативное соответствие'!I70</f>
        <v>0</v>
      </c>
      <c r="K172" s="413">
        <f>'Нормативное соответствие'!L70</f>
        <v>0</v>
      </c>
      <c r="L172" s="404">
        <f t="shared" si="6"/>
        <v>0</v>
      </c>
      <c r="M172" s="373">
        <f t="shared" si="5"/>
        <v>5</v>
      </c>
      <c r="N172" s="482" t="str">
        <f>'Нормативное соответствие'!Q70</f>
        <v xml:space="preserve">  -  Определить и утвердить перечень мест хранения персональных данных/материальных носителей 
   -   Регламентировать порядок закрепления мест хранения, а также актуализации информации о местах хранения
   -  Утвердить перечень лиц, осуществляющих обработку персональных данных и/или имеющих к ним доступ
   -  Обеспечить регулярную проверку актуальности имеющихся перечней мест хранения и лиц, осуществляющих обработку персональных данных и/или имеющих к ним доступ </v>
      </c>
      <c r="O172" s="482"/>
      <c r="P172" s="482"/>
    </row>
    <row r="173" spans="1:16" ht="202.8">
      <c r="A173" s="504" t="s">
        <v>69</v>
      </c>
      <c r="B173" s="405" t="s">
        <v>595</v>
      </c>
      <c r="C173" s="517" t="str">
        <f>'Нормативное соответствие'!B71</f>
        <v>Определены и соблюдаются меры, необходимые для обеспечения сохранности персональных данных и исключающие несанкционированный к ним доступ при хранении материальных носителей, а также перечень лиц, ответственных за реализацию указанных мер (наличие запираемых шкафов, сигнализации и пр.)</v>
      </c>
      <c r="D173" s="413" t="str">
        <f>'Нормативное соответствие'!C71</f>
        <v>НС.ПР.5.8.15.22</v>
      </c>
      <c r="E173" s="413">
        <f>'Нормативное соответствие'!D71</f>
        <v>5</v>
      </c>
      <c r="F173" s="413">
        <f>'Нормативное соответствие'!E71</f>
        <v>5</v>
      </c>
      <c r="G173" s="413">
        <f>'Нормативное соответствие'!F71</f>
        <v>5</v>
      </c>
      <c r="H173" s="373">
        <f>'Нормативное соответствие'!P71</f>
        <v>26.220000000000034</v>
      </c>
      <c r="I173" s="413">
        <f>'Нормативное соответствие'!K71</f>
        <v>5</v>
      </c>
      <c r="J173" s="413">
        <f>'Нормативное соответствие'!I71</f>
        <v>0</v>
      </c>
      <c r="K173" s="413">
        <f>'Нормативное соответствие'!L71</f>
        <v>0</v>
      </c>
      <c r="L173" s="404">
        <f t="shared" si="6"/>
        <v>0</v>
      </c>
      <c r="M173" s="373">
        <f t="shared" si="5"/>
        <v>5</v>
      </c>
      <c r="N173" s="482" t="str">
        <f>'Нормативное соответствие'!Q71</f>
        <v xml:space="preserve">  -  Разработать и утвердить перечень мер, необходимых для обеспечения сохранности персональных данных и исключающих несанкционированный доступ к ним при хранении материальных носителей; 
   -  Назначить работников, ответственных за реализацию мер; 
   -  Проводить плановые и внеплановые проверки соблюдения закрепленных в ВНД мер, необходимых для обеспечения сохранности персональных данных</v>
      </c>
      <c r="O173" s="482"/>
      <c r="P173" s="482"/>
    </row>
    <row r="174" spans="1:16" ht="124.8">
      <c r="A174" s="270" t="s">
        <v>113</v>
      </c>
      <c r="B174" s="405" t="s">
        <v>595</v>
      </c>
      <c r="C174" s="517" t="str">
        <f>'Нормативное соответствие'!B72</f>
        <v>Организован процесс уничтожения перс.данных в соответствии с требованиями Приказа Роскомнадзора от 28.10.2022  № 179 "Об утверждении Требований к подтверждению уничтожения персональных данных"</v>
      </c>
      <c r="D174" s="413" t="str">
        <f>'Нормативное соответствие'!C72</f>
        <v>НС.ПР.5.8.15.23</v>
      </c>
      <c r="E174" s="413">
        <f>'Нормативное соответствие'!D72</f>
        <v>5</v>
      </c>
      <c r="F174" s="413">
        <f>'Нормативное соответствие'!E72</f>
        <v>5</v>
      </c>
      <c r="G174" s="413">
        <f>'Нормативное соответствие'!F72</f>
        <v>5</v>
      </c>
      <c r="H174" s="373">
        <f>'Нормативное соответствие'!P72</f>
        <v>26.230000000000036</v>
      </c>
      <c r="I174" s="413">
        <f>'Нормативное соответствие'!K72</f>
        <v>5</v>
      </c>
      <c r="J174" s="413">
        <f>'Нормативное соответствие'!I72</f>
        <v>0</v>
      </c>
      <c r="K174" s="413">
        <f>'Нормативное соответствие'!L72</f>
        <v>0</v>
      </c>
      <c r="L174" s="404">
        <f t="shared" si="6"/>
        <v>0</v>
      </c>
      <c r="M174" s="373">
        <f t="shared" si="5"/>
        <v>5</v>
      </c>
      <c r="N174" s="482" t="str">
        <f>'Нормативное соответствие'!Q72</f>
        <v xml:space="preserve"> -  Регламентировать и внедрить процесс уничтожения данных в соответствии с требованиями приказа Роскомнадзор № 179; 
    </v>
      </c>
      <c r="O174" s="482"/>
      <c r="P174" s="482"/>
    </row>
    <row r="175" spans="1:16" ht="100.8">
      <c r="A175" s="504" t="s">
        <v>69</v>
      </c>
      <c r="B175" s="405" t="s">
        <v>595</v>
      </c>
      <c r="C175" s="517" t="str">
        <f>'Нормативное соответствие'!B73</f>
        <v>Обеспечена защита персональных данных при их передаче/выходе за пределы контролируемой зоны организации</v>
      </c>
      <c r="D175" s="413" t="str">
        <f>'Нормативное соответствие'!C73</f>
        <v>НС.ПР.5.8.15.24</v>
      </c>
      <c r="E175" s="413">
        <f>'Нормативное соответствие'!D73</f>
        <v>5</v>
      </c>
      <c r="F175" s="413">
        <f>'Нормативное соответствие'!E73</f>
        <v>5</v>
      </c>
      <c r="G175" s="413">
        <f>'Нормативное соответствие'!F73</f>
        <v>5</v>
      </c>
      <c r="H175" s="373">
        <f>'Нормативное соответствие'!P73</f>
        <v>26.240000000000038</v>
      </c>
      <c r="I175" s="413">
        <f>'Нормативное соответствие'!K73</f>
        <v>5</v>
      </c>
      <c r="J175" s="413">
        <f>'Нормативное соответствие'!I73</f>
        <v>0</v>
      </c>
      <c r="K175" s="413">
        <f>'Нормативное соответствие'!L73</f>
        <v>0</v>
      </c>
      <c r="L175" s="404">
        <f t="shared" si="6"/>
        <v>0</v>
      </c>
      <c r="M175" s="373">
        <f t="shared" si="5"/>
        <v>5</v>
      </c>
      <c r="N175" s="482" t="str">
        <f>'Нормативное соответствие'!Q73</f>
        <v xml:space="preserve">  -  Регламентировать требования по защите персональных данных при их передаче/выходе за пределы контролируемой зоны организации, в т.ч. применение сертифицированных средств криптографической защиты информации (СКЗИ); 
  -  Определить требуемый класс СКЗИ в соответствии с моделью нарушителя; 
  -  Включить требования по защите персональных данных при их передаче как обязательные при заключении договоров с третьимм лицами; 
  -  Осуществлять проверку выполнения требований по защите персональных данных при их передаче </v>
      </c>
      <c r="O175" s="482"/>
      <c r="P175" s="482"/>
    </row>
    <row r="176" spans="1:16" ht="62.4">
      <c r="A176" s="270" t="s">
        <v>19</v>
      </c>
      <c r="B176" s="403" t="s">
        <v>279</v>
      </c>
      <c r="C176" s="404" t="str">
        <f>Реагирование!B56</f>
        <v>Все предполагаемые вектора атак покрыты сценариями по реагированию</v>
      </c>
      <c r="D176" s="404" t="str">
        <f>Реагирование!C56</f>
        <v>РЕАГ.PB.5.9.3.1</v>
      </c>
      <c r="E176" s="404">
        <f>Реагирование!D56</f>
        <v>5</v>
      </c>
      <c r="F176" s="404">
        <f>Реагирование!E56</f>
        <v>5</v>
      </c>
      <c r="G176" s="404">
        <f>Реагирование!F56</f>
        <v>5</v>
      </c>
      <c r="H176" s="410">
        <f>Реагирование!P56</f>
        <v>27.01</v>
      </c>
      <c r="I176" s="404">
        <f>Реагирование!K56</f>
        <v>5</v>
      </c>
      <c r="J176" s="404">
        <f>Реагирование!I56</f>
        <v>0</v>
      </c>
      <c r="K176" s="404">
        <f>Реагирование!L56</f>
        <v>0</v>
      </c>
      <c r="L176" s="404">
        <f t="shared" si="6"/>
        <v>0</v>
      </c>
      <c r="M176" s="373">
        <f t="shared" si="5"/>
        <v>5</v>
      </c>
      <c r="N176" s="407" t="str">
        <f>Реагирование!Q56</f>
        <v xml:space="preserve"> - При разработке плейбуков учесть все имеющиеся информационные системы, каналы связи, подразделения и филиалы, категории пользователей, внешние сервисы и подрядчиков.</v>
      </c>
      <c r="O176" s="407"/>
      <c r="P176" s="407"/>
    </row>
    <row r="177" spans="1:16" ht="62.4">
      <c r="A177" s="270" t="s">
        <v>19</v>
      </c>
      <c r="B177" s="403" t="s">
        <v>279</v>
      </c>
      <c r="C177" s="404" t="str">
        <f>Реагирование!B57</f>
        <v>Наличие плейбука по реагированию на сработки АВЗ</v>
      </c>
      <c r="D177" s="404" t="str">
        <f>Реагирование!C57</f>
        <v>РЕАГ.PB.5.9.3.2</v>
      </c>
      <c r="E177" s="404">
        <f>Реагирование!D57</f>
        <v>5</v>
      </c>
      <c r="F177" s="404">
        <f>Реагирование!E57</f>
        <v>5</v>
      </c>
      <c r="G177" s="404">
        <f>Реагирование!F57</f>
        <v>5</v>
      </c>
      <c r="H177" s="410">
        <f>Реагирование!P57</f>
        <v>27.020000000000003</v>
      </c>
      <c r="I177" s="404">
        <f>Реагирование!K57</f>
        <v>5</v>
      </c>
      <c r="J177" s="404">
        <f>Реагирование!I57</f>
        <v>0</v>
      </c>
      <c r="K177" s="404">
        <f>Реагирование!L57</f>
        <v>0</v>
      </c>
      <c r="L177" s="404">
        <f t="shared" si="6"/>
        <v>0</v>
      </c>
      <c r="M177" s="373">
        <f t="shared" si="5"/>
        <v>5</v>
      </c>
      <c r="N177" s="407" t="str">
        <f>Реагирование!Q57</f>
        <v xml:space="preserve"> - Разработать и простестировать плейбуки по реагированию на сработки АВЗ</v>
      </c>
      <c r="O177" s="407"/>
      <c r="P177" s="407"/>
    </row>
    <row r="178" spans="1:16" ht="62.4">
      <c r="A178" s="270" t="s">
        <v>19</v>
      </c>
      <c r="B178" s="403" t="s">
        <v>279</v>
      </c>
      <c r="C178" s="404" t="str">
        <f>Реагирование!B58</f>
        <v>Наличие плейбука по реагированию на сработки (2FA)</v>
      </c>
      <c r="D178" s="404" t="str">
        <f>Реагирование!C58</f>
        <v>РЕАГ.PB.5.9.3.3</v>
      </c>
      <c r="E178" s="404">
        <f>Реагирование!D58</f>
        <v>5</v>
      </c>
      <c r="F178" s="404">
        <f>Реагирование!E58</f>
        <v>5</v>
      </c>
      <c r="G178" s="404">
        <f>Реагирование!F58</f>
        <v>5</v>
      </c>
      <c r="H178" s="410">
        <f>Реагирование!P58</f>
        <v>27.030000000000005</v>
      </c>
      <c r="I178" s="404">
        <f>Реагирование!K58</f>
        <v>5</v>
      </c>
      <c r="J178" s="404">
        <f>Реагирование!I58</f>
        <v>0</v>
      </c>
      <c r="K178" s="404">
        <f>Реагирование!L58</f>
        <v>0</v>
      </c>
      <c r="L178" s="404">
        <f t="shared" si="6"/>
        <v>0</v>
      </c>
      <c r="M178" s="373">
        <f t="shared" si="5"/>
        <v>5</v>
      </c>
      <c r="N178" s="407" t="str">
        <f>Реагирование!Q58</f>
        <v xml:space="preserve"> - Разработать и простестировать плейбуки по реагированию на сработки 2FA</v>
      </c>
      <c r="O178" s="407"/>
      <c r="P178" s="407"/>
    </row>
    <row r="179" spans="1:16" ht="62.4">
      <c r="A179" s="270" t="s">
        <v>19</v>
      </c>
      <c r="B179" s="403" t="s">
        <v>279</v>
      </c>
      <c r="C179" s="404" t="str">
        <f>Реагирование!B59</f>
        <v>Наличие плейбука по реагированию на сработки(RA VPN)</v>
      </c>
      <c r="D179" s="404" t="str">
        <f>Реагирование!C59</f>
        <v>РЕАГ.PB.5.9.3.4</v>
      </c>
      <c r="E179" s="404">
        <f>Реагирование!D59</f>
        <v>5</v>
      </c>
      <c r="F179" s="404">
        <f>Реагирование!E59</f>
        <v>5</v>
      </c>
      <c r="G179" s="404">
        <f>Реагирование!F59</f>
        <v>5</v>
      </c>
      <c r="H179" s="410">
        <f>Реагирование!P59</f>
        <v>27.040000000000006</v>
      </c>
      <c r="I179" s="404">
        <f>Реагирование!K59</f>
        <v>5</v>
      </c>
      <c r="J179" s="404">
        <f>Реагирование!I59</f>
        <v>0</v>
      </c>
      <c r="K179" s="404">
        <f>Реагирование!L59</f>
        <v>0</v>
      </c>
      <c r="L179" s="404">
        <f t="shared" si="6"/>
        <v>0</v>
      </c>
      <c r="M179" s="373">
        <f t="shared" si="5"/>
        <v>5</v>
      </c>
      <c r="N179" s="407" t="str">
        <f>Реагирование!Q59</f>
        <v xml:space="preserve"> - Разработать и простестировать плейбуки по реагированию на сработки RA VPN</v>
      </c>
      <c r="O179" s="407"/>
      <c r="P179" s="407"/>
    </row>
    <row r="180" spans="1:16" ht="62.4">
      <c r="A180" s="270" t="s">
        <v>19</v>
      </c>
      <c r="B180" s="403" t="s">
        <v>279</v>
      </c>
      <c r="C180" s="404" t="str">
        <f>Реагирование!B60</f>
        <v>Наличие плейбука по реагированию на сработки (NGFW)</v>
      </c>
      <c r="D180" s="404" t="str">
        <f>Реагирование!C60</f>
        <v>РЕАГ.PB.5.9.3.5</v>
      </c>
      <c r="E180" s="404">
        <f>Реагирование!D60</f>
        <v>5</v>
      </c>
      <c r="F180" s="404">
        <f>Реагирование!E60</f>
        <v>5</v>
      </c>
      <c r="G180" s="404">
        <f>Реагирование!F60</f>
        <v>0</v>
      </c>
      <c r="H180" s="410">
        <f>Реагирование!P60</f>
        <v>27.050000000000008</v>
      </c>
      <c r="I180" s="404">
        <f>Реагирование!K60</f>
        <v>0</v>
      </c>
      <c r="J180" s="404">
        <f>Реагирование!I60</f>
        <v>0</v>
      </c>
      <c r="K180" s="404">
        <f>Реагирование!L60</f>
        <v>0</v>
      </c>
      <c r="L180" s="404" t="str">
        <f t="shared" si="6"/>
        <v xml:space="preserve"> </v>
      </c>
      <c r="M180" s="373">
        <f t="shared" si="5"/>
        <v>0</v>
      </c>
      <c r="N180" s="407" t="str">
        <f>Реагирование!Q60</f>
        <v/>
      </c>
      <c r="O180" s="407"/>
      <c r="P180" s="407"/>
    </row>
    <row r="181" spans="1:16" ht="62.4">
      <c r="A181" s="270" t="s">
        <v>19</v>
      </c>
      <c r="B181" s="403" t="s">
        <v>279</v>
      </c>
      <c r="C181" s="404" t="str">
        <f>Реагирование!B61</f>
        <v>Наличие плейбука по реагированию на сработки (Прокси-сервер)</v>
      </c>
      <c r="D181" s="404" t="str">
        <f>Реагирование!C61</f>
        <v>РЕАГ.PB.5.9.3.6</v>
      </c>
      <c r="E181" s="404">
        <f>Реагирование!D61</f>
        <v>5</v>
      </c>
      <c r="F181" s="404">
        <f>Реагирование!E61</f>
        <v>5</v>
      </c>
      <c r="G181" s="404">
        <f>Реагирование!F61</f>
        <v>0</v>
      </c>
      <c r="H181" s="410">
        <f>Реагирование!P61</f>
        <v>27.060000000000009</v>
      </c>
      <c r="I181" s="404">
        <f>Реагирование!K61</f>
        <v>0</v>
      </c>
      <c r="J181" s="404">
        <f>Реагирование!I61</f>
        <v>0</v>
      </c>
      <c r="K181" s="404">
        <f>Реагирование!L61</f>
        <v>0</v>
      </c>
      <c r="L181" s="404" t="str">
        <f t="shared" si="6"/>
        <v xml:space="preserve"> </v>
      </c>
      <c r="M181" s="373">
        <f t="shared" si="5"/>
        <v>0</v>
      </c>
      <c r="N181" s="407" t="str">
        <f>Реагирование!Q61</f>
        <v/>
      </c>
      <c r="O181" s="407"/>
      <c r="P181" s="407"/>
    </row>
    <row r="182" spans="1:16" ht="62.4">
      <c r="A182" s="270" t="s">
        <v>19</v>
      </c>
      <c r="B182" s="403" t="s">
        <v>279</v>
      </c>
      <c r="C182" s="404" t="str">
        <f>Реагирование!B63</f>
        <v>Наличие плейбука по реагированию на сработки (Антиспам)</v>
      </c>
      <c r="D182" s="404" t="str">
        <f>Реагирование!C63</f>
        <v>РЕАГ.PB.5.9.3.8</v>
      </c>
      <c r="E182" s="404">
        <f>Реагирование!D63</f>
        <v>5</v>
      </c>
      <c r="F182" s="404">
        <f>Реагирование!E63</f>
        <v>5</v>
      </c>
      <c r="G182" s="404">
        <f>Реагирование!F63</f>
        <v>0</v>
      </c>
      <c r="H182" s="410">
        <f>Реагирование!P63</f>
        <v>27.080000000000013</v>
      </c>
      <c r="I182" s="404">
        <f>Реагирование!K63</f>
        <v>0</v>
      </c>
      <c r="J182" s="404">
        <f>Реагирование!I63</f>
        <v>0</v>
      </c>
      <c r="K182" s="404">
        <f>Реагирование!L63</f>
        <v>0</v>
      </c>
      <c r="L182" s="404" t="str">
        <f t="shared" si="6"/>
        <v xml:space="preserve"> </v>
      </c>
      <c r="M182" s="373">
        <f t="shared" si="5"/>
        <v>0</v>
      </c>
      <c r="N182" s="407" t="str">
        <f>Реагирование!Q63</f>
        <v/>
      </c>
      <c r="O182" s="407"/>
      <c r="P182" s="407"/>
    </row>
    <row r="183" spans="1:16" ht="62.4">
      <c r="A183" s="270" t="s">
        <v>19</v>
      </c>
      <c r="B183" s="403" t="s">
        <v>279</v>
      </c>
      <c r="C183" s="404" t="str">
        <f>Реагирование!B64</f>
        <v>Наличие плейбука по реагированию на сработки PAM</v>
      </c>
      <c r="D183" s="404" t="str">
        <f>Реагирование!C64</f>
        <v>РЕАГ.PB.5.9.3.9</v>
      </c>
      <c r="E183" s="404">
        <f>Реагирование!D64</f>
        <v>5</v>
      </c>
      <c r="F183" s="404">
        <f>Реагирование!E64</f>
        <v>0</v>
      </c>
      <c r="G183" s="404">
        <f>Реагирование!F64</f>
        <v>0</v>
      </c>
      <c r="H183" s="410">
        <f>Реагирование!P64</f>
        <v>27.090000000000014</v>
      </c>
      <c r="I183" s="404">
        <f>Реагирование!K64</f>
        <v>0</v>
      </c>
      <c r="J183" s="404">
        <f>Реагирование!I64</f>
        <v>0</v>
      </c>
      <c r="K183" s="404">
        <f>Реагирование!L64</f>
        <v>0</v>
      </c>
      <c r="L183" s="404" t="str">
        <f t="shared" si="6"/>
        <v xml:space="preserve"> </v>
      </c>
      <c r="M183" s="373">
        <f t="shared" si="5"/>
        <v>0</v>
      </c>
      <c r="N183" s="407" t="str">
        <f>Реагирование!Q64</f>
        <v/>
      </c>
      <c r="O183" s="407"/>
      <c r="P183" s="407"/>
    </row>
    <row r="184" spans="1:16" ht="62.4">
      <c r="A184" s="270" t="s">
        <v>19</v>
      </c>
      <c r="B184" s="403" t="s">
        <v>279</v>
      </c>
      <c r="C184" s="404" t="str">
        <f>Реагирование!B65</f>
        <v>Наличие плейбука по реагированию на события DLP</v>
      </c>
      <c r="D184" s="404" t="str">
        <f>Реагирование!C65</f>
        <v>РЕАГ.PB.5.9.3.10</v>
      </c>
      <c r="E184" s="404">
        <f>Реагирование!D65</f>
        <v>5</v>
      </c>
      <c r="F184" s="404">
        <f>Реагирование!E65</f>
        <v>0</v>
      </c>
      <c r="G184" s="404">
        <f>Реагирование!F65</f>
        <v>0</v>
      </c>
      <c r="H184" s="410">
        <f>Реагирование!P65</f>
        <v>27.100000000000016</v>
      </c>
      <c r="I184" s="404">
        <f>Реагирование!K65</f>
        <v>0</v>
      </c>
      <c r="J184" s="404">
        <f>Реагирование!I65</f>
        <v>0</v>
      </c>
      <c r="K184" s="404">
        <f>Реагирование!L65</f>
        <v>0</v>
      </c>
      <c r="L184" s="404" t="str">
        <f t="shared" si="6"/>
        <v xml:space="preserve"> </v>
      </c>
      <c r="M184" s="373">
        <f t="shared" si="5"/>
        <v>0</v>
      </c>
      <c r="N184" s="407" t="str">
        <f>Реагирование!Q65</f>
        <v/>
      </c>
      <c r="O184" s="407"/>
      <c r="P184" s="407"/>
    </row>
    <row r="185" spans="1:16" ht="62.4">
      <c r="A185" s="270" t="s">
        <v>19</v>
      </c>
      <c r="B185" s="403" t="s">
        <v>279</v>
      </c>
      <c r="C185" s="404" t="str">
        <f>Реагирование!B66</f>
        <v>Наличие плейбука по реагированию на сработки (WAF)</v>
      </c>
      <c r="D185" s="404" t="str">
        <f>Реагирование!C66</f>
        <v>РЕАГ.PB.5.9.3.11</v>
      </c>
      <c r="E185" s="404">
        <f>Реагирование!D66</f>
        <v>5</v>
      </c>
      <c r="F185" s="404">
        <f>Реагирование!E66</f>
        <v>0</v>
      </c>
      <c r="G185" s="404">
        <f>Реагирование!F66</f>
        <v>0</v>
      </c>
      <c r="H185" s="410">
        <f>Реагирование!P66</f>
        <v>27.110000000000017</v>
      </c>
      <c r="I185" s="404">
        <f>Реагирование!K66</f>
        <v>0</v>
      </c>
      <c r="J185" s="404">
        <f>Реагирование!I66</f>
        <v>0</v>
      </c>
      <c r="K185" s="404">
        <f>Реагирование!L66</f>
        <v>0</v>
      </c>
      <c r="L185" s="404" t="str">
        <f t="shared" si="6"/>
        <v xml:space="preserve"> </v>
      </c>
      <c r="M185" s="373">
        <f t="shared" si="5"/>
        <v>0</v>
      </c>
      <c r="N185" s="407" t="str">
        <f>Реагирование!Q66</f>
        <v/>
      </c>
      <c r="O185" s="407"/>
      <c r="P185" s="407"/>
    </row>
    <row r="186" spans="1:16" ht="62.4">
      <c r="A186" s="270" t="s">
        <v>19</v>
      </c>
      <c r="B186" s="403" t="s">
        <v>279</v>
      </c>
      <c r="C186" s="404" t="str">
        <f>Реагирование!B67</f>
        <v>Внедрены процессы отчетности</v>
      </c>
      <c r="D186" s="404" t="str">
        <f>Реагирование!C67</f>
        <v>РЕАГ.PB.5.9.3.12</v>
      </c>
      <c r="E186" s="404">
        <f>Реагирование!D67</f>
        <v>4</v>
      </c>
      <c r="F186" s="404">
        <f>Реагирование!E67</f>
        <v>3</v>
      </c>
      <c r="G186" s="404">
        <f>Реагирование!F67</f>
        <v>0</v>
      </c>
      <c r="H186" s="410">
        <f>Реагирование!P67</f>
        <v>27.120000000000019</v>
      </c>
      <c r="I186" s="404">
        <f>Реагирование!K67</f>
        <v>0</v>
      </c>
      <c r="J186" s="404">
        <f>Реагирование!I67</f>
        <v>0</v>
      </c>
      <c r="K186" s="404">
        <f>Реагирование!L67</f>
        <v>0</v>
      </c>
      <c r="L186" s="404" t="str">
        <f t="shared" si="6"/>
        <v xml:space="preserve"> </v>
      </c>
      <c r="M186" s="373">
        <f t="shared" si="5"/>
        <v>0</v>
      </c>
      <c r="N186" s="407" t="str">
        <f>Реагирование!Q67</f>
        <v/>
      </c>
      <c r="O186" s="407"/>
      <c r="P186" s="407"/>
    </row>
    <row r="187" spans="1:16" ht="78">
      <c r="A187" s="270" t="s">
        <v>780</v>
      </c>
      <c r="B187" s="405" t="s">
        <v>48</v>
      </c>
      <c r="C187" s="517" t="str">
        <f>'Управление ИБ'!B102</f>
        <v>Информационные системы Общества соотнесены с ресурсами, на которых они функциониуют</v>
      </c>
      <c r="D187" s="404" t="str">
        <f>'Управление ИБ'!C102</f>
        <v>УИБ.УА.1</v>
      </c>
      <c r="E187" s="404">
        <f>'Управление ИБ'!D102</f>
        <v>5</v>
      </c>
      <c r="F187" s="404">
        <f>'Управление ИБ'!E102</f>
        <v>3.2</v>
      </c>
      <c r="G187" s="404">
        <f>'Управление ИБ'!F102</f>
        <v>1.6</v>
      </c>
      <c r="H187" s="373">
        <f>'Управление ИБ'!P102</f>
        <v>29.01</v>
      </c>
      <c r="I187" s="404">
        <f>'Управление ИБ'!K102</f>
        <v>1.6</v>
      </c>
      <c r="J187" s="404">
        <f>'Управление ИБ'!I102</f>
        <v>0</v>
      </c>
      <c r="K187" s="404">
        <f>'Управление ИБ'!L102</f>
        <v>1.6</v>
      </c>
      <c r="L187" s="404">
        <f t="shared" si="6"/>
        <v>1.6</v>
      </c>
      <c r="M187" s="373">
        <f t="shared" si="5"/>
        <v>0</v>
      </c>
      <c r="N187" s="407" t="str">
        <f>'Управление ИБ'!Q102</f>
        <v/>
      </c>
      <c r="O187" s="407"/>
      <c r="P187" s="407"/>
    </row>
    <row r="188" spans="1:16" ht="78">
      <c r="A188" s="270" t="s">
        <v>780</v>
      </c>
      <c r="B188" s="405" t="s">
        <v>48</v>
      </c>
      <c r="C188" s="517" t="str">
        <f>'Управление ИБ'!B103</f>
        <v>Внедрен процесс инвентаризации и категорирования информационных активов</v>
      </c>
      <c r="D188" s="404" t="str">
        <f>'Управление ИБ'!C103</f>
        <v>УИБ.УА.2</v>
      </c>
      <c r="E188" s="404">
        <f>'Управление ИБ'!D103</f>
        <v>4</v>
      </c>
      <c r="F188" s="404">
        <f>'Управление ИБ'!E103</f>
        <v>3</v>
      </c>
      <c r="G188" s="404">
        <f>'Управление ИБ'!F103</f>
        <v>1</v>
      </c>
      <c r="H188" s="373">
        <f>'Управление ИБ'!P103</f>
        <v>29.020000000000003</v>
      </c>
      <c r="I188" s="404">
        <f>'Управление ИБ'!K103</f>
        <v>1</v>
      </c>
      <c r="J188" s="404">
        <f>'Управление ИБ'!I103</f>
        <v>0</v>
      </c>
      <c r="K188" s="404">
        <f>'Управление ИБ'!L103</f>
        <v>1</v>
      </c>
      <c r="L188" s="404">
        <f t="shared" si="6"/>
        <v>1</v>
      </c>
      <c r="M188" s="373">
        <f t="shared" si="5"/>
        <v>0</v>
      </c>
      <c r="N188" s="407" t="str">
        <f>'Управление ИБ'!Q103</f>
        <v/>
      </c>
      <c r="O188" s="407"/>
      <c r="P188" s="407"/>
    </row>
    <row r="189" spans="1:16" ht="78">
      <c r="A189" s="270" t="s">
        <v>780</v>
      </c>
      <c r="B189" s="405" t="s">
        <v>48</v>
      </c>
      <c r="C189" s="517" t="str">
        <f>'Управление ИБ'!B104</f>
        <v>Описаны все сетевые взаимодействия между компонентами инфраструктуры и информационными системами</v>
      </c>
      <c r="D189" s="404" t="str">
        <f>'Управление ИБ'!C104</f>
        <v>УИБ.УА.3</v>
      </c>
      <c r="E189" s="404">
        <f>'Управление ИБ'!D104</f>
        <v>5</v>
      </c>
      <c r="F189" s="404">
        <f>'Управление ИБ'!E104</f>
        <v>3.2</v>
      </c>
      <c r="G189" s="404">
        <f>'Управление ИБ'!F104</f>
        <v>0</v>
      </c>
      <c r="H189" s="373">
        <f>'Управление ИБ'!P104</f>
        <v>29.030000000000005</v>
      </c>
      <c r="I189" s="404">
        <f>'Управление ИБ'!K104</f>
        <v>0</v>
      </c>
      <c r="J189" s="404">
        <f>'Управление ИБ'!I104</f>
        <v>0</v>
      </c>
      <c r="K189" s="404">
        <f>'Управление ИБ'!L104</f>
        <v>1.6</v>
      </c>
      <c r="L189" s="404" t="str">
        <f t="shared" si="6"/>
        <v xml:space="preserve"> </v>
      </c>
      <c r="M189" s="373">
        <f t="shared" si="5"/>
        <v>0</v>
      </c>
      <c r="N189" s="407" t="str">
        <f>'Управление ИБ'!Q104</f>
        <v/>
      </c>
      <c r="O189" s="407"/>
      <c r="P189" s="407"/>
    </row>
    <row r="190" spans="1:16" ht="78">
      <c r="A190" s="270" t="s">
        <v>780</v>
      </c>
      <c r="B190" s="405" t="s">
        <v>48</v>
      </c>
      <c r="C190" s="517" t="str">
        <f>'Управление ИБ'!B105</f>
        <v>Определены правила конфигурирования ативов (Харденинг)</v>
      </c>
      <c r="D190" s="404" t="str">
        <f>'Управление ИБ'!C105</f>
        <v>УИБ.УА.4</v>
      </c>
      <c r="E190" s="404">
        <f>'Управление ИБ'!D105</f>
        <v>5</v>
      </c>
      <c r="F190" s="404">
        <f>'Управление ИБ'!E105</f>
        <v>3.2</v>
      </c>
      <c r="G190" s="404">
        <f>'Управление ИБ'!F105</f>
        <v>0</v>
      </c>
      <c r="H190" s="373">
        <f>'Управление ИБ'!P105</f>
        <v>29.040000000000006</v>
      </c>
      <c r="I190" s="404">
        <f>'Управление ИБ'!K105</f>
        <v>0</v>
      </c>
      <c r="J190" s="404">
        <f>'Управление ИБ'!I105</f>
        <v>0</v>
      </c>
      <c r="K190" s="404">
        <f>'Управление ИБ'!L105</f>
        <v>0</v>
      </c>
      <c r="L190" s="404" t="str">
        <f t="shared" si="6"/>
        <v xml:space="preserve"> </v>
      </c>
      <c r="M190" s="373">
        <f t="shared" si="5"/>
        <v>0</v>
      </c>
      <c r="N190" s="407" t="str">
        <f>'Управление ИБ'!Q105</f>
        <v/>
      </c>
      <c r="O190" s="407"/>
      <c r="P190" s="407"/>
    </row>
    <row r="191" spans="1:16" ht="78">
      <c r="A191" s="270" t="s">
        <v>780</v>
      </c>
      <c r="B191" s="405" t="s">
        <v>48</v>
      </c>
      <c r="C191" s="517" t="str">
        <f>'Управление ИБ'!B106</f>
        <v>Внедрен процесс контроля изменений конфигурации</v>
      </c>
      <c r="D191" s="404" t="str">
        <f>'Управление ИБ'!C106</f>
        <v>УИБ.УА.5</v>
      </c>
      <c r="E191" s="404">
        <f>'Управление ИБ'!D106</f>
        <v>4</v>
      </c>
      <c r="F191" s="404">
        <f>'Управление ИБ'!E106</f>
        <v>3</v>
      </c>
      <c r="G191" s="404">
        <f>'Управление ИБ'!F106</f>
        <v>0</v>
      </c>
      <c r="H191" s="373">
        <f>'Управление ИБ'!P106</f>
        <v>29.050000000000008</v>
      </c>
      <c r="I191" s="404">
        <f>'Управление ИБ'!K106</f>
        <v>0</v>
      </c>
      <c r="J191" s="404">
        <f>'Управление ИБ'!I106</f>
        <v>0</v>
      </c>
      <c r="K191" s="404">
        <f>'Управление ИБ'!L106</f>
        <v>0</v>
      </c>
      <c r="L191" s="404" t="str">
        <f t="shared" si="6"/>
        <v xml:space="preserve"> </v>
      </c>
      <c r="M191" s="373">
        <f t="shared" si="5"/>
        <v>0</v>
      </c>
      <c r="N191" s="407" t="str">
        <f>'Управление ИБ'!Q106</f>
        <v/>
      </c>
      <c r="O191" s="407"/>
      <c r="P191" s="407"/>
    </row>
    <row r="192" spans="1:16" ht="62.4">
      <c r="A192" s="270" t="s">
        <v>19</v>
      </c>
      <c r="B192" s="403" t="s">
        <v>503</v>
      </c>
      <c r="C192" s="404" t="str">
        <f>Реагирование!B50</f>
        <v>Есть собственная команда или договор на расследование инцидентов ИБ</v>
      </c>
      <c r="D192" s="404" t="str">
        <f>Реагирование!C50</f>
        <v>РЕАГ.АНЛЗ.1</v>
      </c>
      <c r="E192" s="404">
        <f>Реагирование!D50</f>
        <v>5</v>
      </c>
      <c r="F192" s="404">
        <f>Реагирование!E50</f>
        <v>5</v>
      </c>
      <c r="G192" s="404">
        <f>Реагирование!F50</f>
        <v>0</v>
      </c>
      <c r="H192" s="373">
        <f>Реагирование!P50</f>
        <v>30.01</v>
      </c>
      <c r="I192" s="404">
        <f>Реагирование!K50</f>
        <v>0</v>
      </c>
      <c r="J192" s="404">
        <f>Реагирование!I50</f>
        <v>0</v>
      </c>
      <c r="K192" s="404">
        <f>Реагирование!L50</f>
        <v>0</v>
      </c>
      <c r="L192" s="404" t="str">
        <f t="shared" si="6"/>
        <v xml:space="preserve"> </v>
      </c>
      <c r="M192" s="373">
        <f t="shared" si="5"/>
        <v>0</v>
      </c>
      <c r="N192" s="407" t="str">
        <f>Реагирование!Q50</f>
        <v/>
      </c>
      <c r="O192" s="407"/>
      <c r="P192" s="407"/>
    </row>
    <row r="193" spans="1:16" ht="62.4">
      <c r="A193" s="270" t="s">
        <v>19</v>
      </c>
      <c r="B193" s="403" t="s">
        <v>503</v>
      </c>
      <c r="C193" s="404" t="str">
        <f>Реагирование!B51</f>
        <v>Процесс расследования инцидентов</v>
      </c>
      <c r="D193" s="404" t="str">
        <f>Реагирование!C51</f>
        <v>РЕАГ.АНЛЗ.2</v>
      </c>
      <c r="E193" s="404">
        <f>Реагирование!D51</f>
        <v>4</v>
      </c>
      <c r="F193" s="404">
        <f>Реагирование!E51</f>
        <v>3</v>
      </c>
      <c r="G193" s="404">
        <f>Реагирование!F51</f>
        <v>1</v>
      </c>
      <c r="H193" s="373">
        <f>Реагирование!P51</f>
        <v>30.020000000000003</v>
      </c>
      <c r="I193" s="404">
        <f>Реагирование!K51</f>
        <v>1</v>
      </c>
      <c r="J193" s="404">
        <f>Реагирование!I51</f>
        <v>0</v>
      </c>
      <c r="K193" s="404">
        <f>Реагирование!L51</f>
        <v>1</v>
      </c>
      <c r="L193" s="404">
        <f t="shared" si="6"/>
        <v>1</v>
      </c>
      <c r="M193" s="373">
        <f t="shared" si="5"/>
        <v>0</v>
      </c>
      <c r="N193" s="407" t="str">
        <f>Реагирование!Q51</f>
        <v/>
      </c>
      <c r="O193" s="407"/>
      <c r="P193" s="407"/>
    </row>
    <row r="194" spans="1:16" ht="62.4">
      <c r="A194" s="270" t="s">
        <v>19</v>
      </c>
      <c r="B194" s="403" t="s">
        <v>503</v>
      </c>
      <c r="C194" s="404" t="str">
        <f>Реагирование!B52</f>
        <v>Анализируются причины возникновения инцидентов</v>
      </c>
      <c r="D194" s="404" t="str">
        <f>Реагирование!C52</f>
        <v>РЕАГ.АНЛЗ.3</v>
      </c>
      <c r="E194" s="404">
        <f>Реагирование!D52</f>
        <v>5</v>
      </c>
      <c r="F194" s="404">
        <f>Реагирование!E52</f>
        <v>5</v>
      </c>
      <c r="G194" s="404">
        <f>Реагирование!F52</f>
        <v>3.2</v>
      </c>
      <c r="H194" s="373">
        <f>Реагирование!P52</f>
        <v>30.030000000000005</v>
      </c>
      <c r="I194" s="404">
        <f>Реагирование!K52</f>
        <v>3.2</v>
      </c>
      <c r="J194" s="404">
        <f>Реагирование!I52</f>
        <v>0</v>
      </c>
      <c r="K194" s="404">
        <f>Реагирование!L52</f>
        <v>1.6</v>
      </c>
      <c r="L194" s="404">
        <f t="shared" si="6"/>
        <v>1.6</v>
      </c>
      <c r="M194" s="373">
        <f t="shared" si="5"/>
        <v>1.6</v>
      </c>
      <c r="N194" s="407" t="str">
        <f>Реагирование!Q52</f>
        <v xml:space="preserve"> - Обеспечить проведение анализа причин возникновения критичных инцидентов ИБ;
 -  По результатам анализа, разрабатывать рекомендации по предотвращению аналогичных инцидентов в будущем </v>
      </c>
      <c r="O194" s="407"/>
      <c r="P194" s="407"/>
    </row>
    <row r="195" spans="1:16" ht="62.4">
      <c r="A195" s="270" t="s">
        <v>19</v>
      </c>
      <c r="B195" s="403" t="s">
        <v>503</v>
      </c>
      <c r="C195" s="404" t="str">
        <f>Реагирование!B53</f>
        <v>Процесс пост-анализа инцидентов</v>
      </c>
      <c r="D195" s="404" t="str">
        <f>Реагирование!C53</f>
        <v>РЕАГ.АНЛЗ.4</v>
      </c>
      <c r="E195" s="404">
        <f>Реагирование!D53</f>
        <v>4</v>
      </c>
      <c r="F195" s="404">
        <f>Реагирование!E53</f>
        <v>3</v>
      </c>
      <c r="G195" s="404">
        <f>Реагирование!F53</f>
        <v>1</v>
      </c>
      <c r="H195" s="373">
        <f>Реагирование!P53</f>
        <v>30.040000000000006</v>
      </c>
      <c r="I195" s="404">
        <f>Реагирование!K53</f>
        <v>1</v>
      </c>
      <c r="J195" s="404">
        <f>Реагирование!I53</f>
        <v>0</v>
      </c>
      <c r="K195" s="404">
        <f>Реагирование!L53</f>
        <v>1</v>
      </c>
      <c r="L195" s="404">
        <f t="shared" ref="L195:L257" si="7">IF(J195=I195," ",K195-J195)</f>
        <v>1</v>
      </c>
      <c r="M195" s="373">
        <f t="shared" ref="M195:M258" si="8">IF(H195&lt;100,    IF(K195&gt;=G195,0,I195-K195),       IF(H195&lt;300,     IF(K195&gt;=F195,0,I195-K195),                  IF(K195&gt;=E195,0,I195-K195)))</f>
        <v>0</v>
      </c>
      <c r="N195" s="407" t="str">
        <f>Реагирование!Q53</f>
        <v/>
      </c>
      <c r="O195" s="407"/>
      <c r="P195" s="407"/>
    </row>
    <row r="196" spans="1:16" ht="62.4">
      <c r="A196" s="270" t="s">
        <v>19</v>
      </c>
      <c r="B196" s="403" t="s">
        <v>503</v>
      </c>
      <c r="C196" s="404" t="str">
        <f>Реагирование!B54</f>
        <v>Проводятся регулярные киберучения по реагированию на инциденты ИБ</v>
      </c>
      <c r="D196" s="404" t="str">
        <f>Реагирование!C54</f>
        <v>РЕАГ.АНЛЗ.5</v>
      </c>
      <c r="E196" s="404">
        <f>Реагирование!D54</f>
        <v>5</v>
      </c>
      <c r="F196" s="404">
        <f>Реагирование!E54</f>
        <v>3.2</v>
      </c>
      <c r="G196" s="404">
        <f>Реагирование!F54</f>
        <v>0</v>
      </c>
      <c r="H196" s="373">
        <f>Реагирование!P54</f>
        <v>30.050000000000008</v>
      </c>
      <c r="I196" s="404">
        <f>Реагирование!K54</f>
        <v>0</v>
      </c>
      <c r="J196" s="404">
        <f>Реагирование!I54</f>
        <v>0</v>
      </c>
      <c r="K196" s="404">
        <f>Реагирование!L54</f>
        <v>0</v>
      </c>
      <c r="L196" s="404" t="str">
        <f t="shared" si="7"/>
        <v xml:space="preserve"> </v>
      </c>
      <c r="M196" s="373">
        <f t="shared" si="8"/>
        <v>0</v>
      </c>
      <c r="N196" s="407" t="str">
        <f>Реагирование!Q54</f>
        <v/>
      </c>
      <c r="O196" s="407"/>
      <c r="P196" s="407"/>
    </row>
    <row r="197" spans="1:16" ht="78">
      <c r="A197" s="270" t="s">
        <v>780</v>
      </c>
      <c r="B197" s="403" t="s">
        <v>421</v>
      </c>
      <c r="C197" s="404" t="str">
        <f>'Управление ИБ'!B157</f>
        <v>Проводится регулярное профессиональное обучение и повышение квалификации работников ИБ</v>
      </c>
      <c r="D197" s="404" t="str">
        <f>'Управление ИБ'!C157</f>
        <v>УИБ.AW.1</v>
      </c>
      <c r="E197" s="404">
        <f>'Управление ИБ'!D157</f>
        <v>5</v>
      </c>
      <c r="F197" s="404">
        <f>'Управление ИБ'!E157</f>
        <v>3.2</v>
      </c>
      <c r="G197" s="404">
        <f>'Управление ИБ'!F157</f>
        <v>1.6</v>
      </c>
      <c r="H197" s="410">
        <f>'Управление ИБ'!P157</f>
        <v>31.01</v>
      </c>
      <c r="I197" s="404">
        <f>'Управление ИБ'!K157</f>
        <v>1.6</v>
      </c>
      <c r="J197" s="404">
        <f>'Управление ИБ'!I157</f>
        <v>0</v>
      </c>
      <c r="K197" s="404">
        <f>'Управление ИБ'!L157</f>
        <v>0</v>
      </c>
      <c r="L197" s="404">
        <f t="shared" si="7"/>
        <v>0</v>
      </c>
      <c r="M197" s="373">
        <f t="shared" si="8"/>
        <v>1.6</v>
      </c>
      <c r="N197" s="407" t="str">
        <f>'Управление ИБ'!Q157</f>
        <v xml:space="preserve"> - Проводить профессиональное обучение и повышение квалификации работников ИБ по запросу</v>
      </c>
      <c r="O197" s="407"/>
      <c r="P197" s="407"/>
    </row>
    <row r="198" spans="1:16" ht="78">
      <c r="A198" s="270" t="s">
        <v>780</v>
      </c>
      <c r="B198" s="403" t="s">
        <v>421</v>
      </c>
      <c r="C198" s="404" t="str">
        <f>'Управление ИБ'!B158</f>
        <v>Проводится регулярное повышение осведомленности работников Общества</v>
      </c>
      <c r="D198" s="404" t="str">
        <f>'Управление ИБ'!C158</f>
        <v>УИБ.AW.2</v>
      </c>
      <c r="E198" s="404">
        <f>'Управление ИБ'!D158</f>
        <v>5</v>
      </c>
      <c r="F198" s="404">
        <f>'Управление ИБ'!E158</f>
        <v>3.2</v>
      </c>
      <c r="G198" s="404">
        <f>'Управление ИБ'!F158</f>
        <v>1.6</v>
      </c>
      <c r="H198" s="410">
        <f>'Управление ИБ'!P158</f>
        <v>31.020000000000003</v>
      </c>
      <c r="I198" s="404">
        <f>'Управление ИБ'!K158</f>
        <v>1.6</v>
      </c>
      <c r="J198" s="404">
        <f>'Управление ИБ'!I158</f>
        <v>0</v>
      </c>
      <c r="K198" s="404">
        <f>'Управление ИБ'!L158</f>
        <v>0</v>
      </c>
      <c r="L198" s="404">
        <f t="shared" si="7"/>
        <v>0</v>
      </c>
      <c r="M198" s="373">
        <f t="shared" si="8"/>
        <v>1.6</v>
      </c>
      <c r="N198" s="407" t="str">
        <f>'Управление ИБ'!Q158</f>
        <v xml:space="preserve"> - Проводить на регулярной основе провокационные фишинговые рассылки для всех сотрудников Общества</v>
      </c>
      <c r="O198" s="407"/>
      <c r="P198" s="407"/>
    </row>
    <row r="199" spans="1:16" ht="78">
      <c r="A199" s="270" t="s">
        <v>780</v>
      </c>
      <c r="B199" s="403" t="s">
        <v>421</v>
      </c>
      <c r="C199" s="404" t="str">
        <f>'Управление ИБ'!B159</f>
        <v xml:space="preserve">При приеме на работу проводится инструктаж по информационной безопасности  и повторяется раз в год или чаще. </v>
      </c>
      <c r="D199" s="404" t="str">
        <f>'Управление ИБ'!C159</f>
        <v>УИБ.AW.3</v>
      </c>
      <c r="E199" s="404">
        <f>'Управление ИБ'!D159</f>
        <v>5</v>
      </c>
      <c r="F199" s="404">
        <f>'Управление ИБ'!E159</f>
        <v>3.2</v>
      </c>
      <c r="G199" s="404">
        <f>'Управление ИБ'!F159</f>
        <v>1.6</v>
      </c>
      <c r="H199" s="410">
        <f>'Управление ИБ'!P159</f>
        <v>31.030000000000005</v>
      </c>
      <c r="I199" s="404">
        <f>'Управление ИБ'!K159</f>
        <v>1.6</v>
      </c>
      <c r="J199" s="404">
        <f>'Управление ИБ'!I159</f>
        <v>0</v>
      </c>
      <c r="K199" s="404">
        <f>'Управление ИБ'!L159</f>
        <v>0</v>
      </c>
      <c r="L199" s="404">
        <f t="shared" si="7"/>
        <v>0</v>
      </c>
      <c r="M199" s="373">
        <f t="shared" si="8"/>
        <v>1.6</v>
      </c>
      <c r="N199" s="407" t="str">
        <f>'Управление ИБ'!Q159</f>
        <v xml:space="preserve"> - Проводить инструктаж по ИБ при приеме на работу и повторять раз в год или в случае обновления/актуализации учебных материалов</v>
      </c>
      <c r="O199" s="407"/>
      <c r="P199" s="407"/>
    </row>
    <row r="200" spans="1:16" ht="78">
      <c r="A200" s="270" t="s">
        <v>780</v>
      </c>
      <c r="B200" s="403" t="s">
        <v>421</v>
      </c>
      <c r="C200" s="404" t="str">
        <f>'Управление ИБ'!B159</f>
        <v xml:space="preserve">При приеме на работу проводится инструктаж по информационной безопасности  и повторяется раз в год или чаще. </v>
      </c>
      <c r="D200" s="404" t="str">
        <f>'Управление ИБ'!C159</f>
        <v>УИБ.AW.3</v>
      </c>
      <c r="E200" s="404">
        <f>'Управление ИБ'!D159</f>
        <v>5</v>
      </c>
      <c r="F200" s="404">
        <f>'Управление ИБ'!E159</f>
        <v>3.2</v>
      </c>
      <c r="G200" s="404">
        <f>'Управление ИБ'!F159</f>
        <v>1.6</v>
      </c>
      <c r="H200" s="404">
        <f>'Управление ИБ'!P159</f>
        <v>31.030000000000005</v>
      </c>
      <c r="I200" s="404">
        <f>'Управление ИБ'!K159</f>
        <v>1.6</v>
      </c>
      <c r="J200" s="404">
        <f>'Управление ИБ'!I159</f>
        <v>0</v>
      </c>
      <c r="K200" s="404">
        <f>'Управление ИБ'!L159</f>
        <v>0</v>
      </c>
      <c r="L200" s="404">
        <f t="shared" si="7"/>
        <v>0</v>
      </c>
      <c r="M200" s="373">
        <f t="shared" si="8"/>
        <v>1.6</v>
      </c>
      <c r="N200" s="407" t="str">
        <f>'Управление ИБ'!U159</f>
        <v xml:space="preserve"> - Отслеживать динамику и качество обучения</v>
      </c>
      <c r="O200" s="407"/>
      <c r="P200" s="407"/>
    </row>
    <row r="201" spans="1:16" ht="78">
      <c r="A201" s="270" t="s">
        <v>780</v>
      </c>
      <c r="B201" s="403" t="s">
        <v>421</v>
      </c>
      <c r="C201" s="404" t="str">
        <f>'Управление ИБ'!B160</f>
        <v>Учебные материалы пересматриваются раз в год или чаще.</v>
      </c>
      <c r="D201" s="404" t="str">
        <f>'Управление ИБ'!C160</f>
        <v>УИБ.AW.4</v>
      </c>
      <c r="E201" s="404">
        <f>'Управление ИБ'!D160</f>
        <v>5</v>
      </c>
      <c r="F201" s="404">
        <f>'Управление ИБ'!E160</f>
        <v>3.2</v>
      </c>
      <c r="G201" s="404">
        <f>'Управление ИБ'!F160</f>
        <v>1.6</v>
      </c>
      <c r="H201" s="410">
        <f>'Управление ИБ'!P160</f>
        <v>31.040000000000006</v>
      </c>
      <c r="I201" s="404">
        <f>'Управление ИБ'!K160</f>
        <v>1.6</v>
      </c>
      <c r="J201" s="404">
        <f>'Управление ИБ'!I160</f>
        <v>0</v>
      </c>
      <c r="K201" s="404">
        <f>'Управление ИБ'!L160</f>
        <v>0</v>
      </c>
      <c r="L201" s="404">
        <f t="shared" si="7"/>
        <v>0</v>
      </c>
      <c r="M201" s="373">
        <f t="shared" si="8"/>
        <v>1.6</v>
      </c>
      <c r="N201" s="407" t="str">
        <f>'Управление ИБ'!Q160</f>
        <v xml:space="preserve"> - Раз в год пересматривать учебные материалы и при необходимости актуализировать</v>
      </c>
      <c r="O201" s="407"/>
      <c r="P201" s="407"/>
    </row>
    <row r="202" spans="1:16" ht="78">
      <c r="A202" s="270" t="s">
        <v>780</v>
      </c>
      <c r="B202" s="403" t="s">
        <v>421</v>
      </c>
      <c r="C202" s="404" t="str">
        <f>'Управление ИБ'!B161</f>
        <v>Осуществляется обучение работников распознавать атаки с использованием социальной инженерии</v>
      </c>
      <c r="D202" s="404" t="str">
        <f>'Управление ИБ'!C161</f>
        <v>УИБ.AW.5</v>
      </c>
      <c r="E202" s="404">
        <f>'Управление ИБ'!D161</f>
        <v>5</v>
      </c>
      <c r="F202" s="404">
        <f>'Управление ИБ'!E161</f>
        <v>3.2</v>
      </c>
      <c r="G202" s="404">
        <f>'Управление ИБ'!F161</f>
        <v>1.6</v>
      </c>
      <c r="H202" s="410">
        <f>'Управление ИБ'!P161</f>
        <v>31.050000000000008</v>
      </c>
      <c r="I202" s="404">
        <f>'Управление ИБ'!K161</f>
        <v>1.6</v>
      </c>
      <c r="J202" s="404">
        <f>'Управление ИБ'!I161</f>
        <v>0</v>
      </c>
      <c r="K202" s="404">
        <f>'Управление ИБ'!L161</f>
        <v>0</v>
      </c>
      <c r="L202" s="404">
        <f t="shared" si="7"/>
        <v>0</v>
      </c>
      <c r="M202" s="373">
        <f t="shared" si="8"/>
        <v>1.6</v>
      </c>
      <c r="N202" s="407" t="str">
        <f>'Управление ИБ'!Q161</f>
        <v xml:space="preserve"> - Разработать образовательный курс о распознавании атаки с использованием социальной инженерии. Разместить его в общем доступе для самостоятельного изучения сотрудниками без возможности отслеживания прогресса обучения</v>
      </c>
      <c r="O202" s="407"/>
      <c r="P202" s="407"/>
    </row>
    <row r="203" spans="1:16" ht="78">
      <c r="A203" s="270" t="s">
        <v>780</v>
      </c>
      <c r="B203" s="403" t="s">
        <v>421</v>
      </c>
      <c r="C203" s="404" t="str">
        <f>'Управление ИБ'!B161</f>
        <v>Осуществляется обучение работников распознавать атаки с использованием социальной инженерии</v>
      </c>
      <c r="D203" s="404" t="str">
        <f>'Управление ИБ'!C161</f>
        <v>УИБ.AW.5</v>
      </c>
      <c r="E203" s="404">
        <f>'Управление ИБ'!D161</f>
        <v>5</v>
      </c>
      <c r="F203" s="404">
        <f>'Управление ИБ'!E161</f>
        <v>3.2</v>
      </c>
      <c r="G203" s="404">
        <f>'Управление ИБ'!F161</f>
        <v>1.6</v>
      </c>
      <c r="H203" s="404">
        <f>'Управление ИБ'!P161</f>
        <v>31.050000000000008</v>
      </c>
      <c r="I203" s="404">
        <f>'Управление ИБ'!K161</f>
        <v>1.6</v>
      </c>
      <c r="J203" s="404">
        <f>'Управление ИБ'!I161</f>
        <v>0</v>
      </c>
      <c r="K203" s="404">
        <f>'Управление ИБ'!L161</f>
        <v>0</v>
      </c>
      <c r="L203" s="404">
        <f t="shared" si="7"/>
        <v>0</v>
      </c>
      <c r="M203" s="373">
        <f t="shared" si="8"/>
        <v>1.6</v>
      </c>
      <c r="N203" s="407" t="str">
        <f>'Управление ИБ'!U161</f>
        <v xml:space="preserve"> - Осуществлять регулярный мониторинг и отслеживание динамики обучения. Выработать показатели эффективности обучения</v>
      </c>
      <c r="O203" s="407"/>
      <c r="P203" s="407"/>
    </row>
    <row r="204" spans="1:16" ht="93.6">
      <c r="A204" s="270" t="s">
        <v>780</v>
      </c>
      <c r="B204" s="403" t="s">
        <v>421</v>
      </c>
      <c r="C204" s="404" t="str">
        <f>'Управление ИБ'!B162</f>
        <v>Осуществляется обучение работников по теме многофакторной аутентификации, создании сильных паролей и управлении учетными записями.</v>
      </c>
      <c r="D204" s="404" t="str">
        <f>'Управление ИБ'!C162</f>
        <v>УИБ.AW.6</v>
      </c>
      <c r="E204" s="404">
        <f>'Управление ИБ'!D162</f>
        <v>5</v>
      </c>
      <c r="F204" s="404">
        <f>'Управление ИБ'!E162</f>
        <v>3.2</v>
      </c>
      <c r="G204" s="404">
        <f>'Управление ИБ'!F162</f>
        <v>1.6</v>
      </c>
      <c r="H204" s="410">
        <f>'Управление ИБ'!P162</f>
        <v>31.060000000000009</v>
      </c>
      <c r="I204" s="404">
        <f>'Управление ИБ'!K162</f>
        <v>1.6</v>
      </c>
      <c r="J204" s="404">
        <f>'Управление ИБ'!I162</f>
        <v>0</v>
      </c>
      <c r="K204" s="404">
        <f>'Управление ИБ'!L162</f>
        <v>0</v>
      </c>
      <c r="L204" s="404">
        <f t="shared" si="7"/>
        <v>0</v>
      </c>
      <c r="M204" s="373">
        <f t="shared" si="8"/>
        <v>1.6</v>
      </c>
      <c r="N204" s="407" t="str">
        <f>'Управление ИБ'!Q162</f>
        <v xml:space="preserve"> - Разработать образовательный курс по теме многофакторной аутентификации, создании сильных паролей и управлении учетными записями. Разместить его в общем доступе для самостоятельного изучения сотрудниками без возможности отслеживания прогресса обучения</v>
      </c>
      <c r="O204" s="407"/>
      <c r="P204" s="407"/>
    </row>
    <row r="205" spans="1:16" ht="124.8">
      <c r="A205" s="270" t="s">
        <v>780</v>
      </c>
      <c r="B205" s="403" t="s">
        <v>421</v>
      </c>
      <c r="C205" s="404" t="str">
        <f>'Управление ИБ'!B163</f>
        <v>Осуществляется обучение работников о необходимости блокировать рабочие станции, стирать информацию с флипчартов и виртуальных досок после совещаний и хранить данные в защищенном месте.</v>
      </c>
      <c r="D205" s="404" t="str">
        <f>'Управление ИБ'!C163</f>
        <v>УИБ.AW.7</v>
      </c>
      <c r="E205" s="404">
        <f>'Управление ИБ'!D163</f>
        <v>5</v>
      </c>
      <c r="F205" s="404">
        <f>'Управление ИБ'!E163</f>
        <v>3.2</v>
      </c>
      <c r="G205" s="404">
        <f>'Управление ИБ'!F163</f>
        <v>1.6</v>
      </c>
      <c r="H205" s="410">
        <f>'Управление ИБ'!P163</f>
        <v>31.070000000000011</v>
      </c>
      <c r="I205" s="404">
        <f>'Управление ИБ'!K163</f>
        <v>1.6</v>
      </c>
      <c r="J205" s="404">
        <f>'Управление ИБ'!I163</f>
        <v>0</v>
      </c>
      <c r="K205" s="404">
        <f>'Управление ИБ'!L163</f>
        <v>0</v>
      </c>
      <c r="L205" s="404">
        <f t="shared" si="7"/>
        <v>0</v>
      </c>
      <c r="M205" s="373">
        <f t="shared" si="8"/>
        <v>1.6</v>
      </c>
      <c r="N205" s="407" t="str">
        <f>'Управление ИБ'!Q163</f>
        <v xml:space="preserve"> - Разработать образовательный курс о необходимости блокировать рабочие станции, стирать информацию с флипчартов и виртуальных досок после совещаний и хранить данные в защищенном месте. Разместить его в общем доступе для самостоятельного изучения сотрудниками без возможности отслеживания прогресса обучения</v>
      </c>
      <c r="O205" s="407"/>
      <c r="P205" s="407"/>
    </row>
    <row r="206" spans="1:16" ht="93.6">
      <c r="A206" s="270" t="s">
        <v>780</v>
      </c>
      <c r="B206" s="403" t="s">
        <v>421</v>
      </c>
      <c r="C206" s="404" t="str">
        <f>'Управление ИБ'!B164</f>
        <v>Осуществляется обучение работников по теме ошибочной отправки и публикации конфиденциальных данных, потери рабочих устройств и съемных носителей. </v>
      </c>
      <c r="D206" s="404" t="str">
        <f>'Управление ИБ'!C164</f>
        <v>УИБ.AW.8</v>
      </c>
      <c r="E206" s="404">
        <f>'Управление ИБ'!D164</f>
        <v>5</v>
      </c>
      <c r="F206" s="404">
        <f>'Управление ИБ'!E164</f>
        <v>3.2</v>
      </c>
      <c r="G206" s="404">
        <f>'Управление ИБ'!F164</f>
        <v>1.6</v>
      </c>
      <c r="H206" s="410">
        <f>'Управление ИБ'!P164</f>
        <v>31.080000000000013</v>
      </c>
      <c r="I206" s="404">
        <f>'Управление ИБ'!K164</f>
        <v>1.6</v>
      </c>
      <c r="J206" s="404">
        <f>'Управление ИБ'!I164</f>
        <v>0</v>
      </c>
      <c r="K206" s="404">
        <f>'Управление ИБ'!L164</f>
        <v>0</v>
      </c>
      <c r="L206" s="404">
        <f t="shared" si="7"/>
        <v>0</v>
      </c>
      <c r="M206" s="373">
        <f t="shared" si="8"/>
        <v>1.6</v>
      </c>
      <c r="N206" s="407" t="str">
        <f>'Управление ИБ'!Q164</f>
        <v xml:space="preserve"> - Разработать образовательный курс по теме ошибочной отправки и публикации конфиденциальных данных, потери рабочих устройств и съемных носителей.Разместить его в общем доступе для самостоятельного изучения сотрудниками без возможности отслеживания прогресса обучения</v>
      </c>
      <c r="O206" s="407"/>
      <c r="P206" s="407"/>
    </row>
    <row r="207" spans="1:16" ht="93.6">
      <c r="A207" s="270" t="s">
        <v>780</v>
      </c>
      <c r="B207" s="403" t="s">
        <v>421</v>
      </c>
      <c r="C207" s="404" t="str">
        <f>'Управление ИБ'!B164</f>
        <v>Осуществляется обучение работников по теме ошибочной отправки и публикации конфиденциальных данных, потери рабочих устройств и съемных носителей. </v>
      </c>
      <c r="D207" s="404" t="str">
        <f>'Управление ИБ'!C164</f>
        <v>УИБ.AW.8</v>
      </c>
      <c r="E207" s="404">
        <f>'Управление ИБ'!D164</f>
        <v>5</v>
      </c>
      <c r="F207" s="404">
        <f>'Управление ИБ'!E164</f>
        <v>3.2</v>
      </c>
      <c r="G207" s="404">
        <f>'Управление ИБ'!F164</f>
        <v>1.6</v>
      </c>
      <c r="H207" s="404">
        <f>'Управление ИБ'!P164</f>
        <v>31.080000000000013</v>
      </c>
      <c r="I207" s="404">
        <f>'Управление ИБ'!K164</f>
        <v>1.6</v>
      </c>
      <c r="J207" s="404">
        <f>'Управление ИБ'!I164</f>
        <v>0</v>
      </c>
      <c r="K207" s="404">
        <f>'Управление ИБ'!L164</f>
        <v>0</v>
      </c>
      <c r="L207" s="404">
        <f t="shared" si="7"/>
        <v>0</v>
      </c>
      <c r="M207" s="373">
        <f t="shared" si="8"/>
        <v>1.6</v>
      </c>
      <c r="N207" s="407" t="str">
        <f>'Управление ИБ'!U164</f>
        <v xml:space="preserve"> - Осуществлять регулярный мониторинг и отслеживание динамики обучения. Выработать показатели эффективности обучения</v>
      </c>
      <c r="O207" s="407"/>
      <c r="P207" s="407"/>
    </row>
    <row r="208" spans="1:16" ht="78">
      <c r="A208" s="270" t="s">
        <v>780</v>
      </c>
      <c r="B208" s="403" t="s">
        <v>421</v>
      </c>
      <c r="C208" s="404" t="str">
        <f>'Управление ИБ'!B165</f>
        <v>Осуществляется обучение работников распознавать инциденты безопасности и сообщать о них</v>
      </c>
      <c r="D208" s="404" t="str">
        <f>'Управление ИБ'!C165</f>
        <v>УИБ.AW.9</v>
      </c>
      <c r="E208" s="404">
        <f>'Управление ИБ'!D165</f>
        <v>5</v>
      </c>
      <c r="F208" s="404">
        <f>'Управление ИБ'!E165</f>
        <v>3.2</v>
      </c>
      <c r="G208" s="404">
        <f>'Управление ИБ'!F165</f>
        <v>1.6</v>
      </c>
      <c r="H208" s="410">
        <f>'Управление ИБ'!P165</f>
        <v>31.090000000000014</v>
      </c>
      <c r="I208" s="404">
        <f>'Управление ИБ'!K165</f>
        <v>1.6</v>
      </c>
      <c r="J208" s="404">
        <f>'Управление ИБ'!I165</f>
        <v>0</v>
      </c>
      <c r="K208" s="404">
        <f>'Управление ИБ'!L165</f>
        <v>0</v>
      </c>
      <c r="L208" s="404">
        <f t="shared" si="7"/>
        <v>0</v>
      </c>
      <c r="M208" s="373">
        <f t="shared" si="8"/>
        <v>1.6</v>
      </c>
      <c r="N208" s="407" t="str">
        <f>'Управление ИБ'!Q165</f>
        <v xml:space="preserve"> - Разработать образовательный курс о том, как распознавать инциденты безопасности и сообщать о них. Разместить его в общем доступе для самостоятельного изучения сотрудниками без возможности отслеживания прогресса обучения</v>
      </c>
      <c r="O208" s="407"/>
      <c r="P208" s="407"/>
    </row>
    <row r="209" spans="1:16" ht="78">
      <c r="A209" s="270" t="s">
        <v>780</v>
      </c>
      <c r="B209" s="403" t="s">
        <v>421</v>
      </c>
      <c r="C209" s="404" t="str">
        <f>'Управление ИБ'!B166</f>
        <v>Осуществляется обучение привелигированных пользователей приемам безопасной работы</v>
      </c>
      <c r="D209" s="404" t="str">
        <f>'Управление ИБ'!C166</f>
        <v>УИБ.AW.10</v>
      </c>
      <c r="E209" s="404">
        <f>'Управление ИБ'!D166</f>
        <v>5</v>
      </c>
      <c r="F209" s="404">
        <f>'Управление ИБ'!E166</f>
        <v>3.2</v>
      </c>
      <c r="G209" s="404">
        <f>'Управление ИБ'!F166</f>
        <v>1.6</v>
      </c>
      <c r="H209" s="410">
        <f>'Управление ИБ'!P166</f>
        <v>31.100000000000016</v>
      </c>
      <c r="I209" s="404">
        <f>'Управление ИБ'!K166</f>
        <v>1.6</v>
      </c>
      <c r="J209" s="404">
        <f>'Управление ИБ'!I166</f>
        <v>0</v>
      </c>
      <c r="K209" s="404">
        <f>'Управление ИБ'!L166</f>
        <v>0</v>
      </c>
      <c r="L209" s="404">
        <f t="shared" si="7"/>
        <v>0</v>
      </c>
      <c r="M209" s="373">
        <f t="shared" si="8"/>
        <v>1.6</v>
      </c>
      <c r="N209" s="407" t="str">
        <f>'Управление ИБ'!Q166</f>
        <v xml:space="preserve"> - Разработать образовательный курс для привелигированных пользователей о приемах безопасной работы. Разместить его в общем доступе для самостоятельного изучения сотрудниками без возможности отслеживания прогресса обучения</v>
      </c>
      <c r="O209" s="407"/>
      <c r="P209" s="407"/>
    </row>
    <row r="210" spans="1:16" ht="78">
      <c r="A210" s="270" t="s">
        <v>780</v>
      </c>
      <c r="B210" s="403" t="s">
        <v>421</v>
      </c>
      <c r="C210" s="404" t="str">
        <f>'Управление ИБ'!B167</f>
        <v>Внедрена политика чистого стола и осуществляется контроль ее исполнения</v>
      </c>
      <c r="D210" s="404" t="str">
        <f>'Управление ИБ'!C167</f>
        <v>УИБ.AW.11</v>
      </c>
      <c r="E210" s="404">
        <f>'Управление ИБ'!D167</f>
        <v>5</v>
      </c>
      <c r="F210" s="404">
        <f>'Управление ИБ'!E167</f>
        <v>3.2</v>
      </c>
      <c r="G210" s="404">
        <f>'Управление ИБ'!F167</f>
        <v>1.6</v>
      </c>
      <c r="H210" s="410">
        <f>'Управление ИБ'!P167</f>
        <v>31.110000000000017</v>
      </c>
      <c r="I210" s="404">
        <f>'Управление ИБ'!K167</f>
        <v>1.6</v>
      </c>
      <c r="J210" s="404">
        <f>'Управление ИБ'!I167</f>
        <v>0</v>
      </c>
      <c r="K210" s="404">
        <f>'Управление ИБ'!L167</f>
        <v>1.6</v>
      </c>
      <c r="L210" s="404">
        <f t="shared" si="7"/>
        <v>1.6</v>
      </c>
      <c r="M210" s="373">
        <f t="shared" si="8"/>
        <v>0</v>
      </c>
      <c r="N210" s="407" t="str">
        <f>'Управление ИБ'!Q167</f>
        <v/>
      </c>
      <c r="O210" s="407"/>
      <c r="P210" s="407"/>
    </row>
    <row r="211" spans="1:16" ht="78">
      <c r="A211" s="270" t="s">
        <v>780</v>
      </c>
      <c r="B211" s="403" t="s">
        <v>421</v>
      </c>
      <c r="C211" s="404" t="str">
        <f>'Управление ИБ'!B167</f>
        <v>Внедрена политика чистого стола и осуществляется контроль ее исполнения</v>
      </c>
      <c r="D211" s="404" t="str">
        <f>'Управление ИБ'!C167</f>
        <v>УИБ.AW.11</v>
      </c>
      <c r="E211" s="404">
        <f>'Управление ИБ'!D167</f>
        <v>5</v>
      </c>
      <c r="F211" s="404">
        <f>'Управление ИБ'!E167</f>
        <v>3.2</v>
      </c>
      <c r="G211" s="404">
        <f>'Управление ИБ'!F167</f>
        <v>1.6</v>
      </c>
      <c r="H211" s="404">
        <f>'Управление ИБ'!P167</f>
        <v>31.110000000000017</v>
      </c>
      <c r="I211" s="404">
        <f>'Управление ИБ'!K167</f>
        <v>1.6</v>
      </c>
      <c r="J211" s="404">
        <f>'Управление ИБ'!I167</f>
        <v>0</v>
      </c>
      <c r="K211" s="404">
        <f>'Управление ИБ'!L167</f>
        <v>1.6</v>
      </c>
      <c r="L211" s="404">
        <f t="shared" si="7"/>
        <v>1.6</v>
      </c>
      <c r="M211" s="373">
        <f t="shared" si="8"/>
        <v>0</v>
      </c>
      <c r="N211" s="407" t="str">
        <f>'Управление ИБ'!U167</f>
        <v xml:space="preserve"> - Проводить регулярные рейды для оценки соблюдения правил чистого стола и чистого экрана.</v>
      </c>
      <c r="O211" s="407"/>
      <c r="P211" s="407"/>
    </row>
    <row r="212" spans="1:16" ht="78">
      <c r="A212" s="270" t="s">
        <v>20</v>
      </c>
      <c r="B212" s="403" t="s">
        <v>521</v>
      </c>
      <c r="C212" s="518" t="str">
        <f>Восстановление!B42</f>
        <v>Подготовлены планы коммуникаций на случай сбоев в планах по восстановлению</v>
      </c>
      <c r="D212" s="404" t="str">
        <f>Восстановление!C42</f>
        <v>ВССТ.КМНК.1</v>
      </c>
      <c r="E212" s="404">
        <f>Восстановление!D42</f>
        <v>5</v>
      </c>
      <c r="F212" s="404">
        <f>Восстановление!E42</f>
        <v>3.2</v>
      </c>
      <c r="G212" s="404">
        <f>Восстановление!F42</f>
        <v>0</v>
      </c>
      <c r="H212" s="404">
        <f>Восстановление!P42</f>
        <v>32.01</v>
      </c>
      <c r="I212" s="404">
        <f>Восстановление!K59</f>
        <v>0</v>
      </c>
      <c r="J212" s="404">
        <f>Восстановление!L42</f>
        <v>0</v>
      </c>
      <c r="K212" s="404">
        <f>Восстановление!L42</f>
        <v>0</v>
      </c>
      <c r="L212" s="404" t="str">
        <f t="shared" si="7"/>
        <v xml:space="preserve"> </v>
      </c>
      <c r="M212" s="373">
        <f t="shared" si="8"/>
        <v>0</v>
      </c>
      <c r="N212" s="404" t="str">
        <f>Восстановление!Q42</f>
        <v/>
      </c>
      <c r="O212" s="407"/>
      <c r="P212" s="407"/>
    </row>
    <row r="213" spans="1:16" ht="78">
      <c r="A213" s="270" t="s">
        <v>20</v>
      </c>
      <c r="B213" s="403" t="s">
        <v>521</v>
      </c>
      <c r="C213" s="404" t="str">
        <f>Восстановление!B43</f>
        <v>Юристами Общества подготовлены типовые ответы на претензии по факту инцидента</v>
      </c>
      <c r="D213" s="404" t="str">
        <f>Восстановление!C43</f>
        <v>ВССТ.КМНК.2</v>
      </c>
      <c r="E213" s="404">
        <f>Восстановление!D43</f>
        <v>5</v>
      </c>
      <c r="F213" s="404">
        <f>Восстановление!E43</f>
        <v>0</v>
      </c>
      <c r="G213" s="404">
        <f>Восстановление!F43</f>
        <v>0</v>
      </c>
      <c r="H213" s="404">
        <f>Восстановление!P43</f>
        <v>32.019999999999996</v>
      </c>
      <c r="I213" s="404">
        <f>Восстановление!K60</f>
        <v>0</v>
      </c>
      <c r="J213" s="404">
        <f>Восстановление!L43</f>
        <v>0</v>
      </c>
      <c r="K213" s="404">
        <f>Восстановление!L43</f>
        <v>0</v>
      </c>
      <c r="L213" s="404" t="str">
        <f t="shared" si="7"/>
        <v xml:space="preserve"> </v>
      </c>
      <c r="M213" s="373">
        <f t="shared" si="8"/>
        <v>0</v>
      </c>
      <c r="N213" s="404" t="str">
        <f>Восстановление!Q43</f>
        <v/>
      </c>
      <c r="O213" s="407"/>
      <c r="P213" s="407"/>
    </row>
    <row r="214" spans="1:16" ht="78">
      <c r="A214" s="270" t="s">
        <v>780</v>
      </c>
      <c r="B214" s="406" t="s">
        <v>290</v>
      </c>
      <c r="C214" s="408" t="str">
        <f>'Управление ИБ'!B132</f>
        <v>Назначен ответственный за безопасную разработку ПО</v>
      </c>
      <c r="D214" s="408" t="str">
        <f>'Управление ИБ'!C132</f>
        <v>УИБ.БР.5.9.1</v>
      </c>
      <c r="E214" s="408">
        <f>'Управление ИБ'!D132</f>
        <v>5</v>
      </c>
      <c r="F214" s="408">
        <f>'Управление ИБ'!E132</f>
        <v>5</v>
      </c>
      <c r="G214" s="408">
        <f>'Управление ИБ'!F132</f>
        <v>0</v>
      </c>
      <c r="H214" s="409">
        <f>'Управление ИБ'!P132</f>
        <v>33.01</v>
      </c>
      <c r="I214" s="408">
        <f>'Управление ИБ'!K132</f>
        <v>0</v>
      </c>
      <c r="J214" s="408">
        <f>'Управление ИБ'!I132</f>
        <v>0</v>
      </c>
      <c r="K214" s="404">
        <f>'Управление ИБ'!L132</f>
        <v>0</v>
      </c>
      <c r="L214" s="404" t="str">
        <f t="shared" si="7"/>
        <v xml:space="preserve"> </v>
      </c>
      <c r="M214" s="373">
        <f t="shared" si="8"/>
        <v>0</v>
      </c>
      <c r="N214" s="407" t="str">
        <f>'Управление ИБ'!Q132</f>
        <v/>
      </c>
      <c r="O214" s="407"/>
      <c r="P214" s="407"/>
    </row>
    <row r="215" spans="1:16" ht="78">
      <c r="A215" s="270" t="s">
        <v>780</v>
      </c>
      <c r="B215" s="406" t="s">
        <v>290</v>
      </c>
      <c r="C215" s="408" t="str">
        <f>'Управление ИБ'!B133</f>
        <v>Требования ИБ формируются на этапе разработки требований к ПО</v>
      </c>
      <c r="D215" s="408" t="str">
        <f>'Управление ИБ'!C133</f>
        <v>УИБ.БР.5.9.2</v>
      </c>
      <c r="E215" s="408">
        <f>'Управление ИБ'!D133</f>
        <v>5</v>
      </c>
      <c r="F215" s="408">
        <f>'Управление ИБ'!E133</f>
        <v>3.2</v>
      </c>
      <c r="G215" s="408">
        <f>'Управление ИБ'!F133</f>
        <v>1.6</v>
      </c>
      <c r="H215" s="409">
        <f>'Управление ИБ'!P133</f>
        <v>33.019999999999996</v>
      </c>
      <c r="I215" s="408">
        <f>'Управление ИБ'!K133</f>
        <v>1.6</v>
      </c>
      <c r="J215" s="408">
        <f>'Управление ИБ'!I133</f>
        <v>0</v>
      </c>
      <c r="K215" s="404">
        <f>'Управление ИБ'!L133</f>
        <v>0</v>
      </c>
      <c r="L215" s="404">
        <f t="shared" si="7"/>
        <v>0</v>
      </c>
      <c r="M215" s="373">
        <f t="shared" si="8"/>
        <v>1.6</v>
      </c>
      <c r="N215" s="407" t="str">
        <f>'Управление ИБ'!Q133</f>
        <v xml:space="preserve"> Для систем Mission Critical определить:
-требования безопасности ПО; 
-типовой набор требований безопасности ПО.</v>
      </c>
      <c r="O215" s="407"/>
      <c r="P215" s="407"/>
    </row>
    <row r="216" spans="1:16" ht="78">
      <c r="A216" s="270" t="s">
        <v>780</v>
      </c>
      <c r="B216" s="406" t="s">
        <v>290</v>
      </c>
      <c r="C216" s="408" t="str">
        <f>'Управление ИБ'!B134</f>
        <v>Определен Порядок фиксации замечаний по безопасности и последующего исправления багов</v>
      </c>
      <c r="D216" s="408" t="str">
        <f>'Управление ИБ'!C134</f>
        <v>УИБ.БР.5.9.3</v>
      </c>
      <c r="E216" s="408">
        <f>'Управление ИБ'!D134</f>
        <v>5</v>
      </c>
      <c r="F216" s="408">
        <f>'Управление ИБ'!E134</f>
        <v>5</v>
      </c>
      <c r="G216" s="408">
        <f>'Управление ИБ'!F134</f>
        <v>0</v>
      </c>
      <c r="H216" s="409">
        <f>'Управление ИБ'!P134</f>
        <v>33.029999999999994</v>
      </c>
      <c r="I216" s="408">
        <f>'Управление ИБ'!K134</f>
        <v>0</v>
      </c>
      <c r="J216" s="408">
        <f>'Управление ИБ'!I134</f>
        <v>0</v>
      </c>
      <c r="K216" s="404">
        <f>'Управление ИБ'!L134</f>
        <v>0</v>
      </c>
      <c r="L216" s="404" t="str">
        <f t="shared" si="7"/>
        <v xml:space="preserve"> </v>
      </c>
      <c r="M216" s="373">
        <f t="shared" si="8"/>
        <v>0</v>
      </c>
      <c r="N216" s="407" t="str">
        <f>'Управление ИБ'!Q134</f>
        <v/>
      </c>
      <c r="O216" s="407"/>
      <c r="P216" s="407"/>
    </row>
    <row r="217" spans="1:16" ht="78">
      <c r="A217" s="270" t="s">
        <v>780</v>
      </c>
      <c r="B217" s="406" t="s">
        <v>290</v>
      </c>
      <c r="C217" s="408" t="str">
        <f>'Управление ИБ'!B135</f>
        <v>Организован процесс тестирования ПО</v>
      </c>
      <c r="D217" s="408" t="str">
        <f>'Управление ИБ'!C135</f>
        <v>УИБ.БР.5.9.4</v>
      </c>
      <c r="E217" s="408">
        <f>'Управление ИБ'!D135</f>
        <v>4</v>
      </c>
      <c r="F217" s="408">
        <f>'Управление ИБ'!E135</f>
        <v>3</v>
      </c>
      <c r="G217" s="408">
        <f>'Управление ИБ'!F135</f>
        <v>1</v>
      </c>
      <c r="H217" s="409">
        <f>'Управление ИБ'!P135</f>
        <v>33.039999999999992</v>
      </c>
      <c r="I217" s="408">
        <f>'Управление ИБ'!K135</f>
        <v>1</v>
      </c>
      <c r="J217" s="408">
        <f>'Управление ИБ'!I135</f>
        <v>0</v>
      </c>
      <c r="K217" s="404">
        <f>'Управление ИБ'!L135</f>
        <v>0</v>
      </c>
      <c r="L217" s="404">
        <f t="shared" si="7"/>
        <v>0</v>
      </c>
      <c r="M217" s="373">
        <f t="shared" si="8"/>
        <v>1</v>
      </c>
      <c r="N217" s="407" t="str">
        <f>'Управление ИБ'!Q135</f>
        <v>Для систем Mission Critical определить порядок  тестирования ПО.</v>
      </c>
      <c r="O217" s="407"/>
      <c r="P217" s="407"/>
    </row>
    <row r="218" spans="1:16" ht="140.4">
      <c r="A218" s="270" t="s">
        <v>780</v>
      </c>
      <c r="B218" s="406" t="s">
        <v>290</v>
      </c>
      <c r="C218" s="408" t="str">
        <f>'Управление ИБ'!B136</f>
        <v>Организован процесс приемки и инсталляции ПО:
- порядок приемки ПО перед его запуском в продуктивной среде
- порядок передачи ПО в продуктивную среду
- состав и содержание эксплуатационных документов на ПО</v>
      </c>
      <c r="D218" s="404" t="str">
        <f>'Управление ИБ'!C136</f>
        <v>УИБ.БР.5.9.5</v>
      </c>
      <c r="E218" s="408">
        <f>'Управление ИБ'!D136</f>
        <v>5</v>
      </c>
      <c r="F218" s="408">
        <f>'Управление ИБ'!E136</f>
        <v>3.2</v>
      </c>
      <c r="G218" s="408">
        <f>'Управление ИБ'!F136</f>
        <v>1.6</v>
      </c>
      <c r="H218" s="409">
        <f>'Управление ИБ'!P136</f>
        <v>33.04999999999999</v>
      </c>
      <c r="I218" s="408">
        <f>'Управление ИБ'!K136</f>
        <v>1.6</v>
      </c>
      <c r="J218" s="408">
        <f>'Управление ИБ'!I136</f>
        <v>0</v>
      </c>
      <c r="K218" s="404">
        <f>'Управление ИБ'!L136</f>
        <v>0</v>
      </c>
      <c r="L218" s="404">
        <f t="shared" si="7"/>
        <v>0</v>
      </c>
      <c r="M218" s="373">
        <f t="shared" si="8"/>
        <v>1.6</v>
      </c>
      <c r="N218" s="407" t="str">
        <f>'Управление ИБ'!Q136</f>
        <v xml:space="preserve"> Для систем Mission Critical определить:
-порядок приемки ПО перед его запуском в продуктивной среде;
- порядок передачи ПО в продуктивную среду;
-состав и содержание эксплуатационных документов на ПО.</v>
      </c>
      <c r="O218" s="407"/>
      <c r="P218" s="407"/>
    </row>
    <row r="219" spans="1:16" ht="218.4">
      <c r="A219" s="270" t="s">
        <v>780</v>
      </c>
      <c r="B219" s="406" t="s">
        <v>290</v>
      </c>
      <c r="C219" s="408" t="str">
        <f>'Управление ИБ'!B137</f>
        <v>Организован процесс эксплуатации ПО:
- назначены ответственные за техническую поддержку пользователей ПО
- сформирован порядок информирования пользователей об обновлениях ПО, обнаруженных уязвимостях и окончании технической поддержки
- назначены ответственные за поиск уязвимостей ПО и их устранение</v>
      </c>
      <c r="D219" s="408" t="str">
        <f>'Управление ИБ'!C137</f>
        <v>УИБ.БР.5.9.6</v>
      </c>
      <c r="E219" s="408">
        <f>'Управление ИБ'!D137</f>
        <v>5</v>
      </c>
      <c r="F219" s="408">
        <f>'Управление ИБ'!E137</f>
        <v>3.2</v>
      </c>
      <c r="G219" s="408">
        <f>'Управление ИБ'!F137</f>
        <v>1.6</v>
      </c>
      <c r="H219" s="409">
        <f>'Управление ИБ'!P137</f>
        <v>33.059999999999988</v>
      </c>
      <c r="I219" s="408">
        <f>'Управление ИБ'!K137</f>
        <v>1.6</v>
      </c>
      <c r="J219" s="408">
        <f>'Управление ИБ'!I137</f>
        <v>0</v>
      </c>
      <c r="K219" s="404">
        <f>'Управление ИБ'!L137</f>
        <v>0</v>
      </c>
      <c r="L219" s="404">
        <f t="shared" si="7"/>
        <v>0</v>
      </c>
      <c r="M219" s="373">
        <f t="shared" si="8"/>
        <v>1.6</v>
      </c>
      <c r="N219" s="407" t="str">
        <f>'Управление ИБ'!Q137</f>
        <v>Для систем Mission Critical определить:
- ответственных за техническую поддержку пользователей ПО;
- порядок информирования пользователей об обновлениях ПО,обнаруженных уязвимостях и окончании технической поддержки
- ответственных за поиск уязвимостей ПО и их устранение.</v>
      </c>
      <c r="O219" s="407"/>
      <c r="P219" s="407"/>
    </row>
    <row r="220" spans="1:16" ht="93.6">
      <c r="A220" s="270" t="s">
        <v>780</v>
      </c>
      <c r="B220" s="406" t="s">
        <v>290</v>
      </c>
      <c r="C220" s="408" t="str">
        <f>'Управление ИБ'!B138</f>
        <v xml:space="preserve">Используются проверенные модули безопасности (шифрования, ведения журналов, идентификации/аутентификапции) </v>
      </c>
      <c r="D220" s="408" t="str">
        <f>'Управление ИБ'!C138</f>
        <v>УИБ.БР.5.9.7</v>
      </c>
      <c r="E220" s="408">
        <f>'Управление ИБ'!D138</f>
        <v>5</v>
      </c>
      <c r="F220" s="408">
        <f>'Управление ИБ'!E138</f>
        <v>5</v>
      </c>
      <c r="G220" s="408">
        <f>'Управление ИБ'!F138</f>
        <v>0</v>
      </c>
      <c r="H220" s="409">
        <f>'Управление ИБ'!P138</f>
        <v>33.069999999999986</v>
      </c>
      <c r="I220" s="408">
        <f>'Управление ИБ'!K138</f>
        <v>0</v>
      </c>
      <c r="J220" s="408">
        <f>'Управление ИБ'!I138</f>
        <v>0</v>
      </c>
      <c r="K220" s="404">
        <f>'Управление ИБ'!L138</f>
        <v>0</v>
      </c>
      <c r="L220" s="404" t="str">
        <f t="shared" si="7"/>
        <v xml:space="preserve"> </v>
      </c>
      <c r="M220" s="373">
        <f t="shared" si="8"/>
        <v>0</v>
      </c>
      <c r="N220" s="407" t="str">
        <f>'Управление ИБ'!S138</f>
        <v>- Провести инвентаризацию всех используемых модулей и служб в текущей инфраструктуре;
- Определить критерии оценки модулей и служб (наличие сертификаций, регулярные обновления, отзывы сообщества); 
- Разработать реестр проверенных модулей и служб, с указанием источника и даты проверки; - Обеспечить использование модулей и служб, внесенных в реестр;
- Настроить автоматические обновления для всех используемых модулей и служб</v>
      </c>
      <c r="O220" s="407"/>
      <c r="P220" s="407"/>
    </row>
    <row r="221" spans="1:16" ht="93.6">
      <c r="A221" s="270" t="s">
        <v>780</v>
      </c>
      <c r="B221" s="406" t="s">
        <v>290</v>
      </c>
      <c r="C221" s="408" t="str">
        <f>'Управление ИБ'!B138</f>
        <v xml:space="preserve">Используются проверенные модули безопасности (шифрования, ведения журналов, идентификации/аутентификапции) </v>
      </c>
      <c r="D221" s="408" t="str">
        <f>'Управление ИБ'!C138</f>
        <v>УИБ.БР.5.9.7</v>
      </c>
      <c r="E221" s="408">
        <f>'Управление ИБ'!D138</f>
        <v>5</v>
      </c>
      <c r="F221" s="408">
        <f>'Управление ИБ'!E138</f>
        <v>5</v>
      </c>
      <c r="G221" s="408">
        <f>'Управление ИБ'!F138</f>
        <v>0</v>
      </c>
      <c r="H221" s="409">
        <f>'Управление ИБ'!P138</f>
        <v>33.069999999999986</v>
      </c>
      <c r="I221" s="408">
        <f>'Управление ИБ'!K138</f>
        <v>0</v>
      </c>
      <c r="J221" s="408">
        <f>'Управление ИБ'!I138</f>
        <v>0</v>
      </c>
      <c r="K221" s="404">
        <f>'Управление ИБ'!L138</f>
        <v>0</v>
      </c>
      <c r="L221" s="404" t="str">
        <f t="shared" si="7"/>
        <v xml:space="preserve"> </v>
      </c>
      <c r="M221" s="373">
        <f t="shared" si="8"/>
        <v>0</v>
      </c>
      <c r="N221" s="407" t="str">
        <f>'Управление ИБ'!Q138</f>
        <v/>
      </c>
      <c r="O221" s="407"/>
      <c r="P221" s="407"/>
    </row>
    <row r="222" spans="1:16" ht="78">
      <c r="A222" s="270" t="s">
        <v>780</v>
      </c>
      <c r="B222" s="406" t="s">
        <v>290</v>
      </c>
      <c r="C222" s="408" t="str">
        <f>'Управление ИБ'!B139</f>
        <v>Организован процесс обучения сотрудников</v>
      </c>
      <c r="D222" s="408" t="str">
        <f>'Управление ИБ'!C139</f>
        <v>УИБ.БР.5.9.8</v>
      </c>
      <c r="E222" s="408">
        <f>'Управление ИБ'!D139</f>
        <v>5</v>
      </c>
      <c r="F222" s="408">
        <f>'Управление ИБ'!E139</f>
        <v>3.2</v>
      </c>
      <c r="G222" s="408">
        <f>'Управление ИБ'!F139</f>
        <v>1.6</v>
      </c>
      <c r="H222" s="409">
        <f>'Управление ИБ'!P139</f>
        <v>33.079999999999984</v>
      </c>
      <c r="I222" s="408">
        <f>'Управление ИБ'!K139</f>
        <v>1.6</v>
      </c>
      <c r="J222" s="408">
        <f>'Управление ИБ'!I139</f>
        <v>0</v>
      </c>
      <c r="K222" s="404">
        <f>'Управление ИБ'!L139</f>
        <v>0</v>
      </c>
      <c r="L222" s="404">
        <f t="shared" si="7"/>
        <v>0</v>
      </c>
      <c r="M222" s="373">
        <f t="shared" si="8"/>
        <v>1.6</v>
      </c>
      <c r="N222" s="407" t="str">
        <f>'Управление ИБ'!Q139</f>
        <v xml:space="preserve">Определить порядок повышения и поддержания на должном уровне компетенций разработчиков в области безопасности ПО; </v>
      </c>
      <c r="O222" s="407"/>
      <c r="P222" s="407"/>
    </row>
    <row r="223" spans="1:16" ht="93.6">
      <c r="A223" s="270" t="s">
        <v>780</v>
      </c>
      <c r="B223" s="406" t="s">
        <v>290</v>
      </c>
      <c r="C223" s="408" t="str">
        <f>'Управление ИБ'!B140</f>
        <v>Формализованы и определены процедуры контроля сторонней разработки.
Заказчиком осуществляется контроль безопасности ПО при заказе разработки ПО</v>
      </c>
      <c r="D223" s="408" t="str">
        <f>'Управление ИБ'!C140</f>
        <v>УИБ.БР.5.9.9</v>
      </c>
      <c r="E223" s="408">
        <f>'Управление ИБ'!D140</f>
        <v>5</v>
      </c>
      <c r="F223" s="408">
        <f>'Управление ИБ'!E140</f>
        <v>3.2</v>
      </c>
      <c r="G223" s="408">
        <f>'Управление ИБ'!F140</f>
        <v>1.6</v>
      </c>
      <c r="H223" s="409">
        <f>'Управление ИБ'!P140</f>
        <v>33.089999999999982</v>
      </c>
      <c r="I223" s="408">
        <f>'Управление ИБ'!K140</f>
        <v>1.6</v>
      </c>
      <c r="J223" s="408">
        <f>'Управление ИБ'!I140</f>
        <v>0</v>
      </c>
      <c r="K223" s="404">
        <f>'Управление ИБ'!L140</f>
        <v>0</v>
      </c>
      <c r="L223" s="404">
        <f t="shared" si="7"/>
        <v>0</v>
      </c>
      <c r="M223" s="373">
        <f t="shared" si="8"/>
        <v>1.6</v>
      </c>
      <c r="N223" s="407" t="str">
        <f>'Управление ИБ'!Q140</f>
        <v>1.Разработать и утвердить документы:
лицензионный договор;
акт приема-передачи.
2.Вести отчетность по анализу кода ПО, полученного через цепочки поставок, на предмет внедрения вредоносного программного обеспечения для систем Mission Critical.</v>
      </c>
      <c r="O223" s="407"/>
      <c r="P223" s="407"/>
    </row>
    <row r="224" spans="1:16" ht="109.2">
      <c r="A224" s="270" t="s">
        <v>780</v>
      </c>
      <c r="B224" s="406" t="s">
        <v>290</v>
      </c>
      <c r="C224" s="408" t="str">
        <f>'Управление ИБ'!B141</f>
        <v>Создан и актуален реестр одобренных компонентов ПО, принадлежащих сторонним производителям. 
Отслеживаются  обновления и свежие версии компонентов не реже раз в месяц.</v>
      </c>
      <c r="D224" s="408" t="str">
        <f>'Управление ИБ'!C141</f>
        <v>УИБ.БР.5.9.10</v>
      </c>
      <c r="E224" s="408">
        <f>'Управление ИБ'!D141</f>
        <v>5</v>
      </c>
      <c r="F224" s="408">
        <f>'Управление ИБ'!E141</f>
        <v>3.2</v>
      </c>
      <c r="G224" s="408">
        <f>'Управление ИБ'!F141</f>
        <v>1.6</v>
      </c>
      <c r="H224" s="409">
        <f>'Управление ИБ'!P141</f>
        <v>33.09999999999998</v>
      </c>
      <c r="I224" s="408">
        <f>'Управление ИБ'!K141</f>
        <v>1.6</v>
      </c>
      <c r="J224" s="408">
        <f>'Управление ИБ'!I141</f>
        <v>0</v>
      </c>
      <c r="K224" s="404">
        <f>'Управление ИБ'!L141</f>
        <v>0</v>
      </c>
      <c r="L224" s="404">
        <f t="shared" si="7"/>
        <v>0</v>
      </c>
      <c r="M224" s="373">
        <f t="shared" si="8"/>
        <v>1.6</v>
      </c>
      <c r="N224" s="407" t="str">
        <f>'Управление ИБ'!Q141</f>
        <v>1.Задокументировать порядок формирования списка доверенных компонентов, критерии доверия и правила использования. 
2.Создать реестр одобренных компонентов ПО;</v>
      </c>
      <c r="O224" s="407"/>
      <c r="P224" s="407"/>
    </row>
    <row r="225" spans="1:16" ht="78">
      <c r="A225" s="270" t="s">
        <v>780</v>
      </c>
      <c r="B225" s="406" t="s">
        <v>290</v>
      </c>
      <c r="C225" s="408" t="str">
        <f>'Управление ИБ'!B142</f>
        <v>Компоненты Реестра ПО скачиваются из проверенных источников и проверяются на безопасность перед установкой</v>
      </c>
      <c r="D225" s="408" t="str">
        <f>'Управление ИБ'!C142</f>
        <v>УИБ.БР.5.9.11</v>
      </c>
      <c r="E225" s="408">
        <f>'Управление ИБ'!D142</f>
        <v>5</v>
      </c>
      <c r="F225" s="408">
        <f>'Управление ИБ'!E142</f>
        <v>3.2</v>
      </c>
      <c r="G225" s="408">
        <f>'Управление ИБ'!F142</f>
        <v>1.6</v>
      </c>
      <c r="H225" s="409">
        <f>'Управление ИБ'!P142</f>
        <v>33.109999999999978</v>
      </c>
      <c r="I225" s="408">
        <f>'Управление ИБ'!K142</f>
        <v>1.6</v>
      </c>
      <c r="J225" s="408">
        <f>'Управление ИБ'!I142</f>
        <v>0</v>
      </c>
      <c r="K225" s="404">
        <f>'Управление ИБ'!L142</f>
        <v>0</v>
      </c>
      <c r="L225" s="404">
        <f t="shared" si="7"/>
        <v>0</v>
      </c>
      <c r="M225" s="373">
        <f t="shared" si="8"/>
        <v>1.6</v>
      </c>
      <c r="N225" s="407" t="str">
        <f>'Управление ИБ'!Q142</f>
        <v>1.Определить порядок скачивания компонентов ПО из проверенных источников;
2.Определить критериии доверия к компонентам ПО.</v>
      </c>
      <c r="O225" s="407"/>
      <c r="P225" s="407"/>
    </row>
    <row r="226" spans="1:16" ht="93.6">
      <c r="A226" s="270" t="s">
        <v>780</v>
      </c>
      <c r="B226" s="406" t="s">
        <v>290</v>
      </c>
      <c r="C226" s="408" t="str">
        <f>'Управление ИБ'!B143</f>
        <v>При разработке ПО, для обеспечения безопасности критичных компонентов используются механизмы безопасности системного уровня</v>
      </c>
      <c r="D226" s="408" t="str">
        <f>'Управление ИБ'!C143</f>
        <v>УИБ.БР.5.9.12</v>
      </c>
      <c r="E226" s="408">
        <f>'Управление ИБ'!D143</f>
        <v>5</v>
      </c>
      <c r="F226" s="408">
        <f>'Управление ИБ'!E143</f>
        <v>3.2</v>
      </c>
      <c r="G226" s="408">
        <f>'Управление ИБ'!F143</f>
        <v>1.6</v>
      </c>
      <c r="H226" s="409">
        <f>'Управление ИБ'!P143</f>
        <v>33.119999999999976</v>
      </c>
      <c r="I226" s="408">
        <f>'Управление ИБ'!K143</f>
        <v>1.6</v>
      </c>
      <c r="J226" s="408">
        <f>'Управление ИБ'!I143</f>
        <v>0</v>
      </c>
      <c r="K226" s="404">
        <f>'Управление ИБ'!L143</f>
        <v>0</v>
      </c>
      <c r="L226" s="404">
        <f t="shared" si="7"/>
        <v>0</v>
      </c>
      <c r="M226" s="373">
        <f t="shared" si="8"/>
        <v>1.6</v>
      </c>
      <c r="N226" s="407"/>
      <c r="O226" s="407"/>
      <c r="P226" s="407"/>
    </row>
    <row r="227" spans="1:16" ht="78">
      <c r="A227" s="270" t="s">
        <v>780</v>
      </c>
      <c r="B227" s="406" t="s">
        <v>290</v>
      </c>
      <c r="C227" s="408" t="str">
        <f>'Управление ИБ'!B144</f>
        <v>Используется система обнаружения уязвимостей с рейтингом критичности и отслеживанием метрик</v>
      </c>
      <c r="D227" s="408" t="str">
        <f>'Управление ИБ'!C144</f>
        <v>УИБ.БР.5.9.13</v>
      </c>
      <c r="E227" s="408">
        <f>'Управление ИБ'!D144</f>
        <v>5</v>
      </c>
      <c r="F227" s="408">
        <f>'Управление ИБ'!E144</f>
        <v>5</v>
      </c>
      <c r="G227" s="408">
        <f>'Управление ИБ'!F144</f>
        <v>0</v>
      </c>
      <c r="H227" s="409">
        <f>'Управление ИБ'!P144</f>
        <v>33.129999999999974</v>
      </c>
      <c r="I227" s="408">
        <f>'Управление ИБ'!K144</f>
        <v>0</v>
      </c>
      <c r="J227" s="408">
        <f>'Управление ИБ'!I144</f>
        <v>0</v>
      </c>
      <c r="K227" s="404">
        <f>'Управление ИБ'!L144</f>
        <v>0</v>
      </c>
      <c r="L227" s="404" t="str">
        <f t="shared" si="7"/>
        <v xml:space="preserve"> </v>
      </c>
      <c r="M227" s="373">
        <f t="shared" si="8"/>
        <v>0</v>
      </c>
      <c r="N227" s="407" t="str">
        <f>'Управление ИБ'!Q144</f>
        <v/>
      </c>
      <c r="O227" s="407"/>
      <c r="P227" s="407"/>
    </row>
    <row r="228" spans="1:16" ht="78">
      <c r="A228" s="270" t="s">
        <v>780</v>
      </c>
      <c r="B228" s="406" t="s">
        <v>290</v>
      </c>
      <c r="C228" s="408" t="str">
        <f>'Управление ИБ'!B145</f>
        <v xml:space="preserve">Наиболее критичные замечания исправляются в первую очередь. </v>
      </c>
      <c r="D228" s="408" t="str">
        <f>'Управление ИБ'!C145</f>
        <v>УИБ.БР.5.9.14</v>
      </c>
      <c r="E228" s="408">
        <f>'Управление ИБ'!D145</f>
        <v>5</v>
      </c>
      <c r="F228" s="408">
        <f>'Управление ИБ'!E145</f>
        <v>5</v>
      </c>
      <c r="G228" s="408">
        <f>'Управление ИБ'!F145</f>
        <v>0</v>
      </c>
      <c r="H228" s="409">
        <f>'Управление ИБ'!P145</f>
        <v>33.139999999999972</v>
      </c>
      <c r="I228" s="408">
        <f>'Управление ИБ'!K145</f>
        <v>0</v>
      </c>
      <c r="J228" s="408">
        <f>'Управление ИБ'!I145</f>
        <v>0</v>
      </c>
      <c r="K228" s="404">
        <f>'Управление ИБ'!L145</f>
        <v>0</v>
      </c>
      <c r="L228" s="404" t="str">
        <f t="shared" si="7"/>
        <v xml:space="preserve"> </v>
      </c>
      <c r="M228" s="373">
        <f t="shared" si="8"/>
        <v>0</v>
      </c>
      <c r="N228" s="407" t="str">
        <f>'Управление ИБ'!Q145</f>
        <v/>
      </c>
      <c r="O228" s="407"/>
      <c r="P228" s="407"/>
    </row>
    <row r="229" spans="1:16" ht="109.2">
      <c r="A229" s="270" t="s">
        <v>780</v>
      </c>
      <c r="B229" s="403" t="s">
        <v>328</v>
      </c>
      <c r="C229" s="404" t="str">
        <f>'Управление ИБ'!B151</f>
        <v>Зоны безопасности, порядок доступа и требования к их защите должны быть определены и документированы</v>
      </c>
      <c r="D229" s="404" t="str">
        <f>'Управление ИБ'!C151</f>
        <v>УИБ.ФД.1</v>
      </c>
      <c r="E229" s="404">
        <f>'Управление ИБ'!D151</f>
        <v>5</v>
      </c>
      <c r="F229" s="404">
        <f>'Управление ИБ'!E151</f>
        <v>5</v>
      </c>
      <c r="G229" s="404">
        <f>'Управление ИБ'!F151</f>
        <v>5</v>
      </c>
      <c r="H229" s="410">
        <f>'Управление ИБ'!P151</f>
        <v>34.01</v>
      </c>
      <c r="I229" s="404">
        <f>'Управление ИБ'!K151</f>
        <v>5</v>
      </c>
      <c r="J229" s="404">
        <f>'Управление ИБ'!I151</f>
        <v>0</v>
      </c>
      <c r="K229" s="404">
        <f>'Управление ИБ'!L151</f>
        <v>0</v>
      </c>
      <c r="L229" s="404">
        <f t="shared" si="7"/>
        <v>0</v>
      </c>
      <c r="M229" s="373">
        <f t="shared" si="8"/>
        <v>5</v>
      </c>
      <c r="N229" s="407" t="str">
        <f>'Управление ИБ'!Q151</f>
        <v xml:space="preserve"> - Организовать охрану офисов, помещений и оборудования;
   - Определить порядок доступа персонала и посетителей в здания  и помещения;
   - Оборудовать помещения техническими средствами охраны;
   - Разработать и утвердить ВНД, устанавливающий порядок обеспечения физической безопасности для офисов, помещений и оборудования, в т.ч. Инструкции по доступу в офисы;
   - Определить порядок работы с конфиденциальными документами (хранение, учет, доступ);
   - Работники должны быть ознакомлены с ВНД.</v>
      </c>
      <c r="O229" s="407"/>
      <c r="P229" s="407"/>
    </row>
    <row r="230" spans="1:16" ht="93.6">
      <c r="A230" s="270" t="s">
        <v>780</v>
      </c>
      <c r="B230" s="403" t="s">
        <v>328</v>
      </c>
      <c r="C230" s="404" t="str">
        <f>'Управление ИБ'!B152</f>
        <v>Зоны безопасности с ограниченным доступом должны быть защищены с использованием СКУД</v>
      </c>
      <c r="D230" s="404" t="str">
        <f>'Управление ИБ'!C152</f>
        <v>УИБ.ФД.2</v>
      </c>
      <c r="E230" s="404">
        <f>'Управление ИБ'!D152</f>
        <v>5</v>
      </c>
      <c r="F230" s="404">
        <f>'Управление ИБ'!E152</f>
        <v>5</v>
      </c>
      <c r="G230" s="404">
        <f>'Управление ИБ'!F152</f>
        <v>5</v>
      </c>
      <c r="H230" s="410">
        <f>'Управление ИБ'!P152</f>
        <v>34.019999999999996</v>
      </c>
      <c r="I230" s="404">
        <f>'Управление ИБ'!K152</f>
        <v>5</v>
      </c>
      <c r="J230" s="404">
        <f>'Управление ИБ'!I152</f>
        <v>0</v>
      </c>
      <c r="K230" s="404">
        <f>'Управление ИБ'!L152</f>
        <v>0</v>
      </c>
      <c r="L230" s="404">
        <f t="shared" si="7"/>
        <v>0</v>
      </c>
      <c r="M230" s="373">
        <f t="shared" si="8"/>
        <v>5</v>
      </c>
      <c r="N230" s="407" t="str">
        <f>'Управление ИБ'!Q152</f>
        <v xml:space="preserve"> - Оборудовать СКУД серверные помещения и другие помещения, не предназначенные для свободного доступа посетителей; 
   - Определить порядок доступа к серверному и сетевому оборудованию;
   - Регламентировать использование СКУД в Обществе;
   - Легитимизировать применение СКУД (биометрия, персональные данные);
   - Проводить проверки с целью исключения некорректной работы СКУД.</v>
      </c>
      <c r="O230" s="407"/>
      <c r="P230" s="407"/>
    </row>
    <row r="231" spans="1:16" ht="78">
      <c r="A231" s="270" t="s">
        <v>780</v>
      </c>
      <c r="B231" s="403" t="s">
        <v>328</v>
      </c>
      <c r="C231" s="404" t="str">
        <f>'Управление ИБ'!B153</f>
        <v>Определены требования к защите информационных активов, размещенных вне Общества</v>
      </c>
      <c r="D231" s="404" t="str">
        <f>'Управление ИБ'!C153</f>
        <v>УИБ.ФД.3</v>
      </c>
      <c r="E231" s="404">
        <f>'Управление ИБ'!D153</f>
        <v>5</v>
      </c>
      <c r="F231" s="404">
        <f>'Управление ИБ'!E153</f>
        <v>5</v>
      </c>
      <c r="G231" s="404">
        <f>'Управление ИБ'!F153</f>
        <v>5</v>
      </c>
      <c r="H231" s="410">
        <f>'Управление ИБ'!P153</f>
        <v>34.029999999999994</v>
      </c>
      <c r="I231" s="404">
        <f>'Управление ИБ'!K153</f>
        <v>5</v>
      </c>
      <c r="J231" s="404">
        <f>'Управление ИБ'!I153</f>
        <v>0</v>
      </c>
      <c r="K231" s="404">
        <f>'Управление ИБ'!L153</f>
        <v>0</v>
      </c>
      <c r="L231" s="404">
        <f t="shared" si="7"/>
        <v>0</v>
      </c>
      <c r="M231" s="373">
        <f t="shared" si="8"/>
        <v>5</v>
      </c>
      <c r="N231" s="407" t="str">
        <f>'Управление ИБ'!Q153</f>
        <v xml:space="preserve"> - Разработать и утвердить процедуру размещения активов, находящихся вне террритории Общества, зафиксировав требование обязательной защиты таких активов; 
  - Контроль заключаемых договоров по продаже/модернизации, сдачи в аренду/субаренду объектов недвижимости на соблюдение требований ИБ;
  - Проведение выборочных проверок по факту обеспечения активов.</v>
      </c>
      <c r="O231" s="407"/>
      <c r="P231" s="407"/>
    </row>
    <row r="232" spans="1:16" ht="171.6">
      <c r="A232" s="270" t="s">
        <v>780</v>
      </c>
      <c r="B232" s="403" t="s">
        <v>328</v>
      </c>
      <c r="C232" s="404" t="str">
        <f>'Управление ИБ'!B154</f>
        <v>Управление устройствами хранения информации должно осуществляться на всем протяжении их жизненного цикла, включающего приобретение, использование, транспортировку и уничтожение, в соответствии с классификационной схемой Общества и требованиями к обращению.</v>
      </c>
      <c r="D232" s="404" t="str">
        <f>'Управление ИБ'!C154</f>
        <v>УИБ.ФД.4</v>
      </c>
      <c r="E232" s="404">
        <f>'Управление ИБ'!D154</f>
        <v>5</v>
      </c>
      <c r="F232" s="404">
        <f>'Управление ИБ'!E154</f>
        <v>3.2</v>
      </c>
      <c r="G232" s="404">
        <f>'Управление ИБ'!F154</f>
        <v>1.6</v>
      </c>
      <c r="H232" s="410">
        <f>'Управление ИБ'!P154</f>
        <v>34.039999999999992</v>
      </c>
      <c r="I232" s="404">
        <f>'Управление ИБ'!K154</f>
        <v>1.6</v>
      </c>
      <c r="J232" s="404">
        <f>'Управление ИБ'!I154</f>
        <v>0</v>
      </c>
      <c r="K232" s="404">
        <f>'Управление ИБ'!L154</f>
        <v>0</v>
      </c>
      <c r="L232" s="404">
        <f t="shared" si="7"/>
        <v>0</v>
      </c>
      <c r="M232" s="373">
        <f t="shared" si="8"/>
        <v>1.6</v>
      </c>
      <c r="N232" s="407" t="str">
        <f>'Управление ИБ'!Q154</f>
        <v xml:space="preserve"> - Определить требования к процессу управления устройствами хранения информации;
   - Регламентировать процесс защиты машинных носителей информации на всем протяжении их жизненного цикла;
   - Ознакомить работников с установленными правилами и процедурами</v>
      </c>
      <c r="O232" s="407"/>
      <c r="P232" s="407"/>
    </row>
    <row r="233" spans="1:16" ht="93.6">
      <c r="A233" s="270" t="s">
        <v>780</v>
      </c>
      <c r="B233" s="403" t="s">
        <v>328</v>
      </c>
      <c r="C233" s="404" t="str">
        <f>'Управление ИБ'!B155</f>
        <v>Конфиденциальная информация гарантированно удалятся с машинных носителей перед их утилизацией либо повторным использованием</v>
      </c>
      <c r="D233" s="404" t="str">
        <f>'Управление ИБ'!C155</f>
        <v>УИБ.ФД.5</v>
      </c>
      <c r="E233" s="404">
        <f>'Управление ИБ'!D155</f>
        <v>5</v>
      </c>
      <c r="F233" s="404">
        <f>'Управление ИБ'!E155</f>
        <v>5</v>
      </c>
      <c r="G233" s="404">
        <f>'Управление ИБ'!F155</f>
        <v>5</v>
      </c>
      <c r="H233" s="410">
        <f>'Управление ИБ'!P155</f>
        <v>34.04999999999999</v>
      </c>
      <c r="I233" s="404">
        <f>'Управление ИБ'!K155</f>
        <v>5</v>
      </c>
      <c r="J233" s="404">
        <f>'Управление ИБ'!I155</f>
        <v>0</v>
      </c>
      <c r="K233" s="404">
        <f>'Управление ИБ'!L155</f>
        <v>0</v>
      </c>
      <c r="L233" s="404">
        <f t="shared" si="7"/>
        <v>0</v>
      </c>
      <c r="M233" s="373">
        <f t="shared" si="8"/>
        <v>5</v>
      </c>
      <c r="N233" s="407" t="str">
        <f>'Управление ИБ'!Q155</f>
        <v xml:space="preserve"> - Реализовать в Обществе процесс удаления данных при утилизации накопителей информации;
   - Регламентировать процедуры уничтожения/стирания информации на машинных носителях, а также контроля уничтожения /стирания информации;
   - Проводить регулярные проверки реального соблюдения регламента, фактов уничтожения информации с носителей при их передаче третьим лицам (на ремонт, утилизацию и т.д.).</v>
      </c>
      <c r="O233" s="407"/>
      <c r="P233" s="407"/>
    </row>
    <row r="234" spans="1:16" ht="93.6">
      <c r="A234" s="270" t="s">
        <v>780</v>
      </c>
      <c r="B234" s="405" t="s">
        <v>55</v>
      </c>
      <c r="C234" s="517" t="str">
        <f>'Управление ИБ'!B108</f>
        <v>Процессы взаимодействия в ИТ цепочке c участниками цепочки поставок определены, управляются и согласовываются заинтересованными сторонами Общества</v>
      </c>
      <c r="D234" s="404" t="str">
        <f>'Управление ИБ'!C108</f>
        <v>УИБ.ЦП.1</v>
      </c>
      <c r="E234" s="404">
        <f>'Управление ИБ'!D108</f>
        <v>5</v>
      </c>
      <c r="F234" s="404">
        <f>'Управление ИБ'!E108</f>
        <v>3.2</v>
      </c>
      <c r="G234" s="404">
        <f>'Управление ИБ'!F108</f>
        <v>1.6</v>
      </c>
      <c r="H234" s="373">
        <f>'Управление ИБ'!P108</f>
        <v>35.01</v>
      </c>
      <c r="I234" s="404">
        <f>'Управление ИБ'!K108</f>
        <v>1.6</v>
      </c>
      <c r="J234" s="404">
        <f>'Управление ИБ'!I108</f>
        <v>0</v>
      </c>
      <c r="K234" s="404">
        <f>'Управление ИБ'!L108</f>
        <v>0</v>
      </c>
      <c r="L234" s="404">
        <f t="shared" si="7"/>
        <v>0</v>
      </c>
      <c r="M234" s="373">
        <f t="shared" si="8"/>
        <v>1.6</v>
      </c>
      <c r="N234" s="407" t="str">
        <f>'Управление ИБ'!Q108</f>
        <v>- Определить типовые требования по  обеспечнию ИБ к разработчикам ИС, поставщикам, сервис-провайдерам;
 -  Включить подразделение ИБ в согласование договоров.</v>
      </c>
      <c r="O234" s="407"/>
      <c r="P234" s="407"/>
    </row>
    <row r="235" spans="1:16" ht="78">
      <c r="A235" s="270" t="s">
        <v>780</v>
      </c>
      <c r="B235" s="405" t="s">
        <v>55</v>
      </c>
      <c r="C235" s="517" t="str">
        <f>'Управление ИБ'!B109</f>
        <v>В договорах со всеми подрядчиками прописана необходимость соблюдения мер информационной безопасности</v>
      </c>
      <c r="D235" s="404" t="str">
        <f>'Управление ИБ'!C109</f>
        <v>УИБ.ЦП.2</v>
      </c>
      <c r="E235" s="404">
        <f>'Управление ИБ'!D109</f>
        <v>5</v>
      </c>
      <c r="F235" s="404">
        <f>'Управление ИБ'!E109</f>
        <v>3.2</v>
      </c>
      <c r="G235" s="404">
        <f>'Управление ИБ'!F109</f>
        <v>1.6</v>
      </c>
      <c r="H235" s="373">
        <f>'Управление ИБ'!P109</f>
        <v>35.019999999999996</v>
      </c>
      <c r="I235" s="404">
        <f>'Управление ИБ'!K109</f>
        <v>1.6</v>
      </c>
      <c r="J235" s="404">
        <f>'Управление ИБ'!I109</f>
        <v>0</v>
      </c>
      <c r="K235" s="404">
        <f>'Управление ИБ'!L109</f>
        <v>0</v>
      </c>
      <c r="L235" s="404">
        <f t="shared" si="7"/>
        <v>0</v>
      </c>
      <c r="M235" s="373">
        <f t="shared" si="8"/>
        <v>1.6</v>
      </c>
      <c r="N235" s="407" t="str">
        <f>'Управление ИБ'!Q109</f>
        <v xml:space="preserve"> - Сформировать или получить в ПАО Ростелеком типовые требования к контрагентам по принятию мер информационной безопасности;
  - Обеспечить включение в договоры требований и ответственности контрагента за их неисполнение. </v>
      </c>
      <c r="O235" s="407"/>
      <c r="P235" s="407"/>
    </row>
    <row r="236" spans="1:16" ht="140.4">
      <c r="A236" s="270" t="s">
        <v>780</v>
      </c>
      <c r="B236" s="405" t="s">
        <v>55</v>
      </c>
      <c r="C236" s="517" t="str">
        <f>'Управление ИБ'!B110</f>
        <v>Поставщики и сторонние партнеры регулярно проходят оценку, чтобы подтвердить, что они выполняют свои договорные обязательства. Проводятся обзоры аудитов, резюме результатов испытаний или другие эквивалентные оценки поставщиков</v>
      </c>
      <c r="D236" s="404" t="str">
        <f>'Управление ИБ'!C110</f>
        <v>УИБ.ЦП.3</v>
      </c>
      <c r="E236" s="404">
        <f>'Управление ИБ'!D110</f>
        <v>5</v>
      </c>
      <c r="F236" s="404">
        <f>'Управление ИБ'!E110</f>
        <v>3.2</v>
      </c>
      <c r="G236" s="404">
        <f>'Управление ИБ'!F110</f>
        <v>1.6</v>
      </c>
      <c r="H236" s="373">
        <f>'Управление ИБ'!P110</f>
        <v>35.029999999999994</v>
      </c>
      <c r="I236" s="404">
        <f>'Управление ИБ'!K110</f>
        <v>1.6</v>
      </c>
      <c r="J236" s="404">
        <f>'Управление ИБ'!I110</f>
        <v>0</v>
      </c>
      <c r="K236" s="404">
        <f>'Управление ИБ'!L110</f>
        <v>0</v>
      </c>
      <c r="L236" s="404">
        <f t="shared" si="7"/>
        <v>0</v>
      </c>
      <c r="M236" s="373">
        <f t="shared" si="8"/>
        <v>1.6</v>
      </c>
      <c r="N236" s="407">
        <f>'Управление ИБ'!Q110</f>
        <v>0</v>
      </c>
      <c r="O236" s="407"/>
      <c r="P236" s="407"/>
    </row>
    <row r="237" spans="1:16" ht="296.39999999999998">
      <c r="A237" s="504" t="s">
        <v>69</v>
      </c>
      <c r="B237" s="405" t="s">
        <v>97</v>
      </c>
      <c r="C237" s="517" t="str">
        <f>'Нормативное соответствие'!B97</f>
        <v>Создан орган криптографической защиты (ОКЗ), или возложены функции ОКЗ</v>
      </c>
      <c r="D237" s="404" t="str">
        <f>'Нормативное соответствие'!C97</f>
        <v>НС.СКЗИ.5.9.3.1</v>
      </c>
      <c r="E237" s="404">
        <f>'Нормативное соответствие'!D97</f>
        <v>5</v>
      </c>
      <c r="F237" s="404">
        <f>'Нормативное соответствие'!E97</f>
        <v>5</v>
      </c>
      <c r="G237" s="404">
        <f>'Нормативное соответствие'!F97</f>
        <v>5</v>
      </c>
      <c r="H237" s="373">
        <f>'Нормативное соответствие'!P97</f>
        <v>37.01</v>
      </c>
      <c r="I237" s="404">
        <f>'Нормативное соответствие'!K97</f>
        <v>5</v>
      </c>
      <c r="J237" s="404">
        <f>'Нормативное соответствие'!I97</f>
        <v>0</v>
      </c>
      <c r="K237" s="404">
        <f>'Нормативное соответствие'!L97</f>
        <v>0</v>
      </c>
      <c r="L237" s="404">
        <f t="shared" si="7"/>
        <v>0</v>
      </c>
      <c r="M237" s="373">
        <f t="shared" si="8"/>
        <v>5</v>
      </c>
      <c r="N237" s="407" t="str">
        <f>'Нормативное соответствие'!Q97</f>
        <v xml:space="preserve"> -  Определить необходимость офрмления лицензии и создания в Обществе органа криптографической защиты (ОКЗ);
   -  Оформить лицензию ФСБ на деятельность в области криптографии;
   -  Издать приказ о создании ОКЗ;
   -  Утвердить состав ОКЗ;
   -  Назначить руководителя ОКЗ и инженерно-технических работников;P112   -  Разработать и утвердить приказом Регламент ОКЗ;Q110:
' формы журналов поэкземплярного учета СКЗИ, ключевых документов (КД), ключевых носителей (КН), пользователей СКЗИ;
' программу обучения лиц для допуска к самостоятельной работе с СКЗИ;
' форму лицевого счета пользователя СКЗИ;
' форму заключеня о допуске лиц к самостоятельной работе с СКЗИ;
' формы журналов учета спецпомещений для хранения СКЗИ, хранилищ для хранения документации, КН, КД;
' форму  Акта уничтожения СКЗИ;
' форму Акта приема-передачи СКЗИ. 
 -  Создать комиссии по допуску лиц к самостоятельной работе с СКЗИ и по уничтожению СКЗИ;
 -  Разработать порядок проведения провероки выполнения пользователями СКЗИ условий использования СКЗИ.</v>
      </c>
      <c r="O237" s="407"/>
      <c r="P237" s="407"/>
    </row>
    <row r="238" spans="1:16" ht="62.4">
      <c r="A238" s="270" t="s">
        <v>19</v>
      </c>
      <c r="B238" s="403" t="s">
        <v>203</v>
      </c>
      <c r="C238" s="404" t="str">
        <f>Реагирование!B44</f>
        <v>Определен и обновляется список участников процессов реагирования (ИБ, ИТ, PR, HR, юристы, подрядчики)</v>
      </c>
      <c r="D238" s="404" t="str">
        <f>Реагирование!C44</f>
        <v>РЕАГ.КМНК.1</v>
      </c>
      <c r="E238" s="404">
        <f>Реагирование!D44</f>
        <v>5</v>
      </c>
      <c r="F238" s="404">
        <f>Реагирование!E44</f>
        <v>3.2</v>
      </c>
      <c r="G238" s="404">
        <f>Реагирование!F44</f>
        <v>0</v>
      </c>
      <c r="H238" s="373">
        <f>Реагирование!P44</f>
        <v>37.01</v>
      </c>
      <c r="I238" s="404">
        <f>Реагирование!K44</f>
        <v>0</v>
      </c>
      <c r="J238" s="404">
        <f>Реагирование!I44</f>
        <v>0</v>
      </c>
      <c r="K238" s="404">
        <f>Реагирование!L44</f>
        <v>0</v>
      </c>
      <c r="L238" s="404" t="str">
        <f t="shared" si="7"/>
        <v xml:space="preserve"> </v>
      </c>
      <c r="M238" s="373">
        <f t="shared" si="8"/>
        <v>0</v>
      </c>
      <c r="N238" s="407" t="str">
        <f>Реагирование!Q44</f>
        <v/>
      </c>
      <c r="O238" s="407"/>
      <c r="P238" s="407"/>
    </row>
    <row r="239" spans="1:16" ht="62.4">
      <c r="A239" s="270" t="s">
        <v>19</v>
      </c>
      <c r="B239" s="403" t="s">
        <v>203</v>
      </c>
      <c r="C239" s="404" t="str">
        <f>Реагирование!B45</f>
        <v>Определены средства и каналы коммуникации и приоритет их использования</v>
      </c>
      <c r="D239" s="404" t="str">
        <f>Реагирование!C45</f>
        <v>РЕАГ.КМНК.2</v>
      </c>
      <c r="E239" s="404">
        <f>Реагирование!D45</f>
        <v>5</v>
      </c>
      <c r="F239" s="404">
        <f>Реагирование!E45</f>
        <v>3.2</v>
      </c>
      <c r="G239" s="404">
        <f>Реагирование!F45</f>
        <v>0</v>
      </c>
      <c r="H239" s="373">
        <f>Реагирование!P45</f>
        <v>37.019999999999996</v>
      </c>
      <c r="I239" s="404">
        <f>Реагирование!K45</f>
        <v>0</v>
      </c>
      <c r="J239" s="404">
        <f>Реагирование!I45</f>
        <v>0</v>
      </c>
      <c r="K239" s="404">
        <f>Реагирование!L45</f>
        <v>0</v>
      </c>
      <c r="L239" s="404" t="str">
        <f t="shared" si="7"/>
        <v xml:space="preserve"> </v>
      </c>
      <c r="M239" s="373">
        <f t="shared" si="8"/>
        <v>0</v>
      </c>
      <c r="N239" s="407" t="str">
        <f>Реагирование!Q45</f>
        <v/>
      </c>
      <c r="O239" s="407"/>
      <c r="P239" s="407"/>
    </row>
    <row r="240" spans="1:16" ht="62.4">
      <c r="A240" s="504" t="s">
        <v>69</v>
      </c>
      <c r="B240" s="405" t="s">
        <v>97</v>
      </c>
      <c r="C240" s="404" t="str">
        <f>'Нормативное соответствие'!B98</f>
        <v>Ведется учет ключевой информации</v>
      </c>
      <c r="D240" s="404" t="str">
        <f>'Нормативное соответствие'!C98</f>
        <v>НС.СКЗИ.5.9.3.2</v>
      </c>
      <c r="E240" s="404">
        <f>'Нормативное соответствие'!D98</f>
        <v>5</v>
      </c>
      <c r="F240" s="404">
        <f>'Нормативное соответствие'!E98</f>
        <v>5</v>
      </c>
      <c r="G240" s="404">
        <f>'Нормативное соответствие'!F98</f>
        <v>5</v>
      </c>
      <c r="H240" s="373">
        <f>'Нормативное соответствие'!P98</f>
        <v>37.019999999999996</v>
      </c>
      <c r="I240" s="404">
        <f>'Нормативное соответствие'!K98</f>
        <v>5</v>
      </c>
      <c r="J240" s="404">
        <f>'Нормативное соответствие'!I98</f>
        <v>0</v>
      </c>
      <c r="K240" s="404">
        <f>'Нормативное соответствие'!L98</f>
        <v>0</v>
      </c>
      <c r="L240" s="404">
        <f t="shared" si="7"/>
        <v>0</v>
      </c>
      <c r="M240" s="373">
        <f t="shared" si="8"/>
        <v>5</v>
      </c>
      <c r="N240" s="407" t="str">
        <f>'Нормативное соответствие'!Q98</f>
        <v xml:space="preserve"> -  Организовать процесс учета ключевой информации;
  -  Присвоить ключевым документам (КД), ключевым носителям (КН) идентификаторы (в случае их отсутствия);
 -  Заполнить Журнал учета КД/КН в разрезе лиц, которым эти КД/КН выданы.</v>
      </c>
      <c r="O240" s="407"/>
      <c r="P240" s="407"/>
    </row>
    <row r="241" spans="1:16" ht="62.4">
      <c r="A241" s="270" t="s">
        <v>19</v>
      </c>
      <c r="B241" s="403" t="s">
        <v>203</v>
      </c>
      <c r="C241" s="404" t="str">
        <f>Реагирование!B46</f>
        <v>Определен порядок эскалации инцидентов</v>
      </c>
      <c r="D241" s="404" t="str">
        <f>Реагирование!C46</f>
        <v>РЕАГ.КМНК.3</v>
      </c>
      <c r="E241" s="404">
        <f>Реагирование!D46</f>
        <v>5</v>
      </c>
      <c r="F241" s="404">
        <f>Реагирование!E46</f>
        <v>3.2</v>
      </c>
      <c r="G241" s="404">
        <f>Реагирование!F46</f>
        <v>0</v>
      </c>
      <c r="H241" s="373">
        <f>Реагирование!P46</f>
        <v>37.029999999999994</v>
      </c>
      <c r="I241" s="404">
        <f>Реагирование!K46</f>
        <v>0</v>
      </c>
      <c r="J241" s="404">
        <f>Реагирование!I46</f>
        <v>0</v>
      </c>
      <c r="K241" s="404">
        <f>Реагирование!L46</f>
        <v>0</v>
      </c>
      <c r="L241" s="404" t="str">
        <f t="shared" si="7"/>
        <v xml:space="preserve"> </v>
      </c>
      <c r="M241" s="373">
        <f t="shared" si="8"/>
        <v>0</v>
      </c>
      <c r="N241" s="407" t="str">
        <f>Реагирование!Q46</f>
        <v/>
      </c>
      <c r="O241" s="407"/>
      <c r="P241" s="407"/>
    </row>
    <row r="242" spans="1:16" ht="93.6">
      <c r="A242" s="504" t="s">
        <v>69</v>
      </c>
      <c r="B242" s="405" t="s">
        <v>97</v>
      </c>
      <c r="C242" s="517" t="str">
        <f>'Нормативное соответствие'!B99</f>
        <v>Ведется обучение лиц, допускаемых и использующих СКЗИ, правилам их использования, оформлены заключения о допуске к самостоятельной работе с СКЗИ</v>
      </c>
      <c r="D242" s="404" t="str">
        <f>'Нормативное соответствие'!C99</f>
        <v>НС.СКЗИ.5.9.3.3</v>
      </c>
      <c r="E242" s="404">
        <f>'Нормативное соответствие'!D99</f>
        <v>5</v>
      </c>
      <c r="F242" s="404">
        <f>'Нормативное соответствие'!E99</f>
        <v>5</v>
      </c>
      <c r="G242" s="404">
        <f>'Нормативное соответствие'!F99</f>
        <v>5</v>
      </c>
      <c r="H242" s="373">
        <f>'Нормативное соответствие'!P99</f>
        <v>37.029999999999994</v>
      </c>
      <c r="I242" s="404">
        <f>'Нормативное соответствие'!K99</f>
        <v>5</v>
      </c>
      <c r="J242" s="404">
        <f>'Нормативное соответствие'!I99</f>
        <v>0</v>
      </c>
      <c r="K242" s="404">
        <f>'Нормативное соответствие'!L99</f>
        <v>0</v>
      </c>
      <c r="L242" s="404">
        <f t="shared" si="7"/>
        <v>0</v>
      </c>
      <c r="M242" s="373">
        <f t="shared" si="8"/>
        <v>5</v>
      </c>
      <c r="N242" s="407" t="str">
        <f>'Нормативное соответствие'!Q99</f>
        <v xml:space="preserve"> - Разработать и утвердить инструкцию для пользователей СКЗИ. Ознакомить пользователей  СКЗИ с инструкцией. Оформить заключения о допуске лиц к самостоятельной работе с СКЗИ для каждого пользователя СКЗИ.</v>
      </c>
      <c r="O242" s="407"/>
      <c r="P242" s="407"/>
    </row>
    <row r="243" spans="1:16" ht="62.4">
      <c r="A243" s="270" t="s">
        <v>19</v>
      </c>
      <c r="B243" s="403" t="s">
        <v>203</v>
      </c>
      <c r="C243" s="404" t="str">
        <f>Реагирование!B47</f>
        <v>Определен порядок взаимодействия с регуляторами по инцидентам ИБ</v>
      </c>
      <c r="D243" s="404" t="str">
        <f>Реагирование!C47</f>
        <v>РЕАГ.КМНК.4</v>
      </c>
      <c r="E243" s="404">
        <f>Реагирование!D47</f>
        <v>5</v>
      </c>
      <c r="F243" s="404">
        <f>Реагирование!E47</f>
        <v>3.2</v>
      </c>
      <c r="G243" s="404">
        <f>Реагирование!F47</f>
        <v>1.6</v>
      </c>
      <c r="H243" s="373">
        <f>Реагирование!P47</f>
        <v>37.039999999999992</v>
      </c>
      <c r="I243" s="404">
        <f>Реагирование!K47</f>
        <v>1.6</v>
      </c>
      <c r="J243" s="404">
        <f>Реагирование!I47</f>
        <v>0</v>
      </c>
      <c r="K243" s="404">
        <f>Реагирование!L47</f>
        <v>1.6</v>
      </c>
      <c r="L243" s="404">
        <f t="shared" si="7"/>
        <v>1.6</v>
      </c>
      <c r="M243" s="373">
        <f t="shared" si="8"/>
        <v>0</v>
      </c>
      <c r="N243" s="407" t="str">
        <f>Реагирование!Q47</f>
        <v xml:space="preserve"> - Взаимодействовать с регуляторами по инциденту ИБ в установленных законом случаях</v>
      </c>
      <c r="O243" s="407"/>
      <c r="P243" s="407"/>
    </row>
    <row r="244" spans="1:16" ht="40.799999999999997">
      <c r="A244" s="504" t="s">
        <v>69</v>
      </c>
      <c r="B244" s="405" t="s">
        <v>97</v>
      </c>
      <c r="C244" s="517" t="str">
        <f>'Нормативное соответствие'!B100</f>
        <v>На каждого пользователя СКЗИ ведется лицевой счет</v>
      </c>
      <c r="D244" s="404" t="str">
        <f>'Нормативное соответствие'!C100</f>
        <v>НС.СКЗИ.5.9.3.4</v>
      </c>
      <c r="E244" s="404">
        <f>'Нормативное соответствие'!D100</f>
        <v>5</v>
      </c>
      <c r="F244" s="404">
        <f>'Нормативное соответствие'!E100</f>
        <v>5</v>
      </c>
      <c r="G244" s="404">
        <f>'Нормативное соответствие'!F100</f>
        <v>5</v>
      </c>
      <c r="H244" s="373">
        <f>'Нормативное соответствие'!P100</f>
        <v>37.039999999999992</v>
      </c>
      <c r="I244" s="404">
        <f>'Нормативное соответствие'!K100</f>
        <v>5</v>
      </c>
      <c r="J244" s="404">
        <f>'Нормативное соответствие'!I100</f>
        <v>0</v>
      </c>
      <c r="K244" s="404">
        <f>'Нормативное соответствие'!L100</f>
        <v>0</v>
      </c>
      <c r="L244" s="404">
        <f t="shared" si="7"/>
        <v>0</v>
      </c>
      <c r="M244" s="373">
        <f t="shared" si="8"/>
        <v>5</v>
      </c>
      <c r="N244" s="407" t="str">
        <f>'Нормативное соответствие'!Q100</f>
        <v xml:space="preserve"> - На каждого пользователя СКЗИ оформить лицевой счет в части выданных ему ключевых документов (КД)</v>
      </c>
      <c r="O244" s="407"/>
      <c r="P244" s="407"/>
    </row>
    <row r="245" spans="1:16" ht="62.4">
      <c r="A245" s="270" t="s">
        <v>19</v>
      </c>
      <c r="B245" s="403" t="s">
        <v>203</v>
      </c>
      <c r="C245" s="404" t="str">
        <f>Реагирование!B48</f>
        <v>Для значимых инцидентов подготовлены планы коммуникаций</v>
      </c>
      <c r="D245" s="404" t="str">
        <f>Реагирование!C48</f>
        <v>РЕАГ.КМНК.5</v>
      </c>
      <c r="E245" s="404">
        <f>Реагирование!D48</f>
        <v>5</v>
      </c>
      <c r="F245" s="404">
        <f>Реагирование!E48</f>
        <v>3.2</v>
      </c>
      <c r="G245" s="404">
        <f>Реагирование!F48</f>
        <v>1.6</v>
      </c>
      <c r="H245" s="373">
        <f>Реагирование!P48</f>
        <v>37.04999999999999</v>
      </c>
      <c r="I245" s="404">
        <f>Реагирование!K48</f>
        <v>1.6</v>
      </c>
      <c r="J245" s="404">
        <f>Реагирование!I48</f>
        <v>0</v>
      </c>
      <c r="K245" s="404">
        <f>Реагирование!L48</f>
        <v>0</v>
      </c>
      <c r="L245" s="404">
        <f t="shared" si="7"/>
        <v>0</v>
      </c>
      <c r="M245" s="373">
        <f t="shared" si="8"/>
        <v>1.6</v>
      </c>
      <c r="N245" s="407">
        <f>Реагирование!Q48</f>
        <v>0</v>
      </c>
      <c r="O245" s="407"/>
      <c r="P245" s="407"/>
    </row>
    <row r="246" spans="1:16" ht="78">
      <c r="A246" s="504" t="s">
        <v>69</v>
      </c>
      <c r="B246" s="405" t="s">
        <v>97</v>
      </c>
      <c r="C246" s="517" t="str">
        <f>'Нормативное соответствие'!B101</f>
        <v>Ведется поэкземплярный учет используемых СКЗИ, эксплуатационной и технической документации к ним, ключевых документов</v>
      </c>
      <c r="D246" s="404" t="str">
        <f>'Нормативное соответствие'!C101</f>
        <v>НС.СКЗИ.5.9.3.5</v>
      </c>
      <c r="E246" s="404">
        <f>'Нормативное соответствие'!D101</f>
        <v>5</v>
      </c>
      <c r="F246" s="404">
        <f>'Нормативное соответствие'!E101</f>
        <v>5</v>
      </c>
      <c r="G246" s="404">
        <f>'Нормативное соответствие'!F101</f>
        <v>5</v>
      </c>
      <c r="H246" s="373">
        <f>'Нормативное соответствие'!P101</f>
        <v>37.04999999999999</v>
      </c>
      <c r="I246" s="404">
        <f>'Нормативное соответствие'!K101</f>
        <v>5</v>
      </c>
      <c r="J246" s="404">
        <f>'Нормативное соответствие'!I101</f>
        <v>0</v>
      </c>
      <c r="K246" s="404">
        <f>'Нормативное соответствие'!L101</f>
        <v>0</v>
      </c>
      <c r="L246" s="404">
        <f t="shared" si="7"/>
        <v>0</v>
      </c>
      <c r="M246" s="373">
        <f t="shared" si="8"/>
        <v>5</v>
      </c>
      <c r="N246" s="407" t="str">
        <f>'Нормативное соответствие'!Q101</f>
        <v xml:space="preserve"> - Заполнить Журнал поэкземплярного учета, используемых СКЗИ, включив в него сведения об эксплуатационной и технической документации на СКЗИ.</v>
      </c>
      <c r="O246" s="407"/>
      <c r="P246" s="407"/>
    </row>
    <row r="247" spans="1:16" ht="78">
      <c r="A247" s="504" t="s">
        <v>69</v>
      </c>
      <c r="B247" s="405" t="s">
        <v>97</v>
      </c>
      <c r="C247" s="517" t="str">
        <f>'Нормативное соответствие'!B102</f>
        <v>Ведется учет хранилищ ключевых документов</v>
      </c>
      <c r="D247" s="404" t="str">
        <f>'Нормативное соответствие'!C102</f>
        <v>НС.СКЗИ.5.9.3.6</v>
      </c>
      <c r="E247" s="404">
        <f>'Нормативное соответствие'!D102</f>
        <v>5</v>
      </c>
      <c r="F247" s="404">
        <f>'Нормативное соответствие'!E102</f>
        <v>5</v>
      </c>
      <c r="G247" s="404">
        <f>'Нормативное соответствие'!F102</f>
        <v>5</v>
      </c>
      <c r="H247" s="373">
        <f>'Нормативное соответствие'!P102</f>
        <v>37.059999999999988</v>
      </c>
      <c r="I247" s="404">
        <f>'Нормативное соответствие'!K102</f>
        <v>5</v>
      </c>
      <c r="J247" s="404">
        <f>'Нормативное соответствие'!I102</f>
        <v>0</v>
      </c>
      <c r="K247" s="404">
        <f>'Нормативное соответствие'!L102</f>
        <v>0</v>
      </c>
      <c r="L247" s="404">
        <f t="shared" si="7"/>
        <v>0</v>
      </c>
      <c r="M247" s="373">
        <f t="shared" si="8"/>
        <v>5</v>
      </c>
      <c r="N247" s="407" t="str">
        <f>'Нормативное соответствие'!Q102</f>
        <v xml:space="preserve"> -  Обеспечить приобретение сейфов/металлических шкафов для хранения КД для ОКЗ и для пользователей СКЗИ;
   -  Выдать персоналу ОКЗ и пользователям СКЗИ персональные печати для опечатывания хранилищ;
   -  Присвоить идентификаторы хранилищам, учесть их в Журнале учета хранилищ.</v>
      </c>
      <c r="O247" s="407"/>
      <c r="P247" s="407"/>
    </row>
    <row r="248" spans="1:16" ht="109.2">
      <c r="A248" s="504" t="s">
        <v>69</v>
      </c>
      <c r="B248" s="405" t="s">
        <v>97</v>
      </c>
      <c r="C248" s="517" t="str">
        <f>'Нормативное соответствие'!B103</f>
        <v>Осуществляется контроль за соблюдением условий использования
(эксплуатации) СКЗИ, установленный эксплуатационной документацией на СКЗИ</v>
      </c>
      <c r="D248" s="404" t="str">
        <f>'Нормативное соответствие'!C103</f>
        <v>НС.СКЗИ.5.9.3.7</v>
      </c>
      <c r="E248" s="404">
        <f>'Нормативное соответствие'!D103</f>
        <v>5</v>
      </c>
      <c r="F248" s="404">
        <f>'Нормативное соответствие'!E103</f>
        <v>5</v>
      </c>
      <c r="G248" s="404">
        <f>'Нормативное соответствие'!F103</f>
        <v>5</v>
      </c>
      <c r="H248" s="401">
        <f>'Нормативное соответствие'!P103</f>
        <v>37.069999999999986</v>
      </c>
      <c r="I248" s="404">
        <f>'Нормативное соответствие'!K103</f>
        <v>5</v>
      </c>
      <c r="J248" s="404">
        <f>'Нормативное соответствие'!I103</f>
        <v>0</v>
      </c>
      <c r="K248" s="404">
        <f>'Нормативное соответствие'!L103</f>
        <v>0</v>
      </c>
      <c r="L248" s="404">
        <f t="shared" si="7"/>
        <v>0</v>
      </c>
      <c r="M248" s="373">
        <f t="shared" si="8"/>
        <v>5</v>
      </c>
      <c r="N248" s="407" t="str">
        <f>'Нормативное соответствие'!Q103</f>
        <v xml:space="preserve"> -  Разработать план и график проведения проверок выполнения пользователями СКЗИ условий использования СКЗИ;
   - Организовать проверки в соответствии с планом.</v>
      </c>
      <c r="O248" s="407"/>
      <c r="P248" s="407"/>
    </row>
    <row r="249" spans="1:16" ht="40.799999999999997">
      <c r="A249" s="504" t="s">
        <v>69</v>
      </c>
      <c r="B249" s="405" t="s">
        <v>97</v>
      </c>
      <c r="C249" s="517" t="str">
        <f>'Нормативное соответствие'!B104</f>
        <v xml:space="preserve">Осуществляется уничтожение ключевой информации </v>
      </c>
      <c r="D249" s="404" t="str">
        <f>'Нормативное соответствие'!C104</f>
        <v>НС.СКЗИ.5.9.3.8</v>
      </c>
      <c r="E249" s="404">
        <f>'Нормативное соответствие'!D104</f>
        <v>5</v>
      </c>
      <c r="F249" s="404">
        <f>'Нормативное соответствие'!E104</f>
        <v>5</v>
      </c>
      <c r="G249" s="404">
        <f>'Нормативное соответствие'!F104</f>
        <v>5</v>
      </c>
      <c r="H249" s="373">
        <f>'Нормативное соответствие'!P104</f>
        <v>37.079999999999984</v>
      </c>
      <c r="I249" s="404">
        <f>'Нормативное соответствие'!K104</f>
        <v>5</v>
      </c>
      <c r="J249" s="404">
        <f>'Нормативное соответствие'!I104</f>
        <v>0</v>
      </c>
      <c r="K249" s="404">
        <f>'Нормативное соответствие'!L104</f>
        <v>0</v>
      </c>
      <c r="L249" s="404">
        <f t="shared" si="7"/>
        <v>0</v>
      </c>
      <c r="M249" s="373">
        <f t="shared" si="8"/>
        <v>5</v>
      </c>
      <c r="N249" s="407" t="str">
        <f>'Нормативное соответствие'!Q104</f>
        <v xml:space="preserve"> - Организовать процесс уничтожения ключевой информации в соответствии с требованиями пункта 42 Приказа ФАПСИ от 13 июня 2001 г. № 152</v>
      </c>
      <c r="O249" s="407"/>
      <c r="P249" s="407"/>
    </row>
    <row r="250" spans="1:16" ht="296.39999999999998">
      <c r="A250" s="504" t="s">
        <v>69</v>
      </c>
      <c r="B250" s="405" t="s">
        <v>97</v>
      </c>
      <c r="C250" s="517" t="str">
        <f>'Нормативное соответствие'!B105</f>
        <v>Ведется учет спецпомещений</v>
      </c>
      <c r="D250" s="404" t="str">
        <f>'Нормативное соответствие'!C105</f>
        <v>НС.СКЗИ.5.9.3.9</v>
      </c>
      <c r="E250" s="404">
        <f>'Нормативное соответствие'!D105</f>
        <v>5</v>
      </c>
      <c r="F250" s="404">
        <f>'Нормативное соответствие'!E105</f>
        <v>5</v>
      </c>
      <c r="G250" s="404">
        <f>'Нормативное соответствие'!F105</f>
        <v>5</v>
      </c>
      <c r="H250" s="373">
        <f>'Нормативное соответствие'!P105</f>
        <v>37.089999999999982</v>
      </c>
      <c r="I250" s="404">
        <f>'Нормативное соответствие'!K105</f>
        <v>5</v>
      </c>
      <c r="J250" s="404">
        <f>'Нормативное соответствие'!I105</f>
        <v>0</v>
      </c>
      <c r="K250" s="404">
        <f>'Нормативное соответствие'!L105</f>
        <v>0</v>
      </c>
      <c r="L250" s="404">
        <f t="shared" si="7"/>
        <v>0</v>
      </c>
      <c r="M250" s="373">
        <f t="shared" si="8"/>
        <v>5</v>
      </c>
      <c r="N250" s="407" t="str">
        <f>'Нормативное соответствие'!Q105</f>
        <v xml:space="preserve"> -  Определить необходимость офрмления лицензии и создания в Обществе органа криптографической защиты (ОКЗ);
   -  Оформить лицензию ФСБ на деятельность в области криптографии;
   -  Издать приказ о создании ОКЗ;
   -  Утвердить состав ОКЗ;
   -  Назначить руководителя ОКЗ и инженерно-технических работников;P112   -  Разработать и утвердить приказом Регламент ОКЗ;Q110:
' формы журналов поэкземплярного учета СКЗИ, ключевых документов (КД), ключевых носителей (КН), пользователей СКЗИ;
' программу обучения лиц для допуска к самостоятельной работе с СКЗИ;
' форму лицевого счета пользователя СКЗИ;
' форму заключеня о допуске лиц к самостоятельной работе с СКЗИ;
' формы журналов учета спецпомещений для хранения СКЗИ, хранилищ для хранения документации, КН, КД;
' форму  Акта уничтожения СКЗИ;
' форму Акта приема-передачи СКЗИ. 
 -  Создать комиссии по допуску лиц к самостоятельной работе с СКЗИ и по уничтожению СКЗИ;
 -  Разработать порядок проведения провероки выполнения пользователями СКЗИ условий использования СКЗИ.</v>
      </c>
      <c r="O250" s="407"/>
      <c r="P250" s="407"/>
    </row>
    <row r="251" spans="1:16" ht="296.39999999999998">
      <c r="A251" s="504" t="s">
        <v>69</v>
      </c>
      <c r="B251" s="405" t="s">
        <v>97</v>
      </c>
      <c r="C251" s="517" t="str">
        <f>'Нормативное соответствие'!B106</f>
        <v>Утвержден документ, регламентирующий  организацию, эксплуатацию и вывод из эксплуатации СКЗИ в организации, включая формы соответствующих документов</v>
      </c>
      <c r="D251" s="404" t="str">
        <f>'Нормативное соответствие'!C106</f>
        <v>НС.СКЗИ.5.9.3.10</v>
      </c>
      <c r="E251" s="404">
        <f>'Нормативное соответствие'!D106</f>
        <v>5</v>
      </c>
      <c r="F251" s="404">
        <f>'Нормативное соответствие'!E106</f>
        <v>3.2</v>
      </c>
      <c r="G251" s="404">
        <f>'Нормативное соответствие'!F106</f>
        <v>1.6</v>
      </c>
      <c r="H251" s="411">
        <f>'Нормативное соответствие'!P106</f>
        <v>37.09999999999998</v>
      </c>
      <c r="I251" s="404">
        <f>'Нормативное соответствие'!K106</f>
        <v>1.6</v>
      </c>
      <c r="J251" s="404">
        <f>'Нормативное соответствие'!I106</f>
        <v>0</v>
      </c>
      <c r="K251" s="404">
        <f>'Нормативное соответствие'!L106</f>
        <v>0</v>
      </c>
      <c r="L251" s="404">
        <f t="shared" si="7"/>
        <v>0</v>
      </c>
      <c r="M251" s="373">
        <f t="shared" si="8"/>
        <v>1.6</v>
      </c>
      <c r="N251" s="407" t="str">
        <f>'Нормативное соответствие'!Q106</f>
        <v xml:space="preserve"> -  Определить необходимость офрмления лицензии и создания в Обществе органа криптографической защиты (ОКЗ);
   -  Оформить лицензию ФСБ на деятельность в области криптографии;
   -  Издать приказ о создании ОКЗ;
   -  Утвердить состав ОКЗ;
   -  Назначить руководителя ОКЗ и инженерно-технических работников;P112   -  Разработать и утвердить приказом Регламент ОКЗ;Q110:
' формы журналов поэкземплярного учета СКЗИ, ключевых документов (КД), ключевых носителей (КН), пользователей СКЗИ;
' программу обучения лиц для допуска к самостоятельной работе с СКЗИ;
' форму лицевого счета пользователя СКЗИ;
' форму заключеня о допуске лиц к самостоятельной работе с СКЗИ;
' формы журналов учета спецпомещений для хранения СКЗИ, хранилищ для хранения документации, КН, КД;
' форму  Акта уничтожения СКЗИ;
' форму Акта приема-передачи СКЗИ. 
 -  Создать комиссии по допуску лиц к самостоятельной работе с СКЗИ и по уничтожению СКЗИ;
 -  Разработать порядок проведения провероки выполнения пользователями СКЗИ условий использования СКЗИ.</v>
      </c>
      <c r="O251" s="407"/>
      <c r="P251" s="407"/>
    </row>
    <row r="252" spans="1:16" ht="124.8">
      <c r="A252" s="270" t="s">
        <v>780</v>
      </c>
      <c r="B252" s="403" t="s">
        <v>320</v>
      </c>
      <c r="C252" s="404" t="str">
        <f>'Управление ИБ'!B147</f>
        <v>При приеме на работу проверка всех кандидатов должна соответствовать законам, регламентам, этическим нормам и быть соразмерной бизнес-требованиям, уровню доступа к информации и предполагаемым рискам.</v>
      </c>
      <c r="D252" s="404" t="str">
        <f>'Управление ИБ'!C147</f>
        <v>УИБ.Л.1</v>
      </c>
      <c r="E252" s="404">
        <f>'Управление ИБ'!D147</f>
        <v>5</v>
      </c>
      <c r="F252" s="404">
        <f>'Управление ИБ'!E147</f>
        <v>5</v>
      </c>
      <c r="G252" s="404">
        <f>'Управление ИБ'!F147</f>
        <v>5</v>
      </c>
      <c r="H252" s="410">
        <f>'Управление ИБ'!P147</f>
        <v>38.01</v>
      </c>
      <c r="I252" s="404">
        <f>'Управление ИБ'!K147</f>
        <v>5</v>
      </c>
      <c r="J252" s="404">
        <f>'Управление ИБ'!I147</f>
        <v>0</v>
      </c>
      <c r="K252" s="404">
        <f>'Управление ИБ'!L147</f>
        <v>0</v>
      </c>
      <c r="L252" s="404">
        <f t="shared" si="7"/>
        <v>0</v>
      </c>
      <c r="M252" s="373">
        <f t="shared" si="8"/>
        <v>5</v>
      </c>
      <c r="N252" s="407" t="str">
        <f>'Управление ИБ'!Q147</f>
        <v xml:space="preserve"> - Проанализировать анкеты, собираемые от кандидатов со стороны HR и/или службы безопасности, на предмет законности и неизбыточности собираемых данных и проводимых дополнительных проверок;
В случае выявления их избыточности провести работу по корректировке и/или сбору дополнительных согласий на обработку данных сведений от кандидата;
- Закрепить в ВНД процедуры проверки кандидатов, с отсылками на законные основания для их проведения;
- Проводить регулярную актуализацию ВНД с отслеживанием изменений правовых норм</v>
      </c>
      <c r="O252" s="407"/>
      <c r="P252" s="407"/>
    </row>
    <row r="253" spans="1:16" ht="171.6">
      <c r="A253" s="270" t="s">
        <v>780</v>
      </c>
      <c r="B253" s="404" t="s">
        <v>320</v>
      </c>
      <c r="C253" s="404" t="str">
        <f>'Управление ИБ'!B148</f>
        <v>Соглашения о конфиденциальности или неразглашении, отражающие потребности Общества в защите информации, должны быть определены, документированы, регулярно пересматриваться и быть подписанными работниками и иными заинтересованными сторонами.</v>
      </c>
      <c r="D253" s="404" t="str">
        <f>'Управление ИБ'!C148</f>
        <v>УИБ.Л.2</v>
      </c>
      <c r="E253" s="404">
        <f>'Управление ИБ'!D148</f>
        <v>5</v>
      </c>
      <c r="F253" s="404">
        <f>'Управление ИБ'!E148</f>
        <v>5</v>
      </c>
      <c r="G253" s="404">
        <f>'Управление ИБ'!F148</f>
        <v>5</v>
      </c>
      <c r="H253" s="410">
        <f>'Управление ИБ'!P148</f>
        <v>38.019999999999996</v>
      </c>
      <c r="I253" s="404">
        <f>'Управление ИБ'!K148</f>
        <v>5</v>
      </c>
      <c r="J253" s="404">
        <f>'Управление ИБ'!I148</f>
        <v>0</v>
      </c>
      <c r="K253" s="404">
        <f>'Управление ИБ'!L148</f>
        <v>0</v>
      </c>
      <c r="L253" s="404">
        <f t="shared" si="7"/>
        <v>0</v>
      </c>
      <c r="M253" s="373">
        <f t="shared" si="8"/>
        <v>5</v>
      </c>
      <c r="N253" s="408" t="str">
        <f>'Управление ИБ'!Q148</f>
        <v xml:space="preserve"> - Разработать или актуализировать форму соглашения о конфиденциальности работников;
  - Разработать или актуализировать форму соглашения о конфиденциальности для договоров с третьими лицами;
  - Сверить с существующим перечнем конфиденциальной информации организации, убедиться, что все виды информации учтены;
   - Закрепить в ВНД формы соглашений о конфиденциальности и процедуры их сбора и хранения;
   - Проводить регулярную актуализацию ВНД с отслеживанием изменений правовых норм;
   - Разработать и довести до сведения персонала процесс для принятия мер к тем сотрудникам и иным заинтересованным сторонам, которые допустили нарушение требований информационной безопасности.</v>
      </c>
      <c r="O253" s="408"/>
      <c r="P253" s="408"/>
    </row>
    <row r="254" spans="1:16" ht="171.6">
      <c r="A254" s="270" t="s">
        <v>780</v>
      </c>
      <c r="B254" s="403" t="s">
        <v>320</v>
      </c>
      <c r="C254" s="404" t="str">
        <f>'Управление ИБ'!B149</f>
        <v>Ответственность и обязанности по соблюдению информационной безопасности, которые остаются в силе после прекращения или изменения трудовых отношений, должны быть определены и сообщены соответствующему работникиу и иным заинтересованным сторонам, а также обеспечено их выполнение.</v>
      </c>
      <c r="D254" s="404" t="str">
        <f>'Управление ИБ'!C149</f>
        <v>УИБ.Л.3</v>
      </c>
      <c r="E254" s="404">
        <f>'Управление ИБ'!D149</f>
        <v>5</v>
      </c>
      <c r="F254" s="404">
        <f>'Управление ИБ'!E149</f>
        <v>5</v>
      </c>
      <c r="G254" s="404">
        <f>'Управление ИБ'!F149</f>
        <v>5</v>
      </c>
      <c r="H254" s="410">
        <f>'Управление ИБ'!P149</f>
        <v>38.029999999999994</v>
      </c>
      <c r="I254" s="404">
        <f>'Управление ИБ'!K149</f>
        <v>5</v>
      </c>
      <c r="J254" s="404">
        <f>'Управление ИБ'!I149</f>
        <v>0</v>
      </c>
      <c r="K254" s="404">
        <f>'Управление ИБ'!L149</f>
        <v>0</v>
      </c>
      <c r="L254" s="404">
        <f t="shared" si="7"/>
        <v>0</v>
      </c>
      <c r="M254" s="373">
        <f t="shared" si="8"/>
        <v>5</v>
      </c>
      <c r="N254" s="407" t="str">
        <f>'Управление ИБ'!Q149</f>
        <v xml:space="preserve"> - Разработать или актуализировать форму соглашения о конфиденциальности, включив требование о неразглашении в течение зафиксированного срока после прекращения отношений (трудовых или договорных), сдаче всех имеющихся на руках носителей конфиденциальной информации;
 - Закрепить в ВНД формы соглашений о конфиденциальности и процедуры их сбора и хранения;
 - Проводить регулярную актуализацию ВНД с отслеживанием изменений правовых норм</v>
      </c>
      <c r="O254" s="407"/>
      <c r="P254" s="407"/>
    </row>
    <row r="255" spans="1:16" ht="78">
      <c r="A255" s="270" t="s">
        <v>780</v>
      </c>
      <c r="B255" s="406" t="s">
        <v>17</v>
      </c>
      <c r="C255" s="408" t="str">
        <f>'Управление ИБ'!B126</f>
        <v>Определены требования к отказоустойчивости компонент</v>
      </c>
      <c r="D255" s="408" t="str">
        <f>'Управление ИБ'!C126</f>
        <v>УИБ.ОД.1</v>
      </c>
      <c r="E255" s="408">
        <f>'Управление ИБ'!D126</f>
        <v>5</v>
      </c>
      <c r="F255" s="408">
        <f>'Управление ИБ'!E126</f>
        <v>5</v>
      </c>
      <c r="G255" s="408">
        <f>'Управление ИБ'!F126</f>
        <v>0</v>
      </c>
      <c r="H255" s="401">
        <f>'Управление ИБ'!P126</f>
        <v>39.01</v>
      </c>
      <c r="I255" s="408">
        <f>'Управление ИБ'!K126</f>
        <v>0</v>
      </c>
      <c r="J255" s="408">
        <f>'Управление ИБ'!I126</f>
        <v>0</v>
      </c>
      <c r="K255" s="404">
        <f>'Управление ИБ'!L126</f>
        <v>0</v>
      </c>
      <c r="L255" s="404" t="str">
        <f t="shared" si="7"/>
        <v xml:space="preserve"> </v>
      </c>
      <c r="M255" s="373">
        <f t="shared" si="8"/>
        <v>0</v>
      </c>
      <c r="N255" s="407" t="str">
        <f>'Управление ИБ'!Q126</f>
        <v/>
      </c>
      <c r="O255" s="407"/>
      <c r="P255" s="407"/>
    </row>
    <row r="256" spans="1:16" ht="78">
      <c r="A256" s="270" t="s">
        <v>780</v>
      </c>
      <c r="B256" s="406" t="s">
        <v>17</v>
      </c>
      <c r="C256" s="408" t="str">
        <f>'Управление ИБ'!B127</f>
        <v>Осуществляется дублирование инфраструктуры в разных территориально разделенных ЦОД</v>
      </c>
      <c r="D256" s="408" t="str">
        <f>'Управление ИБ'!C127</f>
        <v>УИБ.ОД.2</v>
      </c>
      <c r="E256" s="408">
        <f>'Управление ИБ'!D127</f>
        <v>5</v>
      </c>
      <c r="F256" s="408">
        <f>'Управление ИБ'!E127</f>
        <v>3.2</v>
      </c>
      <c r="G256" s="408">
        <f>'Управление ИБ'!F127</f>
        <v>0</v>
      </c>
      <c r="H256" s="401">
        <f>'Управление ИБ'!P127</f>
        <v>39.019999999999996</v>
      </c>
      <c r="I256" s="408">
        <f>'Управление ИБ'!K127</f>
        <v>0</v>
      </c>
      <c r="J256" s="408">
        <f>'Управление ИБ'!I127</f>
        <v>0</v>
      </c>
      <c r="K256" s="404">
        <f>'Управление ИБ'!L127</f>
        <v>0</v>
      </c>
      <c r="L256" s="404" t="str">
        <f t="shared" si="7"/>
        <v xml:space="preserve"> </v>
      </c>
      <c r="M256" s="373">
        <f t="shared" si="8"/>
        <v>0</v>
      </c>
      <c r="N256" s="407" t="str">
        <f>'Управление ИБ'!Q127</f>
        <v/>
      </c>
      <c r="O256" s="407"/>
      <c r="P256" s="407"/>
    </row>
    <row r="257" spans="1:16" ht="78">
      <c r="A257" s="270" t="s">
        <v>780</v>
      </c>
      <c r="B257" s="406" t="s">
        <v>17</v>
      </c>
      <c r="C257" s="408" t="str">
        <f>'Управление ИБ'!B128</f>
        <v>Осуществляется кластеризация компонентов Mission Critical и Busines Critical систем</v>
      </c>
      <c r="D257" s="408" t="str">
        <f>'Управление ИБ'!C128</f>
        <v>УИБ.ОД.3</v>
      </c>
      <c r="E257" s="408">
        <f>'Управление ИБ'!D128</f>
        <v>5</v>
      </c>
      <c r="F257" s="408">
        <f>'Управление ИБ'!E128</f>
        <v>5</v>
      </c>
      <c r="G257" s="408">
        <f>'Управление ИБ'!F128</f>
        <v>0</v>
      </c>
      <c r="H257" s="401">
        <f>'Управление ИБ'!P128</f>
        <v>39.029999999999994</v>
      </c>
      <c r="I257" s="408">
        <f>'Управление ИБ'!K128</f>
        <v>0</v>
      </c>
      <c r="J257" s="408">
        <f>'Управление ИБ'!I128</f>
        <v>0</v>
      </c>
      <c r="K257" s="404">
        <f>'Управление ИБ'!L128</f>
        <v>0</v>
      </c>
      <c r="L257" s="404" t="str">
        <f t="shared" si="7"/>
        <v xml:space="preserve"> </v>
      </c>
      <c r="M257" s="373">
        <f t="shared" si="8"/>
        <v>0</v>
      </c>
      <c r="N257" s="407" t="str">
        <f>'Управление ИБ'!Q128</f>
        <v/>
      </c>
      <c r="O257" s="407"/>
      <c r="P257" s="407"/>
    </row>
    <row r="258" spans="1:16" ht="78">
      <c r="A258" s="270" t="s">
        <v>780</v>
      </c>
      <c r="B258" s="406" t="s">
        <v>17</v>
      </c>
      <c r="C258" s="408" t="str">
        <f>'Управление ИБ'!B129</f>
        <v>Наличие достаточного перечня запасных частей и материалов, а также активной технической поддержки на оборудование и программное обеспечение</v>
      </c>
      <c r="D258" s="408" t="str">
        <f>'Управление ИБ'!C129</f>
        <v>УИБ.ОД.6</v>
      </c>
      <c r="E258" s="408">
        <f>'Управление ИБ'!D129</f>
        <v>5</v>
      </c>
      <c r="F258" s="408">
        <f>'Управление ИБ'!E129</f>
        <v>3.2</v>
      </c>
      <c r="G258" s="408">
        <f>'Управление ИБ'!F129</f>
        <v>0</v>
      </c>
      <c r="H258" s="401">
        <f>'Управление ИБ'!P129</f>
        <v>39.039999999999992</v>
      </c>
      <c r="I258" s="408">
        <f>'Управление ИБ'!K129</f>
        <v>0</v>
      </c>
      <c r="J258" s="408">
        <f>'Управление ИБ'!I129</f>
        <v>0</v>
      </c>
      <c r="K258" s="404">
        <f>'Управление ИБ'!L129</f>
        <v>0</v>
      </c>
      <c r="L258" s="404" t="str">
        <f t="shared" ref="L258:L321" si="9">IF(J258=I258," ",K258-J258)</f>
        <v xml:space="preserve"> </v>
      </c>
      <c r="M258" s="373">
        <f t="shared" si="8"/>
        <v>0</v>
      </c>
      <c r="N258" s="407" t="str">
        <f>'Управление ИБ'!Q129</f>
        <v/>
      </c>
      <c r="O258" s="407"/>
      <c r="P258" s="407"/>
    </row>
    <row r="259" spans="1:16" ht="78">
      <c r="A259" s="270" t="s">
        <v>780</v>
      </c>
      <c r="B259" s="406" t="s">
        <v>17</v>
      </c>
      <c r="C259" s="408" t="str">
        <f>'Управление ИБ'!B130</f>
        <v>Обеспечивается уровень доступности систем и средств защиты не ниже, чем уровень доступности защищаемых информационных систем</v>
      </c>
      <c r="D259" s="408" t="str">
        <f>'Управление ИБ'!C130</f>
        <v>УИБ.ОД.7</v>
      </c>
      <c r="E259" s="408">
        <f>'Управление ИБ'!D130</f>
        <v>5</v>
      </c>
      <c r="F259" s="408">
        <f>'Управление ИБ'!E130</f>
        <v>3.2</v>
      </c>
      <c r="G259" s="408">
        <f>'Управление ИБ'!F130</f>
        <v>0</v>
      </c>
      <c r="H259" s="401">
        <f>'Управление ИБ'!P130</f>
        <v>39.04999999999999</v>
      </c>
      <c r="I259" s="408">
        <f>'Управление ИБ'!K130</f>
        <v>0</v>
      </c>
      <c r="J259" s="408">
        <f>'Управление ИБ'!I130</f>
        <v>0</v>
      </c>
      <c r="K259" s="404">
        <f>'Управление ИБ'!L130</f>
        <v>0</v>
      </c>
      <c r="L259" s="404" t="str">
        <f t="shared" si="9"/>
        <v xml:space="preserve"> </v>
      </c>
      <c r="M259" s="373">
        <f t="shared" ref="M259:M322" si="10">IF(H259&lt;100,    IF(K259&gt;=G259,0,I259-K259),       IF(H259&lt;300,     IF(K259&gt;=F259,0,I259-K259),                  IF(K259&gt;=E259,0,I259-K259)))</f>
        <v>0</v>
      </c>
      <c r="N259" s="407" t="str">
        <f>'Управление ИБ'!Q130</f>
        <v/>
      </c>
      <c r="O259" s="407"/>
      <c r="P259" s="407"/>
    </row>
    <row r="260" spans="1:16" ht="46.8">
      <c r="A260" s="504" t="s">
        <v>69</v>
      </c>
      <c r="B260" s="405" t="s">
        <v>87</v>
      </c>
      <c r="C260" s="517" t="str">
        <f>'Нормативное соответствие'!B91</f>
        <v>Определен перечень КТ</v>
      </c>
      <c r="D260" s="404" t="str">
        <f>'Нормативное соответствие'!C91</f>
        <v>НС.КТ.1</v>
      </c>
      <c r="E260" s="404">
        <f>'Нормативное соответствие'!D91</f>
        <v>5</v>
      </c>
      <c r="F260" s="404">
        <f>'Нормативное соответствие'!E91</f>
        <v>5</v>
      </c>
      <c r="G260" s="404">
        <f>'Нормативное соответствие'!F91</f>
        <v>5</v>
      </c>
      <c r="H260" s="373">
        <f>'Нормативное соответствие'!P91</f>
        <v>40.01</v>
      </c>
      <c r="I260" s="404">
        <f>'Нормативное соответствие'!K91</f>
        <v>5</v>
      </c>
      <c r="J260" s="404">
        <f>'Нормативное соответствие'!I91</f>
        <v>0</v>
      </c>
      <c r="K260" s="404">
        <f>'Нормативное соответствие'!L91</f>
        <v>5</v>
      </c>
      <c r="L260" s="404">
        <f t="shared" si="9"/>
        <v>5</v>
      </c>
      <c r="M260" s="373">
        <f t="shared" si="10"/>
        <v>0</v>
      </c>
      <c r="N260" s="407" t="str">
        <f>'Нормативное соответствие'!Q91</f>
        <v/>
      </c>
      <c r="O260" s="407"/>
      <c r="P260" s="407"/>
    </row>
    <row r="261" spans="1:16" ht="93.6">
      <c r="A261" s="504" t="s">
        <v>69</v>
      </c>
      <c r="B261" s="405" t="s">
        <v>87</v>
      </c>
      <c r="C261" s="517" t="str">
        <f>'Нормативное соответствие'!B92</f>
        <v>Введен режим КТ</v>
      </c>
      <c r="D261" s="404" t="str">
        <f>'Нормативное соответствие'!C92</f>
        <v>НС.КТ.2</v>
      </c>
      <c r="E261" s="404">
        <f>'Нормативное соответствие'!D92</f>
        <v>5</v>
      </c>
      <c r="F261" s="404">
        <f>'Нормативное соответствие'!E92</f>
        <v>5</v>
      </c>
      <c r="G261" s="404">
        <f>'Нормативное соответствие'!F92</f>
        <v>5</v>
      </c>
      <c r="H261" s="373">
        <f>'Нормативное соответствие'!P92</f>
        <v>40.019999999999996</v>
      </c>
      <c r="I261" s="404">
        <f>'Нормативное соответствие'!K92</f>
        <v>5</v>
      </c>
      <c r="J261" s="404">
        <f>'Нормативное соответствие'!I92</f>
        <v>0</v>
      </c>
      <c r="K261" s="404">
        <f>'Нормативное соответствие'!L92</f>
        <v>0</v>
      </c>
      <c r="L261" s="404">
        <f t="shared" si="9"/>
        <v>0</v>
      </c>
      <c r="M261" s="373">
        <f t="shared" si="10"/>
        <v>5</v>
      </c>
      <c r="N261" s="407" t="str">
        <f>'Нормативное соответствие'!Q92</f>
        <v xml:space="preserve"> - Разработать и утвердить локальный документ, который станавливает режим  КТ, зафиксирует порядок деятельности по организации и соблюдению режима КТ, порядок определения Перечня информации, составляющей КТ, полномочия и обязанности должностных лиц и работников  в ходе работы с информацией, составляющей КТ, и меры ответственности, применяемые за нарушение требований. Ознакомить сотрудников.Проводить актуализацию ВНД</v>
      </c>
      <c r="O261" s="407"/>
      <c r="P261" s="407"/>
    </row>
    <row r="262" spans="1:16" ht="46.8">
      <c r="A262" s="504" t="s">
        <v>69</v>
      </c>
      <c r="B262" s="405" t="s">
        <v>87</v>
      </c>
      <c r="C262" s="517" t="str">
        <f>'Нормативное соответствие'!B93</f>
        <v>Определен перечень лиц или перечень должностей, у которых есть доступ к КТ</v>
      </c>
      <c r="D262" s="404" t="str">
        <f>'Нормативное соответствие'!C93</f>
        <v>НС.КТ.3</v>
      </c>
      <c r="E262" s="404">
        <f>'Нормативное соответствие'!D93</f>
        <v>5</v>
      </c>
      <c r="F262" s="404">
        <f>'Нормативное соответствие'!E93</f>
        <v>5</v>
      </c>
      <c r="G262" s="404">
        <f>'Нормативное соответствие'!F93</f>
        <v>5</v>
      </c>
      <c r="H262" s="373">
        <f>'Нормативное соответствие'!P93</f>
        <v>40.029999999999994</v>
      </c>
      <c r="I262" s="404">
        <f>'Нормативное соответствие'!K93</f>
        <v>5</v>
      </c>
      <c r="J262" s="404">
        <f>'Нормативное соответствие'!I93</f>
        <v>0</v>
      </c>
      <c r="K262" s="404">
        <f>'Нормативное соответствие'!L93</f>
        <v>0</v>
      </c>
      <c r="L262" s="404">
        <f t="shared" si="9"/>
        <v>0</v>
      </c>
      <c r="M262" s="373">
        <f t="shared" si="10"/>
        <v>5</v>
      </c>
      <c r="N262" s="407" t="str">
        <f>'Нормативное соответствие'!Q93</f>
        <v xml:space="preserve"> - Утвердить приказом перечень лиц или должностей, у которых будет доступ к информации, составляющей КТ;
 - Поддерживать перечень в актуальном состоянии</v>
      </c>
      <c r="O262" s="407"/>
      <c r="P262" s="407"/>
    </row>
    <row r="263" spans="1:16" ht="46.8">
      <c r="A263" s="504" t="s">
        <v>69</v>
      </c>
      <c r="B263" s="405" t="s">
        <v>87</v>
      </c>
      <c r="C263" s="517" t="str">
        <f>'Нормативное соответствие'!B94</f>
        <v>Существует соглашение о неразглашении КТ (для контрагентов и работников)</v>
      </c>
      <c r="D263" s="404" t="str">
        <f>'Нормативное соответствие'!C94</f>
        <v>НС.КТ.4</v>
      </c>
      <c r="E263" s="404">
        <f>'Нормативное соответствие'!D94</f>
        <v>5</v>
      </c>
      <c r="F263" s="404">
        <f>'Нормативное соответствие'!E94</f>
        <v>5</v>
      </c>
      <c r="G263" s="404">
        <f>'Нормативное соответствие'!F94</f>
        <v>5</v>
      </c>
      <c r="H263" s="373">
        <f>'Нормативное соответствие'!P94</f>
        <v>40.039999999999992</v>
      </c>
      <c r="I263" s="404">
        <f>'Нормативное соответствие'!K94</f>
        <v>5</v>
      </c>
      <c r="J263" s="404">
        <f>'Нормативное соответствие'!I94</f>
        <v>0</v>
      </c>
      <c r="K263" s="404">
        <f>'Нормативное соответствие'!L94</f>
        <v>0</v>
      </c>
      <c r="L263" s="404">
        <f t="shared" si="9"/>
        <v>0</v>
      </c>
      <c r="M263" s="373">
        <f t="shared" si="10"/>
        <v>5</v>
      </c>
      <c r="N263" s="407" t="str">
        <f>'Нормативное соответствие'!Q94</f>
        <v xml:space="preserve"> - Разработать шаблон соглашения о неразглашении информации, составляющей КТ;
 - Включить соглашение в трудовые договоры, а также договоры с контрагентами.</v>
      </c>
      <c r="O263" s="407"/>
      <c r="P263" s="407"/>
    </row>
    <row r="264" spans="1:16" ht="62.4">
      <c r="A264" s="504" t="s">
        <v>69</v>
      </c>
      <c r="B264" s="405" t="s">
        <v>87</v>
      </c>
      <c r="C264" s="517" t="str">
        <f>'Нормативное соответствие'!B95</f>
        <v>Определен порядок обработки КТ</v>
      </c>
      <c r="D264" s="404" t="str">
        <f>'Нормативное соответствие'!C95</f>
        <v>НС.КТ.5</v>
      </c>
      <c r="E264" s="404">
        <f>'Нормативное соответствие'!D95</f>
        <v>5</v>
      </c>
      <c r="F264" s="404">
        <f>'Нормативное соответствие'!E95</f>
        <v>5</v>
      </c>
      <c r="G264" s="404">
        <f>'Нормативное соответствие'!F95</f>
        <v>5</v>
      </c>
      <c r="H264" s="373">
        <f>'Нормативное соответствие'!P95</f>
        <v>40.04999999999999</v>
      </c>
      <c r="I264" s="404">
        <f>'Нормативное соответствие'!K95</f>
        <v>5</v>
      </c>
      <c r="J264" s="404">
        <f>'Нормативное соответствие'!I95</f>
        <v>0</v>
      </c>
      <c r="K264" s="404">
        <f>'Нормативное соответствие'!L95</f>
        <v>0</v>
      </c>
      <c r="L264" s="404">
        <f t="shared" si="9"/>
        <v>0</v>
      </c>
      <c r="M264" s="373">
        <f t="shared" si="10"/>
        <v>5</v>
      </c>
      <c r="N264" s="407" t="str">
        <f>'Нормативное соответствие'!Q95</f>
        <v xml:space="preserve"> - Разработать и утвердить ВНД, регламентирующий порядок обработки информации, составляющей КТ;
 - Ознакомить сотрудников;
 - Проводить инвентаризацию материальных носителей КТ.</v>
      </c>
      <c r="O264" s="407"/>
      <c r="P264" s="407"/>
    </row>
    <row r="265" spans="1:16" ht="78">
      <c r="A265" s="270" t="s">
        <v>780</v>
      </c>
      <c r="B265" s="403" t="s">
        <v>30</v>
      </c>
      <c r="C265" s="404" t="str">
        <f>'Управление ИБ'!B72</f>
        <v>Определены основные нежелательные события ИБ</v>
      </c>
      <c r="D265" s="404" t="str">
        <f>'Управление ИБ'!C72</f>
        <v>УИБ.УР.1</v>
      </c>
      <c r="E265" s="404">
        <f>'Управление ИБ'!D72</f>
        <v>5</v>
      </c>
      <c r="F265" s="404">
        <f>'Управление ИБ'!E72</f>
        <v>5</v>
      </c>
      <c r="G265" s="404">
        <f>'Управление ИБ'!F72</f>
        <v>5</v>
      </c>
      <c r="H265" s="373">
        <f>'Управление ИБ'!P72</f>
        <v>41.01</v>
      </c>
      <c r="I265" s="404">
        <f>'Управление ИБ'!K72</f>
        <v>5</v>
      </c>
      <c r="J265" s="404">
        <f>'Управление ИБ'!I72</f>
        <v>0</v>
      </c>
      <c r="K265" s="404">
        <f>'Управление ИБ'!L72</f>
        <v>0</v>
      </c>
      <c r="L265" s="404">
        <f t="shared" si="9"/>
        <v>0</v>
      </c>
      <c r="M265" s="373">
        <f t="shared" si="10"/>
        <v>5</v>
      </c>
      <c r="N265" s="407" t="str">
        <f>'Управление ИБ'!Q72</f>
        <v xml:space="preserve">- Составить перечень нежелательныхх событий в ИБ. Согласовать перечень с руководством Общества и со всеми заинтересованными подразделениями. Утвердить перечень </v>
      </c>
      <c r="O265" s="407"/>
      <c r="P265" s="407"/>
    </row>
    <row r="266" spans="1:16" ht="78">
      <c r="A266" s="270" t="s">
        <v>780</v>
      </c>
      <c r="B266" s="403" t="s">
        <v>30</v>
      </c>
      <c r="C266" s="404" t="str">
        <f>'Управление ИБ'!B75</f>
        <v>Внедрен процесс количественной оценки рисков</v>
      </c>
      <c r="D266" s="404" t="str">
        <f>'Управление ИБ'!C75</f>
        <v>УИБ.УР.4</v>
      </c>
      <c r="E266" s="404">
        <f>'Управление ИБ'!D75</f>
        <v>4</v>
      </c>
      <c r="F266" s="404">
        <f>'Управление ИБ'!E75</f>
        <v>0</v>
      </c>
      <c r="G266" s="404">
        <f>'Управление ИБ'!F75</f>
        <v>0</v>
      </c>
      <c r="H266" s="373">
        <f>'Управление ИБ'!P75</f>
        <v>41.039999999999992</v>
      </c>
      <c r="I266" s="404">
        <f>'Управление ИБ'!K75</f>
        <v>0</v>
      </c>
      <c r="J266" s="404">
        <f>'Управление ИБ'!I75</f>
        <v>0</v>
      </c>
      <c r="K266" s="404">
        <f>'Управление ИБ'!L75</f>
        <v>0</v>
      </c>
      <c r="L266" s="404" t="str">
        <f t="shared" si="9"/>
        <v xml:space="preserve"> </v>
      </c>
      <c r="M266" s="373">
        <f t="shared" si="10"/>
        <v>0</v>
      </c>
      <c r="N266" s="407" t="str">
        <f>'Управление ИБ'!Q75</f>
        <v/>
      </c>
      <c r="O266" s="407"/>
      <c r="P266" s="407"/>
    </row>
    <row r="267" spans="1:16" ht="78">
      <c r="A267" s="270" t="s">
        <v>780</v>
      </c>
      <c r="B267" s="403" t="s">
        <v>30</v>
      </c>
      <c r="C267" s="404" t="str">
        <f>'Управление ИБ'!B76</f>
        <v>Процесс оценки рисков ИБ интегрирован в общую систему управления рисками Общества</v>
      </c>
      <c r="D267" s="404" t="str">
        <f>'Управление ИБ'!C76</f>
        <v>УИБ.УР.5</v>
      </c>
      <c r="E267" s="404">
        <f>'Управление ИБ'!D76</f>
        <v>5</v>
      </c>
      <c r="F267" s="404">
        <f>'Управление ИБ'!E76</f>
        <v>0</v>
      </c>
      <c r="G267" s="404">
        <f>'Управление ИБ'!F76</f>
        <v>0</v>
      </c>
      <c r="H267" s="373">
        <f>'Управление ИБ'!P76</f>
        <v>41.04999999999999</v>
      </c>
      <c r="I267" s="404">
        <f>'Управление ИБ'!K76</f>
        <v>0</v>
      </c>
      <c r="J267" s="404">
        <f>'Управление ИБ'!I76</f>
        <v>0</v>
      </c>
      <c r="K267" s="404">
        <f>'Управление ИБ'!L76</f>
        <v>0</v>
      </c>
      <c r="L267" s="404" t="str">
        <f t="shared" si="9"/>
        <v xml:space="preserve"> </v>
      </c>
      <c r="M267" s="373">
        <f t="shared" si="10"/>
        <v>0</v>
      </c>
      <c r="N267" s="407" t="str">
        <f>'Управление ИБ'!Q76</f>
        <v/>
      </c>
      <c r="O267" s="407"/>
      <c r="P267" s="407"/>
    </row>
    <row r="268" spans="1:16" ht="78">
      <c r="A268" s="270" t="s">
        <v>780</v>
      </c>
      <c r="B268" s="403" t="s">
        <v>439</v>
      </c>
      <c r="C268" s="404" t="str">
        <f>'Управление ИБ'!B190</f>
        <v>Наличие нормативного документа, регламентирующего категории конфиденциальности обрабатываемой информации</v>
      </c>
      <c r="D268" s="404" t="str">
        <f>'Управление ИБ'!C190</f>
        <v>УИБ.Д.1</v>
      </c>
      <c r="E268" s="404">
        <f>'Управление ИБ'!D190</f>
        <v>5</v>
      </c>
      <c r="F268" s="404">
        <f>'Управление ИБ'!E190</f>
        <v>5</v>
      </c>
      <c r="G268" s="404">
        <f>'Управление ИБ'!F190</f>
        <v>0</v>
      </c>
      <c r="H268" s="373">
        <f>'Управление ИБ'!P190</f>
        <v>42.01</v>
      </c>
      <c r="I268" s="404">
        <f>'Управление ИБ'!K190</f>
        <v>0</v>
      </c>
      <c r="J268" s="404">
        <f>'Управление ИБ'!I190</f>
        <v>0</v>
      </c>
      <c r="K268" s="404">
        <f>'Управление ИБ'!L190</f>
        <v>5</v>
      </c>
      <c r="L268" s="404" t="str">
        <f t="shared" si="9"/>
        <v xml:space="preserve"> </v>
      </c>
      <c r="M268" s="373">
        <f t="shared" si="10"/>
        <v>0</v>
      </c>
      <c r="N268" s="407" t="str">
        <f>'Управление ИБ'!Q190</f>
        <v/>
      </c>
      <c r="O268" s="407"/>
      <c r="P268" s="407"/>
    </row>
    <row r="269" spans="1:16" ht="78">
      <c r="A269" s="270" t="s">
        <v>780</v>
      </c>
      <c r="B269" s="403" t="s">
        <v>439</v>
      </c>
      <c r="C269" s="404" t="str">
        <f>'Управление ИБ'!B191</f>
        <v>Данные на носимых устройствах хранятся в зашифрованном виде</v>
      </c>
      <c r="D269" s="404" t="str">
        <f>'Управление ИБ'!C191</f>
        <v>УИБ.Д.2</v>
      </c>
      <c r="E269" s="404">
        <f>'Управление ИБ'!D191</f>
        <v>5</v>
      </c>
      <c r="F269" s="404">
        <f>'Управление ИБ'!E191</f>
        <v>3.2</v>
      </c>
      <c r="G269" s="404">
        <f>'Управление ИБ'!F191</f>
        <v>1.6</v>
      </c>
      <c r="H269" s="373">
        <f>'Управление ИБ'!P191</f>
        <v>42.019999999999996</v>
      </c>
      <c r="I269" s="404">
        <f>'Управление ИБ'!K191</f>
        <v>1.6</v>
      </c>
      <c r="J269" s="404">
        <f>'Управление ИБ'!I191</f>
        <v>0</v>
      </c>
      <c r="K269" s="404">
        <f>'Управление ИБ'!L191</f>
        <v>0</v>
      </c>
      <c r="L269" s="404">
        <f t="shared" si="9"/>
        <v>0</v>
      </c>
      <c r="M269" s="373">
        <f t="shared" si="10"/>
        <v>1.6</v>
      </c>
      <c r="N269" s="407" t="str">
        <f>'Управление ИБ'!Q191</f>
        <v xml:space="preserve"> - Приобрести и установить средства шифрования данных на носимых устройствах (ноутбуки, планшеты, телефоны): не менее чем на 25% устройств</v>
      </c>
      <c r="O269" s="407"/>
      <c r="P269" s="407"/>
    </row>
    <row r="270" spans="1:16" ht="78">
      <c r="A270" s="270" t="s">
        <v>780</v>
      </c>
      <c r="B270" s="403" t="s">
        <v>439</v>
      </c>
      <c r="C270" s="404" t="str">
        <f>'Управление ИБ'!B192</f>
        <v>Передаваемые между сегментами сетей данные защищены</v>
      </c>
      <c r="D270" s="404" t="str">
        <f>'Управление ИБ'!C192</f>
        <v>УИБ.Д.3</v>
      </c>
      <c r="E270" s="404">
        <f>'Управление ИБ'!D192</f>
        <v>5</v>
      </c>
      <c r="F270" s="404">
        <f>'Управление ИБ'!E192</f>
        <v>5</v>
      </c>
      <c r="G270" s="404">
        <f>'Управление ИБ'!F192</f>
        <v>1.6</v>
      </c>
      <c r="H270" s="373">
        <f>'Управление ИБ'!P192</f>
        <v>42.029999999999994</v>
      </c>
      <c r="I270" s="404">
        <f>'Управление ИБ'!K192</f>
        <v>1.6</v>
      </c>
      <c r="J270" s="404">
        <f>'Управление ИБ'!I192</f>
        <v>0</v>
      </c>
      <c r="K270" s="404">
        <f>'Управление ИБ'!L192</f>
        <v>5</v>
      </c>
      <c r="L270" s="404">
        <f t="shared" si="9"/>
        <v>5</v>
      </c>
      <c r="M270" s="373">
        <f t="shared" si="10"/>
        <v>0</v>
      </c>
      <c r="N270" s="407" t="str">
        <f>'Управление ИБ'!Q192</f>
        <v/>
      </c>
      <c r="O270" s="407"/>
      <c r="P270" s="407"/>
    </row>
    <row r="271" spans="1:16" ht="78">
      <c r="A271" s="270" t="s">
        <v>780</v>
      </c>
      <c r="B271" s="403" t="s">
        <v>439</v>
      </c>
      <c r="C271" s="404" t="str">
        <f>'Управление ИБ'!B193</f>
        <v>Осуществляется контроль использования личных мобильных устройств</v>
      </c>
      <c r="D271" s="404" t="str">
        <f>'Управление ИБ'!C193</f>
        <v>УИБ.Д.4</v>
      </c>
      <c r="E271" s="404">
        <f>'Управление ИБ'!D193</f>
        <v>3.2</v>
      </c>
      <c r="F271" s="404">
        <f>'Управление ИБ'!E193</f>
        <v>1.6</v>
      </c>
      <c r="G271" s="404">
        <f>'Управление ИБ'!F193</f>
        <v>0</v>
      </c>
      <c r="H271" s="373">
        <f>'Управление ИБ'!P193</f>
        <v>42.039999999999992</v>
      </c>
      <c r="I271" s="404">
        <f>'Управление ИБ'!K193</f>
        <v>0</v>
      </c>
      <c r="J271" s="404">
        <f>'Управление ИБ'!I193</f>
        <v>0</v>
      </c>
      <c r="K271" s="404">
        <f>'Управление ИБ'!L193</f>
        <v>0</v>
      </c>
      <c r="L271" s="404" t="str">
        <f t="shared" si="9"/>
        <v xml:space="preserve"> </v>
      </c>
      <c r="M271" s="373">
        <f t="shared" si="10"/>
        <v>0</v>
      </c>
      <c r="N271" s="407" t="str">
        <f>'Управление ИБ'!Q193</f>
        <v/>
      </c>
      <c r="O271" s="407"/>
      <c r="P271" s="407"/>
    </row>
    <row r="272" spans="1:16" ht="62.4">
      <c r="A272" s="270" t="s">
        <v>18</v>
      </c>
      <c r="B272" s="403" t="s">
        <v>498</v>
      </c>
      <c r="C272" s="404" t="str">
        <f>Мониторинг!B61</f>
        <v>Процесс анализа информации о киберугрозах</v>
      </c>
      <c r="D272" s="404" t="str">
        <f>Мониторинг!C61</f>
        <v>МНТ.ПР.1</v>
      </c>
      <c r="E272" s="404">
        <f>Мониторинг!D61</f>
        <v>4</v>
      </c>
      <c r="F272" s="404">
        <f>Мониторинг!E61</f>
        <v>1</v>
      </c>
      <c r="G272" s="404">
        <f>Мониторинг!F61</f>
        <v>0</v>
      </c>
      <c r="H272" s="373">
        <f>Мониторинг!R61</f>
        <v>200.01</v>
      </c>
      <c r="I272" s="404">
        <f>Мониторинг!K61</f>
        <v>0</v>
      </c>
      <c r="J272" s="404">
        <f>Мониторинг!I61</f>
        <v>0</v>
      </c>
      <c r="K272" s="404">
        <f>Мониторинг!L61</f>
        <v>0</v>
      </c>
      <c r="L272" s="404" t="str">
        <f t="shared" si="9"/>
        <v xml:space="preserve"> </v>
      </c>
      <c r="M272" s="373">
        <f t="shared" si="10"/>
        <v>0</v>
      </c>
      <c r="N272" s="407" t="str">
        <f>Мониторинг!S61</f>
        <v xml:space="preserve"> - Организовать процесс анализа информации об угрозах, направлемой РТК, ФСТЭК и НКЦКИ. Выполнять проверку применимости угроз и мер защиты в Обществе. Выполнять рекомендуемые меры.</v>
      </c>
      <c r="O272" s="407"/>
      <c r="P272" s="407"/>
    </row>
    <row r="273" spans="1:16" ht="62.4">
      <c r="A273" s="270" t="s">
        <v>18</v>
      </c>
      <c r="B273" s="403" t="s">
        <v>196</v>
      </c>
      <c r="C273" s="404" t="str">
        <f>Мониторинг!B59</f>
        <v>Обеспечено хранение событий ИБ минимум в течении 6 месяцев</v>
      </c>
      <c r="D273" s="404" t="str">
        <f>Мониторинг!C59</f>
        <v>МНТ.A.3</v>
      </c>
      <c r="E273" s="404">
        <f>Мониторинг!D59</f>
        <v>5</v>
      </c>
      <c r="F273" s="404">
        <f>Мониторинг!E59</f>
        <v>5</v>
      </c>
      <c r="G273" s="404">
        <f>Мониторинг!F59</f>
        <v>0</v>
      </c>
      <c r="H273" s="373">
        <f>Мониторинг!R59</f>
        <v>200.01</v>
      </c>
      <c r="I273" s="404">
        <f>Мониторинг!K59</f>
        <v>0</v>
      </c>
      <c r="J273" s="404">
        <f>Мониторинг!I59</f>
        <v>0</v>
      </c>
      <c r="K273" s="404">
        <f>Мониторинг!L59</f>
        <v>0</v>
      </c>
      <c r="L273" s="404" t="str">
        <f t="shared" si="9"/>
        <v xml:space="preserve"> </v>
      </c>
      <c r="M273" s="373">
        <f t="shared" si="10"/>
        <v>0</v>
      </c>
      <c r="N273" s="407" t="str">
        <f>Мониторинг!S59</f>
        <v xml:space="preserve"> - Настроить БД SIEM для хранения информации о событиях не менее 6 месяцев. Выделить ресурсы, достаточные для хранения. Проконтролировать хранение событий не менее указанного срока.</v>
      </c>
      <c r="O273" s="407"/>
      <c r="P273" s="407"/>
    </row>
    <row r="274" spans="1:16" ht="62.4">
      <c r="A274" s="270" t="s">
        <v>18</v>
      </c>
      <c r="B274" s="403" t="s">
        <v>498</v>
      </c>
      <c r="C274" s="404" t="str">
        <f>Мониторинг!B62</f>
        <v>Процесс мониторинга событий ИБ</v>
      </c>
      <c r="D274" s="404" t="str">
        <f>Мониторинг!C62</f>
        <v>МНТ.ПР.2</v>
      </c>
      <c r="E274" s="404">
        <f>Мониторинг!D62</f>
        <v>4</v>
      </c>
      <c r="F274" s="404">
        <f>Мониторинг!E62</f>
        <v>4</v>
      </c>
      <c r="G274" s="404">
        <f>Мониторинг!F62</f>
        <v>0</v>
      </c>
      <c r="H274" s="373">
        <f>Мониторинг!R62</f>
        <v>200.01999999999998</v>
      </c>
      <c r="I274" s="404">
        <f>Мониторинг!K62</f>
        <v>0</v>
      </c>
      <c r="J274" s="404">
        <f>Мониторинг!I62</f>
        <v>0</v>
      </c>
      <c r="K274" s="404">
        <f>Мониторинг!L62</f>
        <v>0</v>
      </c>
      <c r="L274" s="404" t="str">
        <f t="shared" si="9"/>
        <v xml:space="preserve"> </v>
      </c>
      <c r="M274" s="373">
        <f t="shared" si="10"/>
        <v>0</v>
      </c>
      <c r="N274" s="407" t="str">
        <f>Мониторинг!S62</f>
        <v xml:space="preserve"> - Регламентировать процесс мониторинга событий ИБ, определить критерии определения и классификации инцидентов, Определить порядок инициации реагирования на инцидент.</v>
      </c>
      <c r="O274" s="407"/>
      <c r="P274" s="407"/>
    </row>
    <row r="275" spans="1:16" ht="62.4">
      <c r="A275" s="270" t="s">
        <v>18</v>
      </c>
      <c r="B275" s="403" t="s">
        <v>498</v>
      </c>
      <c r="C275" s="404" t="str">
        <f>Мониторинг!B63</f>
        <v>Процесс создания решающих правил</v>
      </c>
      <c r="D275" s="404" t="str">
        <f>Мониторинг!C63</f>
        <v>МНТ.ПР.3</v>
      </c>
      <c r="E275" s="404">
        <f>Мониторинг!D63</f>
        <v>4</v>
      </c>
      <c r="F275" s="404">
        <f>Мониторинг!E63</f>
        <v>3</v>
      </c>
      <c r="G275" s="404">
        <f>Мониторинг!F63</f>
        <v>0</v>
      </c>
      <c r="H275" s="373">
        <f>Мониторинг!R63</f>
        <v>200.02999999999997</v>
      </c>
      <c r="I275" s="404">
        <f>Мониторинг!K63</f>
        <v>0</v>
      </c>
      <c r="J275" s="404">
        <f>Мониторинг!I63</f>
        <v>0</v>
      </c>
      <c r="K275" s="404">
        <f>Мониторинг!L63</f>
        <v>0</v>
      </c>
      <c r="L275" s="404" t="str">
        <f t="shared" si="9"/>
        <v xml:space="preserve"> </v>
      </c>
      <c r="M275" s="373">
        <f t="shared" si="10"/>
        <v>0</v>
      </c>
      <c r="N275" s="407" t="str">
        <f>Мониторинг!S63</f>
        <v xml:space="preserve"> - Получить типовые решающие правила SIEM от разработчика SIEM и из других доступных источников. Адаптировать решающие правила для применения в инфрастурктуре организации.</v>
      </c>
      <c r="O275" s="407"/>
      <c r="P275" s="407"/>
    </row>
    <row r="276" spans="1:16" ht="62.4">
      <c r="A276" s="270" t="s">
        <v>18</v>
      </c>
      <c r="B276" s="403" t="s">
        <v>498</v>
      </c>
      <c r="C276" s="404" t="str">
        <f>Мониторинг!B64</f>
        <v>Процесс подключения источников информации</v>
      </c>
      <c r="D276" s="404" t="str">
        <f>Мониторинг!C64</f>
        <v>МНТ.ПР.4</v>
      </c>
      <c r="E276" s="404">
        <f>Мониторинг!D64</f>
        <v>4</v>
      </c>
      <c r="F276" s="404">
        <f>Мониторинг!E64</f>
        <v>2</v>
      </c>
      <c r="G276" s="404">
        <f>Мониторинг!F64</f>
        <v>0</v>
      </c>
      <c r="H276" s="373">
        <f>Мониторинг!R64</f>
        <v>200.03999999999996</v>
      </c>
      <c r="I276" s="404">
        <f>Мониторинг!K64</f>
        <v>0</v>
      </c>
      <c r="J276" s="404">
        <f>Мониторинг!I64</f>
        <v>0</v>
      </c>
      <c r="K276" s="404">
        <f>Мониторинг!L64</f>
        <v>0</v>
      </c>
      <c r="L276" s="404" t="str">
        <f t="shared" si="9"/>
        <v xml:space="preserve"> </v>
      </c>
      <c r="M276" s="373">
        <f t="shared" si="10"/>
        <v>0</v>
      </c>
      <c r="N276" s="407" t="str">
        <f>Мониторинг!S64</f>
        <v xml:space="preserve"> - Провести инвентаризацию источников событий и подключить их к SIEM</v>
      </c>
      <c r="O276" s="407"/>
      <c r="P276" s="407"/>
    </row>
    <row r="277" spans="1:16" ht="62.4">
      <c r="A277" s="270" t="s">
        <v>18</v>
      </c>
      <c r="B277" s="403" t="s">
        <v>498</v>
      </c>
      <c r="C277" s="404" t="str">
        <f>Мониторинг!B65</f>
        <v>Процесс контроля источников информации</v>
      </c>
      <c r="D277" s="404" t="str">
        <f>Мониторинг!C65</f>
        <v>МНТ.ПР.5</v>
      </c>
      <c r="E277" s="404">
        <f>Мониторинг!D65</f>
        <v>4</v>
      </c>
      <c r="F277" s="404">
        <f>Мониторинг!E65</f>
        <v>3</v>
      </c>
      <c r="G277" s="404">
        <f>Мониторинг!F65</f>
        <v>0</v>
      </c>
      <c r="H277" s="373">
        <f>Мониторинг!R65</f>
        <v>200.04999999999995</v>
      </c>
      <c r="I277" s="404">
        <f>Мониторинг!K65</f>
        <v>0</v>
      </c>
      <c r="J277" s="404">
        <f>Мониторинг!I65</f>
        <v>0</v>
      </c>
      <c r="K277" s="404">
        <f>Мониторинг!L65</f>
        <v>0</v>
      </c>
      <c r="L277" s="404" t="str">
        <f t="shared" si="9"/>
        <v xml:space="preserve"> </v>
      </c>
      <c r="M277" s="373">
        <f t="shared" si="10"/>
        <v>0</v>
      </c>
      <c r="N277" s="407" t="str">
        <f>Мониторинг!S65</f>
        <v xml:space="preserve"> - Проводить аудит ИС для выявления неподключенных к SIEM источников;
   - Проверять, что источники подключены и успешно передают события.</v>
      </c>
      <c r="O277" s="407"/>
      <c r="P277" s="407"/>
    </row>
    <row r="278" spans="1:16" ht="46.8">
      <c r="A278" s="270" t="s">
        <v>113</v>
      </c>
      <c r="B278" s="403" t="s">
        <v>187</v>
      </c>
      <c r="C278" s="404" t="str">
        <f>СЗИ!B47</f>
        <v>Процент покрытия инфраструктуры средствами антивирусного ПО</v>
      </c>
      <c r="D278" s="404" t="str">
        <f>СЗИ!C47</f>
        <v>СЗИ.ВПО.2</v>
      </c>
      <c r="E278" s="404">
        <f>СЗИ!D47</f>
        <v>4.75</v>
      </c>
      <c r="F278" s="404">
        <f>СЗИ!E47</f>
        <v>4.5</v>
      </c>
      <c r="G278" s="404">
        <f>СЗИ!F47</f>
        <v>3.75</v>
      </c>
      <c r="H278" s="373">
        <f>СЗИ!R47</f>
        <v>201.01999999999998</v>
      </c>
      <c r="I278" s="404">
        <f>СЗИ!K47</f>
        <v>3.75</v>
      </c>
      <c r="J278" s="190">
        <f>СЗИ!I47</f>
        <v>0</v>
      </c>
      <c r="K278" s="404">
        <f>СЗИ!L47</f>
        <v>0</v>
      </c>
      <c r="L278" s="404">
        <f t="shared" si="9"/>
        <v>0</v>
      </c>
      <c r="M278" s="373">
        <f t="shared" si="10"/>
        <v>3.75</v>
      </c>
      <c r="N278" s="483" t="str">
        <f>СЗИ!S47</f>
        <v>- Обеспечить установку средств АВЗ не менее чем на 90% хостов инфраструктуры Общества</v>
      </c>
      <c r="O278" s="483"/>
      <c r="P278" s="483"/>
    </row>
    <row r="279" spans="1:16" ht="62.4">
      <c r="A279" s="270" t="s">
        <v>113</v>
      </c>
      <c r="B279" s="403" t="s">
        <v>187</v>
      </c>
      <c r="C279" s="404" t="str">
        <f>СЗИ!B48</f>
        <v>Осуществляется централизованное управление средствами антивирусной защиты (САВЗ)</v>
      </c>
      <c r="D279" s="404" t="str">
        <f>СЗИ!C48</f>
        <v>СЗИ.ВПО.3</v>
      </c>
      <c r="E279" s="404">
        <f>СЗИ!D48</f>
        <v>5</v>
      </c>
      <c r="F279" s="404">
        <f>СЗИ!E48</f>
        <v>5</v>
      </c>
      <c r="G279" s="404">
        <f>СЗИ!F48</f>
        <v>3.2</v>
      </c>
      <c r="H279" s="373">
        <f>СЗИ!R48</f>
        <v>201.02999999999997</v>
      </c>
      <c r="I279" s="404">
        <f>СЗИ!K48</f>
        <v>3.2</v>
      </c>
      <c r="J279" s="404">
        <f>СЗИ!I48</f>
        <v>0</v>
      </c>
      <c r="K279" s="404">
        <f>СЗИ!L48</f>
        <v>0</v>
      </c>
      <c r="L279" s="404">
        <f t="shared" si="9"/>
        <v>0</v>
      </c>
      <c r="M279" s="373">
        <f t="shared" si="10"/>
        <v>3.2</v>
      </c>
      <c r="N279" s="407" t="str">
        <f>СЗИ!S48</f>
        <v>- Обеспечить подключение к системе централизованного управления средствами АВЗ всех элементов инфраструктуры</v>
      </c>
      <c r="O279" s="407"/>
      <c r="P279" s="407"/>
    </row>
    <row r="280" spans="1:16" ht="31.2">
      <c r="A280" s="270" t="s">
        <v>113</v>
      </c>
      <c r="B280" s="403" t="s">
        <v>187</v>
      </c>
      <c r="C280" s="404" t="str">
        <f>СЗИ!B51</f>
        <v>Процесс контроля работоспособности САВЗ</v>
      </c>
      <c r="D280" s="404" t="str">
        <f>СЗИ!C51</f>
        <v>СЗИ.ВПО.6</v>
      </c>
      <c r="E280" s="404">
        <f>СЗИ!D51</f>
        <v>4</v>
      </c>
      <c r="F280" s="404">
        <f>СЗИ!E51</f>
        <v>3</v>
      </c>
      <c r="G280" s="404">
        <f>СЗИ!F51</f>
        <v>2</v>
      </c>
      <c r="H280" s="373">
        <f>СЗИ!R51</f>
        <v>201.05999999999995</v>
      </c>
      <c r="I280" s="404">
        <f>СЗИ!K51</f>
        <v>2</v>
      </c>
      <c r="J280" s="404">
        <f>СЗИ!I51</f>
        <v>0</v>
      </c>
      <c r="K280" s="404">
        <f>СЗИ!L51</f>
        <v>0</v>
      </c>
      <c r="L280" s="404">
        <f t="shared" si="9"/>
        <v>0</v>
      </c>
      <c r="M280" s="373">
        <f t="shared" si="10"/>
        <v>2</v>
      </c>
      <c r="N280" s="483" t="str">
        <f>СЗИ!S51</f>
        <v>- Реализовать в Обществе процесс контроля рабоспособности средств АВЗ</v>
      </c>
      <c r="O280" s="483"/>
      <c r="P280" s="483"/>
    </row>
    <row r="281" spans="1:16" ht="31.2">
      <c r="A281" s="270" t="s">
        <v>113</v>
      </c>
      <c r="B281" s="403" t="s">
        <v>187</v>
      </c>
      <c r="C281" s="404" t="str">
        <f>СЗИ!B52</f>
        <v>Процесс обновления антивирусных средств</v>
      </c>
      <c r="D281" s="404" t="str">
        <f>СЗИ!C52</f>
        <v>СЗИ.ВПО.7</v>
      </c>
      <c r="E281" s="404">
        <f>СЗИ!D52</f>
        <v>4</v>
      </c>
      <c r="F281" s="404">
        <f>СЗИ!E52</f>
        <v>3</v>
      </c>
      <c r="G281" s="404">
        <f>СЗИ!F52</f>
        <v>2</v>
      </c>
      <c r="H281" s="373">
        <f>СЗИ!R52</f>
        <v>201.06999999999994</v>
      </c>
      <c r="I281" s="404">
        <f>СЗИ!K52</f>
        <v>2</v>
      </c>
      <c r="J281" s="404">
        <f>СЗИ!I52</f>
        <v>0</v>
      </c>
      <c r="K281" s="404">
        <f>СЗИ!L52</f>
        <v>0</v>
      </c>
      <c r="L281" s="404">
        <f t="shared" si="9"/>
        <v>0</v>
      </c>
      <c r="M281" s="373">
        <f t="shared" si="10"/>
        <v>2</v>
      </c>
      <c r="N281" s="483" t="str">
        <f>СЗИ!S52</f>
        <v>- Реализовать в Обществе процесс обновления средств АВЗ</v>
      </c>
      <c r="O281" s="483"/>
      <c r="P281" s="483"/>
    </row>
    <row r="282" spans="1:16" ht="31.2">
      <c r="A282" s="270" t="s">
        <v>113</v>
      </c>
      <c r="B282" s="403" t="s">
        <v>187</v>
      </c>
      <c r="C282" s="404" t="str">
        <f>СЗИ!B53</f>
        <v>Процесс реагирования на события САВЗ</v>
      </c>
      <c r="D282" s="404" t="str">
        <f>СЗИ!C53</f>
        <v>СЗИ.ВПО.8</v>
      </c>
      <c r="E282" s="404">
        <f>СЗИ!D53</f>
        <v>4</v>
      </c>
      <c r="F282" s="404">
        <f>СЗИ!E53</f>
        <v>3</v>
      </c>
      <c r="G282" s="404">
        <f>СЗИ!F53</f>
        <v>2</v>
      </c>
      <c r="H282" s="373">
        <f>СЗИ!R53</f>
        <v>201.07999999999993</v>
      </c>
      <c r="I282" s="404">
        <f>СЗИ!K53</f>
        <v>2</v>
      </c>
      <c r="J282" s="404">
        <f>СЗИ!I53</f>
        <v>0</v>
      </c>
      <c r="K282" s="404">
        <f>СЗИ!L53</f>
        <v>0</v>
      </c>
      <c r="L282" s="404">
        <f t="shared" si="9"/>
        <v>0</v>
      </c>
      <c r="M282" s="373">
        <f t="shared" si="10"/>
        <v>2</v>
      </c>
      <c r="N282" s="483" t="str">
        <f>СЗИ!S53</f>
        <v>- Реализовать в Обществе процесс реагирования на события  средств АВЗ</v>
      </c>
      <c r="O282" s="483"/>
      <c r="P282" s="483"/>
    </row>
    <row r="283" spans="1:16" ht="46.8">
      <c r="A283" s="270" t="s">
        <v>113</v>
      </c>
      <c r="B283" s="405" t="s">
        <v>332</v>
      </c>
      <c r="C283" s="517" t="str">
        <f>СЗИ!B55</f>
        <v>Использование OTP</v>
      </c>
      <c r="D283" s="404" t="str">
        <f>СЗИ!C55</f>
        <v>СЗИ.2FA.1</v>
      </c>
      <c r="E283" s="404">
        <f>СЗИ!D55</f>
        <v>5</v>
      </c>
      <c r="F283" s="404">
        <f>СЗИ!E55</f>
        <v>5</v>
      </c>
      <c r="G283" s="404">
        <f>СЗИ!F55</f>
        <v>3.2</v>
      </c>
      <c r="H283" s="373">
        <f>СЗИ!R55</f>
        <v>202.01</v>
      </c>
      <c r="I283" s="404">
        <f>СЗИ!K55</f>
        <v>3.2</v>
      </c>
      <c r="J283" s="404">
        <f>СЗИ!I55</f>
        <v>0</v>
      </c>
      <c r="K283" s="404">
        <f>СЗИ!L55</f>
        <v>0</v>
      </c>
      <c r="L283" s="404">
        <f t="shared" si="9"/>
        <v>0</v>
      </c>
      <c r="M283" s="373">
        <f t="shared" si="10"/>
        <v>3.2</v>
      </c>
      <c r="N283" s="407" t="str">
        <f>СЗИ!S55</f>
        <v xml:space="preserve"> - Автоматизировать процесс выдачи и отзыва средств OTP</v>
      </c>
      <c r="O283" s="407"/>
      <c r="P283" s="407"/>
    </row>
    <row r="284" spans="1:16" ht="62.4">
      <c r="A284" s="270" t="s">
        <v>113</v>
      </c>
      <c r="B284" s="405" t="s">
        <v>332</v>
      </c>
      <c r="C284" s="517" t="str">
        <f>СЗИ!B57</f>
        <v>Двухфакторная аутентификация используется для удаленного доступа подрядчиков к ресурсам Общества</v>
      </c>
      <c r="D284" s="404" t="str">
        <f>СЗИ!C57</f>
        <v>СЗИ.2FA.3</v>
      </c>
      <c r="E284" s="404">
        <f>СЗИ!D57</f>
        <v>5</v>
      </c>
      <c r="F284" s="404">
        <f>СЗИ!E57</f>
        <v>5</v>
      </c>
      <c r="G284" s="404">
        <f>СЗИ!F57</f>
        <v>3.2</v>
      </c>
      <c r="H284" s="373">
        <f>СЗИ!R57</f>
        <v>202.03</v>
      </c>
      <c r="I284" s="404">
        <f>СЗИ!K57</f>
        <v>3.2</v>
      </c>
      <c r="J284" s="404">
        <f>СЗИ!I57</f>
        <v>0</v>
      </c>
      <c r="K284" s="404">
        <f>СЗИ!L57</f>
        <v>0</v>
      </c>
      <c r="L284" s="404">
        <f t="shared" si="9"/>
        <v>0</v>
      </c>
      <c r="M284" s="373">
        <f t="shared" si="10"/>
        <v>3.2</v>
      </c>
      <c r="N284" s="407" t="str">
        <f>СЗИ!S57</f>
        <v xml:space="preserve"> - Внедрить OTP для всех подрядчиков, имеющих доступ в инфраструктуру Общества.</v>
      </c>
      <c r="O284" s="407"/>
      <c r="P284" s="407"/>
    </row>
    <row r="285" spans="1:16" ht="46.8">
      <c r="A285" s="270" t="s">
        <v>113</v>
      </c>
      <c r="B285" s="405" t="s">
        <v>332</v>
      </c>
      <c r="C285" s="517" t="str">
        <f>СЗИ!B58</f>
        <v>Двухфакторная аутентификация используется для привелигированных УЗ</v>
      </c>
      <c r="D285" s="404" t="str">
        <f>СЗИ!C58</f>
        <v>СЗИ.2FA.4</v>
      </c>
      <c r="E285" s="404">
        <f>СЗИ!D58</f>
        <v>5</v>
      </c>
      <c r="F285" s="404">
        <f>СЗИ!E58</f>
        <v>5</v>
      </c>
      <c r="G285" s="404">
        <f>СЗИ!F58</f>
        <v>3.2</v>
      </c>
      <c r="H285" s="373">
        <f>СЗИ!R58</f>
        <v>202.04</v>
      </c>
      <c r="I285" s="404">
        <f>СЗИ!K58</f>
        <v>3.2</v>
      </c>
      <c r="J285" s="404">
        <f>СЗИ!I58</f>
        <v>0</v>
      </c>
      <c r="K285" s="404">
        <f>СЗИ!L58</f>
        <v>0</v>
      </c>
      <c r="L285" s="404">
        <f t="shared" si="9"/>
        <v>0</v>
      </c>
      <c r="M285" s="373">
        <f t="shared" si="10"/>
        <v>3.2</v>
      </c>
      <c r="N285" s="407" t="str">
        <f>СЗИ!S58</f>
        <v xml:space="preserve"> - Внедрить OTP для административного доступа к сетевому оборудованию.</v>
      </c>
      <c r="O285" s="407"/>
      <c r="P285" s="407"/>
    </row>
    <row r="286" spans="1:16" ht="46.8">
      <c r="A286" s="270" t="s">
        <v>113</v>
      </c>
      <c r="B286" s="405" t="s">
        <v>333</v>
      </c>
      <c r="C286" s="517" t="str">
        <f>СЗИ!B61</f>
        <v>Процент охваченных регулярным сканированием активов</v>
      </c>
      <c r="D286" s="404" t="str">
        <f>СЗИ!C61</f>
        <v>СЗИ.CPT.2</v>
      </c>
      <c r="E286" s="404">
        <f>СЗИ!D61</f>
        <v>4.75</v>
      </c>
      <c r="F286" s="404">
        <f>СЗИ!E61</f>
        <v>4.5</v>
      </c>
      <c r="G286" s="404">
        <f>СЗИ!F61</f>
        <v>3.75</v>
      </c>
      <c r="H286" s="373">
        <f>СЗИ!R61</f>
        <v>203.02</v>
      </c>
      <c r="I286" s="404">
        <f>СЗИ!K61</f>
        <v>3.75</v>
      </c>
      <c r="J286" s="190">
        <f>СЗИ!I61</f>
        <v>0</v>
      </c>
      <c r="K286" s="404">
        <f>СЗИ!L61</f>
        <v>0</v>
      </c>
      <c r="L286" s="404">
        <f t="shared" si="9"/>
        <v>0</v>
      </c>
      <c r="M286" s="373">
        <f t="shared" si="10"/>
        <v>3.75</v>
      </c>
      <c r="N286" s="407" t="str">
        <f>СЗИ!S61</f>
        <v xml:space="preserve"> - Поставить периметр на контроль CPT, всего активов не менее: 90%</v>
      </c>
      <c r="O286" s="407"/>
      <c r="P286" s="407"/>
    </row>
    <row r="287" spans="1:16" ht="46.8">
      <c r="A287" s="270" t="s">
        <v>113</v>
      </c>
      <c r="B287" s="405" t="s">
        <v>333</v>
      </c>
      <c r="C287" s="517" t="str">
        <f>СЗИ!B62</f>
        <v>Внедрен процесс управления уязвимостями на периметре (CPT)</v>
      </c>
      <c r="D287" s="404" t="str">
        <f>СЗИ!C62</f>
        <v>СЗИ.CPT.3</v>
      </c>
      <c r="E287" s="404">
        <f>СЗИ!D62</f>
        <v>4</v>
      </c>
      <c r="F287" s="404">
        <f>СЗИ!E62</f>
        <v>3</v>
      </c>
      <c r="G287" s="404">
        <f>СЗИ!F62</f>
        <v>1</v>
      </c>
      <c r="H287" s="373">
        <f>СЗИ!R62</f>
        <v>203.03</v>
      </c>
      <c r="I287" s="404">
        <f>СЗИ!K62</f>
        <v>1</v>
      </c>
      <c r="J287" s="404">
        <f>СЗИ!I62</f>
        <v>0</v>
      </c>
      <c r="K287" s="404">
        <f>СЗИ!L62</f>
        <v>0</v>
      </c>
      <c r="L287" s="404">
        <f t="shared" si="9"/>
        <v>0</v>
      </c>
      <c r="M287" s="373">
        <f t="shared" si="10"/>
        <v>1</v>
      </c>
      <c r="N287" s="407" t="str">
        <f>СЗИ!S62</f>
        <v xml:space="preserve"> - Реализовать в Обществе процесс управления уязвимостями на периметре. 
 - Автоматизировать процесс управления выявленными уязвимостями (учет, информирование, контроль устранения).</v>
      </c>
      <c r="O287" s="407"/>
      <c r="P287" s="407"/>
    </row>
    <row r="288" spans="1:16" ht="31.2">
      <c r="A288" s="270" t="s">
        <v>113</v>
      </c>
      <c r="B288" s="405" t="s">
        <v>334</v>
      </c>
      <c r="C288" s="517" t="str">
        <f>СЗИ!B64</f>
        <v>Наличие средств RA VPN</v>
      </c>
      <c r="D288" s="404" t="str">
        <f>СЗИ!C64</f>
        <v>СЗИ.RA-VPN.1</v>
      </c>
      <c r="E288" s="404">
        <f>СЗИ!D64</f>
        <v>5</v>
      </c>
      <c r="F288" s="404">
        <f>СЗИ!E64</f>
        <v>5</v>
      </c>
      <c r="G288" s="404">
        <f>СЗИ!F64</f>
        <v>5</v>
      </c>
      <c r="H288" s="373">
        <f>СЗИ!R64</f>
        <v>204.01</v>
      </c>
      <c r="I288" s="404">
        <f>СЗИ!K64</f>
        <v>5</v>
      </c>
      <c r="J288" s="404">
        <f>СЗИ!I64</f>
        <v>0</v>
      </c>
      <c r="K288" s="404">
        <f>СЗИ!L64</f>
        <v>0</v>
      </c>
      <c r="L288" s="404">
        <f t="shared" si="9"/>
        <v>0</v>
      </c>
      <c r="M288" s="373">
        <f t="shared" si="10"/>
        <v>5</v>
      </c>
      <c r="N288" s="407" t="str">
        <f>СЗИ!S64</f>
        <v/>
      </c>
      <c r="O288" s="407"/>
      <c r="P288" s="407"/>
    </row>
    <row r="289" spans="1:16" ht="46.8">
      <c r="A289" s="270" t="s">
        <v>113</v>
      </c>
      <c r="B289" s="405" t="s">
        <v>334</v>
      </c>
      <c r="C289" s="517" t="str">
        <f>СЗИ!B65</f>
        <v>Покрытие инфраструктуры средствами защищенного удаленного доступа</v>
      </c>
      <c r="D289" s="404" t="str">
        <f>СЗИ!C65</f>
        <v>СЗИ.RA-VPN.2</v>
      </c>
      <c r="E289" s="404">
        <f>СЗИ!D65</f>
        <v>5</v>
      </c>
      <c r="F289" s="404">
        <f>СЗИ!E65</f>
        <v>3.2</v>
      </c>
      <c r="G289" s="404">
        <f>СЗИ!F65</f>
        <v>3.2</v>
      </c>
      <c r="H289" s="373">
        <f>СЗИ!R65</f>
        <v>204.02</v>
      </c>
      <c r="I289" s="404">
        <f>СЗИ!K65</f>
        <v>3.2</v>
      </c>
      <c r="J289" s="404">
        <f>СЗИ!I65</f>
        <v>0</v>
      </c>
      <c r="K289" s="404">
        <f>СЗИ!L65</f>
        <v>0</v>
      </c>
      <c r="L289" s="404">
        <f t="shared" si="9"/>
        <v>0</v>
      </c>
      <c r="M289" s="373">
        <f t="shared" si="10"/>
        <v>3.2</v>
      </c>
      <c r="N289" s="407" t="str">
        <f>СЗИ!S65</f>
        <v/>
      </c>
      <c r="O289" s="407"/>
      <c r="P289" s="407"/>
    </row>
    <row r="290" spans="1:16" ht="62.4">
      <c r="A290" s="270" t="s">
        <v>113</v>
      </c>
      <c r="B290" s="405" t="s">
        <v>334</v>
      </c>
      <c r="C290" s="517" t="str">
        <f>СЗИ!B66</f>
        <v>Осуществляется централизованное управление удаленным доступом</v>
      </c>
      <c r="D290" s="404" t="str">
        <f>СЗИ!C66</f>
        <v>СЗИ.RA-VPN.3</v>
      </c>
      <c r="E290" s="404">
        <f>СЗИ!D66</f>
        <v>5</v>
      </c>
      <c r="F290" s="404">
        <f>СЗИ!E66</f>
        <v>5</v>
      </c>
      <c r="G290" s="404">
        <f>СЗИ!F66</f>
        <v>3.2</v>
      </c>
      <c r="H290" s="373">
        <f>СЗИ!R66</f>
        <v>204.03</v>
      </c>
      <c r="I290" s="404">
        <f>СЗИ!K66</f>
        <v>3.2</v>
      </c>
      <c r="J290" s="404">
        <f>СЗИ!I66</f>
        <v>0</v>
      </c>
      <c r="K290" s="404">
        <f>СЗИ!L66</f>
        <v>0</v>
      </c>
      <c r="L290" s="404">
        <f t="shared" si="9"/>
        <v>0</v>
      </c>
      <c r="M290" s="373">
        <f t="shared" si="10"/>
        <v>3.2</v>
      </c>
      <c r="N290" s="407" t="str">
        <f>СЗИ!S66</f>
        <v xml:space="preserve"> - Создать систему управления удаленными устройствами;
 - Обеспечить централизованное управление антивирусом, средствами защиты, ПО, политиками безопасности удаленных устройств;
 - Обеспечить возможность удаленного стирания конфиденциальных данных.</v>
      </c>
      <c r="O290" s="407"/>
      <c r="P290" s="407"/>
    </row>
    <row r="291" spans="1:16" ht="46.8">
      <c r="A291" s="270" t="s">
        <v>113</v>
      </c>
      <c r="B291" s="405" t="s">
        <v>598</v>
      </c>
      <c r="C291" s="517" t="str">
        <f>СЗИ!B70</f>
        <v>Осуществляется централизованное управление СКЗИ</v>
      </c>
      <c r="D291" s="404" t="str">
        <f>СЗИ!C70</f>
        <v>СЗИ.СКЗИ.2</v>
      </c>
      <c r="E291" s="404">
        <f>СЗИ!D70</f>
        <v>5</v>
      </c>
      <c r="F291" s="404">
        <f>СЗИ!E70</f>
        <v>5</v>
      </c>
      <c r="G291" s="404">
        <f>СЗИ!F70</f>
        <v>3.2</v>
      </c>
      <c r="H291" s="373">
        <f>СЗИ!R70</f>
        <v>205.02</v>
      </c>
      <c r="I291" s="404">
        <f>СЗИ!K70</f>
        <v>3.2</v>
      </c>
      <c r="J291" s="404">
        <f>СЗИ!I70</f>
        <v>0</v>
      </c>
      <c r="K291" s="404">
        <f>СЗИ!L70</f>
        <v>3.2</v>
      </c>
      <c r="L291" s="404">
        <f t="shared" si="9"/>
        <v>3.2</v>
      </c>
      <c r="M291" s="373">
        <f t="shared" si="10"/>
        <v>0</v>
      </c>
      <c r="N291" s="407" t="str">
        <f>СЗИ!S70</f>
        <v xml:space="preserve"> - Обеспечить подключение к централизованному управлению всех СКЗИ.</v>
      </c>
      <c r="O291" s="407"/>
      <c r="P291" s="407"/>
    </row>
    <row r="292" spans="1:16" ht="296.39999999999998">
      <c r="A292" s="270" t="s">
        <v>19</v>
      </c>
      <c r="B292" s="403" t="s">
        <v>202</v>
      </c>
      <c r="C292" s="404" t="str">
        <f>Реагирование!B39</f>
        <v>Процесс реагирования на инциденты ИБ</v>
      </c>
      <c r="D292" s="404" t="str">
        <f>Реагирование!C39</f>
        <v>РЕАГ.ПЛР.1</v>
      </c>
      <c r="E292" s="404">
        <f>Реагирование!D39</f>
        <v>4</v>
      </c>
      <c r="F292" s="404">
        <f>Реагирование!E39</f>
        <v>3</v>
      </c>
      <c r="G292" s="404">
        <f>Реагирование!F39</f>
        <v>1</v>
      </c>
      <c r="H292" s="373">
        <f>Реагирование!R39</f>
        <v>207.01</v>
      </c>
      <c r="I292" s="404">
        <f>Реагирование!K39</f>
        <v>1</v>
      </c>
      <c r="J292" s="404">
        <f>Реагирование!I39</f>
        <v>0</v>
      </c>
      <c r="K292" s="404">
        <f>Реагирование!L39</f>
        <v>0</v>
      </c>
      <c r="L292" s="404">
        <f t="shared" si="9"/>
        <v>0</v>
      </c>
      <c r="M292" s="373">
        <f t="shared" si="10"/>
        <v>1</v>
      </c>
      <c r="N292" s="407" t="str">
        <f>Реагирование!S39</f>
        <v xml:space="preserve"> - Разработать или Получить в Блоке ИБ ПАО Ростелеком типовое описание процесса реагирования на инциденты ИБ (Политика, Регламенты, процедуры реагирования на инциденты ИБ);
  -  Определить ответственность за координацию процесса работы с инцидентами и документирование результатов в процессе решения инцидента;
  -  Составить список заинтересованных лиц, которые должны получить уведомление об инциденте, актуализиировать и пересматривать его не реже раза в год;
 -  Для всех инцидентов определить SLA по реагированию, механизмы обращения, минимальная информация для создания инцидента/Процедуру довести до всех работников Общества;
 -  Определить роли и обязанности, план коммуникации по поводу инцидента;
 - Составить план реагирования на инциденты, включая сценарии реагирования с привлечением юристов, специалистов по ИТ и ИБ, служб PR, HR и аналитиков;
 -  Разработать учебные сценарии по реагированию, включающие взаимодействие заинтересованных лиц и позволяющие тестировать постановку задач, процессы коммуникации и принятия решений;
 -  Разработать сценарии реагирования для разных событий безопасности: подозрительной активности, обнаруженной уязвимости, утечки информации;
 -  Для автоматизации процесса внедрить специализированное ПО: SIEM, IRP/ServiceDesk.</v>
      </c>
      <c r="O292" s="407"/>
      <c r="P292" s="407"/>
    </row>
    <row r="293" spans="1:16" ht="62.4">
      <c r="A293" s="270" t="s">
        <v>19</v>
      </c>
      <c r="B293" s="403" t="s">
        <v>202</v>
      </c>
      <c r="C293" s="404" t="str">
        <f>Реагирование!B40</f>
        <v>Процесс категорирования инцидентов ИБ</v>
      </c>
      <c r="D293" s="404" t="str">
        <f>Реагирование!C40</f>
        <v>РЕАГ.ПЛР.2</v>
      </c>
      <c r="E293" s="404">
        <f>Реагирование!D40</f>
        <v>4</v>
      </c>
      <c r="F293" s="404">
        <f>Реагирование!E40</f>
        <v>3</v>
      </c>
      <c r="G293" s="404">
        <f>Реагирование!F40</f>
        <v>1</v>
      </c>
      <c r="H293" s="373">
        <f>Реагирование!R40</f>
        <v>207.01999999999998</v>
      </c>
      <c r="I293" s="404">
        <f>Реагирование!K40</f>
        <v>1</v>
      </c>
      <c r="J293" s="404">
        <f>Реагирование!I40</f>
        <v>0</v>
      </c>
      <c r="K293" s="404">
        <f>Реагирование!L40</f>
        <v>0</v>
      </c>
      <c r="L293" s="404">
        <f t="shared" si="9"/>
        <v>0</v>
      </c>
      <c r="M293" s="373">
        <f t="shared" si="10"/>
        <v>1</v>
      </c>
      <c r="N293" s="407" t="str">
        <f>Реагирование!S40</f>
        <v>- Формализовать критерии определения критичности инцидентов ИБ; 
- Определить мандаты на действия участников процесса;
  -  Официально сформировать ГЭР и ОКУ;
  -  Не реже 1 раза в год проводить учения в формате штабных игр.</v>
      </c>
      <c r="O293" s="407"/>
      <c r="P293" s="407"/>
    </row>
    <row r="294" spans="1:16" ht="62.4">
      <c r="A294" s="270" t="s">
        <v>19</v>
      </c>
      <c r="B294" s="403" t="s">
        <v>202</v>
      </c>
      <c r="C294" s="404" t="str">
        <f>Реагирование!B41</f>
        <v>Определен мандат на действие в ходе реагирования на инцидент</v>
      </c>
      <c r="D294" s="404" t="str">
        <f>Реагирование!C41</f>
        <v>РЕАГ.ПЛР.3</v>
      </c>
      <c r="E294" s="404">
        <f>Реагирование!D41</f>
        <v>5</v>
      </c>
      <c r="F294" s="404">
        <f>Реагирование!E41</f>
        <v>3.2</v>
      </c>
      <c r="G294" s="404">
        <f>Реагирование!F41</f>
        <v>0</v>
      </c>
      <c r="H294" s="373">
        <f>Реагирование!R41</f>
        <v>207.02999999999997</v>
      </c>
      <c r="I294" s="404">
        <f>Реагирование!K41</f>
        <v>0</v>
      </c>
      <c r="J294" s="404">
        <f>Реагирование!I41</f>
        <v>0</v>
      </c>
      <c r="K294" s="404">
        <f>Реагирование!L41</f>
        <v>0</v>
      </c>
      <c r="L294" s="404" t="str">
        <f t="shared" si="9"/>
        <v xml:space="preserve"> </v>
      </c>
      <c r="M294" s="373">
        <f t="shared" si="10"/>
        <v>0</v>
      </c>
      <c r="N294" s="407" t="str">
        <f>Реагирование!S41</f>
        <v xml:space="preserve"> - Категории инцидентов определить в ВНД;
  -  Категорию инцидента ИБ определять в автоматическом режиме</v>
      </c>
      <c r="O294" s="407"/>
      <c r="P294" s="407"/>
    </row>
    <row r="295" spans="1:16" ht="62.4">
      <c r="A295" s="270" t="s">
        <v>19</v>
      </c>
      <c r="B295" s="403" t="s">
        <v>202</v>
      </c>
      <c r="C295" s="404" t="str">
        <f>Реагирование!B42</f>
        <v>Планы реагирования совершенствуются по результатам тестирования и пост-анализа</v>
      </c>
      <c r="D295" s="404" t="str">
        <f>Реагирование!C42</f>
        <v>РЕАГ.ПЛР.4</v>
      </c>
      <c r="E295" s="404">
        <f>Реагирование!D42</f>
        <v>5</v>
      </c>
      <c r="F295" s="404">
        <f>Реагирование!E42</f>
        <v>3.2</v>
      </c>
      <c r="G295" s="404">
        <f>Реагирование!F42</f>
        <v>0</v>
      </c>
      <c r="H295" s="373">
        <f>Реагирование!R42</f>
        <v>207.03999999999996</v>
      </c>
      <c r="I295" s="404">
        <f>Реагирование!K42</f>
        <v>0</v>
      </c>
      <c r="J295" s="404">
        <f>Реагирование!I42</f>
        <v>0</v>
      </c>
      <c r="K295" s="404">
        <f>Реагирование!L42</f>
        <v>0</v>
      </c>
      <c r="L295" s="404" t="str">
        <f t="shared" si="9"/>
        <v xml:space="preserve"> </v>
      </c>
      <c r="M295" s="373">
        <f t="shared" si="10"/>
        <v>0</v>
      </c>
      <c r="N295" s="407" t="str">
        <f>Реагирование!S42</f>
        <v xml:space="preserve"> - Пост-анализ проводится обязательно для инцидентов критичности 'высокий' и выше. 
- По результатам вносятся изменения в порядок реагирования.</v>
      </c>
      <c r="O295" s="407"/>
      <c r="P295" s="407"/>
    </row>
    <row r="296" spans="1:16" ht="109.2">
      <c r="A296" s="504" t="s">
        <v>69</v>
      </c>
      <c r="B296" s="405" t="s">
        <v>76</v>
      </c>
      <c r="C296" s="517" t="str">
        <f>'Нормативное соответствие'!B89</f>
        <v>Предоставлены своевременные ответы на запросы ФСТЭК России о выполнении мер по защите информации, рекомендованных к реализации (ответы предоставлены на более чем 95% запросов)</v>
      </c>
      <c r="D296" s="517" t="str">
        <f>'Нормативное соответствие'!C89</f>
        <v>НС.КИИ.15</v>
      </c>
      <c r="E296" s="517">
        <f>'Нормативное соответствие'!D89</f>
        <v>0</v>
      </c>
      <c r="F296" s="517">
        <f>'Нормативное соответствие'!E89</f>
        <v>0</v>
      </c>
      <c r="G296" s="517">
        <f>'Нормативное соответствие'!F89</f>
        <v>0</v>
      </c>
      <c r="H296" s="373">
        <f>'Нормативное соответствие'!R89</f>
        <v>208.15</v>
      </c>
      <c r="I296" s="404">
        <f>'Нормативное соответствие'!K89</f>
        <v>0</v>
      </c>
      <c r="J296" s="404">
        <f>'Нормативное соответствие'!L89</f>
        <v>0</v>
      </c>
      <c r="K296" s="404">
        <f>'Нормативное соответствие'!L89</f>
        <v>0</v>
      </c>
      <c r="L296" s="404" t="str">
        <f t="shared" si="9"/>
        <v xml:space="preserve"> </v>
      </c>
      <c r="M296" s="373">
        <f t="shared" si="10"/>
        <v>0</v>
      </c>
      <c r="N296" s="407" t="str">
        <f>'Нормативное соответствие'!S89</f>
        <v/>
      </c>
      <c r="O296" s="407"/>
      <c r="P296" s="407"/>
    </row>
    <row r="297" spans="1:16" ht="40.799999999999997">
      <c r="A297" s="504" t="s">
        <v>69</v>
      </c>
      <c r="B297" s="405" t="s">
        <v>594</v>
      </c>
      <c r="C297" s="517" t="str">
        <f>'Нормативное соответствие'!B108</f>
        <v xml:space="preserve">Созданы органы управления </v>
      </c>
      <c r="D297" s="404" t="str">
        <f>'Нормативное соответствие'!C108</f>
        <v>НС.250.1</v>
      </c>
      <c r="E297" s="404">
        <f>'Нормативное соответствие'!D108</f>
        <v>0.625</v>
      </c>
      <c r="F297" s="404">
        <f>'Нормативное соответствие'!E108</f>
        <v>0.625</v>
      </c>
      <c r="G297" s="404">
        <f>'Нормативное соответствие'!F108</f>
        <v>0.625</v>
      </c>
      <c r="H297" s="373">
        <f>'Нормативное соответствие'!R108</f>
        <v>209.01</v>
      </c>
      <c r="I297" s="404">
        <f>'Нормативное соответствие'!K108</f>
        <v>0.625</v>
      </c>
      <c r="J297" s="190">
        <f>'Нормативное соответствие'!I108</f>
        <v>0</v>
      </c>
      <c r="K297" s="404">
        <f>'Нормативное соответствие'!L108</f>
        <v>0.625</v>
      </c>
      <c r="L297" s="404">
        <f t="shared" si="9"/>
        <v>0.625</v>
      </c>
      <c r="M297" s="373">
        <f t="shared" si="10"/>
        <v>0</v>
      </c>
      <c r="N297" s="407" t="str">
        <f>'Нормативное соответствие'!S108</f>
        <v/>
      </c>
      <c r="O297" s="407"/>
      <c r="P297" s="407"/>
    </row>
    <row r="298" spans="1:16" ht="40.799999999999997">
      <c r="A298" s="504" t="s">
        <v>69</v>
      </c>
      <c r="B298" s="405" t="s">
        <v>594</v>
      </c>
      <c r="C298" s="517" t="str">
        <f>'Нормативное соответствие'!B109</f>
        <v>Подразделение по ИБ</v>
      </c>
      <c r="D298" s="404" t="str">
        <f>'Нормативное соответствие'!C109</f>
        <v>НС.250.2</v>
      </c>
      <c r="E298" s="404">
        <f>'Нормативное соответствие'!D109</f>
        <v>1.6666666666666667</v>
      </c>
      <c r="F298" s="404">
        <f>'Нормативное соответствие'!E109</f>
        <v>1.6666666666666667</v>
      </c>
      <c r="G298" s="404">
        <f>'Нормативное соответствие'!F109</f>
        <v>1.6666666666666667</v>
      </c>
      <c r="H298" s="373">
        <f>'Нормативное соответствие'!R109</f>
        <v>209.01999999999998</v>
      </c>
      <c r="I298" s="404">
        <f>'Нормативное соответствие'!K109</f>
        <v>1.6666666666666667</v>
      </c>
      <c r="J298" s="190">
        <f>'Нормативное соответствие'!I109</f>
        <v>0</v>
      </c>
      <c r="K298" s="404">
        <f>'Нормативное соответствие'!L109</f>
        <v>1.6666666666666667</v>
      </c>
      <c r="L298" s="404">
        <f t="shared" si="9"/>
        <v>1.6666666666666667</v>
      </c>
      <c r="M298" s="373">
        <f t="shared" si="10"/>
        <v>0</v>
      </c>
      <c r="N298" s="407" t="str">
        <f>'Нормативное соответствие'!S109</f>
        <v/>
      </c>
      <c r="O298" s="407"/>
      <c r="P298" s="407"/>
    </row>
    <row r="299" spans="1:16" ht="40.799999999999997">
      <c r="A299" s="504" t="s">
        <v>69</v>
      </c>
      <c r="B299" s="405" t="s">
        <v>594</v>
      </c>
      <c r="C299" s="517" t="str">
        <f>'Нормативное соответствие'!B110</f>
        <v>Организованно взаимодействие с подрядчиками</v>
      </c>
      <c r="D299" s="404" t="str">
        <f>'Нормативное соответствие'!C110</f>
        <v>НС.250.3</v>
      </c>
      <c r="E299" s="404">
        <f>'Нормативное соответствие'!D110</f>
        <v>0</v>
      </c>
      <c r="F299" s="404">
        <f>'Нормативное соответствие'!E110</f>
        <v>0</v>
      </c>
      <c r="G299" s="404">
        <f>'Нормативное соответствие'!F110</f>
        <v>0</v>
      </c>
      <c r="H299" s="373">
        <f>'Нормативное соответствие'!R110</f>
        <v>209.02999999999997</v>
      </c>
      <c r="I299" s="404">
        <f>'Нормативное соответствие'!K110</f>
        <v>0</v>
      </c>
      <c r="J299" s="190">
        <f>'Нормативное соответствие'!I110</f>
        <v>0</v>
      </c>
      <c r="K299" s="404">
        <f>'Нормативное соответствие'!L110</f>
        <v>0</v>
      </c>
      <c r="L299" s="404" t="str">
        <f t="shared" si="9"/>
        <v xml:space="preserve"> </v>
      </c>
      <c r="M299" s="373">
        <f t="shared" si="10"/>
        <v>0</v>
      </c>
      <c r="N299" s="407" t="str">
        <f>'Нормативное соответствие'!S110</f>
        <v/>
      </c>
      <c r="O299" s="407"/>
      <c r="P299" s="407"/>
    </row>
    <row r="300" spans="1:16" ht="40.799999999999997">
      <c r="A300" s="504" t="s">
        <v>69</v>
      </c>
      <c r="B300" s="405" t="s">
        <v>594</v>
      </c>
      <c r="C300" s="517" t="str">
        <f>'Нормативное соответствие'!B111</f>
        <v>Обеспечена ИБ</v>
      </c>
      <c r="D300" s="404" t="str">
        <f>'Нормативное соответствие'!C111</f>
        <v>НС.250.4</v>
      </c>
      <c r="E300" s="404">
        <f>'Нормативное соответствие'!D111</f>
        <v>0.625</v>
      </c>
      <c r="F300" s="404">
        <f>'Нормативное соответствие'!E111</f>
        <v>0.625</v>
      </c>
      <c r="G300" s="404">
        <f>'Нормативное соответствие'!F111</f>
        <v>0.3125</v>
      </c>
      <c r="H300" s="373">
        <f>'Нормативное соответствие'!R111</f>
        <v>209.03999999999996</v>
      </c>
      <c r="I300" s="404">
        <f>'Нормативное соответствие'!K111</f>
        <v>0.3125</v>
      </c>
      <c r="J300" s="190">
        <f>'Нормативное соответствие'!I111</f>
        <v>0</v>
      </c>
      <c r="K300" s="404">
        <f>'Нормативное соответствие'!L111</f>
        <v>0.625</v>
      </c>
      <c r="L300" s="404">
        <f t="shared" si="9"/>
        <v>0.625</v>
      </c>
      <c r="M300" s="373">
        <f t="shared" si="10"/>
        <v>0</v>
      </c>
      <c r="N300" s="407" t="str">
        <f>'Нормативное соответствие'!S111</f>
        <v/>
      </c>
      <c r="O300" s="407"/>
      <c r="P300" s="407"/>
    </row>
    <row r="301" spans="1:16" ht="40.799999999999997">
      <c r="A301" s="504" t="s">
        <v>69</v>
      </c>
      <c r="B301" s="405" t="s">
        <v>594</v>
      </c>
      <c r="C301" s="517" t="str">
        <f>'Нормативное соответствие'!B112</f>
        <v>Использование СЗИ</v>
      </c>
      <c r="D301" s="404" t="str">
        <f>'Нормативное соответствие'!C112</f>
        <v>НС.250.5</v>
      </c>
      <c r="E301" s="404">
        <f>'Нормативное соответствие'!D112</f>
        <v>0</v>
      </c>
      <c r="F301" s="404">
        <f>'Нормативное соответствие'!E112</f>
        <v>0</v>
      </c>
      <c r="G301" s="404">
        <f>'Нормативное соответствие'!F112</f>
        <v>0</v>
      </c>
      <c r="H301" s="373">
        <f>'Нормативное соответствие'!R112</f>
        <v>209.04999999999995</v>
      </c>
      <c r="I301" s="404">
        <f>'Нормативное соответствие'!K112</f>
        <v>0</v>
      </c>
      <c r="J301" s="190">
        <f>'Нормативное соответствие'!I112</f>
        <v>0</v>
      </c>
      <c r="K301" s="404">
        <f>'Нормативное соответствие'!L112</f>
        <v>0</v>
      </c>
      <c r="L301" s="404" t="str">
        <f t="shared" si="9"/>
        <v xml:space="preserve"> </v>
      </c>
      <c r="M301" s="373">
        <f t="shared" si="10"/>
        <v>0</v>
      </c>
      <c r="N301" s="407" t="str">
        <f>'Нормативное соответствие'!S112</f>
        <v/>
      </c>
      <c r="O301" s="407"/>
      <c r="P301" s="407"/>
    </row>
    <row r="302" spans="1:16" ht="40.799999999999997">
      <c r="A302" s="504" t="s">
        <v>69</v>
      </c>
      <c r="B302" s="405" t="s">
        <v>594</v>
      </c>
      <c r="C302" s="517" t="str">
        <f>'Нормативное соответствие'!B113</f>
        <v>Взаимодействие с ГОССОПКА</v>
      </c>
      <c r="D302" s="404" t="str">
        <f>'Нормативное соответствие'!C113</f>
        <v>НС.250.6</v>
      </c>
      <c r="E302" s="404">
        <f>'Нормативное соответствие'!D113</f>
        <v>0</v>
      </c>
      <c r="F302" s="404">
        <f>'Нормативное соответствие'!E113</f>
        <v>0</v>
      </c>
      <c r="G302" s="404">
        <f>'Нормативное соответствие'!F113</f>
        <v>0</v>
      </c>
      <c r="H302" s="373">
        <f>'Нормативное соответствие'!R113</f>
        <v>209.05999999999995</v>
      </c>
      <c r="I302" s="404">
        <f>'Нормативное соответствие'!K113</f>
        <v>0</v>
      </c>
      <c r="J302" s="190">
        <f>'Нормативное соответствие'!I113</f>
        <v>0</v>
      </c>
      <c r="K302" s="404">
        <f>'Нормативное соответствие'!L113</f>
        <v>0</v>
      </c>
      <c r="L302" s="404" t="str">
        <f t="shared" si="9"/>
        <v xml:space="preserve"> </v>
      </c>
      <c r="M302" s="373">
        <f t="shared" si="10"/>
        <v>0</v>
      </c>
      <c r="N302" s="407" t="str">
        <f>'Нормативное соответствие'!S113</f>
        <v/>
      </c>
      <c r="O302" s="407"/>
      <c r="P302" s="407"/>
    </row>
    <row r="303" spans="1:16" ht="31.2">
      <c r="A303" s="270" t="s">
        <v>113</v>
      </c>
      <c r="B303" s="403" t="s">
        <v>339</v>
      </c>
      <c r="C303" s="404" t="str">
        <f>СЗИ!B86</f>
        <v>Процент покрытия активов  лицензиями</v>
      </c>
      <c r="D303" s="404" t="str">
        <f>СЗИ!C86</f>
        <v>СЗИ.САЗ.1</v>
      </c>
      <c r="E303" s="404">
        <f>СЗИ!D86</f>
        <v>5</v>
      </c>
      <c r="F303" s="404">
        <f>СЗИ!E86</f>
        <v>5</v>
      </c>
      <c r="G303" s="404">
        <f>СЗИ!F86</f>
        <v>0</v>
      </c>
      <c r="H303" s="373">
        <f>СЗИ!R86</f>
        <v>210.01</v>
      </c>
      <c r="I303" s="404">
        <f>СЗИ!K86</f>
        <v>0</v>
      </c>
      <c r="J303" s="190">
        <f>СЗИ!I86</f>
        <v>0</v>
      </c>
      <c r="K303" s="404">
        <f>СЗИ!L86</f>
        <v>0</v>
      </c>
      <c r="L303" s="404" t="str">
        <f t="shared" si="9"/>
        <v xml:space="preserve"> </v>
      </c>
      <c r="M303" s="373">
        <f t="shared" si="10"/>
        <v>0</v>
      </c>
      <c r="N303" s="407" t="str">
        <f>СЗИ!S86</f>
        <v xml:space="preserve"> - Приобрести лицензии сканера уязвимостями в объеме, достаточном для полного покрытия всех видов активов + достаточный запас для текущего развития</v>
      </c>
      <c r="O303" s="407"/>
      <c r="P303" s="407"/>
    </row>
    <row r="304" spans="1:16" ht="46.8">
      <c r="A304" s="270" t="s">
        <v>113</v>
      </c>
      <c r="B304" s="403" t="s">
        <v>339</v>
      </c>
      <c r="C304" s="404" t="str">
        <f>СЗИ!B87</f>
        <v>Процент охваченных регулярным сканированием активов</v>
      </c>
      <c r="D304" s="404" t="str">
        <f>СЗИ!C87</f>
        <v>СЗИ.САЗ.2</v>
      </c>
      <c r="E304" s="404">
        <f>СЗИ!D87</f>
        <v>5</v>
      </c>
      <c r="F304" s="404">
        <f>СЗИ!E87</f>
        <v>3.2</v>
      </c>
      <c r="G304" s="404">
        <f>СЗИ!F87</f>
        <v>0</v>
      </c>
      <c r="H304" s="373">
        <f>СЗИ!R87</f>
        <v>210.02</v>
      </c>
      <c r="I304" s="404">
        <f>СЗИ!K87</f>
        <v>0</v>
      </c>
      <c r="J304" s="190">
        <f>СЗИ!I87</f>
        <v>0</v>
      </c>
      <c r="K304" s="404">
        <f>СЗИ!L87</f>
        <v>0</v>
      </c>
      <c r="L304" s="404" t="str">
        <f t="shared" si="9"/>
        <v xml:space="preserve"> </v>
      </c>
      <c r="M304" s="373">
        <f t="shared" si="10"/>
        <v>0</v>
      </c>
      <c r="N304" s="407" t="str">
        <f>СЗИ!S87</f>
        <v xml:space="preserve"> - Внедрить сканеры уязвимостей;
 - Реализовать процесс регулярного сканирования не менее 64% активов всех видов (ОС, прикладные средства, сетевые устройства, АРМ)</v>
      </c>
      <c r="O304" s="407"/>
      <c r="P304" s="407"/>
    </row>
    <row r="305" spans="1:16" ht="93.6">
      <c r="A305" s="270" t="s">
        <v>113</v>
      </c>
      <c r="B305" s="403" t="s">
        <v>339</v>
      </c>
      <c r="C305" s="404" t="str">
        <f>СЗИ!B88</f>
        <v>Внедрен процесс управления уязвимостями</v>
      </c>
      <c r="D305" s="404" t="str">
        <f>СЗИ!C88</f>
        <v>СЗИ.САЗ.3</v>
      </c>
      <c r="E305" s="404">
        <f>СЗИ!D88</f>
        <v>4</v>
      </c>
      <c r="F305" s="404">
        <f>СЗИ!E88</f>
        <v>3</v>
      </c>
      <c r="G305" s="404">
        <f>СЗИ!F88</f>
        <v>0</v>
      </c>
      <c r="H305" s="373">
        <f>СЗИ!R88</f>
        <v>210.03</v>
      </c>
      <c r="I305" s="404">
        <f>СЗИ!K88</f>
        <v>0</v>
      </c>
      <c r="J305" s="404">
        <f>СЗИ!I88</f>
        <v>0</v>
      </c>
      <c r="K305" s="404">
        <f>СЗИ!L88</f>
        <v>1</v>
      </c>
      <c r="L305" s="404" t="str">
        <f t="shared" si="9"/>
        <v xml:space="preserve"> </v>
      </c>
      <c r="M305" s="373">
        <f t="shared" si="10"/>
        <v>-1</v>
      </c>
      <c r="N305" s="407" t="str">
        <f>СЗИ!S88</f>
        <v xml:space="preserve"> - Разработать или Получить в Блоке ИБ ПАО Ростелеком типовое описание процесса управления уязвимостями;
 -  Реализовать процесс управления уязвимостями; 
 - Обеспечить устранение или митигацию всех выявленных уязвимостей;
 - Обеспечить устранение уязвимостей критичного уровня в срок не более 3 рабочих дней при их обнаружении.</v>
      </c>
      <c r="O305" s="407"/>
      <c r="P305" s="407"/>
    </row>
    <row r="306" spans="1:16" ht="78">
      <c r="A306" s="270" t="s">
        <v>113</v>
      </c>
      <c r="B306" s="405" t="s">
        <v>337</v>
      </c>
      <c r="C306" s="517" t="str">
        <f>СЗИ!B76</f>
        <v>Защита периметра и DMZ реализована с использованием аппаратных NGFW</v>
      </c>
      <c r="D306" s="404" t="str">
        <f>СЗИ!C76</f>
        <v>СЗИ.NGFW.1</v>
      </c>
      <c r="E306" s="404">
        <f>СЗИ!D76</f>
        <v>5</v>
      </c>
      <c r="F306" s="404">
        <f>СЗИ!E76</f>
        <v>5</v>
      </c>
      <c r="G306" s="404">
        <f>СЗИ!F76</f>
        <v>0</v>
      </c>
      <c r="H306" s="373">
        <f>СЗИ!R76</f>
        <v>211.01</v>
      </c>
      <c r="I306" s="404">
        <f>СЗИ!K76</f>
        <v>0</v>
      </c>
      <c r="J306" s="404">
        <f>СЗИ!I76</f>
        <v>0</v>
      </c>
      <c r="K306" s="404">
        <f>СЗИ!L76</f>
        <v>0</v>
      </c>
      <c r="L306" s="404" t="str">
        <f t="shared" si="9"/>
        <v xml:space="preserve"> </v>
      </c>
      <c r="M306" s="373">
        <f t="shared" si="10"/>
        <v>0</v>
      </c>
      <c r="N306" s="407" t="str">
        <f>СЗИ!S76</f>
        <v xml:space="preserve"> - Провести инвентаризацию периметральных устройств и каналов связи;
 - Сократить до минимума точки взаимодействия с внешними сетями;
 - Организовать сегменты DMZ и разместить в них серверы, взаимодействующие с внешними сетями;
 -  Спроектировать систему защиты с использованием NGFW. Закупить и внедрить NGFW. </v>
      </c>
      <c r="O306" s="407"/>
      <c r="P306" s="407"/>
    </row>
    <row r="307" spans="1:16" ht="62.4">
      <c r="A307" s="270" t="s">
        <v>113</v>
      </c>
      <c r="B307" s="405" t="s">
        <v>337</v>
      </c>
      <c r="C307" s="517" t="str">
        <f>СЗИ!B77</f>
        <v>Межсегментное взаимодействие реализовано с учетом критичности этих сегментов</v>
      </c>
      <c r="D307" s="404" t="str">
        <f>СЗИ!C77</f>
        <v>СЗИ.NGFW.2</v>
      </c>
      <c r="E307" s="404">
        <f>СЗИ!D77</f>
        <v>5</v>
      </c>
      <c r="F307" s="404">
        <f>СЗИ!E77</f>
        <v>5</v>
      </c>
      <c r="G307" s="404">
        <f>СЗИ!F77</f>
        <v>0</v>
      </c>
      <c r="H307" s="373">
        <f>СЗИ!R77</f>
        <v>211.02</v>
      </c>
      <c r="I307" s="404">
        <f>СЗИ!K77</f>
        <v>0</v>
      </c>
      <c r="J307" s="404">
        <f>СЗИ!I77</f>
        <v>0</v>
      </c>
      <c r="K307" s="404">
        <f>СЗИ!L77</f>
        <v>0</v>
      </c>
      <c r="L307" s="404" t="str">
        <f t="shared" si="9"/>
        <v xml:space="preserve"> </v>
      </c>
      <c r="M307" s="373">
        <f t="shared" si="10"/>
        <v>0</v>
      </c>
      <c r="N307" s="407" t="str">
        <f>СЗИ!S77</f>
        <v xml:space="preserve"> - Определить уровни критичности и провести классификацию информационных активов;
 -  Организовать сетевые сегменты и разместить в них серверы с учетом уровня критичности;
 -  Реализовать разграничение доступа между сегментами с помощью межсетевых экранов.</v>
      </c>
      <c r="O307" s="407"/>
      <c r="P307" s="407"/>
    </row>
    <row r="308" spans="1:16" ht="46.8">
      <c r="A308" s="270" t="s">
        <v>113</v>
      </c>
      <c r="B308" s="405" t="s">
        <v>337</v>
      </c>
      <c r="C308" s="517" t="str">
        <f>СЗИ!B78</f>
        <v>Осуществляется централизованное управление и контроль настроек</v>
      </c>
      <c r="D308" s="404" t="str">
        <f>СЗИ!C78</f>
        <v>СЗИ.NGFW.3</v>
      </c>
      <c r="E308" s="404">
        <f>СЗИ!D78</f>
        <v>5</v>
      </c>
      <c r="F308" s="404">
        <f>СЗИ!E78</f>
        <v>3.2</v>
      </c>
      <c r="G308" s="404">
        <f>СЗИ!F78</f>
        <v>0</v>
      </c>
      <c r="H308" s="373">
        <f>СЗИ!R78</f>
        <v>211.03</v>
      </c>
      <c r="I308" s="404">
        <f>СЗИ!K78</f>
        <v>0</v>
      </c>
      <c r="J308" s="404">
        <f>СЗИ!I78</f>
        <v>0</v>
      </c>
      <c r="K308" s="404">
        <f>СЗИ!L78</f>
        <v>0</v>
      </c>
      <c r="L308" s="404" t="str">
        <f t="shared" si="9"/>
        <v xml:space="preserve"> </v>
      </c>
      <c r="M308" s="373">
        <f t="shared" si="10"/>
        <v>0</v>
      </c>
      <c r="N308" s="407" t="str">
        <f>СЗИ!S78</f>
        <v xml:space="preserve"> - Создать систему централизованного управления МСЭ, обеспечить подключение к ней основных МСЭ. </v>
      </c>
      <c r="O308" s="407"/>
      <c r="P308" s="407"/>
    </row>
    <row r="309" spans="1:16" ht="31.2">
      <c r="A309" s="270" t="s">
        <v>113</v>
      </c>
      <c r="B309" s="405" t="s">
        <v>337</v>
      </c>
      <c r="C309" s="517" t="str">
        <f>СЗИ!B79</f>
        <v>Настроенные политики соответствуют ТТР Блока ИБ</v>
      </c>
      <c r="D309" s="404" t="str">
        <f>СЗИ!C79</f>
        <v>СЗИ.NGFW.4</v>
      </c>
      <c r="E309" s="404">
        <f>СЗИ!D79</f>
        <v>5</v>
      </c>
      <c r="F309" s="404">
        <f>СЗИ!E79</f>
        <v>3.2</v>
      </c>
      <c r="G309" s="404">
        <f>СЗИ!F79</f>
        <v>0</v>
      </c>
      <c r="H309" s="373">
        <f>СЗИ!R79</f>
        <v>211.04</v>
      </c>
      <c r="I309" s="404">
        <f>СЗИ!K79</f>
        <v>0</v>
      </c>
      <c r="J309" s="404">
        <f>СЗИ!I79</f>
        <v>0</v>
      </c>
      <c r="K309" s="404">
        <f>СЗИ!L79</f>
        <v>0</v>
      </c>
      <c r="L309" s="404" t="str">
        <f t="shared" si="9"/>
        <v xml:space="preserve"> </v>
      </c>
      <c r="M309" s="373">
        <f t="shared" si="10"/>
        <v>0</v>
      </c>
      <c r="N309" s="407" t="str">
        <f>СЗИ!S79</f>
        <v xml:space="preserve"> - Получить в Блоке ИБ ПАО Ростелеком ТТР и реализовать рекомендуемые решения (в ограниченном объеме с учетом возможностей организации на уровне КБ2)</v>
      </c>
      <c r="O309" s="407"/>
      <c r="P309" s="407"/>
    </row>
    <row r="310" spans="1:16" ht="62.4">
      <c r="A310" s="270" t="s">
        <v>18</v>
      </c>
      <c r="B310" s="403" t="s">
        <v>287</v>
      </c>
      <c r="C310" s="404" t="str">
        <f>Мониторинг!B45</f>
        <v>Процент покрытия инфраструктуры лицензиями на мониторинг</v>
      </c>
      <c r="D310" s="404" t="str">
        <f>Мониторинг!C45</f>
        <v>МНТ.SIEM.1</v>
      </c>
      <c r="E310" s="404">
        <f>Мониторинг!D45</f>
        <v>5</v>
      </c>
      <c r="F310" s="404">
        <f>Мониторинг!E45</f>
        <v>5</v>
      </c>
      <c r="G310" s="404">
        <f>Мониторинг!F45</f>
        <v>0</v>
      </c>
      <c r="H310" s="410">
        <f>Мониторинг!R45</f>
        <v>212.01</v>
      </c>
      <c r="I310" s="404">
        <f>Мониторинг!K45</f>
        <v>0</v>
      </c>
      <c r="J310" s="190">
        <f>Мониторинг!I45</f>
        <v>0</v>
      </c>
      <c r="K310" s="404">
        <f>Мониторинг!L45</f>
        <v>0</v>
      </c>
      <c r="L310" s="404" t="str">
        <f t="shared" si="9"/>
        <v xml:space="preserve"> </v>
      </c>
      <c r="M310" s="373">
        <f t="shared" si="10"/>
        <v>0</v>
      </c>
      <c r="N310" s="407" t="str">
        <f>Мониторинг!S45</f>
        <v xml:space="preserve"> - Создать подразделение мониторинга (SOC);
  - Приобрести лицензии SIEM не менее чем на 50% парка серверов, сетевого оборудования и не менее 10% АРМ;
  - Создать инфраструктуру мониторинга</v>
      </c>
      <c r="O310" s="407"/>
      <c r="P310" s="407"/>
    </row>
    <row r="311" spans="1:16" ht="93.6">
      <c r="A311" s="270" t="s">
        <v>113</v>
      </c>
      <c r="B311" s="403" t="s">
        <v>338</v>
      </c>
      <c r="C311" s="404" t="str">
        <f>СЗИ!B81</f>
        <v>Доступ пользователей в интернет организован через PROXY</v>
      </c>
      <c r="D311" s="404" t="str">
        <f>СЗИ!C81</f>
        <v>СЗИ.PROXY.1</v>
      </c>
      <c r="E311" s="404">
        <f>СЗИ!D81</f>
        <v>5</v>
      </c>
      <c r="F311" s="404">
        <f>СЗИ!E81</f>
        <v>3.2</v>
      </c>
      <c r="G311" s="404">
        <f>СЗИ!F81</f>
        <v>0</v>
      </c>
      <c r="H311" s="373">
        <f>СЗИ!R81</f>
        <v>212.01</v>
      </c>
      <c r="I311" s="404">
        <f>СЗИ!K81</f>
        <v>0</v>
      </c>
      <c r="J311" s="404">
        <f>СЗИ!I81</f>
        <v>0</v>
      </c>
      <c r="K311" s="404">
        <f>СЗИ!L81</f>
        <v>0</v>
      </c>
      <c r="L311" s="404" t="str">
        <f t="shared" si="9"/>
        <v xml:space="preserve"> </v>
      </c>
      <c r="M311" s="373">
        <f t="shared" si="10"/>
        <v>0</v>
      </c>
      <c r="N311" s="407" t="str">
        <f>СЗИ!S81</f>
        <v xml:space="preserve"> - Организовать доступ в интернет через прокси-сервер;
 - Блокировать доступ в интернет в обход прокси-сервера для всех соединений, кроме согласованных исключений;
 - Разработать или Получить в Блоке ИБ ПАО Ростелеком типовое описание организации доступа в интернет;
 - Утвердить в Обществе ВНД, описывающий организацию доступа в интернет.</v>
      </c>
      <c r="O311" s="407"/>
      <c r="P311" s="407"/>
    </row>
    <row r="312" spans="1:16" ht="62.4">
      <c r="A312" s="270" t="s">
        <v>18</v>
      </c>
      <c r="B312" s="403" t="s">
        <v>287</v>
      </c>
      <c r="C312" s="404" t="str">
        <f>Мониторинг!B46</f>
        <v>Процент покрытия инфраструктуры мониторингом</v>
      </c>
      <c r="D312" s="404" t="str">
        <f>Мониторинг!C46</f>
        <v>МНТ.SIEM.2</v>
      </c>
      <c r="E312" s="404">
        <f>Мониторинг!D46</f>
        <v>4.75</v>
      </c>
      <c r="F312" s="404">
        <f>Мониторинг!E46</f>
        <v>4.5</v>
      </c>
      <c r="G312" s="404">
        <f>Мониторинг!F46</f>
        <v>0</v>
      </c>
      <c r="H312" s="410">
        <f>Мониторинг!R46</f>
        <v>212.01999999999998</v>
      </c>
      <c r="I312" s="404">
        <f>Мониторинг!K46</f>
        <v>0</v>
      </c>
      <c r="J312" s="190">
        <f>Мониторинг!I46</f>
        <v>0</v>
      </c>
      <c r="K312" s="404">
        <f>Мониторинг!L46</f>
        <v>0</v>
      </c>
      <c r="L312" s="404" t="str">
        <f t="shared" si="9"/>
        <v xml:space="preserve"> </v>
      </c>
      <c r="M312" s="373">
        <f t="shared" si="10"/>
        <v>0</v>
      </c>
      <c r="N312" s="407" t="str">
        <f>Мониторинг!S46</f>
        <v xml:space="preserve"> - Подключить к SIEM все критичные ИС, публичные ИС, критичное сетевое оборудование;
   - Подключить к SIEM не менее 50% серверов, сетевого оборудования, не менее 10% АРМ</v>
      </c>
      <c r="O312" s="407"/>
      <c r="P312" s="407"/>
    </row>
    <row r="313" spans="1:16" ht="46.8">
      <c r="A313" s="270" t="s">
        <v>113</v>
      </c>
      <c r="B313" s="403" t="s">
        <v>338</v>
      </c>
      <c r="C313" s="404" t="str">
        <f>СЗИ!B82</f>
        <v>Настроены политики разграничения доступа</v>
      </c>
      <c r="D313" s="404" t="str">
        <f>СЗИ!C82</f>
        <v>СЗИ.PROXY.2</v>
      </c>
      <c r="E313" s="404">
        <f>СЗИ!D82</f>
        <v>5</v>
      </c>
      <c r="F313" s="404">
        <f>СЗИ!E82</f>
        <v>3.2</v>
      </c>
      <c r="G313" s="404">
        <f>СЗИ!F82</f>
        <v>0</v>
      </c>
      <c r="H313" s="373">
        <f>СЗИ!R82</f>
        <v>212.02</v>
      </c>
      <c r="I313" s="404">
        <f>СЗИ!K82</f>
        <v>0</v>
      </c>
      <c r="J313" s="404">
        <f>СЗИ!I82</f>
        <v>0</v>
      </c>
      <c r="K313" s="404">
        <f>СЗИ!L82</f>
        <v>0</v>
      </c>
      <c r="L313" s="404" t="str">
        <f t="shared" si="9"/>
        <v xml:space="preserve"> </v>
      </c>
      <c r="M313" s="373">
        <f t="shared" si="10"/>
        <v>0</v>
      </c>
      <c r="N313" s="407" t="str">
        <f>СЗИ!S82</f>
        <v xml:space="preserve"> - Определить и реализовать политики разграничения доступа к ресурсам интернета.
 - Блокировать доступ к вредоносным сайтам.</v>
      </c>
      <c r="O313" s="407"/>
      <c r="P313" s="407"/>
    </row>
    <row r="314" spans="1:16" ht="62.4">
      <c r="A314" s="270" t="s">
        <v>18</v>
      </c>
      <c r="B314" s="403" t="s">
        <v>287</v>
      </c>
      <c r="C314" s="404" t="str">
        <f>Мониторинг!B47</f>
        <v>Определен набор решающих правил и пороги страбатывания</v>
      </c>
      <c r="D314" s="414" t="str">
        <f>Мониторинг!C47</f>
        <v>МНТ.SIEM.3</v>
      </c>
      <c r="E314" s="414">
        <f>Мониторинг!D47</f>
        <v>5</v>
      </c>
      <c r="F314" s="414">
        <f>Мониторинг!E47</f>
        <v>3.2</v>
      </c>
      <c r="G314" s="414">
        <f>Мониторинг!F47</f>
        <v>0</v>
      </c>
      <c r="H314" s="410">
        <f>Мониторинг!R47</f>
        <v>212.02999999999997</v>
      </c>
      <c r="I314" s="414">
        <f>Мониторинг!K47</f>
        <v>0</v>
      </c>
      <c r="J314" s="414">
        <f>Мониторинг!I47</f>
        <v>0</v>
      </c>
      <c r="K314" s="414">
        <f>Мониторинг!L47</f>
        <v>0</v>
      </c>
      <c r="L314" s="404" t="str">
        <f t="shared" si="9"/>
        <v xml:space="preserve"> </v>
      </c>
      <c r="M314" s="373">
        <f t="shared" si="10"/>
        <v>0</v>
      </c>
      <c r="N314" s="407" t="str">
        <f>Мониторинг!S47</f>
        <v xml:space="preserve"> - Настроить SIEM в соответствии с рекомендациями вендора;
  -  Разработать решающие правила, учитывающие особенности инфраструктуры Общества</v>
      </c>
      <c r="O314" s="407"/>
      <c r="P314" s="407"/>
    </row>
    <row r="315" spans="1:16" ht="62.4">
      <c r="A315" s="270" t="s">
        <v>113</v>
      </c>
      <c r="B315" s="403" t="s">
        <v>338</v>
      </c>
      <c r="C315" s="404" t="str">
        <f>СЗИ!B83</f>
        <v>Проведена интеграция со средствами защиты от ВПО и AD</v>
      </c>
      <c r="D315" s="404" t="str">
        <f>СЗИ!C83</f>
        <v>СЗИ.PROXY.3</v>
      </c>
      <c r="E315" s="404">
        <f>СЗИ!D83</f>
        <v>5</v>
      </c>
      <c r="F315" s="404">
        <f>СЗИ!E83</f>
        <v>2.5</v>
      </c>
      <c r="G315" s="404">
        <f>СЗИ!F83</f>
        <v>0</v>
      </c>
      <c r="H315" s="373">
        <f>СЗИ!R83</f>
        <v>212.03</v>
      </c>
      <c r="I315" s="404">
        <f>СЗИ!K83</f>
        <v>0</v>
      </c>
      <c r="J315" s="404">
        <f>СЗИ!I83</f>
        <v>0</v>
      </c>
      <c r="K315" s="404">
        <f>СЗИ!L83</f>
        <v>0</v>
      </c>
      <c r="L315" s="404" t="str">
        <f t="shared" si="9"/>
        <v xml:space="preserve"> </v>
      </c>
      <c r="M315" s="373">
        <f t="shared" si="10"/>
        <v>0</v>
      </c>
      <c r="N315" s="407" t="str">
        <f>СЗИ!S83</f>
        <v xml:space="preserve"> - Спроектировать, закупить и внедрить средства анализа трафика на наличие вредоносного содержимогож
 - Контролировать трафик и блокировать ВПО;
 - Реализовать интеграцию с AD, применять политики доступа в интернет на основе групп AD.</v>
      </c>
      <c r="O315" s="407"/>
      <c r="P315" s="407"/>
    </row>
    <row r="316" spans="1:16" ht="265.2">
      <c r="A316" s="270" t="s">
        <v>18</v>
      </c>
      <c r="B316" s="403" t="s">
        <v>287</v>
      </c>
      <c r="C316" s="404" t="str">
        <f>Мониторинг!B48</f>
        <v>Осуществляется сбор событий, необходимых для детекта и обогащения в объеме, достаточном для решения задач            
(- создания, изменения, удаления субъектов и объектов доступа;
- аутентификации (вход и выход субъектов);
- авторизации (доступа субъектов к объектам);
- запуска и остановки, удаления и остановки служб (ПО);
- изменения настроек ПО и средств защиты информации;
- обработки сетевого трафика (netflow))</v>
      </c>
      <c r="D316" s="414" t="str">
        <f>Мониторинг!C48</f>
        <v>МНТ.SIEM.4</v>
      </c>
      <c r="E316" s="414">
        <f>Мониторинг!D48</f>
        <v>5</v>
      </c>
      <c r="F316" s="414">
        <f>Мониторинг!E48</f>
        <v>3.2</v>
      </c>
      <c r="G316" s="414">
        <f>Мониторинг!F48</f>
        <v>0</v>
      </c>
      <c r="H316" s="410">
        <f>Мониторинг!R48</f>
        <v>212.03999999999996</v>
      </c>
      <c r="I316" s="414">
        <f>Мониторинг!K48</f>
        <v>0</v>
      </c>
      <c r="J316" s="414">
        <f>Мониторинг!I48</f>
        <v>0</v>
      </c>
      <c r="K316" s="414">
        <f>Мониторинг!L48</f>
        <v>0</v>
      </c>
      <c r="L316" s="404" t="str">
        <f t="shared" si="9"/>
        <v xml:space="preserve"> </v>
      </c>
      <c r="M316" s="373">
        <f t="shared" si="10"/>
        <v>0</v>
      </c>
      <c r="N316" s="407">
        <f>Мониторинг!S48</f>
        <v>0</v>
      </c>
      <c r="O316" s="407"/>
      <c r="P316" s="407"/>
    </row>
    <row r="317" spans="1:16" ht="46.8">
      <c r="A317" s="270" t="s">
        <v>113</v>
      </c>
      <c r="B317" s="403" t="s">
        <v>338</v>
      </c>
      <c r="C317" s="404" t="str">
        <f>СЗИ!B84</f>
        <v>Настроенные политики соответствуют ТТР Блока ИБ</v>
      </c>
      <c r="D317" s="404" t="str">
        <f>СЗИ!C84</f>
        <v>СЗИ.PROXY.4</v>
      </c>
      <c r="E317" s="404">
        <f>СЗИ!D84</f>
        <v>5</v>
      </c>
      <c r="F317" s="404">
        <f>СЗИ!E84</f>
        <v>3.2</v>
      </c>
      <c r="G317" s="404">
        <f>СЗИ!F84</f>
        <v>0</v>
      </c>
      <c r="H317" s="373">
        <f>СЗИ!R84</f>
        <v>212.04</v>
      </c>
      <c r="I317" s="404">
        <f>СЗИ!K84</f>
        <v>0</v>
      </c>
      <c r="J317" s="404">
        <f>СЗИ!I84</f>
        <v>0</v>
      </c>
      <c r="K317" s="404">
        <f>СЗИ!L84</f>
        <v>0</v>
      </c>
      <c r="L317" s="404" t="str">
        <f t="shared" si="9"/>
        <v xml:space="preserve"> </v>
      </c>
      <c r="M317" s="373">
        <f t="shared" si="10"/>
        <v>0</v>
      </c>
      <c r="N317" s="407" t="str">
        <f>СЗИ!S84</f>
        <v xml:space="preserve"> - Получить в Блоке ИБ ПАО Ростелеком ТТР и реализовать рекомендуемые решения (в ограниченном объеме с учетом возможностей организации на уровне КБ2)</v>
      </c>
      <c r="O317" s="407"/>
      <c r="P317" s="407"/>
    </row>
    <row r="318" spans="1:16" ht="62.4">
      <c r="A318" s="270" t="s">
        <v>18</v>
      </c>
      <c r="B318" s="403" t="s">
        <v>287</v>
      </c>
      <c r="C318" s="404" t="str">
        <f>Мониторинг!B49</f>
        <v>Настроенные решающие правила соответствуют ТТР Блока ИБ</v>
      </c>
      <c r="D318" s="404" t="str">
        <f>Мониторинг!C49</f>
        <v>МНТ.SIEM.5</v>
      </c>
      <c r="E318" s="404">
        <f>Мониторинг!D49</f>
        <v>5</v>
      </c>
      <c r="F318" s="404">
        <f>Мониторинг!E49</f>
        <v>3.2</v>
      </c>
      <c r="G318" s="404">
        <f>Мониторинг!F49</f>
        <v>0</v>
      </c>
      <c r="H318" s="410">
        <f>Мониторинг!R49</f>
        <v>212.04999999999995</v>
      </c>
      <c r="I318" s="404">
        <f>Мониторинг!K49</f>
        <v>0</v>
      </c>
      <c r="J318" s="404">
        <f>Мониторинг!I49</f>
        <v>0</v>
      </c>
      <c r="K318" s="404">
        <f>Мониторинг!L49</f>
        <v>0</v>
      </c>
      <c r="L318" s="404" t="str">
        <f t="shared" si="9"/>
        <v xml:space="preserve"> </v>
      </c>
      <c r="M318" s="373">
        <f t="shared" si="10"/>
        <v>0</v>
      </c>
      <c r="N318" s="407" t="str">
        <f>Мониторинг!S49</f>
        <v xml:space="preserve"> - Получить в Блоке ИБ ПАО Ростелеком ТТР и реализовать рекомендуемые решения (в ограниченном объеме с учетом возможностей организации на уровне КБ2)</v>
      </c>
      <c r="O318" s="407"/>
      <c r="P318" s="407"/>
    </row>
    <row r="319" spans="1:16" ht="62.4">
      <c r="A319" s="270" t="s">
        <v>18</v>
      </c>
      <c r="B319" s="403" t="s">
        <v>287</v>
      </c>
      <c r="C319" s="404" t="str">
        <f>Мониторинг!B50</f>
        <v>Контролируются сетевые события</v>
      </c>
      <c r="D319" s="404" t="str">
        <f>Мониторинг!C50</f>
        <v>МНТ.SIEM.6</v>
      </c>
      <c r="E319" s="404">
        <f>Мониторинг!D50</f>
        <v>5</v>
      </c>
      <c r="F319" s="404">
        <f>Мониторинг!E50</f>
        <v>3.2</v>
      </c>
      <c r="G319" s="404">
        <f>Мониторинг!F50</f>
        <v>0</v>
      </c>
      <c r="H319" s="410">
        <f>Мониторинг!R50</f>
        <v>212.05999999999995</v>
      </c>
      <c r="I319" s="404">
        <f>Мониторинг!K50</f>
        <v>0</v>
      </c>
      <c r="J319" s="404">
        <f>Мониторинг!I50</f>
        <v>0</v>
      </c>
      <c r="K319" s="404">
        <f>Мониторинг!L50</f>
        <v>0</v>
      </c>
      <c r="L319" s="404" t="str">
        <f t="shared" si="9"/>
        <v xml:space="preserve"> </v>
      </c>
      <c r="M319" s="373">
        <f t="shared" si="10"/>
        <v>0</v>
      </c>
      <c r="N319" s="407" t="str">
        <f>Мониторинг!S50</f>
        <v xml:space="preserve"> - Подключить к SIEM сетевые устройства: не менее 50%. Разработать решающие правила для сетевых событий.</v>
      </c>
      <c r="O319" s="407"/>
      <c r="P319" s="407"/>
    </row>
    <row r="320" spans="1:16" ht="62.4">
      <c r="A320" s="270" t="s">
        <v>18</v>
      </c>
      <c r="B320" s="403" t="s">
        <v>287</v>
      </c>
      <c r="C320" s="404" t="str">
        <f>Мониторинг!B51</f>
        <v>Контролируются  события ОС</v>
      </c>
      <c r="D320" s="404" t="str">
        <f>Мониторинг!C51</f>
        <v>МНТ.SIEM.7</v>
      </c>
      <c r="E320" s="404">
        <f>Мониторинг!D51</f>
        <v>5</v>
      </c>
      <c r="F320" s="404">
        <f>Мониторинг!E51</f>
        <v>3.2</v>
      </c>
      <c r="G320" s="404">
        <f>Мониторинг!F51</f>
        <v>0</v>
      </c>
      <c r="H320" s="410">
        <f>Мониторинг!R51</f>
        <v>212.06999999999994</v>
      </c>
      <c r="I320" s="404">
        <f>Мониторинг!K51</f>
        <v>0</v>
      </c>
      <c r="J320" s="404">
        <f>Мониторинг!I51</f>
        <v>0</v>
      </c>
      <c r="K320" s="404">
        <f>Мониторинг!L51</f>
        <v>0</v>
      </c>
      <c r="L320" s="404" t="str">
        <f t="shared" si="9"/>
        <v xml:space="preserve"> </v>
      </c>
      <c r="M320" s="373">
        <f t="shared" si="10"/>
        <v>0</v>
      </c>
      <c r="N320" s="407" t="str">
        <f>Мониторинг!S51</f>
        <v xml:space="preserve"> - Подключить к SIEM операц.системы: не менее 50%. Разработать решающие правила для ОС</v>
      </c>
      <c r="O320" s="407"/>
      <c r="P320" s="407"/>
    </row>
    <row r="321" spans="1:16" ht="62.4">
      <c r="A321" s="270" t="s">
        <v>18</v>
      </c>
      <c r="B321" s="403" t="s">
        <v>287</v>
      </c>
      <c r="C321" s="404" t="str">
        <f>Мониторинг!B52</f>
        <v>Контролируются события СУБД</v>
      </c>
      <c r="D321" s="404" t="str">
        <f>Мониторинг!C52</f>
        <v>МНТ.SIEM.8</v>
      </c>
      <c r="E321" s="404">
        <f>Мониторинг!D52</f>
        <v>5</v>
      </c>
      <c r="F321" s="404">
        <f>Мониторинг!E52</f>
        <v>3.2</v>
      </c>
      <c r="G321" s="404">
        <f>Мониторинг!F52</f>
        <v>0</v>
      </c>
      <c r="H321" s="409">
        <f>Мониторинг!R52</f>
        <v>212.07999999999993</v>
      </c>
      <c r="I321" s="404">
        <f>Мониторинг!K52</f>
        <v>0</v>
      </c>
      <c r="J321" s="404">
        <f>Мониторинг!I52</f>
        <v>0</v>
      </c>
      <c r="K321" s="404">
        <f>Мониторинг!L52</f>
        <v>0</v>
      </c>
      <c r="L321" s="404" t="str">
        <f t="shared" si="9"/>
        <v xml:space="preserve"> </v>
      </c>
      <c r="M321" s="373">
        <f t="shared" si="10"/>
        <v>0</v>
      </c>
      <c r="N321" s="407" t="str">
        <f>Мониторинг!S52</f>
        <v xml:space="preserve"> - Подключить к SIEM СУБД: не менее 50%. Разработать решающие правила для СУБД</v>
      </c>
      <c r="O321" s="407"/>
      <c r="P321" s="407"/>
    </row>
    <row r="322" spans="1:16" ht="62.4">
      <c r="A322" s="270" t="s">
        <v>18</v>
      </c>
      <c r="B322" s="403" t="s">
        <v>287</v>
      </c>
      <c r="C322" s="404" t="str">
        <f>Мониторинг!B53</f>
        <v>Контролируются события прикладных ИС</v>
      </c>
      <c r="D322" s="404" t="str">
        <f>Мониторинг!C53</f>
        <v>МНТ.SIEM.9</v>
      </c>
      <c r="E322" s="404">
        <f>Мониторинг!D53</f>
        <v>5</v>
      </c>
      <c r="F322" s="404">
        <f>Мониторинг!E53</f>
        <v>3.2</v>
      </c>
      <c r="G322" s="404">
        <f>Мониторинг!F53</f>
        <v>0</v>
      </c>
      <c r="H322" s="410">
        <f>Мониторинг!R53</f>
        <v>212.08999999999992</v>
      </c>
      <c r="I322" s="404">
        <f>Мониторинг!K53</f>
        <v>0</v>
      </c>
      <c r="J322" s="404">
        <f>Мониторинг!I53</f>
        <v>0</v>
      </c>
      <c r="K322" s="404">
        <f>Мониторинг!L53</f>
        <v>0</v>
      </c>
      <c r="L322" s="404" t="str">
        <f t="shared" ref="L322:L385" si="11">IF(J322=I322," ",K322-J322)</f>
        <v xml:space="preserve"> </v>
      </c>
      <c r="M322" s="373">
        <f t="shared" si="10"/>
        <v>0</v>
      </c>
      <c r="N322" s="407" t="str">
        <f>Мониторинг!S53</f>
        <v xml:space="preserve"> - Подключить к SIEM прикладные ИС: не менее 50%. Разработать решающие правила для прикладных ИС</v>
      </c>
      <c r="O322" s="407"/>
      <c r="P322" s="407"/>
    </row>
    <row r="323" spans="1:16" ht="62.4">
      <c r="A323" s="270" t="s">
        <v>18</v>
      </c>
      <c r="B323" s="403" t="s">
        <v>287</v>
      </c>
      <c r="C323" s="404" t="str">
        <f>Мониторинг!B54</f>
        <v>Контроль событий СЗИ</v>
      </c>
      <c r="D323" s="404" t="str">
        <f>Мониторинг!C54</f>
        <v>МНТ.SIEM.10</v>
      </c>
      <c r="E323" s="404">
        <f>Мониторинг!D54</f>
        <v>5</v>
      </c>
      <c r="F323" s="404">
        <f>Мониторинг!E54</f>
        <v>3.2</v>
      </c>
      <c r="G323" s="404">
        <f>Мониторинг!F54</f>
        <v>0</v>
      </c>
      <c r="H323" s="409">
        <f>Мониторинг!R54</f>
        <v>212.09999999999991</v>
      </c>
      <c r="I323" s="404">
        <f>Мониторинг!K54</f>
        <v>0</v>
      </c>
      <c r="J323" s="404">
        <f>Мониторинг!I54</f>
        <v>0</v>
      </c>
      <c r="K323" s="404">
        <f>Мониторинг!L54</f>
        <v>0</v>
      </c>
      <c r="L323" s="404" t="str">
        <f t="shared" si="11"/>
        <v xml:space="preserve"> </v>
      </c>
      <c r="M323" s="373">
        <f t="shared" ref="M323:M386" si="12">IF(H323&lt;100,    IF(K323&gt;=G323,0,I323-K323),       IF(H323&lt;300,     IF(K323&gt;=F323,0,I323-K323),                  IF(K323&gt;=E323,0,I323-K323)))</f>
        <v>0</v>
      </c>
      <c r="N323" s="407" t="str">
        <f>Мониторинг!S54</f>
        <v xml:space="preserve"> - Подключить к SIEM СЗИ: не менее 50%. Разработать решающие правила для СЗИ</v>
      </c>
      <c r="O323" s="407"/>
      <c r="P323" s="407"/>
    </row>
    <row r="324" spans="1:16" ht="62.4">
      <c r="A324" s="270" t="s">
        <v>18</v>
      </c>
      <c r="B324" s="403" t="s">
        <v>287</v>
      </c>
      <c r="C324" s="404" t="str">
        <f>Мониторинг!B55</f>
        <v>Контроль событий о действиях привелигированных пользователей</v>
      </c>
      <c r="D324" s="404" t="str">
        <f>Мониторинг!C55</f>
        <v>МНТ.SIEM.11</v>
      </c>
      <c r="E324" s="404">
        <f>Мониторинг!D55</f>
        <v>5</v>
      </c>
      <c r="F324" s="404">
        <f>Мониторинг!E55</f>
        <v>3.2</v>
      </c>
      <c r="G324" s="404">
        <f>Мониторинг!F55</f>
        <v>1.6</v>
      </c>
      <c r="H324" s="410">
        <f>Мониторинг!R55</f>
        <v>212.1099999999999</v>
      </c>
      <c r="I324" s="404">
        <f>Мониторинг!K55</f>
        <v>1.6</v>
      </c>
      <c r="J324" s="404">
        <f>Мониторинг!I55</f>
        <v>0</v>
      </c>
      <c r="K324" s="404">
        <f>Мониторинг!L55</f>
        <v>0</v>
      </c>
      <c r="L324" s="404">
        <f t="shared" si="11"/>
        <v>0</v>
      </c>
      <c r="M324" s="373">
        <f t="shared" si="12"/>
        <v>1.6</v>
      </c>
      <c r="N324" s="407" t="str">
        <f>Мониторинг!S55</f>
        <v xml:space="preserve"> - Контролировать действия привилегированных пользователей во всех ИС, находящихся на мониторинге.</v>
      </c>
      <c r="O324" s="407"/>
      <c r="P324" s="407"/>
    </row>
    <row r="325" spans="1:16" ht="62.4">
      <c r="A325" s="270" t="s">
        <v>18</v>
      </c>
      <c r="B325" s="403" t="s">
        <v>287</v>
      </c>
      <c r="C325" s="404" t="str">
        <f>Мониторинг!B56</f>
        <v>Внедрен процесс управления сбоями и мониторинга работоспособности SIEM</v>
      </c>
      <c r="D325" s="404" t="str">
        <f>Мониторинг!C56</f>
        <v>МНТ.SIEM.12</v>
      </c>
      <c r="E325" s="404">
        <f>Мониторинг!D56</f>
        <v>4</v>
      </c>
      <c r="F325" s="404">
        <f>Мониторинг!E56</f>
        <v>3</v>
      </c>
      <c r="G325" s="404">
        <f>Мониторинг!F56</f>
        <v>0</v>
      </c>
      <c r="H325" s="410">
        <f>Мониторинг!R56</f>
        <v>212.11999999999989</v>
      </c>
      <c r="I325" s="404">
        <f>Мониторинг!K56</f>
        <v>0</v>
      </c>
      <c r="J325" s="404">
        <f>Мониторинг!I56</f>
        <v>0</v>
      </c>
      <c r="K325" s="404">
        <f>Мониторинг!L56</f>
        <v>0</v>
      </c>
      <c r="L325" s="404" t="str">
        <f t="shared" si="11"/>
        <v xml:space="preserve"> </v>
      </c>
      <c r="M325" s="373">
        <f t="shared" si="12"/>
        <v>0</v>
      </c>
      <c r="N325" s="407" t="str">
        <f>Мониторинг!S56</f>
        <v xml:space="preserve"> - Организовать контроль непрерывности мониторинга;
  -  Обеспечить восстановление мониторинга при сбоях в срок не более чем 6 часов;
  -  Обеспечить сохранность данных об инцидентах в случае сбоев;
  -  Обеспечить переключение источников событий на резервный SIEM в случае сбоев.</v>
      </c>
      <c r="O325" s="407"/>
      <c r="P325" s="407"/>
    </row>
    <row r="326" spans="1:16" ht="156">
      <c r="A326" s="270" t="s">
        <v>18</v>
      </c>
      <c r="B326" s="403" t="s">
        <v>287</v>
      </c>
      <c r="C326" s="404" t="str">
        <f>Мониторинг!B57</f>
        <v>Осуществляется контроль событий о действиях внешних поставщиков ИТ услуг</v>
      </c>
      <c r="D326" s="404" t="str">
        <f>Мониторинг!C57</f>
        <v>МНТ.SIEM.13</v>
      </c>
      <c r="E326" s="404">
        <f>Мониторинг!D57</f>
        <v>5</v>
      </c>
      <c r="F326" s="404">
        <f>Мониторинг!E57</f>
        <v>5</v>
      </c>
      <c r="G326" s="404">
        <f>Мониторинг!F57</f>
        <v>0</v>
      </c>
      <c r="H326" s="410">
        <f>Мониторинг!R57</f>
        <v>212.12999999999988</v>
      </c>
      <c r="I326" s="404">
        <f>Мониторинг!K57</f>
        <v>0</v>
      </c>
      <c r="J326" s="404">
        <f>Мониторинг!I57</f>
        <v>0</v>
      </c>
      <c r="K326" s="404">
        <f>Мониторинг!L57</f>
        <v>0</v>
      </c>
      <c r="L326" s="404" t="str">
        <f t="shared" si="11"/>
        <v xml:space="preserve"> </v>
      </c>
      <c r="M326" s="373">
        <f t="shared" si="12"/>
        <v>0</v>
      </c>
      <c r="N326" s="541" t="str">
        <f>Мониторинг!S57</f>
        <v xml:space="preserve"> - Информировать персонал SOC о поставщиках, их услугах, порядке взаимодействия с ними, бизнес-процессах в которых такие услуги используются;
  -  Определить порядок взаимодействия с поставщиком при мониторинге (если поставщик предоставляет услугу мониторинга или самостоятельно ведет такой мониторинг) и обмена информацией об инцидентах.
 - Разработать решающие правила  SIEM для контроля внешних услуг и подрядчиков;
  - Поставить на мониторинг SIEM внешние услуги;
  -  Поставить на мониторинг SIEM поставщиков, имеющих доступ к внутренней инфраструктуре (например, внешняя техподдержка) и используемые ими средства (удаленный доступ, административные учетные записи, обслуживаемые ИС)</v>
      </c>
      <c r="O326" s="407"/>
      <c r="P326" s="407"/>
    </row>
    <row r="327" spans="1:16" ht="78">
      <c r="A327" s="270" t="s">
        <v>780</v>
      </c>
      <c r="B327" s="403" t="s">
        <v>237</v>
      </c>
      <c r="C327" s="404" t="str">
        <f>'Управление ИБ'!B64</f>
        <v>Определены цели обеспечения ИБ</v>
      </c>
      <c r="D327" s="404" t="str">
        <f>'Управление ИБ'!C64</f>
        <v>СУИБ.УР.2</v>
      </c>
      <c r="E327" s="404">
        <f>'Управление ИБ'!D64</f>
        <v>5</v>
      </c>
      <c r="F327" s="404">
        <f>'Управление ИБ'!E64</f>
        <v>5</v>
      </c>
      <c r="G327" s="404">
        <f>'Управление ИБ'!F64</f>
        <v>0</v>
      </c>
      <c r="H327" s="373">
        <f>'Управление ИБ'!R64</f>
        <v>214.03999999999996</v>
      </c>
      <c r="I327" s="404">
        <f>'Управление ИБ'!K64</f>
        <v>0</v>
      </c>
      <c r="J327" s="404">
        <f>'Управление ИБ'!I64</f>
        <v>0</v>
      </c>
      <c r="K327" s="404">
        <f>'Управление ИБ'!L64</f>
        <v>5</v>
      </c>
      <c r="L327" s="404" t="str">
        <f t="shared" si="11"/>
        <v xml:space="preserve"> </v>
      </c>
      <c r="M327" s="373">
        <f t="shared" si="12"/>
        <v>0</v>
      </c>
      <c r="N327" s="407" t="str">
        <f>'Управление ИБ'!S64</f>
        <v/>
      </c>
      <c r="O327" s="407"/>
      <c r="P327" s="407"/>
    </row>
    <row r="328" spans="1:16" ht="78">
      <c r="A328" s="270" t="s">
        <v>780</v>
      </c>
      <c r="B328" s="403" t="s">
        <v>237</v>
      </c>
      <c r="C328" s="404" t="str">
        <f>'Управление ИБ'!B65</f>
        <v>Наличие планов развития ИБ</v>
      </c>
      <c r="D328" s="404" t="str">
        <f>'Управление ИБ'!C65</f>
        <v>СУИБ.УР.3</v>
      </c>
      <c r="E328" s="404">
        <f>'Управление ИБ'!D65</f>
        <v>5</v>
      </c>
      <c r="F328" s="404">
        <f>'Управление ИБ'!E65</f>
        <v>5</v>
      </c>
      <c r="G328" s="404">
        <f>'Управление ИБ'!F65</f>
        <v>5</v>
      </c>
      <c r="H328" s="373">
        <f>'Управление ИБ'!R65</f>
        <v>214.04999999999995</v>
      </c>
      <c r="I328" s="404">
        <f>'Управление ИБ'!K65</f>
        <v>5</v>
      </c>
      <c r="J328" s="404">
        <f>'Управление ИБ'!I65</f>
        <v>0</v>
      </c>
      <c r="K328" s="404">
        <f>'Управление ИБ'!L65</f>
        <v>5</v>
      </c>
      <c r="L328" s="404">
        <f t="shared" si="11"/>
        <v>5</v>
      </c>
      <c r="M328" s="373">
        <f t="shared" si="12"/>
        <v>0</v>
      </c>
      <c r="N328" s="407" t="str">
        <f>'Управление ИБ'!S65</f>
        <v/>
      </c>
      <c r="O328" s="407"/>
      <c r="P328" s="407"/>
    </row>
    <row r="329" spans="1:16" ht="78">
      <c r="A329" s="270" t="s">
        <v>780</v>
      </c>
      <c r="B329" s="403" t="s">
        <v>237</v>
      </c>
      <c r="C329" s="404" t="str">
        <f>'Управление ИБ'!B66</f>
        <v>Статус достижения целей ИБ регулярно доводится до руководства Общества</v>
      </c>
      <c r="D329" s="404" t="str">
        <f>'Управление ИБ'!C66</f>
        <v>СУИБ.УР.4</v>
      </c>
      <c r="E329" s="404">
        <f>'Управление ИБ'!D66</f>
        <v>5</v>
      </c>
      <c r="F329" s="404">
        <f>'Управление ИБ'!E66</f>
        <v>3.2</v>
      </c>
      <c r="G329" s="404">
        <f>'Управление ИБ'!F66</f>
        <v>0</v>
      </c>
      <c r="H329" s="373">
        <f>'Управление ИБ'!R66</f>
        <v>214.05999999999995</v>
      </c>
      <c r="I329" s="404">
        <f>'Управление ИБ'!K66</f>
        <v>0</v>
      </c>
      <c r="J329" s="404">
        <f>'Управление ИБ'!I66</f>
        <v>0</v>
      </c>
      <c r="K329" s="404">
        <f>'Управление ИБ'!L66</f>
        <v>1.6</v>
      </c>
      <c r="L329" s="404" t="str">
        <f t="shared" si="11"/>
        <v xml:space="preserve"> </v>
      </c>
      <c r="M329" s="373">
        <f t="shared" si="12"/>
        <v>-1.6</v>
      </c>
      <c r="N329" s="407" t="str">
        <f>'Управление ИБ'!S66</f>
        <v xml:space="preserve"> Сформировать отчет о достижении целей ИБ. Представить отчет руководству Общества</v>
      </c>
      <c r="O329" s="407"/>
      <c r="P329" s="407"/>
    </row>
    <row r="330" spans="1:16" ht="78">
      <c r="A330" s="270" t="s">
        <v>780</v>
      </c>
      <c r="B330" s="403" t="s">
        <v>237</v>
      </c>
      <c r="C330" s="404" t="str">
        <f>'Управление ИБ'!B67</f>
        <v>Проводится регулярный (ежегодный) внешний аудит</v>
      </c>
      <c r="D330" s="404" t="str">
        <f>'Управление ИБ'!C67</f>
        <v>СУИБ.УР.5</v>
      </c>
      <c r="E330" s="404">
        <f>'Управление ИБ'!D67</f>
        <v>5</v>
      </c>
      <c r="F330" s="404">
        <f>'Управление ИБ'!E67</f>
        <v>5</v>
      </c>
      <c r="G330" s="404">
        <f>'Управление ИБ'!F67</f>
        <v>0</v>
      </c>
      <c r="H330" s="373">
        <f>'Управление ИБ'!R67</f>
        <v>214.06999999999994</v>
      </c>
      <c r="I330" s="404">
        <f>'Управление ИБ'!K67</f>
        <v>0</v>
      </c>
      <c r="J330" s="404">
        <f>'Управление ИБ'!I67</f>
        <v>0</v>
      </c>
      <c r="K330" s="404">
        <f>'Управление ИБ'!L67</f>
        <v>0</v>
      </c>
      <c r="L330" s="404" t="str">
        <f t="shared" si="11"/>
        <v xml:space="preserve"> </v>
      </c>
      <c r="M330" s="373">
        <f t="shared" si="12"/>
        <v>0</v>
      </c>
      <c r="N330" s="407" t="str">
        <f>'Управление ИБ'!S67</f>
        <v xml:space="preserve"> Организовать и провести внешний аудит ИБ. Принять меры по повышению уровня ИБ по результатам аудита</v>
      </c>
      <c r="O330" s="407"/>
      <c r="P330" s="407"/>
    </row>
    <row r="331" spans="1:16" ht="78">
      <c r="A331" s="270" t="s">
        <v>780</v>
      </c>
      <c r="B331" s="403" t="s">
        <v>237</v>
      </c>
      <c r="C331" s="404" t="str">
        <f>'Управление ИБ'!B68</f>
        <v>Проводятся регулярные (ежегодные) киберучения</v>
      </c>
      <c r="D331" s="404" t="str">
        <f>'Управление ИБ'!C68</f>
        <v>СУИБ.УР.6</v>
      </c>
      <c r="E331" s="404">
        <f>'Управление ИБ'!D68</f>
        <v>5</v>
      </c>
      <c r="F331" s="404">
        <f>'Управление ИБ'!E68</f>
        <v>5</v>
      </c>
      <c r="G331" s="404">
        <f>'Управление ИБ'!F68</f>
        <v>0</v>
      </c>
      <c r="H331" s="373">
        <f>'Управление ИБ'!R68</f>
        <v>214.07999999999993</v>
      </c>
      <c r="I331" s="404">
        <f>'Управление ИБ'!K68</f>
        <v>0</v>
      </c>
      <c r="J331" s="404">
        <f>'Управление ИБ'!I68</f>
        <v>0</v>
      </c>
      <c r="K331" s="404">
        <f>'Управление ИБ'!L68</f>
        <v>0</v>
      </c>
      <c r="L331" s="404" t="str">
        <f t="shared" si="11"/>
        <v xml:space="preserve"> </v>
      </c>
      <c r="M331" s="373">
        <f t="shared" si="12"/>
        <v>0</v>
      </c>
      <c r="N331" s="407" t="str">
        <f>'Управление ИБ'!S68</f>
        <v xml:space="preserve"> </v>
      </c>
      <c r="O331" s="407"/>
      <c r="P331" s="407"/>
    </row>
    <row r="332" spans="1:16" ht="78">
      <c r="A332" s="270" t="s">
        <v>780</v>
      </c>
      <c r="B332" s="403" t="s">
        <v>237</v>
      </c>
      <c r="C332" s="404" t="str">
        <f>'Управление ИБ'!B69</f>
        <v>Требования по ИБ к информационным активам (ИА) предьявляются на стадиях принятия решения о создании/приобретении ИА</v>
      </c>
      <c r="D332" s="404" t="str">
        <f>'Управление ИБ'!C69</f>
        <v>СУИБ.УР.7</v>
      </c>
      <c r="E332" s="404">
        <f>'Управление ИБ'!D69</f>
        <v>5</v>
      </c>
      <c r="F332" s="404">
        <f>'Управление ИБ'!E69</f>
        <v>3.2</v>
      </c>
      <c r="G332" s="404">
        <f>'Управление ИБ'!F69</f>
        <v>0</v>
      </c>
      <c r="H332" s="373">
        <f>'Управление ИБ'!R69</f>
        <v>214.08999999999992</v>
      </c>
      <c r="I332" s="404">
        <f>'Управление ИБ'!K69</f>
        <v>0</v>
      </c>
      <c r="J332" s="404">
        <f>'Управление ИБ'!I69</f>
        <v>0</v>
      </c>
      <c r="K332" s="404">
        <f>'Управление ИБ'!L69</f>
        <v>1.6</v>
      </c>
      <c r="L332" s="404" t="str">
        <f t="shared" si="11"/>
        <v xml:space="preserve"> </v>
      </c>
      <c r="M332" s="373">
        <f t="shared" si="12"/>
        <v>-1.6</v>
      </c>
      <c r="N332" s="407" t="str">
        <f>'Управление ИБ'!S69</f>
        <v>- Организовать процесс создания / приобретения ИА;
  - Определить требования к процессу; 
  - Обеспечить участие подразделения ИБ в процессе;
  - Обеспечить формирование требований ИБ на этапе принятия решения о создании/приобретении ИА.</v>
      </c>
      <c r="O332" s="407"/>
      <c r="P332" s="407"/>
    </row>
    <row r="333" spans="1:16" ht="109.2">
      <c r="A333" s="270" t="s">
        <v>780</v>
      </c>
      <c r="B333" s="403" t="s">
        <v>237</v>
      </c>
      <c r="C333" s="404" t="str">
        <f>'Управление ИБ'!B70</f>
        <v>Актуализация внутренних нормативных документов в соответствии с изменениями в нормативно-правовых актах и распоряжениях регуляторов и контрольных (надзорных) ведомств в сфере ИБ</v>
      </c>
      <c r="D333" s="404" t="str">
        <f>'Управление ИБ'!C70</f>
        <v>СУИБ.УР.8</v>
      </c>
      <c r="E333" s="404">
        <f>'Управление ИБ'!D70</f>
        <v>5</v>
      </c>
      <c r="F333" s="404">
        <f>'Управление ИБ'!E70</f>
        <v>5</v>
      </c>
      <c r="G333" s="404">
        <f>'Управление ИБ'!F70</f>
        <v>0</v>
      </c>
      <c r="H333" s="373">
        <f>'Управление ИБ'!R70</f>
        <v>214.09999999999991</v>
      </c>
      <c r="I333" s="404">
        <f>'Управление ИБ'!K70</f>
        <v>0</v>
      </c>
      <c r="J333" s="404">
        <f>'Управление ИБ'!I70</f>
        <v>0</v>
      </c>
      <c r="K333" s="404">
        <f>'Управление ИБ'!L70</f>
        <v>5</v>
      </c>
      <c r="L333" s="404" t="str">
        <f t="shared" si="11"/>
        <v xml:space="preserve"> </v>
      </c>
      <c r="M333" s="373">
        <f t="shared" si="12"/>
        <v>0</v>
      </c>
      <c r="N333" s="407" t="str">
        <f>'Управление ИБ'!S70</f>
        <v/>
      </c>
      <c r="O333" s="407"/>
      <c r="P333" s="407"/>
    </row>
    <row r="334" spans="1:16" ht="93.6">
      <c r="A334" s="270" t="s">
        <v>780</v>
      </c>
      <c r="B334" s="412" t="s">
        <v>16</v>
      </c>
      <c r="C334" s="515" t="str">
        <f>'Управление ИБ'!B112</f>
        <v>Ведется учет используемых и (или) эксплуатируемых физических устройств (АРМ, сервера, принтеры, коммутационное оборудование и т.п.)</v>
      </c>
      <c r="D334" s="408" t="str">
        <f>'Управление ИБ'!C112</f>
        <v>УИБ.ИН.1</v>
      </c>
      <c r="E334" s="408">
        <f>'Управление ИБ'!D112</f>
        <v>5</v>
      </c>
      <c r="F334" s="408">
        <f>'Управление ИБ'!E112</f>
        <v>3.2</v>
      </c>
      <c r="G334" s="408">
        <f>'Управление ИБ'!F112</f>
        <v>1.6</v>
      </c>
      <c r="H334" s="409">
        <f>'Управление ИБ'!R112</f>
        <v>215.01</v>
      </c>
      <c r="I334" s="408">
        <f>'Управление ИБ'!K112</f>
        <v>1.6</v>
      </c>
      <c r="J334" s="408">
        <f>'Управление ИБ'!I112</f>
        <v>0</v>
      </c>
      <c r="K334" s="404">
        <f>'Управление ИБ'!L112</f>
        <v>1.6</v>
      </c>
      <c r="L334" s="404">
        <f t="shared" si="11"/>
        <v>1.6</v>
      </c>
      <c r="M334" s="373">
        <f t="shared" si="12"/>
        <v>0</v>
      </c>
      <c r="N334" s="407" t="str">
        <f>'Управление ИБ'!S112</f>
        <v xml:space="preserve"> - Реестр должен формироваться на основании результатов автоматизированной инвентаризации не реже одного раза в месяц;
   - Должна проводиться проверка актуальности данных реестра и полноты учета;
   - Количество не учтенных в реестре устройств не должно превышать 5%.</v>
      </c>
      <c r="O334" s="407"/>
      <c r="P334" s="407"/>
    </row>
    <row r="335" spans="1:16" ht="109.2">
      <c r="A335" s="270" t="s">
        <v>780</v>
      </c>
      <c r="B335" s="412" t="s">
        <v>16</v>
      </c>
      <c r="C335" s="515" t="str">
        <f>'Управление ИБ'!B113</f>
        <v>Ведется учет имеющегося и используемого ПО</v>
      </c>
      <c r="D335" s="408" t="str">
        <f>'Управление ИБ'!C113</f>
        <v>УИБ.ИН.2</v>
      </c>
      <c r="E335" s="408">
        <f>'Управление ИБ'!D113</f>
        <v>5</v>
      </c>
      <c r="F335" s="408">
        <f>'Управление ИБ'!E113</f>
        <v>3.2</v>
      </c>
      <c r="G335" s="408">
        <f>'Управление ИБ'!F113</f>
        <v>1.6</v>
      </c>
      <c r="H335" s="409">
        <f>'Управление ИБ'!R113</f>
        <v>215.01999999999998</v>
      </c>
      <c r="I335" s="408">
        <f>'Управление ИБ'!K113</f>
        <v>1.6</v>
      </c>
      <c r="J335" s="408">
        <f>'Управление ИБ'!I113</f>
        <v>0</v>
      </c>
      <c r="K335" s="404">
        <f>'Управление ИБ'!L113</f>
        <v>0</v>
      </c>
      <c r="L335" s="404">
        <f t="shared" si="11"/>
        <v>0</v>
      </c>
      <c r="M335" s="373">
        <f t="shared" si="12"/>
        <v>1.6</v>
      </c>
      <c r="N335" s="407" t="str">
        <f>'Управление ИБ'!S113</f>
        <v xml:space="preserve">- Проверять, что авторизованное программное обеспечение из реестра поддерживается вендором:
 - В реестре авторизованного ПО должны содержаться только программы, которые поддерживаются производителем; 
 - Если ПО не поддерживается, но все еще используется, для него необходимо предусмотреть компенсирующие меры при выявлении уязвимостей;
 - Наличие поддержки от вендора должно проверяться для всего ПО не реже одного раза в год. </v>
      </c>
      <c r="O335" s="407"/>
      <c r="P335" s="407"/>
    </row>
    <row r="336" spans="1:16" ht="109.2">
      <c r="A336" s="270" t="s">
        <v>780</v>
      </c>
      <c r="B336" s="412" t="s">
        <v>16</v>
      </c>
      <c r="C336" s="515" t="str">
        <f>'Управление ИБ'!B114</f>
        <v>Ведется персонифицированный учет учетных записей (УЗ), технологических УЗ, привилегированных УЗ и УЗ групповых почтовых ящиков</v>
      </c>
      <c r="D336" s="408" t="str">
        <f>'Управление ИБ'!C114</f>
        <v>УИБ.ИН.3</v>
      </c>
      <c r="E336" s="408">
        <f>'Управление ИБ'!D114</f>
        <v>5</v>
      </c>
      <c r="F336" s="408">
        <f>'Управление ИБ'!E114</f>
        <v>3.2</v>
      </c>
      <c r="G336" s="408">
        <f>'Управление ИБ'!F114</f>
        <v>1.6</v>
      </c>
      <c r="H336" s="409">
        <f>'Управление ИБ'!R114</f>
        <v>215.02999999999997</v>
      </c>
      <c r="I336" s="408">
        <f>'Управление ИБ'!K114</f>
        <v>1.6</v>
      </c>
      <c r="J336" s="408">
        <f>'Управление ИБ'!I114</f>
        <v>0</v>
      </c>
      <c r="K336" s="404">
        <f>'Управление ИБ'!L114</f>
        <v>1.6</v>
      </c>
      <c r="L336" s="404">
        <f t="shared" si="11"/>
        <v>1.6</v>
      </c>
      <c r="M336" s="373">
        <f t="shared" si="12"/>
        <v>0</v>
      </c>
      <c r="N336" s="407" t="str">
        <f>'Управление ИБ'!S114</f>
        <v xml:space="preserve"> - Реализовать автоматическую блокировку доменных учетных запией уволенных работников/ Интегрировать доменную службу каталогов с кадровой системой;
 - Создать и поддерживать реестр служебных учетных записей:
Для каждой служебной записи должно быть указано подразделение-владелец, цели учетной записи и дата пересмотра;
Создать и поддерживать реестр локальных учетных записей;
Внедрить централизованное управление учетными записями для сетевого оборудования.</v>
      </c>
      <c r="O336" s="407"/>
      <c r="P336" s="407"/>
    </row>
    <row r="337" spans="1:16" ht="78">
      <c r="A337" s="270" t="s">
        <v>780</v>
      </c>
      <c r="B337" s="412" t="s">
        <v>16</v>
      </c>
      <c r="C337" s="515" t="str">
        <f>'Управление ИБ'!B115</f>
        <v>Контроль белого (разрешенного) и черного (неразрешенного) списка программного обеспечения.</v>
      </c>
      <c r="D337" s="408" t="str">
        <f>'Управление ИБ'!C115</f>
        <v>УИБ.ИН.4</v>
      </c>
      <c r="E337" s="408">
        <f>'Управление ИБ'!D115</f>
        <v>5</v>
      </c>
      <c r="F337" s="408">
        <f>'Управление ИБ'!E115</f>
        <v>3.2</v>
      </c>
      <c r="G337" s="408">
        <f>'Управление ИБ'!F115</f>
        <v>1.6</v>
      </c>
      <c r="H337" s="409">
        <f>'Управление ИБ'!R115</f>
        <v>215.03999999999996</v>
      </c>
      <c r="I337" s="408">
        <f>'Управление ИБ'!K115</f>
        <v>1.6</v>
      </c>
      <c r="J337" s="408">
        <f>'Управление ИБ'!I115</f>
        <v>0</v>
      </c>
      <c r="K337" s="404">
        <f>'Управление ИБ'!L115</f>
        <v>0</v>
      </c>
      <c r="L337" s="404">
        <f t="shared" si="11"/>
        <v>0</v>
      </c>
      <c r="M337" s="373">
        <f t="shared" si="12"/>
        <v>1.6</v>
      </c>
      <c r="N337" s="407" t="str">
        <f>'Управление ИБ'!S115</f>
        <v xml:space="preserve"> - Использовать белые списки авторизованного ПО для АРМ пользователей. Проводить проверку ПО, установленного на АРМ;
   - Проверять, что всё используемое ПО включено в реестр, при выявлении неучтенного ПО обеспечивать его удаление/Автоматизировать процесс проверки. </v>
      </c>
      <c r="O337" s="407"/>
      <c r="P337" s="407"/>
    </row>
    <row r="338" spans="1:16" ht="78">
      <c r="A338" s="270" t="s">
        <v>780</v>
      </c>
      <c r="B338" s="412" t="s">
        <v>16</v>
      </c>
      <c r="C338" s="515" t="str">
        <f>'Управление ИБ'!B116</f>
        <v>Ведется учет использования адресных пространств (IP)</v>
      </c>
      <c r="D338" s="408" t="str">
        <f>'Управление ИБ'!C116</f>
        <v>УИБ.ИН.5</v>
      </c>
      <c r="E338" s="408">
        <f>'Управление ИБ'!D116</f>
        <v>5</v>
      </c>
      <c r="F338" s="408">
        <f>'Управление ИБ'!E116</f>
        <v>3.2</v>
      </c>
      <c r="G338" s="408">
        <f>'Управление ИБ'!F116</f>
        <v>1.6</v>
      </c>
      <c r="H338" s="409">
        <f>'Управление ИБ'!R116</f>
        <v>215.04999999999995</v>
      </c>
      <c r="I338" s="408">
        <f>'Управление ИБ'!K116</f>
        <v>1.6</v>
      </c>
      <c r="J338" s="408">
        <f>'Управление ИБ'!I116</f>
        <v>0</v>
      </c>
      <c r="K338" s="404">
        <f>'Управление ИБ'!L116</f>
        <v>0</v>
      </c>
      <c r="L338" s="404">
        <f t="shared" si="11"/>
        <v>0</v>
      </c>
      <c r="M338" s="373">
        <f t="shared" si="12"/>
        <v>1.6</v>
      </c>
      <c r="N338" s="407" t="str">
        <f>'Управление ИБ'!S116</f>
        <v xml:space="preserve"> - Регламентировать порядок учета управления IP-адресным пространством.</v>
      </c>
      <c r="O338" s="407"/>
      <c r="P338" s="407"/>
    </row>
    <row r="339" spans="1:16" ht="78">
      <c r="A339" s="270" t="s">
        <v>780</v>
      </c>
      <c r="B339" s="412" t="s">
        <v>16</v>
      </c>
      <c r="C339" s="515" t="str">
        <f>'Управление ИБ'!B118</f>
        <v>Ведется учет опубликованных на внешнем периметре информационные системы, домены</v>
      </c>
      <c r="D339" s="408" t="str">
        <f>'Управление ИБ'!C118</f>
        <v>УИБ.ИН.7</v>
      </c>
      <c r="E339" s="408">
        <f>'Управление ИБ'!D118</f>
        <v>5</v>
      </c>
      <c r="F339" s="408">
        <f>'Управление ИБ'!E118</f>
        <v>3.2</v>
      </c>
      <c r="G339" s="408">
        <f>'Управление ИБ'!F118</f>
        <v>3.2</v>
      </c>
      <c r="H339" s="409">
        <f>'Управление ИБ'!R118</f>
        <v>215.06999999999994</v>
      </c>
      <c r="I339" s="408">
        <f>'Управление ИБ'!K118</f>
        <v>3.2</v>
      </c>
      <c r="J339" s="408">
        <f>'Управление ИБ'!I118</f>
        <v>0</v>
      </c>
      <c r="K339" s="404">
        <f>'Управление ИБ'!L118</f>
        <v>0</v>
      </c>
      <c r="L339" s="404">
        <f t="shared" si="11"/>
        <v>0</v>
      </c>
      <c r="M339" s="373">
        <f t="shared" si="12"/>
        <v>3.2</v>
      </c>
      <c r="N339" s="407">
        <f>'Управление ИБ'!S118</f>
        <v>0</v>
      </c>
      <c r="O339" s="407"/>
      <c r="P339" s="407"/>
    </row>
    <row r="340" spans="1:16" ht="78">
      <c r="A340" s="270" t="s">
        <v>780</v>
      </c>
      <c r="B340" s="412" t="s">
        <v>16</v>
      </c>
      <c r="C340" s="515" t="str">
        <f>'Управление ИБ'!B119</f>
        <v>За информационными активами закреплены ответственные</v>
      </c>
      <c r="D340" s="408" t="str">
        <f>'Управление ИБ'!C119</f>
        <v>УИБ.ИН.8</v>
      </c>
      <c r="E340" s="408">
        <f>'Управление ИБ'!D119</f>
        <v>5</v>
      </c>
      <c r="F340" s="408">
        <f>'Управление ИБ'!E119</f>
        <v>3.2</v>
      </c>
      <c r="G340" s="408">
        <f>'Управление ИБ'!F119</f>
        <v>3.2</v>
      </c>
      <c r="H340" s="409">
        <f>'Управление ИБ'!R119</f>
        <v>215.07999999999993</v>
      </c>
      <c r="I340" s="408">
        <f>'Управление ИБ'!K119</f>
        <v>3.2</v>
      </c>
      <c r="J340" s="408">
        <f>'Управление ИБ'!I119</f>
        <v>0</v>
      </c>
      <c r="K340" s="404">
        <f>'Управление ИБ'!L119</f>
        <v>0</v>
      </c>
      <c r="L340" s="404">
        <f t="shared" si="11"/>
        <v>0</v>
      </c>
      <c r="M340" s="373">
        <f t="shared" si="12"/>
        <v>3.2</v>
      </c>
      <c r="N340" s="407">
        <f>'Управление ИБ'!S119</f>
        <v>0</v>
      </c>
      <c r="O340" s="407"/>
      <c r="P340" s="407"/>
    </row>
    <row r="341" spans="1:16" ht="78">
      <c r="A341" s="270" t="s">
        <v>780</v>
      </c>
      <c r="B341" s="412" t="s">
        <v>16</v>
      </c>
      <c r="C341" s="515" t="str">
        <f>'Управление ИБ'!B120</f>
        <v>Наличие специализированного ПО для хранения инвентаризационных данных</v>
      </c>
      <c r="D341" s="408" t="str">
        <f>'Управление ИБ'!C120</f>
        <v>УИБ.ИН.9</v>
      </c>
      <c r="E341" s="408">
        <f>'Управление ИБ'!D120</f>
        <v>5</v>
      </c>
      <c r="F341" s="408">
        <f>'Управление ИБ'!E120</f>
        <v>3.2</v>
      </c>
      <c r="G341" s="408">
        <f>'Управление ИБ'!F120</f>
        <v>0</v>
      </c>
      <c r="H341" s="409">
        <f>'Управление ИБ'!R120</f>
        <v>215.08999999999992</v>
      </c>
      <c r="I341" s="408">
        <f>'Управление ИБ'!K120</f>
        <v>0</v>
      </c>
      <c r="J341" s="408">
        <f>'Управление ИБ'!I120</f>
        <v>0</v>
      </c>
      <c r="K341" s="404">
        <f>'Управление ИБ'!L120</f>
        <v>0</v>
      </c>
      <c r="L341" s="404" t="str">
        <f t="shared" si="11"/>
        <v xml:space="preserve"> </v>
      </c>
      <c r="M341" s="373">
        <f t="shared" si="12"/>
        <v>0</v>
      </c>
      <c r="N341" s="407" t="str">
        <f>'Управление ИБ'!S120</f>
        <v xml:space="preserve"> - Применять для каждого вида активов  локальные базы данных, информационные ресурсы  для хранения инвентаризационных данных</v>
      </c>
      <c r="O341" s="407"/>
      <c r="P341" s="407"/>
    </row>
    <row r="342" spans="1:16" ht="78">
      <c r="A342" s="270" t="s">
        <v>780</v>
      </c>
      <c r="B342" s="412" t="s">
        <v>16</v>
      </c>
      <c r="C342" s="515" t="str">
        <f>'Управление ИБ'!B117</f>
        <v>Ведется учет созданных, используемых и (или) эксплуатируемых ИС</v>
      </c>
      <c r="D342" s="408" t="str">
        <f>'Управление ИБ'!C117</f>
        <v>УИБ.ИН.6</v>
      </c>
      <c r="E342" s="408">
        <f>'Управление ИБ'!D117</f>
        <v>5</v>
      </c>
      <c r="F342" s="408">
        <f>'Управление ИБ'!E117</f>
        <v>3.2</v>
      </c>
      <c r="G342" s="408">
        <f>'Управление ИБ'!F117</f>
        <v>1.6</v>
      </c>
      <c r="H342" s="409">
        <f>'Управление ИБ'!R117</f>
        <v>215.05999999999995</v>
      </c>
      <c r="I342" s="408">
        <f>'Управление ИБ'!K117</f>
        <v>1.6</v>
      </c>
      <c r="J342" s="408">
        <f>'Управление ИБ'!I117</f>
        <v>0</v>
      </c>
      <c r="K342" s="404">
        <f>'Управление ИБ'!L117</f>
        <v>0</v>
      </c>
      <c r="L342" s="404">
        <f t="shared" si="11"/>
        <v>0</v>
      </c>
      <c r="M342" s="373">
        <f t="shared" si="12"/>
        <v>1.6</v>
      </c>
      <c r="N342" s="407" t="str">
        <f>'Управление ИБ'!S117</f>
        <v xml:space="preserve"> - Порядок ввода в экплуатацию, учета и вывода из эксплуатации информационных систем определить внутренними нормативными документами.</v>
      </c>
      <c r="O342" s="407"/>
      <c r="P342" s="407"/>
    </row>
    <row r="343" spans="1:16" ht="78">
      <c r="A343" s="270" t="s">
        <v>780</v>
      </c>
      <c r="B343" s="412" t="s">
        <v>16</v>
      </c>
      <c r="C343" s="515" t="str">
        <f>'Управление ИБ'!B122</f>
        <v>Результаты работы сканеров уязвимости являются источниками для пополнения БД систем инвентаризации</v>
      </c>
      <c r="D343" s="408" t="str">
        <f>'Управление ИБ'!C122</f>
        <v>УИБ.ИН.11</v>
      </c>
      <c r="E343" s="408">
        <f>'Управление ИБ'!D122</f>
        <v>5</v>
      </c>
      <c r="F343" s="408">
        <f>'Управление ИБ'!E122</f>
        <v>3.2</v>
      </c>
      <c r="G343" s="408">
        <f>'Управление ИБ'!F122</f>
        <v>0</v>
      </c>
      <c r="H343" s="409">
        <f>'Управление ИБ'!R122</f>
        <v>215.1099999999999</v>
      </c>
      <c r="I343" s="408">
        <f>'Управление ИБ'!K122</f>
        <v>0</v>
      </c>
      <c r="J343" s="408">
        <f>'Управление ИБ'!I122</f>
        <v>0</v>
      </c>
      <c r="K343" s="404">
        <f>'Управление ИБ'!L122</f>
        <v>0</v>
      </c>
      <c r="L343" s="404" t="str">
        <f t="shared" si="11"/>
        <v xml:space="preserve"> </v>
      </c>
      <c r="M343" s="373">
        <f t="shared" si="12"/>
        <v>0</v>
      </c>
      <c r="N343" s="407" t="str">
        <f>'Управление ИБ'!S122</f>
        <v xml:space="preserve"> - Обеспечить актуализацию инвентаризационных реестров по результатам сканирования в автоматизированном режиме (возможно в ручном режиме)</v>
      </c>
      <c r="O343" s="407"/>
      <c r="P343" s="407"/>
    </row>
    <row r="344" spans="1:16" ht="78">
      <c r="A344" s="270" t="s">
        <v>780</v>
      </c>
      <c r="B344" s="412" t="s">
        <v>16</v>
      </c>
      <c r="C344" s="515" t="str">
        <f>'Управление ИБ'!B121</f>
        <v>Используется инструментарий активного/пассивного обнаружения активов</v>
      </c>
      <c r="D344" s="408" t="str">
        <f>'Управление ИБ'!C121</f>
        <v>УИБ.ИН.10</v>
      </c>
      <c r="E344" s="408">
        <f>'Управление ИБ'!D121</f>
        <v>5</v>
      </c>
      <c r="F344" s="408">
        <f>'Управление ИБ'!E121</f>
        <v>3.2</v>
      </c>
      <c r="G344" s="408">
        <f>'Управление ИБ'!F121</f>
        <v>0</v>
      </c>
      <c r="H344" s="409">
        <f>'Управление ИБ'!R121</f>
        <v>215.09999999999991</v>
      </c>
      <c r="I344" s="408">
        <f>'Управление ИБ'!K121</f>
        <v>0</v>
      </c>
      <c r="J344" s="408">
        <f>'Управление ИБ'!I121</f>
        <v>0</v>
      </c>
      <c r="K344" s="404">
        <f>'Управление ИБ'!L121</f>
        <v>0</v>
      </c>
      <c r="L344" s="404" t="str">
        <f t="shared" si="11"/>
        <v xml:space="preserve"> </v>
      </c>
      <c r="M344" s="373">
        <f t="shared" si="12"/>
        <v>0</v>
      </c>
      <c r="N344" s="407" t="str">
        <f>'Управление ИБ'!S121</f>
        <v xml:space="preserve"> -  Для обнаружения новых активов применять инструменты для активного обнаружения;
   - Обнаружение подключенных к сети устройств запускается по расписанию не реже одного раза в день.</v>
      </c>
      <c r="O344" s="407"/>
      <c r="P344" s="407"/>
    </row>
    <row r="345" spans="1:16" ht="124.8">
      <c r="A345" s="270" t="s">
        <v>780</v>
      </c>
      <c r="B345" s="412" t="s">
        <v>16</v>
      </c>
      <c r="C345" s="515" t="str">
        <f>'Управление ИБ'!B123</f>
        <v>Производится регулярный контроль фактического состава созданных, используемых и (или) эксплуатируемых информационных активов и их корректного размещения в сегментах вычислительных сетей</v>
      </c>
      <c r="D345" s="408" t="str">
        <f>'Управление ИБ'!C123</f>
        <v>УИБ.ИН.12</v>
      </c>
      <c r="E345" s="408">
        <f>'Управление ИБ'!D123</f>
        <v>5</v>
      </c>
      <c r="F345" s="408">
        <f>'Управление ИБ'!E123</f>
        <v>3.2</v>
      </c>
      <c r="G345" s="408">
        <f>'Управление ИБ'!F123</f>
        <v>0</v>
      </c>
      <c r="H345" s="409">
        <f>'Управление ИБ'!R123</f>
        <v>215.11999999999989</v>
      </c>
      <c r="I345" s="408">
        <f>'Управление ИБ'!K123</f>
        <v>0</v>
      </c>
      <c r="J345" s="408">
        <f>'Управление ИБ'!I123</f>
        <v>0</v>
      </c>
      <c r="K345" s="404">
        <f>'Управление ИБ'!L123</f>
        <v>0</v>
      </c>
      <c r="L345" s="404" t="str">
        <f t="shared" si="11"/>
        <v xml:space="preserve"> </v>
      </c>
      <c r="M345" s="373">
        <f t="shared" si="12"/>
        <v>0</v>
      </c>
      <c r="N345" s="407" t="str">
        <f>'Управление ИБ'!S123</f>
        <v xml:space="preserve"> - Разработать и внедрить процесс контроля фактического состава созданных, используемых и (или) эксплуатируемых информационных активов и их корректного размещения в сегментах вычислительных сетей</v>
      </c>
      <c r="O345" s="407"/>
      <c r="P345" s="407"/>
    </row>
    <row r="346" spans="1:16" ht="78">
      <c r="A346" s="270" t="s">
        <v>780</v>
      </c>
      <c r="B346" s="403" t="s">
        <v>182</v>
      </c>
      <c r="C346" s="404" t="str">
        <f>'Управление ИБ'!B169</f>
        <v>Наличие политики/регламентов управления доступом к ИА</v>
      </c>
      <c r="D346" s="404" t="str">
        <f>'Управление ИБ'!C169</f>
        <v>УИБ.УД.1</v>
      </c>
      <c r="E346" s="404">
        <f>'Управление ИБ'!D169</f>
        <v>3.2</v>
      </c>
      <c r="F346" s="404">
        <f>'Управление ИБ'!E169</f>
        <v>1.6</v>
      </c>
      <c r="G346" s="404">
        <f>'Управление ИБ'!F169</f>
        <v>0</v>
      </c>
      <c r="H346" s="410">
        <f>'Управление ИБ'!R169</f>
        <v>216.01</v>
      </c>
      <c r="I346" s="404">
        <f>'Управление ИБ'!K169</f>
        <v>0</v>
      </c>
      <c r="J346" s="404">
        <f>'Управление ИБ'!I169</f>
        <v>0</v>
      </c>
      <c r="K346" s="404">
        <f>'Управление ИБ'!L169</f>
        <v>0</v>
      </c>
      <c r="L346" s="404" t="str">
        <f t="shared" si="11"/>
        <v xml:space="preserve"> </v>
      </c>
      <c r="M346" s="373">
        <f t="shared" si="12"/>
        <v>0</v>
      </c>
      <c r="N346" s="407" t="str">
        <f>'Управление ИБ'!S169</f>
        <v xml:space="preserve"> - Разработать или Получить в Блоке ИБ ПАО Ростелеком типовое описание процесса управления доступом;
  - Утвердить в Обществе ВНД, описывающий процесс управления доступом.</v>
      </c>
      <c r="O346" s="407"/>
      <c r="P346" s="407"/>
    </row>
    <row r="347" spans="1:16" ht="109.2">
      <c r="A347" s="270" t="s">
        <v>780</v>
      </c>
      <c r="B347" s="412" t="s">
        <v>16</v>
      </c>
      <c r="C347" s="515" t="str">
        <f>'Управление ИБ'!B124</f>
        <v>Осуществляется разработка, ведение, актуализация, хранение проектной, рабочей, эксплуатационной документации на информационные системы</v>
      </c>
      <c r="D347" s="408" t="str">
        <f>'Управление ИБ'!C124</f>
        <v>УИБ.ИН.13</v>
      </c>
      <c r="E347" s="408">
        <f>'Управление ИБ'!D124</f>
        <v>5</v>
      </c>
      <c r="F347" s="408">
        <f>'Управление ИБ'!E124</f>
        <v>3.2</v>
      </c>
      <c r="G347" s="408">
        <f>'Управление ИБ'!F124</f>
        <v>0</v>
      </c>
      <c r="H347" s="409">
        <f>'Управление ИБ'!R124</f>
        <v>215.12999999999988</v>
      </c>
      <c r="I347" s="408">
        <f>'Управление ИБ'!K124</f>
        <v>0</v>
      </c>
      <c r="J347" s="408">
        <f>'Управление ИБ'!I124</f>
        <v>0</v>
      </c>
      <c r="K347" s="404">
        <f>'Управление ИБ'!L124</f>
        <v>0</v>
      </c>
      <c r="L347" s="404" t="str">
        <f t="shared" si="11"/>
        <v xml:space="preserve"> </v>
      </c>
      <c r="M347" s="373">
        <f t="shared" si="12"/>
        <v>0</v>
      </c>
      <c r="N347" s="407" t="str">
        <f>'Управление ИБ'!S124</f>
        <v xml:space="preserve"> - Определить порядок ввода в экплуатацию, учета и вывода из эксплуатации информационных систем  внутренними нормативными документами;
  - В указанных документах должны быть описаны процедуры разработки, ведения, актуализации, хранения проектной, рабочей, эксплуатационной документации на информационные системы;
  - Проектную, рабочую, эксплуатационную и иную документацию на информационные системы необходимо хранить в локальных базах данных</v>
      </c>
      <c r="O347" s="407"/>
      <c r="P347" s="407"/>
    </row>
    <row r="348" spans="1:16" ht="78">
      <c r="A348" s="270" t="s">
        <v>780</v>
      </c>
      <c r="B348" s="403" t="s">
        <v>182</v>
      </c>
      <c r="C348" s="404" t="str">
        <f>'Управление ИБ'!B171</f>
        <v>ИБ участвует в согласовании и предоставлении доступа</v>
      </c>
      <c r="D348" s="404" t="str">
        <f>'Управление ИБ'!C171</f>
        <v>УИБ.УД.3</v>
      </c>
      <c r="E348" s="404">
        <f>'Управление ИБ'!D171</f>
        <v>5</v>
      </c>
      <c r="F348" s="404">
        <f>'Управление ИБ'!E171</f>
        <v>3.2</v>
      </c>
      <c r="G348" s="404">
        <f>'Управление ИБ'!F171</f>
        <v>1.6</v>
      </c>
      <c r="H348" s="410">
        <f>'Управление ИБ'!R171</f>
        <v>216.02999999999997</v>
      </c>
      <c r="I348" s="404">
        <f>'Управление ИБ'!K171</f>
        <v>1.6</v>
      </c>
      <c r="J348" s="404">
        <f>'Управление ИБ'!I171</f>
        <v>0</v>
      </c>
      <c r="K348" s="404">
        <f>'Управление ИБ'!L171</f>
        <v>0</v>
      </c>
      <c r="L348" s="404">
        <f t="shared" si="11"/>
        <v>0</v>
      </c>
      <c r="M348" s="373">
        <f t="shared" si="12"/>
        <v>1.6</v>
      </c>
      <c r="N348" s="407" t="str">
        <f>'Управление ИБ'!S171</f>
        <v xml:space="preserve"> - Реализовать автоматизированное согласование заявок на доступ;
  - Обеспечить обязательное участие подразделения ИБ в процессе согласования</v>
      </c>
      <c r="O348" s="407"/>
      <c r="P348" s="407"/>
    </row>
    <row r="349" spans="1:16" ht="78">
      <c r="A349" s="270" t="s">
        <v>780</v>
      </c>
      <c r="B349" s="403" t="s">
        <v>182</v>
      </c>
      <c r="C349" s="404" t="str">
        <f>'Управление ИБ'!B172</f>
        <v>При приеме нового сотрудника, изменении должности или роли осуществляется автоматическое назначение прав доступа</v>
      </c>
      <c r="D349" s="404" t="str">
        <f>'Управление ИБ'!C172</f>
        <v>УИБ.УД.4</v>
      </c>
      <c r="E349" s="404">
        <f>'Управление ИБ'!D172</f>
        <v>3.2</v>
      </c>
      <c r="F349" s="404">
        <f>'Управление ИБ'!E172</f>
        <v>1.6</v>
      </c>
      <c r="G349" s="404">
        <f>'Управление ИБ'!F172</f>
        <v>0</v>
      </c>
      <c r="H349" s="410">
        <f>'Управление ИБ'!R172</f>
        <v>216.03999999999996</v>
      </c>
      <c r="I349" s="404">
        <f>'Управление ИБ'!K172</f>
        <v>0</v>
      </c>
      <c r="J349" s="404">
        <f>'Управление ИБ'!I172</f>
        <v>0</v>
      </c>
      <c r="K349" s="404">
        <f>'Управление ИБ'!L172</f>
        <v>0</v>
      </c>
      <c r="L349" s="404" t="str">
        <f t="shared" si="11"/>
        <v xml:space="preserve"> </v>
      </c>
      <c r="M349" s="373">
        <f t="shared" si="12"/>
        <v>0</v>
      </c>
      <c r="N349" s="407" t="str">
        <f>'Управление ИБ'!S172</f>
        <v xml:space="preserve"> - Реализовать автоматическое создание учетной записи для нового работника и назначение базовых прав на основе данных из систем кадрового учета</v>
      </c>
      <c r="O349" s="407"/>
      <c r="P349" s="407"/>
    </row>
    <row r="350" spans="1:16" ht="78">
      <c r="A350" s="270" t="s">
        <v>780</v>
      </c>
      <c r="B350" s="403" t="s">
        <v>182</v>
      </c>
      <c r="C350" s="404" t="str">
        <f>'Управление ИБ'!B173</f>
        <v>При увольнении работника происходит автоматический отзыв прав и блокировка УЗ</v>
      </c>
      <c r="D350" s="404" t="str">
        <f>'Управление ИБ'!C173</f>
        <v>УИБ.УД.5</v>
      </c>
      <c r="E350" s="404">
        <f>'Управление ИБ'!D173</f>
        <v>3.2</v>
      </c>
      <c r="F350" s="404">
        <f>'Управление ИБ'!E173</f>
        <v>1.6</v>
      </c>
      <c r="G350" s="404">
        <f>'Управление ИБ'!F173</f>
        <v>0</v>
      </c>
      <c r="H350" s="410">
        <f>'Управление ИБ'!R173</f>
        <v>216.04999999999995</v>
      </c>
      <c r="I350" s="404">
        <f>'Управление ИБ'!K173</f>
        <v>0</v>
      </c>
      <c r="J350" s="404">
        <f>'Управление ИБ'!I173</f>
        <v>0</v>
      </c>
      <c r="K350" s="404">
        <f>'Управление ИБ'!L173</f>
        <v>0</v>
      </c>
      <c r="L350" s="404" t="str">
        <f t="shared" si="11"/>
        <v xml:space="preserve"> </v>
      </c>
      <c r="M350" s="373">
        <f t="shared" si="12"/>
        <v>0</v>
      </c>
      <c r="N350" s="407" t="str">
        <f>'Управление ИБ'!S173</f>
        <v xml:space="preserve"> - Реализовать автоматическую блокировку всех учетных записей работника при увольнении работника на основе данных из систем кадрового учета;
   - Реализовать автоматическую блокировку всех учетных записей контрагентов при истечении срока действия или прекращении договора.</v>
      </c>
      <c r="O350" s="407"/>
      <c r="P350" s="407"/>
    </row>
    <row r="351" spans="1:16" ht="78">
      <c r="A351" s="270" t="s">
        <v>780</v>
      </c>
      <c r="B351" s="403" t="s">
        <v>182</v>
      </c>
      <c r="C351" s="404" t="str">
        <f>'Управление ИБ'!B174</f>
        <v>Проводится регулярный аудит УЗ и доступов не реже одного раза в год</v>
      </c>
      <c r="D351" s="404" t="str">
        <f>'Управление ИБ'!C174</f>
        <v>УИБ.УД.6</v>
      </c>
      <c r="E351" s="404">
        <f>'Управление ИБ'!D174</f>
        <v>5</v>
      </c>
      <c r="F351" s="404">
        <f>'Управление ИБ'!E174</f>
        <v>3.2</v>
      </c>
      <c r="G351" s="404">
        <f>'Управление ИБ'!F174</f>
        <v>1.6</v>
      </c>
      <c r="H351" s="410">
        <f>'Управление ИБ'!R174</f>
        <v>216.05999999999995</v>
      </c>
      <c r="I351" s="404">
        <f>'Управление ИБ'!K174</f>
        <v>1.6</v>
      </c>
      <c r="J351" s="404">
        <f>'Управление ИБ'!I174</f>
        <v>0</v>
      </c>
      <c r="K351" s="404">
        <f>'Управление ИБ'!L174</f>
        <v>1.6</v>
      </c>
      <c r="L351" s="404">
        <f t="shared" si="11"/>
        <v>1.6</v>
      </c>
      <c r="M351" s="373">
        <f t="shared" si="12"/>
        <v>0</v>
      </c>
      <c r="N351" s="407" t="str">
        <f>'Управление ИБ'!S174</f>
        <v xml:space="preserve"> - Реализовать процесс регулярного аудита всех учетных записей для критичных ИС;
  - Обеспечить проведение аудита не реже чем раз в 6 месяцев</v>
      </c>
      <c r="O351" s="407"/>
      <c r="P351" s="407"/>
    </row>
    <row r="352" spans="1:16" ht="78">
      <c r="A352" s="270" t="s">
        <v>780</v>
      </c>
      <c r="B352" s="403" t="s">
        <v>182</v>
      </c>
      <c r="C352" s="404" t="str">
        <f>'Управление ИБ'!B170</f>
        <v>Доступ к ИА Осуществляется на основе согласованных с ИБ ролевых моделей (исключение SoD-конфликтов)</v>
      </c>
      <c r="D352" s="404" t="str">
        <f>'Управление ИБ'!C170</f>
        <v>УИБ.УД.2</v>
      </c>
      <c r="E352" s="404">
        <f>'Управление ИБ'!D170</f>
        <v>5</v>
      </c>
      <c r="F352" s="404">
        <f>'Управление ИБ'!E170</f>
        <v>3.2</v>
      </c>
      <c r="G352" s="404">
        <f>'Управление ИБ'!F170</f>
        <v>1.6</v>
      </c>
      <c r="H352" s="409">
        <f>'Управление ИБ'!R170</f>
        <v>216.01999999999998</v>
      </c>
      <c r="I352" s="404">
        <f>'Управление ИБ'!K170</f>
        <v>1.6</v>
      </c>
      <c r="J352" s="404">
        <f>'Управление ИБ'!I170</f>
        <v>0</v>
      </c>
      <c r="K352" s="404">
        <f>'Управление ИБ'!L170</f>
        <v>0</v>
      </c>
      <c r="L352" s="404">
        <f t="shared" si="11"/>
        <v>0</v>
      </c>
      <c r="M352" s="373">
        <f t="shared" si="12"/>
        <v>1.6</v>
      </c>
      <c r="N352" s="407" t="str">
        <f>'Управление ИБ'!S170</f>
        <v xml:space="preserve"> - Для наиболее важных ИС провести аудит прав доступа в ИС и назначить всем пользователям роли в соответствии с ролевой моделью.</v>
      </c>
      <c r="O352" s="407"/>
      <c r="P352" s="407"/>
    </row>
    <row r="353" spans="1:16" ht="78">
      <c r="A353" s="270" t="s">
        <v>780</v>
      </c>
      <c r="B353" s="403" t="s">
        <v>182</v>
      </c>
      <c r="C353" s="404" t="str">
        <f>'Управление ИБ'!B178</f>
        <v xml:space="preserve">При организации доступа к сети Интернет осуществляется контроль сетевых  протоколов и портов, URL адресов </v>
      </c>
      <c r="D353" s="404" t="str">
        <f>'Управление ИБ'!C178</f>
        <v>УИБ.УД.11</v>
      </c>
      <c r="E353" s="404">
        <f>'Управление ИБ'!D178</f>
        <v>5</v>
      </c>
      <c r="F353" s="404">
        <f>'Управление ИБ'!E178</f>
        <v>3.2</v>
      </c>
      <c r="G353" s="404">
        <f>'Управление ИБ'!F178</f>
        <v>1.6</v>
      </c>
      <c r="H353" s="410">
        <f>'Управление ИБ'!R178</f>
        <v>216.09999999999991</v>
      </c>
      <c r="I353" s="404">
        <f>'Управление ИБ'!K178</f>
        <v>1.6</v>
      </c>
      <c r="J353" s="404">
        <f>'Управление ИБ'!I178</f>
        <v>0</v>
      </c>
      <c r="K353" s="404">
        <f>'Управление ИБ'!L178</f>
        <v>1.6</v>
      </c>
      <c r="L353" s="404">
        <f t="shared" si="11"/>
        <v>1.6</v>
      </c>
      <c r="M353" s="373">
        <f t="shared" si="12"/>
        <v>0</v>
      </c>
      <c r="N353" s="407" t="str">
        <f>'Управление ИБ'!S178</f>
        <v xml:space="preserve"> - Обеспечить выполнение требований к сетевым протоколам при проектировании и  создании ИС;
  - Обеспечить сетевое взаимодействие только по безопасным протоколам для всех новых ИС;
  - Для существующих ИС, не соответствующих требованиям, реализовать дополнительные меры защиты или ограничить взаимодействие с интернетом.</v>
      </c>
      <c r="O353" s="407"/>
      <c r="P353" s="407"/>
    </row>
    <row r="354" spans="1:16" ht="140.4">
      <c r="A354" s="270" t="s">
        <v>780</v>
      </c>
      <c r="B354" s="403" t="s">
        <v>193</v>
      </c>
      <c r="C354" s="404" t="str">
        <f>'Управление ИБ'!B181</f>
        <v>Доступ пользователей осуществляется под уникальными и персонифицированными учетными записями</v>
      </c>
      <c r="D354" s="404" t="str">
        <f>'Управление ИБ'!C181</f>
        <v>УИБ.ИА.2</v>
      </c>
      <c r="E354" s="404">
        <f>'Управление ИБ'!D181</f>
        <v>5</v>
      </c>
      <c r="F354" s="404">
        <f>'Управление ИБ'!E181</f>
        <v>5</v>
      </c>
      <c r="G354" s="404">
        <f>'Управление ИБ'!F181</f>
        <v>3.2</v>
      </c>
      <c r="H354" s="401">
        <f>'Управление ИБ'!R181</f>
        <v>217.01999999999998</v>
      </c>
      <c r="I354" s="404">
        <f>'Управление ИБ'!K181</f>
        <v>3.2</v>
      </c>
      <c r="J354" s="404">
        <f>'Управление ИБ'!I181</f>
        <v>0</v>
      </c>
      <c r="K354" s="404">
        <f>'Управление ИБ'!L181</f>
        <v>0</v>
      </c>
      <c r="L354" s="404">
        <f t="shared" si="11"/>
        <v>0</v>
      </c>
      <c r="M354" s="373">
        <f t="shared" si="12"/>
        <v>3.2</v>
      </c>
      <c r="N354" s="407" t="str">
        <f>'Управление ИБ'!S181</f>
        <v xml:space="preserve"> - Реализовать запрет на использование общих учетных записей и встроенных ('по умолчанию') учетных записей.</v>
      </c>
      <c r="O354" s="407" t="s">
        <v>781</v>
      </c>
      <c r="P354" s="407"/>
    </row>
    <row r="355" spans="1:16" ht="78">
      <c r="A355" s="270" t="s">
        <v>780</v>
      </c>
      <c r="B355" s="403" t="s">
        <v>193</v>
      </c>
      <c r="C355" s="404" t="str">
        <f>'Управление ИБ'!B184</f>
        <v>Пароли локальных УЗ администраторов на АРМ с ОС Windows хранятся с применением технологии LAPS</v>
      </c>
      <c r="D355" s="404" t="str">
        <f>'Управление ИБ'!C184</f>
        <v>УИБ.ИА.5</v>
      </c>
      <c r="E355" s="404">
        <f>'Управление ИБ'!D184</f>
        <v>5</v>
      </c>
      <c r="F355" s="404">
        <f>'Управление ИБ'!E184</f>
        <v>3.2</v>
      </c>
      <c r="G355" s="404">
        <f>'Управление ИБ'!F184</f>
        <v>0</v>
      </c>
      <c r="H355" s="373">
        <f>'Управление ИБ'!R184</f>
        <v>217.04999999999995</v>
      </c>
      <c r="I355" s="404">
        <f>'Управление ИБ'!K184</f>
        <v>0</v>
      </c>
      <c r="J355" s="404">
        <f>'Управление ИБ'!I184</f>
        <v>0</v>
      </c>
      <c r="K355" s="404">
        <f>'Управление ИБ'!L184</f>
        <v>0</v>
      </c>
      <c r="L355" s="404" t="str">
        <f t="shared" si="11"/>
        <v xml:space="preserve"> </v>
      </c>
      <c r="M355" s="373">
        <f t="shared" si="12"/>
        <v>0</v>
      </c>
      <c r="N355" s="407" t="str">
        <f>'Управление ИБ'!S184</f>
        <v xml:space="preserve"> - Рализовать применение технологии LAPS не менее чем на 80% АРМ.</v>
      </c>
      <c r="O355" s="407"/>
      <c r="P355" s="407"/>
    </row>
    <row r="356" spans="1:16" ht="78">
      <c r="A356" s="270" t="s">
        <v>780</v>
      </c>
      <c r="B356" s="403" t="s">
        <v>193</v>
      </c>
      <c r="C356" s="404" t="str">
        <f>'Управление ИБ'!B187</f>
        <v>Осуществляется запрет на хранение, использование и передачу аутентификационных данных в открытом виде</v>
      </c>
      <c r="D356" s="404" t="str">
        <f>'Управление ИБ'!C187</f>
        <v>УИБ.ИА.8</v>
      </c>
      <c r="E356" s="404">
        <f>'Управление ИБ'!D187</f>
        <v>5</v>
      </c>
      <c r="F356" s="404">
        <f>'Управление ИБ'!E187</f>
        <v>5</v>
      </c>
      <c r="G356" s="404">
        <f>'Управление ИБ'!F187</f>
        <v>1.6</v>
      </c>
      <c r="H356" s="373">
        <f>'Управление ИБ'!R187</f>
        <v>217.07999999999993</v>
      </c>
      <c r="I356" s="404">
        <f>'Управление ИБ'!K187</f>
        <v>1.6</v>
      </c>
      <c r="J356" s="404">
        <f>'Управление ИБ'!I187</f>
        <v>0</v>
      </c>
      <c r="K356" s="404">
        <f>'Управление ИБ'!L187</f>
        <v>0</v>
      </c>
      <c r="L356" s="404">
        <f t="shared" si="11"/>
        <v>0</v>
      </c>
      <c r="M356" s="373">
        <f t="shared" si="12"/>
        <v>1.6</v>
      </c>
      <c r="N356" s="407" t="str">
        <f>'Управление ИБ'!S187</f>
        <v xml:space="preserve"> - Во всех ИС реализовать механизмы аутентификации обеспечивающие передачу паролей только в защищенном виде.</v>
      </c>
      <c r="O356" s="407"/>
      <c r="P356" s="407"/>
    </row>
    <row r="357" spans="1:16" ht="78">
      <c r="A357" s="270" t="s">
        <v>780</v>
      </c>
      <c r="B357" s="403" t="s">
        <v>193</v>
      </c>
      <c r="C357" s="404" t="str">
        <f>'Управление ИБ'!B188</f>
        <v>Наличие специализированного ПО для хранения аутентификационных данных (оценить покрытие средством)</v>
      </c>
      <c r="D357" s="404" t="str">
        <f>'Управление ИБ'!C188</f>
        <v>УИБ.ИА.9</v>
      </c>
      <c r="E357" s="404">
        <f>'Управление ИБ'!D188</f>
        <v>5</v>
      </c>
      <c r="F357" s="404">
        <f>'Управление ИБ'!E188</f>
        <v>3.2</v>
      </c>
      <c r="G357" s="404">
        <f>'Управление ИБ'!F188</f>
        <v>0</v>
      </c>
      <c r="H357" s="373">
        <f>'Управление ИБ'!R188</f>
        <v>217.08999999999992</v>
      </c>
      <c r="I357" s="404">
        <f>'Управление ИБ'!K188</f>
        <v>0</v>
      </c>
      <c r="J357" s="404">
        <f>'Управление ИБ'!I188</f>
        <v>0</v>
      </c>
      <c r="K357" s="404">
        <f>'Управление ИБ'!L188</f>
        <v>0</v>
      </c>
      <c r="L357" s="404" t="str">
        <f t="shared" si="11"/>
        <v xml:space="preserve"> </v>
      </c>
      <c r="M357" s="373">
        <f t="shared" si="12"/>
        <v>0</v>
      </c>
      <c r="N357" s="407" t="str">
        <f>'Управление ИБ'!S188</f>
        <v xml:space="preserve"> - Приобрести и внедрить средства защищенного хранения паролей. Обеспечить применение администраторами: 100%, пользователями не менее 50%.</v>
      </c>
      <c r="O357" s="407"/>
      <c r="P357" s="407"/>
    </row>
    <row r="358" spans="1:16" ht="62.4">
      <c r="A358" s="270" t="s">
        <v>113</v>
      </c>
      <c r="B358" s="403" t="s">
        <v>341</v>
      </c>
      <c r="C358" s="404" t="str">
        <f>СЗИ!B95</f>
        <v>Настроены и актуализированы SPF, DKIM, DMARC записи</v>
      </c>
      <c r="D358" s="404" t="str">
        <f>СЗИ!C95</f>
        <v>СЗИ.SPAM.1</v>
      </c>
      <c r="E358" s="404">
        <f>СЗИ!D95</f>
        <v>5</v>
      </c>
      <c r="F358" s="404">
        <f>СЗИ!E95</f>
        <v>0</v>
      </c>
      <c r="G358" s="404">
        <f>СЗИ!F95</f>
        <v>0</v>
      </c>
      <c r="H358" s="373">
        <f>СЗИ!R95</f>
        <v>218.01</v>
      </c>
      <c r="I358" s="404">
        <f>СЗИ!K95</f>
        <v>0</v>
      </c>
      <c r="J358" s="404">
        <f>СЗИ!I95</f>
        <v>0</v>
      </c>
      <c r="K358" s="404">
        <f>СЗИ!L95</f>
        <v>0</v>
      </c>
      <c r="L358" s="404" t="str">
        <f t="shared" si="11"/>
        <v xml:space="preserve"> </v>
      </c>
      <c r="M358" s="373">
        <f t="shared" si="12"/>
        <v>0</v>
      </c>
      <c r="N358" s="407" t="str">
        <f>СЗИ!S95</f>
        <v/>
      </c>
      <c r="O358" s="407"/>
      <c r="P358" s="407"/>
    </row>
    <row r="359" spans="1:16" ht="62.4">
      <c r="A359" s="270" t="s">
        <v>113</v>
      </c>
      <c r="B359" s="403" t="s">
        <v>341</v>
      </c>
      <c r="C359" s="404" t="str">
        <f>СЗИ!B96</f>
        <v>Наличие антиспам решения, реализующего контентный, сигнатурный и динамический анализ писем и вложений</v>
      </c>
      <c r="D359" s="404" t="str">
        <f>СЗИ!C96</f>
        <v>СЗИ.SPAM.2</v>
      </c>
      <c r="E359" s="404">
        <f>СЗИ!D96</f>
        <v>5</v>
      </c>
      <c r="F359" s="404">
        <f>СЗИ!E96</f>
        <v>0</v>
      </c>
      <c r="G359" s="404">
        <f>СЗИ!F96</f>
        <v>0</v>
      </c>
      <c r="H359" s="373">
        <f>СЗИ!R96</f>
        <v>218.02</v>
      </c>
      <c r="I359" s="404">
        <f>СЗИ!K96</f>
        <v>0</v>
      </c>
      <c r="J359" s="404">
        <f>СЗИ!I96</f>
        <v>0</v>
      </c>
      <c r="K359" s="404">
        <f>СЗИ!L96</f>
        <v>0</v>
      </c>
      <c r="L359" s="404" t="str">
        <f t="shared" si="11"/>
        <v xml:space="preserve"> </v>
      </c>
      <c r="M359" s="373">
        <f t="shared" si="12"/>
        <v>0</v>
      </c>
      <c r="N359" s="407" t="str">
        <f>СЗИ!S96</f>
        <v/>
      </c>
      <c r="O359" s="407"/>
      <c r="P359" s="407"/>
    </row>
    <row r="360" spans="1:16" ht="78">
      <c r="A360" s="270" t="s">
        <v>113</v>
      </c>
      <c r="B360" s="403" t="s">
        <v>341</v>
      </c>
      <c r="C360" s="404" t="str">
        <f>СЗИ!B97</f>
        <v>Наличие антиспам решения, осуществляющего проверки писем на предмет вредоносного содержимого антивирусными средствами</v>
      </c>
      <c r="D360" s="404" t="str">
        <f>СЗИ!C97</f>
        <v>СЗИ.SPAM.3</v>
      </c>
      <c r="E360" s="404">
        <f>СЗИ!D97</f>
        <v>5</v>
      </c>
      <c r="F360" s="404">
        <f>СЗИ!E97</f>
        <v>0</v>
      </c>
      <c r="G360" s="404">
        <f>СЗИ!F97</f>
        <v>0</v>
      </c>
      <c r="H360" s="373">
        <f>СЗИ!R97</f>
        <v>218.03</v>
      </c>
      <c r="I360" s="404">
        <f>СЗИ!K97</f>
        <v>0</v>
      </c>
      <c r="J360" s="404">
        <f>СЗИ!I97</f>
        <v>0</v>
      </c>
      <c r="K360" s="404">
        <f>СЗИ!L97</f>
        <v>0</v>
      </c>
      <c r="L360" s="404" t="str">
        <f t="shared" si="11"/>
        <v xml:space="preserve"> </v>
      </c>
      <c r="M360" s="373">
        <f t="shared" si="12"/>
        <v>0</v>
      </c>
      <c r="N360" s="407" t="str">
        <f>СЗИ!S97</f>
        <v/>
      </c>
      <c r="O360" s="407"/>
      <c r="P360" s="407"/>
    </row>
    <row r="361" spans="1:16" ht="62.4">
      <c r="A361" s="270" t="s">
        <v>113</v>
      </c>
      <c r="B361" s="403" t="s">
        <v>341</v>
      </c>
      <c r="C361" s="404" t="str">
        <f>СЗИ!B98</f>
        <v>Весь почтовый трафик Общества предварительно проходит через системы Антиспам</v>
      </c>
      <c r="D361" s="404" t="str">
        <f>СЗИ!C98</f>
        <v>СЗИ.SPAM.4</v>
      </c>
      <c r="E361" s="404">
        <f>СЗИ!D98</f>
        <v>5</v>
      </c>
      <c r="F361" s="404">
        <f>СЗИ!E98</f>
        <v>0</v>
      </c>
      <c r="G361" s="404">
        <f>СЗИ!F98</f>
        <v>0</v>
      </c>
      <c r="H361" s="373">
        <f>СЗИ!R98</f>
        <v>218.04000000000002</v>
      </c>
      <c r="I361" s="404">
        <f>СЗИ!K98</f>
        <v>0</v>
      </c>
      <c r="J361" s="404">
        <f>СЗИ!I98</f>
        <v>0</v>
      </c>
      <c r="K361" s="404">
        <f>СЗИ!L98</f>
        <v>0</v>
      </c>
      <c r="L361" s="404" t="str">
        <f t="shared" si="11"/>
        <v xml:space="preserve"> </v>
      </c>
      <c r="M361" s="373">
        <f t="shared" si="12"/>
        <v>0</v>
      </c>
      <c r="N361" s="407" t="str">
        <f>СЗИ!S98</f>
        <v/>
      </c>
      <c r="O361" s="407"/>
      <c r="P361" s="407"/>
    </row>
    <row r="362" spans="1:16" ht="78">
      <c r="A362" s="270" t="s">
        <v>780</v>
      </c>
      <c r="B362" s="403" t="s">
        <v>340</v>
      </c>
      <c r="C362" s="404" t="str">
        <f>СЗИ!B90</f>
        <v>Наличие собственного решения или внешнего сервиса по защите от DDoS</v>
      </c>
      <c r="D362" s="404" t="str">
        <f>СЗИ!C90</f>
        <v>УИБ.DDoS.1</v>
      </c>
      <c r="E362" s="404">
        <f>СЗИ!D90</f>
        <v>5</v>
      </c>
      <c r="F362" s="404">
        <f>СЗИ!E90</f>
        <v>5</v>
      </c>
      <c r="G362" s="404">
        <f>СЗИ!F90</f>
        <v>0</v>
      </c>
      <c r="H362" s="373">
        <f>СЗИ!R90</f>
        <v>219.01</v>
      </c>
      <c r="I362" s="404">
        <f>СЗИ!K90</f>
        <v>0</v>
      </c>
      <c r="J362" s="404">
        <f>СЗИ!I90</f>
        <v>0</v>
      </c>
      <c r="K362" s="404">
        <f>СЗИ!L90</f>
        <v>0</v>
      </c>
      <c r="L362" s="404" t="str">
        <f t="shared" si="11"/>
        <v xml:space="preserve"> </v>
      </c>
      <c r="M362" s="373">
        <f t="shared" si="12"/>
        <v>0</v>
      </c>
      <c r="N362" s="407" t="str">
        <f>СЗИ!S90</f>
        <v xml:space="preserve"> - Внедрить решение или подключить сервис по защите от DDoS для критичных ИА (или не менее 70 % всех ИА)</v>
      </c>
      <c r="O362" s="407"/>
      <c r="P362" s="407"/>
    </row>
    <row r="363" spans="1:16" ht="78">
      <c r="A363" s="270" t="s">
        <v>780</v>
      </c>
      <c r="B363" s="403" t="s">
        <v>340</v>
      </c>
      <c r="C363" s="404" t="str">
        <f>СЗИ!B91</f>
        <v>Осуществляется блокирование атак типа «отказ в обслуживании» в масштабе времени, близком к реальному</v>
      </c>
      <c r="D363" s="404" t="str">
        <f>СЗИ!C91</f>
        <v>УИБ.DDoS.2</v>
      </c>
      <c r="E363" s="404">
        <f>СЗИ!D91</f>
        <v>5</v>
      </c>
      <c r="F363" s="404">
        <f>СЗИ!E91</f>
        <v>3.2</v>
      </c>
      <c r="G363" s="404">
        <f>СЗИ!F91</f>
        <v>0</v>
      </c>
      <c r="H363" s="373">
        <f>СЗИ!R91</f>
        <v>219.02</v>
      </c>
      <c r="I363" s="404">
        <f>СЗИ!K91</f>
        <v>0</v>
      </c>
      <c r="J363" s="404">
        <f>СЗИ!I91</f>
        <v>0</v>
      </c>
      <c r="K363" s="404">
        <f>СЗИ!L91</f>
        <v>0</v>
      </c>
      <c r="L363" s="404" t="str">
        <f t="shared" si="11"/>
        <v xml:space="preserve"> </v>
      </c>
      <c r="M363" s="373">
        <f t="shared" si="12"/>
        <v>0</v>
      </c>
      <c r="N363" s="407" t="str">
        <f>СЗИ!S91</f>
        <v xml:space="preserve"> - Обеспечить своевременное реагирование на DDoS атаки, сократить време простоя сервисов до ___минут (не более).</v>
      </c>
      <c r="O363" s="407"/>
      <c r="P363" s="407"/>
    </row>
    <row r="364" spans="1:16" ht="62.4">
      <c r="A364" s="270" t="s">
        <v>19</v>
      </c>
      <c r="B364" s="403" t="s">
        <v>340</v>
      </c>
      <c r="C364" s="404" t="str">
        <f>СЗИ!B92</f>
        <v>Наличие плейбука по реагированию на сработки (Anti-DDoS)</v>
      </c>
      <c r="D364" s="404" t="str">
        <f>СЗИ!C92</f>
        <v>РЕАГ.PB.10</v>
      </c>
      <c r="E364" s="404">
        <f>СЗИ!D92</f>
        <v>5</v>
      </c>
      <c r="F364" s="404">
        <f>СЗИ!E92</f>
        <v>5</v>
      </c>
      <c r="G364" s="404">
        <f>СЗИ!F92</f>
        <v>0</v>
      </c>
      <c r="H364" s="373">
        <f>СЗИ!R92</f>
        <v>219.03</v>
      </c>
      <c r="I364" s="404">
        <f>СЗИ!K92</f>
        <v>0</v>
      </c>
      <c r="J364" s="404">
        <f>СЗИ!I92</f>
        <v>0</v>
      </c>
      <c r="K364" s="404">
        <f>СЗИ!L92</f>
        <v>0</v>
      </c>
      <c r="L364" s="404" t="str">
        <f t="shared" si="11"/>
        <v xml:space="preserve"> </v>
      </c>
      <c r="M364" s="373">
        <f t="shared" si="12"/>
        <v>0</v>
      </c>
      <c r="N364" s="407" t="str">
        <f>СЗИ!S92</f>
        <v xml:space="preserve"> - Разработать и простестировать плейбуки по реагированию на сработки Anti-DDoS.</v>
      </c>
      <c r="O364" s="407"/>
      <c r="P364" s="407"/>
    </row>
    <row r="365" spans="1:16" ht="78">
      <c r="A365" s="270" t="s">
        <v>780</v>
      </c>
      <c r="B365" s="403" t="s">
        <v>340</v>
      </c>
      <c r="C365" s="404" t="str">
        <f>СЗИ!B93</f>
        <v>Проводится актуализация защищаемых ресурсов и порогов срабатывания защиты от отказа в обслуживании</v>
      </c>
      <c r="D365" s="404" t="str">
        <f>СЗИ!C93</f>
        <v>УИБ.DDoS.3</v>
      </c>
      <c r="E365" s="404">
        <f>СЗИ!D93</f>
        <v>5</v>
      </c>
      <c r="F365" s="404">
        <f>СЗИ!E93</f>
        <v>3.6</v>
      </c>
      <c r="G365" s="404">
        <f>СЗИ!F93</f>
        <v>0</v>
      </c>
      <c r="H365" s="373">
        <f>СЗИ!R93</f>
        <v>219.04000000000002</v>
      </c>
      <c r="I365" s="404">
        <f>СЗИ!K93</f>
        <v>0</v>
      </c>
      <c r="J365" s="404">
        <f>СЗИ!I93</f>
        <v>0</v>
      </c>
      <c r="K365" s="404">
        <f>СЗИ!L93</f>
        <v>0</v>
      </c>
      <c r="L365" s="404" t="str">
        <f t="shared" si="11"/>
        <v xml:space="preserve"> </v>
      </c>
      <c r="M365" s="373">
        <f t="shared" si="12"/>
        <v>0</v>
      </c>
      <c r="N365" s="407" t="str">
        <f>СЗИ!S93</f>
        <v xml:space="preserve"> - Обеспечить своевременное подключение к системе защиты от DDoS новых защищаемых ресурсов. Обеспечить актуализацию параметров защиты по результатам обработки инцидентов.U</v>
      </c>
      <c r="O365" s="407"/>
      <c r="P365" s="407"/>
    </row>
    <row r="366" spans="1:16" ht="78">
      <c r="A366" s="270" t="s">
        <v>20</v>
      </c>
      <c r="B366" s="403" t="s">
        <v>216</v>
      </c>
      <c r="C366" s="518" t="str">
        <f>Восстановление!B32</f>
        <v>Разработана политика обеспечения непрерывности и восстановления деятельности (ОНИВД)</v>
      </c>
      <c r="D366" s="404" t="str">
        <f>Восстановление!C32</f>
        <v>ВССТ.ПЛН.1</v>
      </c>
      <c r="E366" s="404">
        <f>Восстановление!D32</f>
        <v>5</v>
      </c>
      <c r="F366" s="404">
        <f>Восстановление!E32</f>
        <v>5</v>
      </c>
      <c r="G366" s="404">
        <f>Восстановление!F32</f>
        <v>0</v>
      </c>
      <c r="H366" s="404">
        <f>Восстановление!R32</f>
        <v>222.01</v>
      </c>
      <c r="I366" s="404">
        <f>Восстановление!K32</f>
        <v>0</v>
      </c>
      <c r="J366" s="404">
        <f>Восстановление!I32</f>
        <v>0</v>
      </c>
      <c r="K366" s="404">
        <f>Восстановление!L32</f>
        <v>0</v>
      </c>
      <c r="L366" s="404" t="str">
        <f t="shared" si="11"/>
        <v xml:space="preserve"> </v>
      </c>
      <c r="M366" s="373">
        <f t="shared" si="12"/>
        <v>0</v>
      </c>
      <c r="N366" s="404" t="str">
        <f>Восстановление!S32</f>
        <v xml:space="preserve"> - Разработать политику обеспечения непрерывности и восстановления деятельности</v>
      </c>
      <c r="O366" s="407"/>
      <c r="P366" s="407"/>
    </row>
    <row r="367" spans="1:16" ht="78">
      <c r="A367" s="270" t="s">
        <v>20</v>
      </c>
      <c r="B367" s="403" t="s">
        <v>216</v>
      </c>
      <c r="C367" s="518" t="str">
        <f>Восстановление!B33</f>
        <v>Определены уровни и сроки восстановления систем в зависимости от критичности ИА</v>
      </c>
      <c r="D367" s="404" t="str">
        <f>Восстановление!C33</f>
        <v>ВССТ.ПЛН.2</v>
      </c>
      <c r="E367" s="404">
        <f>Восстановление!D33</f>
        <v>5</v>
      </c>
      <c r="F367" s="404">
        <f>Восстановление!E33</f>
        <v>5</v>
      </c>
      <c r="G367" s="404">
        <f>Восстановление!F33</f>
        <v>0</v>
      </c>
      <c r="H367" s="404">
        <f>Восстановление!R33</f>
        <v>222.01999999999998</v>
      </c>
      <c r="I367" s="404">
        <f>Восстановление!K33</f>
        <v>0</v>
      </c>
      <c r="J367" s="404">
        <f>Восстановление!I33</f>
        <v>0</v>
      </c>
      <c r="K367" s="404">
        <f>Восстановление!L33</f>
        <v>0</v>
      </c>
      <c r="L367" s="404" t="str">
        <f t="shared" si="11"/>
        <v xml:space="preserve"> </v>
      </c>
      <c r="M367" s="373">
        <f t="shared" si="12"/>
        <v>0</v>
      </c>
      <c r="N367" s="404" t="str">
        <f>Восстановление!S33</f>
        <v xml:space="preserve"> - Определить критерии для уровней и сроков восстановления в зависимости от критичности ИА;
   - Категорировать ИА по уровням критичности в соответствии с критериями</v>
      </c>
      <c r="O367" s="407"/>
      <c r="P367" s="407"/>
    </row>
    <row r="368" spans="1:16" ht="78">
      <c r="A368" s="270" t="s">
        <v>20</v>
      </c>
      <c r="B368" s="403" t="s">
        <v>216</v>
      </c>
      <c r="C368" s="518" t="str">
        <f>Восстановление!B34</f>
        <v>Планы ОНИВД разработаны</v>
      </c>
      <c r="D368" s="404" t="str">
        <f>Восстановление!C34</f>
        <v>ВССТ.ПЛН.3</v>
      </c>
      <c r="E368" s="404">
        <f>Восстановление!D34</f>
        <v>5</v>
      </c>
      <c r="F368" s="404">
        <f>Восстановление!E34</f>
        <v>3.2</v>
      </c>
      <c r="G368" s="404">
        <f>Восстановление!F34</f>
        <v>0</v>
      </c>
      <c r="H368" s="404">
        <f>Восстановление!R34</f>
        <v>222.02999999999997</v>
      </c>
      <c r="I368" s="404">
        <f>Восстановление!K34</f>
        <v>0</v>
      </c>
      <c r="J368" s="404">
        <f>Восстановление!I34</f>
        <v>0</v>
      </c>
      <c r="K368" s="404">
        <f>Восстановление!L34</f>
        <v>0</v>
      </c>
      <c r="L368" s="404" t="str">
        <f t="shared" si="11"/>
        <v xml:space="preserve"> </v>
      </c>
      <c r="M368" s="373">
        <f t="shared" si="12"/>
        <v>0</v>
      </c>
      <c r="N368" s="404" t="str">
        <f>Восстановление!S34</f>
        <v xml:space="preserve"> - Разработать план обеспечения непрерывности и восстановления деятельности </v>
      </c>
      <c r="O368" s="407"/>
      <c r="P368" s="407"/>
    </row>
    <row r="369" spans="1:16" ht="78">
      <c r="A369" s="270" t="s">
        <v>20</v>
      </c>
      <c r="B369" s="403" t="s">
        <v>216</v>
      </c>
      <c r="C369" s="518" t="str">
        <f>Восстановление!B35</f>
        <v>Разработан регламент резервного копирования</v>
      </c>
      <c r="D369" s="404" t="str">
        <f>Восстановление!C35</f>
        <v>ВССТ.ПЛН.4</v>
      </c>
      <c r="E369" s="404">
        <f>Восстановление!D35</f>
        <v>5</v>
      </c>
      <c r="F369" s="404">
        <f>Восстановление!E35</f>
        <v>3.2</v>
      </c>
      <c r="G369" s="404">
        <f>Восстановление!F35</f>
        <v>0</v>
      </c>
      <c r="H369" s="404">
        <f>Восстановление!R35</f>
        <v>222.03999999999996</v>
      </c>
      <c r="I369" s="404">
        <f>Восстановление!K35</f>
        <v>0</v>
      </c>
      <c r="J369" s="404">
        <f>Восстановление!I35</f>
        <v>0</v>
      </c>
      <c r="K369" s="404">
        <f>Восстановление!L35</f>
        <v>0</v>
      </c>
      <c r="L369" s="404" t="str">
        <f t="shared" si="11"/>
        <v xml:space="preserve"> </v>
      </c>
      <c r="M369" s="373">
        <f t="shared" si="12"/>
        <v>0</v>
      </c>
      <c r="N369" s="404" t="str">
        <f>Восстановление!S35</f>
        <v xml:space="preserve"> - Разработать регламент резервного копирования. Определить порядок резервного копирования в соответствии с критичностью ИА</v>
      </c>
      <c r="O369" s="407"/>
      <c r="P369" s="407"/>
    </row>
    <row r="370" spans="1:16" ht="78">
      <c r="A370" s="270" t="s">
        <v>20</v>
      </c>
      <c r="B370" s="403" t="s">
        <v>216</v>
      </c>
      <c r="C370" s="518" t="str">
        <f>Восстановление!B37</f>
        <v>Резервные копии хранятся на сторонних площадках</v>
      </c>
      <c r="D370" s="404" t="str">
        <f>Восстановление!C37</f>
        <v>ВССТ.ПЛН.6</v>
      </c>
      <c r="E370" s="404">
        <f>Восстановление!D37</f>
        <v>5</v>
      </c>
      <c r="F370" s="404">
        <f>Восстановление!E37</f>
        <v>3.2</v>
      </c>
      <c r="G370" s="404">
        <f>Восстановление!F37</f>
        <v>1.6</v>
      </c>
      <c r="H370" s="404">
        <f>Восстановление!R37</f>
        <v>222.05999999999995</v>
      </c>
      <c r="I370" s="404">
        <f>Восстановление!K37</f>
        <v>1.6</v>
      </c>
      <c r="J370" s="404">
        <f>Восстановление!I37</f>
        <v>0</v>
      </c>
      <c r="K370" s="404">
        <f>Восстановление!L37</f>
        <v>0</v>
      </c>
      <c r="L370" s="404">
        <f t="shared" si="11"/>
        <v>0</v>
      </c>
      <c r="M370" s="373">
        <f t="shared" si="12"/>
        <v>1.6</v>
      </c>
      <c r="N370" s="404" t="str">
        <f>Восстановление!S37</f>
        <v xml:space="preserve"> - Обеспечить хранение резервных копий на географически удаленных площадках.</v>
      </c>
      <c r="O370" s="407"/>
      <c r="P370" s="407"/>
    </row>
    <row r="371" spans="1:16" ht="78">
      <c r="A371" s="270" t="s">
        <v>20</v>
      </c>
      <c r="B371" s="403" t="s">
        <v>216</v>
      </c>
      <c r="C371" s="518" t="str">
        <f>Восстановление!B38</f>
        <v>Определены требования восстановления и проводятся тестирования</v>
      </c>
      <c r="D371" s="404" t="str">
        <f>Восстановление!C38</f>
        <v>ВССТ.ПЛН.7</v>
      </c>
      <c r="E371" s="404">
        <f>Восстановление!D38</f>
        <v>5</v>
      </c>
      <c r="F371" s="404">
        <f>Восстановление!E38</f>
        <v>3.2</v>
      </c>
      <c r="G371" s="404">
        <f>Восстановление!F38</f>
        <v>1.6</v>
      </c>
      <c r="H371" s="404">
        <f>Восстановление!R38</f>
        <v>222.06999999999994</v>
      </c>
      <c r="I371" s="404">
        <f>Восстановление!K38</f>
        <v>1.6</v>
      </c>
      <c r="J371" s="404">
        <f>Восстановление!I38</f>
        <v>0</v>
      </c>
      <c r="K371" s="404">
        <f>Восстановление!L38</f>
        <v>0</v>
      </c>
      <c r="L371" s="404">
        <f t="shared" si="11"/>
        <v>0</v>
      </c>
      <c r="M371" s="373">
        <f t="shared" si="12"/>
        <v>1.6</v>
      </c>
      <c r="N371" s="404" t="str">
        <f>Восстановление!S38</f>
        <v xml:space="preserve"> - Регулярно тестировать планы восстановления в тестовой и промышленной среде.</v>
      </c>
      <c r="O371" s="407"/>
      <c r="P371" s="407"/>
    </row>
    <row r="372" spans="1:16" ht="78">
      <c r="A372" s="270" t="s">
        <v>20</v>
      </c>
      <c r="B372" s="403" t="s">
        <v>216</v>
      </c>
      <c r="C372" s="518" t="str">
        <f>Восстановление!B39</f>
        <v>Тестирование планов по реагированию и восстановлению проводятся совместно с поставщиками и сторонними провайдерами</v>
      </c>
      <c r="D372" s="404" t="str">
        <f>Восстановление!C39</f>
        <v>ВССТ.ПЛН.8</v>
      </c>
      <c r="E372" s="404">
        <f>Восстановление!D39</f>
        <v>5</v>
      </c>
      <c r="F372" s="404">
        <f>Восстановление!E39</f>
        <v>3.2</v>
      </c>
      <c r="G372" s="404">
        <f>Восстановление!F39</f>
        <v>1.6</v>
      </c>
      <c r="H372" s="404">
        <f>Восстановление!R39</f>
        <v>222.07999999999993</v>
      </c>
      <c r="I372" s="404">
        <f>Восстановление!K39</f>
        <v>1.6</v>
      </c>
      <c r="J372" s="404">
        <f>Восстановление!I39</f>
        <v>0</v>
      </c>
      <c r="K372" s="404">
        <f>Восстановление!L39</f>
        <v>0</v>
      </c>
      <c r="L372" s="404">
        <f t="shared" si="11"/>
        <v>0</v>
      </c>
      <c r="M372" s="373">
        <f t="shared" si="12"/>
        <v>1.6</v>
      </c>
      <c r="N372" s="404" t="str">
        <f>Восстановление!S39</f>
        <v xml:space="preserve"> - Включить в договоры обязательства поставщика содействовать при проведении восстановительных мероприятий/ Определить SLA;
   - Определить ответственных за взаимодействие и их полномочия.</v>
      </c>
      <c r="O372" s="407"/>
      <c r="P372" s="407"/>
    </row>
    <row r="373" spans="1:16" ht="78">
      <c r="A373" s="270" t="s">
        <v>20</v>
      </c>
      <c r="B373" s="403" t="s">
        <v>216</v>
      </c>
      <c r="C373" s="518" t="str">
        <f>Восстановление!B40</f>
        <v>Планы восстановления совершенствуются по результатам тестирования и реагирования</v>
      </c>
      <c r="D373" s="404" t="str">
        <f>Восстановление!C40</f>
        <v>ВССТ.ПЛН.9</v>
      </c>
      <c r="E373" s="404">
        <f>Восстановление!D40</f>
        <v>5</v>
      </c>
      <c r="F373" s="404">
        <f>Восстановление!E40</f>
        <v>3.2</v>
      </c>
      <c r="G373" s="404">
        <f>Восстановление!F40</f>
        <v>1.6</v>
      </c>
      <c r="H373" s="404">
        <f>Восстановление!R40</f>
        <v>222.08999999999992</v>
      </c>
      <c r="I373" s="404">
        <f>Восстановление!K40</f>
        <v>1.6</v>
      </c>
      <c r="J373" s="404">
        <f>Восстановление!I40</f>
        <v>0</v>
      </c>
      <c r="K373" s="404">
        <f>Восстановление!L40</f>
        <v>0</v>
      </c>
      <c r="L373" s="404">
        <f t="shared" si="11"/>
        <v>0</v>
      </c>
      <c r="M373" s="373">
        <f t="shared" si="12"/>
        <v>1.6</v>
      </c>
      <c r="N373" s="404" t="str">
        <f>Восстановление!S40</f>
        <v xml:space="preserve"> - Дорабатывать планы с учетом выявленных недостатков.</v>
      </c>
      <c r="O373" s="407"/>
      <c r="P373" s="407"/>
    </row>
    <row r="374" spans="1:16" ht="62.4">
      <c r="A374" s="270" t="s">
        <v>113</v>
      </c>
      <c r="B374" s="403" t="s">
        <v>342</v>
      </c>
      <c r="C374" s="404" t="str">
        <f>СЗИ!B101</f>
        <v>Процент покрытия внешних активов лицензиями и/или услугами</v>
      </c>
      <c r="D374" s="404" t="str">
        <f>СЗИ!C101</f>
        <v>СЗИ.WAF.1</v>
      </c>
      <c r="E374" s="404">
        <f>СЗИ!D101</f>
        <v>5</v>
      </c>
      <c r="F374" s="404">
        <f>СЗИ!E101</f>
        <v>0</v>
      </c>
      <c r="G374" s="404">
        <f>СЗИ!F101</f>
        <v>0</v>
      </c>
      <c r="H374" s="373">
        <f>СЗИ!R101</f>
        <v>223.01</v>
      </c>
      <c r="I374" s="404">
        <f>СЗИ!K101</f>
        <v>0</v>
      </c>
      <c r="J374" s="190">
        <f>СЗИ!I101</f>
        <v>0</v>
      </c>
      <c r="K374" s="404">
        <f>СЗИ!L101</f>
        <v>0</v>
      </c>
      <c r="L374" s="404" t="str">
        <f t="shared" si="11"/>
        <v xml:space="preserve"> </v>
      </c>
      <c r="M374" s="373">
        <f t="shared" si="12"/>
        <v>0</v>
      </c>
      <c r="N374" s="407" t="str">
        <f>СЗИ!S101</f>
        <v/>
      </c>
      <c r="O374" s="407"/>
      <c r="P374" s="407"/>
    </row>
    <row r="375" spans="1:16" ht="62.4">
      <c r="A375" s="270" t="s">
        <v>113</v>
      </c>
      <c r="B375" s="403" t="s">
        <v>342</v>
      </c>
      <c r="C375" s="404" t="str">
        <f>СЗИ!B103</f>
        <v xml:space="preserve">Процедура публикации внешних ресурсов описана и контролируется службой ИБ </v>
      </c>
      <c r="D375" s="404" t="str">
        <f>СЗИ!C103</f>
        <v>СЗИ.WAF.2</v>
      </c>
      <c r="E375" s="404">
        <f>СЗИ!D103</f>
        <v>4</v>
      </c>
      <c r="F375" s="404">
        <f>СЗИ!E103</f>
        <v>3</v>
      </c>
      <c r="G375" s="404">
        <f>СЗИ!F103</f>
        <v>1</v>
      </c>
      <c r="H375" s="373">
        <f>СЗИ!R103</f>
        <v>223.03</v>
      </c>
      <c r="I375" s="404">
        <f>СЗИ!K103</f>
        <v>1</v>
      </c>
      <c r="J375" s="404">
        <f>СЗИ!I103</f>
        <v>0</v>
      </c>
      <c r="K375" s="404">
        <f>СЗИ!L103</f>
        <v>0</v>
      </c>
      <c r="L375" s="404">
        <f t="shared" si="11"/>
        <v>0</v>
      </c>
      <c r="M375" s="373">
        <f t="shared" si="12"/>
        <v>1</v>
      </c>
      <c r="N375" s="407">
        <f>СЗИ!S103</f>
        <v>0</v>
      </c>
      <c r="O375" s="407"/>
      <c r="P375" s="407"/>
    </row>
    <row r="376" spans="1:16" ht="62.4">
      <c r="A376" s="270" t="s">
        <v>19</v>
      </c>
      <c r="B376" s="403" t="s">
        <v>342</v>
      </c>
      <c r="C376" s="404" t="str">
        <f>СЗИ!B104</f>
        <v>Наличие плейбука по реагированию на сработки (WAF)</v>
      </c>
      <c r="D376" s="404" t="str">
        <f>СЗИ!C104</f>
        <v>РЕАГ.PB.5.9.3.11</v>
      </c>
      <c r="E376" s="404">
        <f>СЗИ!D104</f>
        <v>5</v>
      </c>
      <c r="F376" s="404">
        <f>СЗИ!E104</f>
        <v>0</v>
      </c>
      <c r="G376" s="404">
        <f>СЗИ!F104</f>
        <v>0</v>
      </c>
      <c r="H376" s="373">
        <f>СЗИ!R104</f>
        <v>223.04000000000002</v>
      </c>
      <c r="I376" s="404">
        <f>СЗИ!K104</f>
        <v>0</v>
      </c>
      <c r="J376" s="404">
        <f>СЗИ!I104</f>
        <v>0</v>
      </c>
      <c r="K376" s="404">
        <f>СЗИ!L104</f>
        <v>0</v>
      </c>
      <c r="L376" s="404" t="str">
        <f t="shared" si="11"/>
        <v xml:space="preserve"> </v>
      </c>
      <c r="M376" s="373">
        <f t="shared" si="12"/>
        <v>0</v>
      </c>
      <c r="N376" s="407" t="str">
        <f>СЗИ!S104</f>
        <v/>
      </c>
      <c r="O376" s="407"/>
      <c r="P376" s="407"/>
    </row>
    <row r="377" spans="1:16" ht="62.4">
      <c r="A377" s="270" t="s">
        <v>113</v>
      </c>
      <c r="B377" s="403" t="s">
        <v>342</v>
      </c>
      <c r="C377" s="404" t="str">
        <f>СЗИ!B105</f>
        <v>Как часто обновляются правила и сигнатуры в WAF и проверяются настройки</v>
      </c>
      <c r="D377" s="404" t="str">
        <f>СЗИ!C105</f>
        <v>СЗИ.WAF.3</v>
      </c>
      <c r="E377" s="404">
        <f>СЗИ!D105</f>
        <v>5</v>
      </c>
      <c r="F377" s="404">
        <f>СЗИ!E105</f>
        <v>0</v>
      </c>
      <c r="G377" s="404">
        <f>СЗИ!F105</f>
        <v>0</v>
      </c>
      <c r="H377" s="373">
        <f>СЗИ!R105</f>
        <v>223.05</v>
      </c>
      <c r="I377" s="404">
        <f>СЗИ!K105</f>
        <v>0</v>
      </c>
      <c r="J377" s="404">
        <f>СЗИ!I105</f>
        <v>0</v>
      </c>
      <c r="K377" s="404">
        <f>СЗИ!L105</f>
        <v>0</v>
      </c>
      <c r="L377" s="404" t="str">
        <f t="shared" si="11"/>
        <v xml:space="preserve"> </v>
      </c>
      <c r="M377" s="373">
        <f t="shared" si="12"/>
        <v>0</v>
      </c>
      <c r="N377" s="407" t="str">
        <f>СЗИ!S105</f>
        <v/>
      </c>
      <c r="O377" s="407"/>
      <c r="P377" s="407"/>
    </row>
    <row r="378" spans="1:16" ht="31.2">
      <c r="A378" s="270" t="s">
        <v>113</v>
      </c>
      <c r="B378" s="403" t="s">
        <v>343</v>
      </c>
      <c r="C378" s="404" t="str">
        <f>СЗИ!B107</f>
        <v>Процент покрытия инфраструктуры JumpHost</v>
      </c>
      <c r="D378" s="404" t="str">
        <f>СЗИ!C107</f>
        <v>СЗИ.PAM.1</v>
      </c>
      <c r="E378" s="404">
        <f>СЗИ!D107</f>
        <v>5</v>
      </c>
      <c r="F378" s="404">
        <f>СЗИ!E107</f>
        <v>0</v>
      </c>
      <c r="G378" s="404">
        <f>СЗИ!F107</f>
        <v>0</v>
      </c>
      <c r="H378" s="373">
        <f>СЗИ!R107</f>
        <v>224.01</v>
      </c>
      <c r="I378" s="404">
        <f>СЗИ!K107</f>
        <v>0</v>
      </c>
      <c r="J378" s="414">
        <f>СЗИ!I107</f>
        <v>0</v>
      </c>
      <c r="K378" s="404">
        <f>СЗИ!L107</f>
        <v>0</v>
      </c>
      <c r="L378" s="404" t="str">
        <f t="shared" si="11"/>
        <v xml:space="preserve"> </v>
      </c>
      <c r="M378" s="373">
        <f t="shared" si="12"/>
        <v>0</v>
      </c>
      <c r="N378" s="407" t="str">
        <f>СЗИ!S107</f>
        <v/>
      </c>
      <c r="O378" s="407"/>
      <c r="P378" s="407"/>
    </row>
    <row r="379" spans="1:16" ht="46.8">
      <c r="A379" s="270" t="s">
        <v>113</v>
      </c>
      <c r="B379" s="403" t="s">
        <v>343</v>
      </c>
      <c r="C379" s="404" t="str">
        <f>СЗИ!B108</f>
        <v>JumpHost настроены в соответствии с требованиями ТТР</v>
      </c>
      <c r="D379" s="404" t="str">
        <f>СЗИ!C108</f>
        <v>СЗИ.PAM.2</v>
      </c>
      <c r="E379" s="404">
        <f>СЗИ!D108</f>
        <v>5</v>
      </c>
      <c r="F379" s="404">
        <f>СЗИ!E108</f>
        <v>0</v>
      </c>
      <c r="G379" s="404">
        <f>СЗИ!F108</f>
        <v>0</v>
      </c>
      <c r="H379" s="373">
        <f>СЗИ!R108</f>
        <v>224.02</v>
      </c>
      <c r="I379" s="404">
        <f>СЗИ!K108</f>
        <v>0</v>
      </c>
      <c r="J379" s="404">
        <f>СЗИ!I108</f>
        <v>0</v>
      </c>
      <c r="K379" s="404">
        <f>СЗИ!L108</f>
        <v>0</v>
      </c>
      <c r="L379" s="404" t="str">
        <f t="shared" si="11"/>
        <v xml:space="preserve"> </v>
      </c>
      <c r="M379" s="373">
        <f t="shared" si="12"/>
        <v>0</v>
      </c>
      <c r="N379" s="407" t="str">
        <f>СЗИ!S108</f>
        <v/>
      </c>
      <c r="O379" s="407"/>
      <c r="P379" s="407"/>
    </row>
    <row r="380" spans="1:16" ht="46.8">
      <c r="A380" s="270" t="s">
        <v>113</v>
      </c>
      <c r="B380" s="403" t="s">
        <v>343</v>
      </c>
      <c r="C380" s="404" t="str">
        <f>СЗИ!B109</f>
        <v>Процент покрытия инфраструктуры лицензиями PAM</v>
      </c>
      <c r="D380" s="404" t="str">
        <f>СЗИ!C109</f>
        <v>СЗИ.PAM.3</v>
      </c>
      <c r="E380" s="404">
        <f>СЗИ!D109</f>
        <v>5</v>
      </c>
      <c r="F380" s="404">
        <f>СЗИ!E109</f>
        <v>0</v>
      </c>
      <c r="G380" s="404">
        <f>СЗИ!F109</f>
        <v>0</v>
      </c>
      <c r="H380" s="373">
        <f>СЗИ!R109</f>
        <v>224.03</v>
      </c>
      <c r="I380" s="404">
        <f>СЗИ!K109</f>
        <v>0</v>
      </c>
      <c r="J380" s="404">
        <f>СЗИ!I109</f>
        <v>0</v>
      </c>
      <c r="K380" s="404">
        <f>СЗИ!L109</f>
        <v>0</v>
      </c>
      <c r="L380" s="404" t="str">
        <f t="shared" si="11"/>
        <v xml:space="preserve"> </v>
      </c>
      <c r="M380" s="373">
        <f t="shared" si="12"/>
        <v>0</v>
      </c>
      <c r="N380" s="407" t="str">
        <f>СЗИ!S109</f>
        <v/>
      </c>
      <c r="O380" s="407"/>
      <c r="P380" s="407"/>
    </row>
    <row r="381" spans="1:16" ht="31.2">
      <c r="A381" s="270" t="s">
        <v>113</v>
      </c>
      <c r="B381" s="403" t="s">
        <v>343</v>
      </c>
      <c r="C381" s="404" t="str">
        <f>СЗИ!B110</f>
        <v>Процент активов, администрируемых через PAM</v>
      </c>
      <c r="D381" s="404" t="str">
        <f>СЗИ!C110</f>
        <v>СЗИ.PAM.4</v>
      </c>
      <c r="E381" s="404">
        <f>СЗИ!D110</f>
        <v>5</v>
      </c>
      <c r="F381" s="404">
        <f>СЗИ!E110</f>
        <v>0</v>
      </c>
      <c r="G381" s="404">
        <f>СЗИ!F110</f>
        <v>0</v>
      </c>
      <c r="H381" s="373">
        <f>СЗИ!R110</f>
        <v>224.04000000000002</v>
      </c>
      <c r="I381" s="404">
        <f>СЗИ!K110</f>
        <v>0</v>
      </c>
      <c r="J381" s="404">
        <f>СЗИ!I110</f>
        <v>0</v>
      </c>
      <c r="K381" s="404">
        <f>СЗИ!L110</f>
        <v>0</v>
      </c>
      <c r="L381" s="404" t="str">
        <f t="shared" si="11"/>
        <v xml:space="preserve"> </v>
      </c>
      <c r="M381" s="373">
        <f t="shared" si="12"/>
        <v>0</v>
      </c>
      <c r="N381" s="407" t="str">
        <f>СЗИ!S110</f>
        <v/>
      </c>
      <c r="O381" s="407"/>
      <c r="P381" s="407"/>
    </row>
    <row r="382" spans="1:16" ht="31.2">
      <c r="A382" s="270" t="s">
        <v>113</v>
      </c>
      <c r="B382" s="403" t="s">
        <v>343</v>
      </c>
      <c r="C382" s="404" t="str">
        <f>СЗИ!B111</f>
        <v>Настроенные политики соответствуют ТТР Блока ИБ</v>
      </c>
      <c r="D382" s="404" t="str">
        <f>СЗИ!C111</f>
        <v>СЗИ.PAM.5</v>
      </c>
      <c r="E382" s="404">
        <f>СЗИ!D111</f>
        <v>5</v>
      </c>
      <c r="F382" s="404">
        <f>СЗИ!E111</f>
        <v>0</v>
      </c>
      <c r="G382" s="404">
        <f>СЗИ!F111</f>
        <v>0</v>
      </c>
      <c r="H382" s="373">
        <f>СЗИ!R111</f>
        <v>224.05</v>
      </c>
      <c r="I382" s="404">
        <f>СЗИ!K111</f>
        <v>0</v>
      </c>
      <c r="J382" s="404">
        <f>СЗИ!I111</f>
        <v>0</v>
      </c>
      <c r="K382" s="404">
        <f>СЗИ!L111</f>
        <v>0</v>
      </c>
      <c r="L382" s="404" t="str">
        <f t="shared" si="11"/>
        <v xml:space="preserve"> </v>
      </c>
      <c r="M382" s="373">
        <f t="shared" si="12"/>
        <v>0</v>
      </c>
      <c r="N382" s="407" t="str">
        <f>СЗИ!S111</f>
        <v/>
      </c>
      <c r="O382" s="407"/>
      <c r="P382" s="407"/>
    </row>
    <row r="383" spans="1:16" ht="46.8">
      <c r="A383" s="270" t="s">
        <v>113</v>
      </c>
      <c r="B383" s="403" t="s">
        <v>344</v>
      </c>
      <c r="C383" s="404" t="str">
        <f>СЗИ!B114</f>
        <v>Все каналы выхода информации за периметр Общества контролируются средствами DLP</v>
      </c>
      <c r="D383" s="404" t="str">
        <f>СЗИ!C114</f>
        <v>СЗИ.DLP.1</v>
      </c>
      <c r="E383" s="404">
        <f>СЗИ!D114</f>
        <v>5</v>
      </c>
      <c r="F383" s="404">
        <f>СЗИ!E114</f>
        <v>0</v>
      </c>
      <c r="G383" s="404">
        <f>СЗИ!F114</f>
        <v>0</v>
      </c>
      <c r="H383" s="373">
        <f>СЗИ!R114</f>
        <v>225.01</v>
      </c>
      <c r="I383" s="404">
        <f>СЗИ!K114</f>
        <v>0</v>
      </c>
      <c r="J383" s="404">
        <f>СЗИ!I114</f>
        <v>0</v>
      </c>
      <c r="K383" s="404">
        <f>СЗИ!L114</f>
        <v>0</v>
      </c>
      <c r="L383" s="404" t="str">
        <f t="shared" si="11"/>
        <v xml:space="preserve"> </v>
      </c>
      <c r="M383" s="373">
        <f t="shared" si="12"/>
        <v>0</v>
      </c>
      <c r="N383" s="407" t="str">
        <f>СЗИ!S114</f>
        <v/>
      </c>
      <c r="O383" s="407"/>
      <c r="P383" s="407"/>
    </row>
    <row r="384" spans="1:16" ht="46.8">
      <c r="A384" s="270" t="s">
        <v>113</v>
      </c>
      <c r="B384" s="403" t="s">
        <v>344</v>
      </c>
      <c r="C384" s="404" t="str">
        <f>СЗИ!B116</f>
        <v>Процент покрытия инфраструктуры средствами DLP</v>
      </c>
      <c r="D384" s="404" t="str">
        <f>СЗИ!C116</f>
        <v>СЗИ.DLP.4</v>
      </c>
      <c r="E384" s="404">
        <f>СЗИ!D116</f>
        <v>4.75</v>
      </c>
      <c r="F384" s="404">
        <f>СЗИ!E116</f>
        <v>0</v>
      </c>
      <c r="G384" s="404">
        <f>СЗИ!F116</f>
        <v>0</v>
      </c>
      <c r="H384" s="373">
        <f>СЗИ!R116</f>
        <v>225.02999999999997</v>
      </c>
      <c r="I384" s="404">
        <f>СЗИ!K116</f>
        <v>0</v>
      </c>
      <c r="J384" s="190">
        <f>СЗИ!I116</f>
        <v>0</v>
      </c>
      <c r="K384" s="404">
        <f>СЗИ!L116</f>
        <v>0</v>
      </c>
      <c r="L384" s="404" t="str">
        <f t="shared" si="11"/>
        <v xml:space="preserve"> </v>
      </c>
      <c r="M384" s="373">
        <f t="shared" si="12"/>
        <v>0</v>
      </c>
      <c r="N384" s="407" t="str">
        <f>СЗИ!S116</f>
        <v/>
      </c>
      <c r="O384" s="407"/>
      <c r="P384" s="407"/>
    </row>
    <row r="385" spans="1:16" ht="46.8">
      <c r="A385" s="270" t="s">
        <v>113</v>
      </c>
      <c r="B385" s="403" t="s">
        <v>344</v>
      </c>
      <c r="C385" s="404" t="str">
        <f>СЗИ!B117</f>
        <v>Осуществляется централизованное управление DLP</v>
      </c>
      <c r="D385" s="404" t="str">
        <f>СЗИ!C117</f>
        <v>СЗИ.DLP.5</v>
      </c>
      <c r="E385" s="404">
        <f>СЗИ!D117</f>
        <v>5</v>
      </c>
      <c r="F385" s="404">
        <f>СЗИ!E117</f>
        <v>0</v>
      </c>
      <c r="G385" s="404">
        <f>СЗИ!F117</f>
        <v>0</v>
      </c>
      <c r="H385" s="373">
        <f>СЗИ!R117</f>
        <v>225.03999999999996</v>
      </c>
      <c r="I385" s="404">
        <f>СЗИ!K117</f>
        <v>0</v>
      </c>
      <c r="J385" s="404">
        <f>СЗИ!I117</f>
        <v>0</v>
      </c>
      <c r="K385" s="404">
        <f>СЗИ!L117</f>
        <v>0</v>
      </c>
      <c r="L385" s="404" t="str">
        <f t="shared" si="11"/>
        <v xml:space="preserve"> </v>
      </c>
      <c r="M385" s="373">
        <f t="shared" si="12"/>
        <v>0</v>
      </c>
      <c r="N385" s="407" t="str">
        <f>СЗИ!S117</f>
        <v/>
      </c>
      <c r="O385" s="407"/>
      <c r="P385" s="407"/>
    </row>
    <row r="386" spans="1:16" ht="46.8">
      <c r="A386" s="270" t="s">
        <v>113</v>
      </c>
      <c r="B386" s="403" t="s">
        <v>344</v>
      </c>
      <c r="C386" s="404" t="str">
        <f>СЗИ!B118</f>
        <v>Настроенные политики соответствуют ТТР Блока ИБ</v>
      </c>
      <c r="D386" s="404" t="str">
        <f>СЗИ!C118</f>
        <v>СЗИ.DLP.6</v>
      </c>
      <c r="E386" s="404">
        <f>СЗИ!D118</f>
        <v>5</v>
      </c>
      <c r="F386" s="404">
        <f>СЗИ!E118</f>
        <v>0</v>
      </c>
      <c r="G386" s="404">
        <f>СЗИ!F118</f>
        <v>0</v>
      </c>
      <c r="H386" s="373">
        <f>СЗИ!R118</f>
        <v>225.04999999999995</v>
      </c>
      <c r="I386" s="404">
        <f>СЗИ!K118</f>
        <v>0</v>
      </c>
      <c r="J386" s="404">
        <f>СЗИ!I118</f>
        <v>0</v>
      </c>
      <c r="K386" s="404">
        <f>СЗИ!L118</f>
        <v>0</v>
      </c>
      <c r="L386" s="404" t="str">
        <f t="shared" ref="L386:L446" si="13">IF(J386=I386," ",K386-J386)</f>
        <v xml:space="preserve"> </v>
      </c>
      <c r="M386" s="373">
        <f t="shared" si="12"/>
        <v>0</v>
      </c>
      <c r="N386" s="407" t="str">
        <f>СЗИ!S118</f>
        <v/>
      </c>
      <c r="O386" s="407"/>
      <c r="P386" s="407"/>
    </row>
    <row r="387" spans="1:16" ht="46.8">
      <c r="A387" s="270" t="s">
        <v>113</v>
      </c>
      <c r="B387" s="403" t="s">
        <v>344</v>
      </c>
      <c r="C387" s="404" t="str">
        <f>СЗИ!B119</f>
        <v>Процесс контроля работоспособности DLP</v>
      </c>
      <c r="D387" s="404" t="str">
        <f>СЗИ!C119</f>
        <v>СЗИ.DLP.7</v>
      </c>
      <c r="E387" s="404">
        <f>СЗИ!D119</f>
        <v>4</v>
      </c>
      <c r="F387" s="404">
        <f>СЗИ!E119</f>
        <v>0</v>
      </c>
      <c r="G387" s="404">
        <f>СЗИ!F119</f>
        <v>0</v>
      </c>
      <c r="H387" s="373">
        <f>СЗИ!R119</f>
        <v>225.05999999999995</v>
      </c>
      <c r="I387" s="404">
        <f>СЗИ!K119</f>
        <v>0</v>
      </c>
      <c r="J387" s="404">
        <f>СЗИ!I119</f>
        <v>0</v>
      </c>
      <c r="K387" s="404">
        <f>СЗИ!L119</f>
        <v>0</v>
      </c>
      <c r="L387" s="404" t="str">
        <f t="shared" si="13"/>
        <v xml:space="preserve"> </v>
      </c>
      <c r="M387" s="373">
        <f t="shared" ref="M387:M450" si="14">IF(H387&lt;100,    IF(K387&gt;=G387,0,I387-K387),       IF(H387&lt;300,     IF(K387&gt;=F387,0,I387-K387),                  IF(K387&gt;=E387,0,I387-K387)))</f>
        <v>0</v>
      </c>
      <c r="N387" s="407" t="str">
        <f>СЗИ!S119</f>
        <v/>
      </c>
      <c r="O387" s="407"/>
      <c r="P387" s="407"/>
    </row>
    <row r="388" spans="1:16" ht="46.8">
      <c r="A388" s="270" t="s">
        <v>113</v>
      </c>
      <c r="B388" s="403" t="s">
        <v>344</v>
      </c>
      <c r="C388" s="404" t="str">
        <f>СЗИ!B120</f>
        <v>Наличие плейбука по реагированию на события DLP</v>
      </c>
      <c r="D388" s="404" t="str">
        <f>СЗИ!C120</f>
        <v>РЕАГ.PB.5.9.3.10</v>
      </c>
      <c r="E388" s="404">
        <f>СЗИ!D120</f>
        <v>5</v>
      </c>
      <c r="F388" s="404">
        <f>СЗИ!E120</f>
        <v>0</v>
      </c>
      <c r="G388" s="404">
        <f>СЗИ!F120</f>
        <v>0</v>
      </c>
      <c r="H388" s="373">
        <f>СЗИ!R120</f>
        <v>225.06999999999994</v>
      </c>
      <c r="I388" s="404">
        <f>СЗИ!K120</f>
        <v>0</v>
      </c>
      <c r="J388" s="404">
        <f>СЗИ!I120</f>
        <v>0</v>
      </c>
      <c r="K388" s="404">
        <f>СЗИ!L120</f>
        <v>0</v>
      </c>
      <c r="L388" s="404" t="str">
        <f t="shared" si="13"/>
        <v xml:space="preserve"> </v>
      </c>
      <c r="M388" s="373">
        <f t="shared" si="14"/>
        <v>0</v>
      </c>
      <c r="N388" s="407" t="str">
        <f>СЗИ!S120</f>
        <v/>
      </c>
      <c r="O388" s="407"/>
      <c r="P388" s="407"/>
    </row>
    <row r="389" spans="1:16" ht="62.4">
      <c r="A389" s="270" t="s">
        <v>19</v>
      </c>
      <c r="B389" s="403" t="s">
        <v>279</v>
      </c>
      <c r="C389" s="404" t="str">
        <f>Реагирование!B57</f>
        <v>Наличие плейбука по реагированию на сработки АВЗ</v>
      </c>
      <c r="D389" s="404" t="str">
        <f>Реагирование!C57</f>
        <v>РЕАГ.PB.5.9.3.2</v>
      </c>
      <c r="E389" s="404">
        <f>Реагирование!D57</f>
        <v>5</v>
      </c>
      <c r="F389" s="404">
        <f>Реагирование!E57</f>
        <v>5</v>
      </c>
      <c r="G389" s="404">
        <f>Реагирование!F57</f>
        <v>5</v>
      </c>
      <c r="H389" s="410">
        <f>Реагирование!R57</f>
        <v>227.01999999999998</v>
      </c>
      <c r="I389" s="404">
        <f>Реагирование!K57</f>
        <v>5</v>
      </c>
      <c r="J389" s="404">
        <f>Реагирование!I57</f>
        <v>0</v>
      </c>
      <c r="K389" s="404">
        <f>Реагирование!L57</f>
        <v>0</v>
      </c>
      <c r="L389" s="404">
        <f t="shared" si="13"/>
        <v>0</v>
      </c>
      <c r="M389" s="373">
        <f t="shared" si="14"/>
        <v>5</v>
      </c>
      <c r="N389" s="407">
        <f>Реагирование!S57</f>
        <v>0</v>
      </c>
      <c r="O389" s="407"/>
      <c r="P389" s="407"/>
    </row>
    <row r="390" spans="1:16" ht="62.4">
      <c r="A390" s="270" t="s">
        <v>19</v>
      </c>
      <c r="B390" s="403" t="s">
        <v>279</v>
      </c>
      <c r="C390" s="404" t="str">
        <f>Реагирование!B60</f>
        <v>Наличие плейбука по реагированию на сработки (NGFW)</v>
      </c>
      <c r="D390" s="404" t="str">
        <f>Реагирование!C60</f>
        <v>РЕАГ.PB.5.9.3.5</v>
      </c>
      <c r="E390" s="404">
        <f>Реагирование!D60</f>
        <v>5</v>
      </c>
      <c r="F390" s="404">
        <f>Реагирование!E60</f>
        <v>5</v>
      </c>
      <c r="G390" s="404">
        <f>Реагирование!F60</f>
        <v>0</v>
      </c>
      <c r="H390" s="410">
        <f>Реагирование!R60</f>
        <v>227.04999999999995</v>
      </c>
      <c r="I390" s="404">
        <f>Реагирование!K60</f>
        <v>0</v>
      </c>
      <c r="J390" s="404">
        <f>Реагирование!I60</f>
        <v>0</v>
      </c>
      <c r="K390" s="404">
        <f>Реагирование!L60</f>
        <v>0</v>
      </c>
      <c r="L390" s="404" t="str">
        <f t="shared" si="13"/>
        <v xml:space="preserve"> </v>
      </c>
      <c r="M390" s="373">
        <f t="shared" si="14"/>
        <v>0</v>
      </c>
      <c r="N390" s="407" t="str">
        <f>Реагирование!S60</f>
        <v xml:space="preserve"> - Разработать и простестировать плейбуки по реагированию на сработки NGFW.</v>
      </c>
      <c r="O390" s="407"/>
      <c r="P390" s="407"/>
    </row>
    <row r="391" spans="1:16" ht="62.4">
      <c r="A391" s="270" t="s">
        <v>19</v>
      </c>
      <c r="B391" s="403" t="s">
        <v>279</v>
      </c>
      <c r="C391" s="404" t="str">
        <f>Реагирование!B61</f>
        <v>Наличие плейбука по реагированию на сработки (Прокси-сервер)</v>
      </c>
      <c r="D391" s="404" t="str">
        <f>Реагирование!C61</f>
        <v>РЕАГ.PB.5.9.3.6</v>
      </c>
      <c r="E391" s="404">
        <f>Реагирование!D61</f>
        <v>5</v>
      </c>
      <c r="F391" s="404">
        <f>Реагирование!E61</f>
        <v>5</v>
      </c>
      <c r="G391" s="404">
        <f>Реагирование!F61</f>
        <v>0</v>
      </c>
      <c r="H391" s="410">
        <f>Реагирование!R61</f>
        <v>227.05999999999995</v>
      </c>
      <c r="I391" s="404">
        <f>Реагирование!K61</f>
        <v>0</v>
      </c>
      <c r="J391" s="404">
        <f>Реагирование!I61</f>
        <v>0</v>
      </c>
      <c r="K391" s="404">
        <f>Реагирование!L61</f>
        <v>0</v>
      </c>
      <c r="L391" s="404" t="str">
        <f t="shared" si="13"/>
        <v xml:space="preserve"> </v>
      </c>
      <c r="M391" s="373">
        <f t="shared" si="14"/>
        <v>0</v>
      </c>
      <c r="N391" s="407" t="str">
        <f>Реагирование!S61</f>
        <v xml:space="preserve"> - Разработать и простестировать плейбуки по реагированию на сработки Прокси-сервера.</v>
      </c>
      <c r="O391" s="407"/>
      <c r="P391" s="407"/>
    </row>
    <row r="392" spans="1:16" ht="62.4">
      <c r="A392" s="270" t="s">
        <v>19</v>
      </c>
      <c r="B392" s="403" t="s">
        <v>279</v>
      </c>
      <c r="C392" s="404" t="str">
        <f>Реагирование!B64</f>
        <v>Наличие плейбука по реагированию на сработки PAM</v>
      </c>
      <c r="D392" s="404" t="str">
        <f>Реагирование!C64</f>
        <v>РЕАГ.PB.5.9.3.9</v>
      </c>
      <c r="E392" s="404">
        <f>Реагирование!D64</f>
        <v>5</v>
      </c>
      <c r="F392" s="404">
        <f>Реагирование!E64</f>
        <v>0</v>
      </c>
      <c r="G392" s="404">
        <f>Реагирование!F64</f>
        <v>0</v>
      </c>
      <c r="H392" s="410">
        <f>Реагирование!R64</f>
        <v>227.08999999999992</v>
      </c>
      <c r="I392" s="404">
        <f>Реагирование!K64</f>
        <v>0</v>
      </c>
      <c r="J392" s="404">
        <f>Реагирование!I64</f>
        <v>0</v>
      </c>
      <c r="K392" s="404">
        <f>Реагирование!L64</f>
        <v>0</v>
      </c>
      <c r="L392" s="404" t="str">
        <f t="shared" si="13"/>
        <v xml:space="preserve"> </v>
      </c>
      <c r="M392" s="373">
        <f t="shared" si="14"/>
        <v>0</v>
      </c>
      <c r="N392" s="407" t="str">
        <f>Реагирование!S64</f>
        <v/>
      </c>
      <c r="O392" s="407"/>
      <c r="P392" s="407"/>
    </row>
    <row r="393" spans="1:16" ht="62.4">
      <c r="A393" s="270" t="s">
        <v>19</v>
      </c>
      <c r="B393" s="403" t="s">
        <v>279</v>
      </c>
      <c r="C393" s="404" t="str">
        <f>Реагирование!B65</f>
        <v>Наличие плейбука по реагированию на события DLP</v>
      </c>
      <c r="D393" s="404" t="str">
        <f>Реагирование!C65</f>
        <v>РЕАГ.PB.5.9.3.10</v>
      </c>
      <c r="E393" s="404">
        <f>Реагирование!D65</f>
        <v>5</v>
      </c>
      <c r="F393" s="404">
        <f>Реагирование!E65</f>
        <v>0</v>
      </c>
      <c r="G393" s="404">
        <f>Реагирование!F65</f>
        <v>0</v>
      </c>
      <c r="H393" s="410">
        <f>Реагирование!R65</f>
        <v>227.09999999999991</v>
      </c>
      <c r="I393" s="404">
        <f>Реагирование!K65</f>
        <v>0</v>
      </c>
      <c r="J393" s="404">
        <f>Реагирование!I65</f>
        <v>0</v>
      </c>
      <c r="K393" s="404">
        <f>Реагирование!L65</f>
        <v>0</v>
      </c>
      <c r="L393" s="404" t="str">
        <f t="shared" si="13"/>
        <v xml:space="preserve"> </v>
      </c>
      <c r="M393" s="373">
        <f t="shared" si="14"/>
        <v>0</v>
      </c>
      <c r="N393" s="407" t="str">
        <f>Реагирование!S65</f>
        <v/>
      </c>
      <c r="O393" s="407"/>
      <c r="P393" s="407"/>
    </row>
    <row r="394" spans="1:16" ht="62.4">
      <c r="A394" s="270" t="s">
        <v>19</v>
      </c>
      <c r="B394" s="403" t="s">
        <v>279</v>
      </c>
      <c r="C394" s="404" t="str">
        <f>Реагирование!B66</f>
        <v>Наличие плейбука по реагированию на сработки (WAF)</v>
      </c>
      <c r="D394" s="404" t="str">
        <f>Реагирование!C66</f>
        <v>РЕАГ.PB.5.9.3.11</v>
      </c>
      <c r="E394" s="404">
        <f>Реагирование!D66</f>
        <v>5</v>
      </c>
      <c r="F394" s="404">
        <f>Реагирование!E66</f>
        <v>0</v>
      </c>
      <c r="G394" s="404">
        <f>Реагирование!F66</f>
        <v>0</v>
      </c>
      <c r="H394" s="410">
        <f>Реагирование!R66</f>
        <v>227.1099999999999</v>
      </c>
      <c r="I394" s="404">
        <f>Реагирование!K66</f>
        <v>0</v>
      </c>
      <c r="J394" s="404">
        <f>Реагирование!I66</f>
        <v>0</v>
      </c>
      <c r="K394" s="404">
        <f>Реагирование!L66</f>
        <v>0</v>
      </c>
      <c r="L394" s="404" t="str">
        <f t="shared" si="13"/>
        <v xml:space="preserve"> </v>
      </c>
      <c r="M394" s="373">
        <f t="shared" si="14"/>
        <v>0</v>
      </c>
      <c r="N394" s="407" t="str">
        <f>Реагирование!S66</f>
        <v/>
      </c>
      <c r="O394" s="407"/>
      <c r="P394" s="407"/>
    </row>
    <row r="395" spans="1:16" ht="62.4">
      <c r="A395" s="270" t="s">
        <v>19</v>
      </c>
      <c r="B395" s="403" t="s">
        <v>279</v>
      </c>
      <c r="C395" s="404" t="str">
        <f>Реагирование!B63</f>
        <v>Наличие плейбука по реагированию на сработки (Антиспам)</v>
      </c>
      <c r="D395" s="404" t="str">
        <f>Реагирование!C63</f>
        <v>РЕАГ.PB.5.9.3.8</v>
      </c>
      <c r="E395" s="404">
        <f>Реагирование!D63</f>
        <v>5</v>
      </c>
      <c r="F395" s="404">
        <f>Реагирование!E63</f>
        <v>5</v>
      </c>
      <c r="G395" s="404">
        <f>Реагирование!F63</f>
        <v>0</v>
      </c>
      <c r="H395" s="410">
        <f>Реагирование!R63</f>
        <v>227.07999999999993</v>
      </c>
      <c r="I395" s="404">
        <f>Реагирование!K63</f>
        <v>0</v>
      </c>
      <c r="J395" s="404">
        <f>Реагирование!I63</f>
        <v>0</v>
      </c>
      <c r="K395" s="404">
        <f>Реагирование!L63</f>
        <v>0</v>
      </c>
      <c r="L395" s="404" t="str">
        <f t="shared" si="13"/>
        <v xml:space="preserve"> </v>
      </c>
      <c r="M395" s="373">
        <f t="shared" si="14"/>
        <v>0</v>
      </c>
      <c r="N395" s="407" t="str">
        <f>Реагирование!S63</f>
        <v xml:space="preserve"> - Разработать и простестировать плейбуки по реагированию на сработки Антиспам</v>
      </c>
      <c r="O395" s="407"/>
      <c r="P395" s="407"/>
    </row>
    <row r="396" spans="1:16" ht="78">
      <c r="A396" s="270" t="s">
        <v>780</v>
      </c>
      <c r="B396" s="405" t="s">
        <v>48</v>
      </c>
      <c r="C396" s="517" t="str">
        <f>'Управление ИБ'!B102</f>
        <v>Информационные системы Общества соотнесены с ресурсами, на которых они функциониуют</v>
      </c>
      <c r="D396" s="404" t="str">
        <f>'Управление ИБ'!C102</f>
        <v>УИБ.УА.1</v>
      </c>
      <c r="E396" s="404">
        <f>'Управление ИБ'!D102</f>
        <v>5</v>
      </c>
      <c r="F396" s="404">
        <f>'Управление ИБ'!E102</f>
        <v>3.2</v>
      </c>
      <c r="G396" s="404">
        <f>'Управление ИБ'!F102</f>
        <v>1.6</v>
      </c>
      <c r="H396" s="373">
        <f>'Управление ИБ'!R102</f>
        <v>229.01</v>
      </c>
      <c r="I396" s="404">
        <f>'Управление ИБ'!K102</f>
        <v>1.6</v>
      </c>
      <c r="J396" s="404">
        <f>'Управление ИБ'!I102</f>
        <v>0</v>
      </c>
      <c r="K396" s="404">
        <f>'Управление ИБ'!L102</f>
        <v>1.6</v>
      </c>
      <c r="L396" s="404">
        <f t="shared" si="13"/>
        <v>1.6</v>
      </c>
      <c r="M396" s="373">
        <f t="shared" si="14"/>
        <v>0</v>
      </c>
      <c r="N396" s="407" t="str">
        <f>'Управление ИБ'!S102</f>
        <v xml:space="preserve"> - Автоматизировать учет ИС и информационных ресурсов и сформировать единую базу данных.</v>
      </c>
      <c r="O396" s="407"/>
      <c r="P396" s="407"/>
    </row>
    <row r="397" spans="1:16" ht="78">
      <c r="A397" s="270" t="s">
        <v>780</v>
      </c>
      <c r="B397" s="405" t="s">
        <v>48</v>
      </c>
      <c r="C397" s="517" t="str">
        <f>'Управление ИБ'!B103</f>
        <v>Внедрен процесс инвентаризации и категорирования информационных активов</v>
      </c>
      <c r="D397" s="404" t="str">
        <f>'Управление ИБ'!C103</f>
        <v>УИБ.УА.2</v>
      </c>
      <c r="E397" s="404">
        <f>'Управление ИБ'!D103</f>
        <v>4</v>
      </c>
      <c r="F397" s="404">
        <f>'Управление ИБ'!E103</f>
        <v>3</v>
      </c>
      <c r="G397" s="404">
        <f>'Управление ИБ'!F103</f>
        <v>1</v>
      </c>
      <c r="H397" s="373">
        <f>'Управление ИБ'!R103</f>
        <v>229.01999999999998</v>
      </c>
      <c r="I397" s="404">
        <f>'Управление ИБ'!K103</f>
        <v>1</v>
      </c>
      <c r="J397" s="404">
        <f>'Управление ИБ'!I103</f>
        <v>0</v>
      </c>
      <c r="K397" s="404">
        <f>'Управление ИБ'!L103</f>
        <v>1</v>
      </c>
      <c r="L397" s="404">
        <f t="shared" si="13"/>
        <v>1</v>
      </c>
      <c r="M397" s="373">
        <f t="shared" si="14"/>
        <v>0</v>
      </c>
      <c r="N397" s="407" t="str">
        <f>'Управление ИБ'!S103</f>
        <v xml:space="preserve"> - Провести категорирование всех ИА;
  - Реализовать процесс обеспечения требований ИБ в соответствии с категорией.</v>
      </c>
      <c r="O397" s="407"/>
      <c r="P397" s="407"/>
    </row>
    <row r="398" spans="1:16" ht="93.6">
      <c r="A398" s="270" t="s">
        <v>19</v>
      </c>
      <c r="B398" s="403" t="s">
        <v>279</v>
      </c>
      <c r="C398" s="404" t="str">
        <f>Реагирование!B67</f>
        <v>Внедрены процессы отчетности</v>
      </c>
      <c r="D398" s="404" t="str">
        <f>Реагирование!C67</f>
        <v>РЕАГ.PB.5.9.3.12</v>
      </c>
      <c r="E398" s="404">
        <f>Реагирование!D67</f>
        <v>4</v>
      </c>
      <c r="F398" s="404">
        <f>Реагирование!E67</f>
        <v>3</v>
      </c>
      <c r="G398" s="404">
        <f>Реагирование!F67</f>
        <v>0</v>
      </c>
      <c r="H398" s="410">
        <f>Реагирование!R67</f>
        <v>227.11999999999989</v>
      </c>
      <c r="I398" s="404">
        <f>Реагирование!K67</f>
        <v>0</v>
      </c>
      <c r="J398" s="404">
        <f>Реагирование!I67</f>
        <v>0</v>
      </c>
      <c r="K398" s="404">
        <f>Реагирование!L67</f>
        <v>0</v>
      </c>
      <c r="L398" s="404" t="str">
        <f t="shared" si="13"/>
        <v xml:space="preserve"> </v>
      </c>
      <c r="M398" s="373">
        <f t="shared" si="14"/>
        <v>0</v>
      </c>
      <c r="N398" s="407" t="str">
        <f>Реагирование!S67</f>
        <v xml:space="preserve"> - Разработать систему отчетности по выполнению плейбуков;
  - Разработать систему метрик для оценки процесса;  
  - Создать средства контроля и отчетности по рагированию на инциденты;
   - Реализовать мониторинг параметров процесса;
   - Реализовать реагирование на факты отклонения параметров процесса от определенных показателей.</v>
      </c>
      <c r="O398" s="407"/>
      <c r="P398" s="407"/>
    </row>
    <row r="399" spans="1:16" ht="78">
      <c r="A399" s="270" t="s">
        <v>780</v>
      </c>
      <c r="B399" s="405" t="s">
        <v>48</v>
      </c>
      <c r="C399" s="517" t="str">
        <f>'Управление ИБ'!B104</f>
        <v>Описаны все сетевые взаимодействия между компонентами инфраструктуры и информационными системами</v>
      </c>
      <c r="D399" s="404" t="str">
        <f>'Управление ИБ'!C104</f>
        <v>УИБ.УА.3</v>
      </c>
      <c r="E399" s="404">
        <f>'Управление ИБ'!D104</f>
        <v>5</v>
      </c>
      <c r="F399" s="404">
        <f>'Управление ИБ'!E104</f>
        <v>3.2</v>
      </c>
      <c r="G399" s="404">
        <f>'Управление ИБ'!F104</f>
        <v>0</v>
      </c>
      <c r="H399" s="373">
        <f>'Управление ИБ'!R104</f>
        <v>229.02999999999997</v>
      </c>
      <c r="I399" s="404">
        <f>'Управление ИБ'!K104</f>
        <v>0</v>
      </c>
      <c r="J399" s="404">
        <f>'Управление ИБ'!I104</f>
        <v>0</v>
      </c>
      <c r="K399" s="404">
        <f>'Управление ИБ'!L104</f>
        <v>1.6</v>
      </c>
      <c r="L399" s="404" t="str">
        <f t="shared" si="13"/>
        <v xml:space="preserve"> </v>
      </c>
      <c r="M399" s="373">
        <f t="shared" si="14"/>
        <v>-1.6</v>
      </c>
      <c r="N399" s="407" t="str">
        <f>'Управление ИБ'!S104</f>
        <v xml:space="preserve"> - Регламентировать порядок описания сетевых взаимодействий;
  - Документировать перечень разрешенных сетевых взаимодействий для компонентов инфраструктуры и не менее чем для 30% ИС;
   - По результатам документирования привести в соответствие правила межсетевых экранов.</v>
      </c>
      <c r="O399" s="407"/>
      <c r="P399" s="407"/>
    </row>
    <row r="400" spans="1:16" ht="62.4">
      <c r="A400" s="270" t="s">
        <v>19</v>
      </c>
      <c r="B400" s="403" t="s">
        <v>503</v>
      </c>
      <c r="C400" s="404" t="str">
        <f>Реагирование!B50</f>
        <v>Есть собственная команда или договор на расследование инцидентов ИБ</v>
      </c>
      <c r="D400" s="404" t="str">
        <f>Реагирование!C50</f>
        <v>РЕАГ.АНЛЗ.1</v>
      </c>
      <c r="E400" s="404">
        <f>Реагирование!D50</f>
        <v>5</v>
      </c>
      <c r="F400" s="404">
        <f>Реагирование!E50</f>
        <v>5</v>
      </c>
      <c r="G400" s="404">
        <f>Реагирование!F50</f>
        <v>0</v>
      </c>
      <c r="H400" s="373">
        <f>Реагирование!R50</f>
        <v>230.01</v>
      </c>
      <c r="I400" s="404">
        <f>Реагирование!K50</f>
        <v>0</v>
      </c>
      <c r="J400" s="404">
        <f>Реагирование!I50</f>
        <v>0</v>
      </c>
      <c r="K400" s="404">
        <f>Реагирование!L50</f>
        <v>0</v>
      </c>
      <c r="L400" s="404" t="str">
        <f t="shared" si="13"/>
        <v xml:space="preserve"> </v>
      </c>
      <c r="M400" s="373">
        <f t="shared" si="14"/>
        <v>0</v>
      </c>
      <c r="N400" s="407" t="str">
        <f>Реагирование!S50</f>
        <v xml:space="preserve"> - Создать подразделение (выделить штатную должность), отвечающее за расследование инцидентов ИБ либо заключить сервисный договор.</v>
      </c>
      <c r="O400" s="407"/>
      <c r="P400" s="407"/>
    </row>
    <row r="401" spans="1:16" ht="78">
      <c r="A401" s="270" t="s">
        <v>780</v>
      </c>
      <c r="B401" s="405" t="s">
        <v>48</v>
      </c>
      <c r="C401" s="517" t="str">
        <f>'Управление ИБ'!B105</f>
        <v>Определены правила конфигурирования ативов (Харденинг)</v>
      </c>
      <c r="D401" s="404" t="str">
        <f>'Управление ИБ'!C105</f>
        <v>УИБ.УА.4</v>
      </c>
      <c r="E401" s="404">
        <f>'Управление ИБ'!D105</f>
        <v>5</v>
      </c>
      <c r="F401" s="404">
        <f>'Управление ИБ'!E105</f>
        <v>3.2</v>
      </c>
      <c r="G401" s="404">
        <f>'Управление ИБ'!F105</f>
        <v>0</v>
      </c>
      <c r="H401" s="373">
        <f>'Управление ИБ'!R105</f>
        <v>229.03999999999996</v>
      </c>
      <c r="I401" s="404">
        <f>'Управление ИБ'!K105</f>
        <v>0</v>
      </c>
      <c r="J401" s="404">
        <f>'Управление ИБ'!I105</f>
        <v>0</v>
      </c>
      <c r="K401" s="404">
        <f>'Управление ИБ'!L105</f>
        <v>0</v>
      </c>
      <c r="L401" s="404" t="str">
        <f t="shared" si="13"/>
        <v xml:space="preserve"> </v>
      </c>
      <c r="M401" s="373">
        <f t="shared" si="14"/>
        <v>0</v>
      </c>
      <c r="N401" s="407" t="str">
        <f>'Управление ИБ'!S105</f>
        <v xml:space="preserve"> - Разработать или Получить в Блоке ИБ ПАО Ростелеком типовые защищенные конфигурации;
   - Обеспечить применение безопасных конфигураций на не менее чем 50% хостов.</v>
      </c>
      <c r="O401" s="407"/>
      <c r="P401" s="407"/>
    </row>
    <row r="402" spans="1:16" ht="78">
      <c r="A402" s="270" t="s">
        <v>780</v>
      </c>
      <c r="B402" s="405" t="s">
        <v>48</v>
      </c>
      <c r="C402" s="517" t="str">
        <f>'Управление ИБ'!B106</f>
        <v>Внедрен процесс контроля изменений конфигурации</v>
      </c>
      <c r="D402" s="404" t="str">
        <f>'Управление ИБ'!C106</f>
        <v>УИБ.УА.5</v>
      </c>
      <c r="E402" s="404">
        <f>'Управление ИБ'!D106</f>
        <v>4</v>
      </c>
      <c r="F402" s="404">
        <f>'Управление ИБ'!E106</f>
        <v>3</v>
      </c>
      <c r="G402" s="404">
        <f>'Управление ИБ'!F106</f>
        <v>0</v>
      </c>
      <c r="H402" s="373">
        <f>'Управление ИБ'!R106</f>
        <v>229.04999999999995</v>
      </c>
      <c r="I402" s="404">
        <f>'Управление ИБ'!K106</f>
        <v>0</v>
      </c>
      <c r="J402" s="404">
        <f>'Управление ИБ'!I106</f>
        <v>0</v>
      </c>
      <c r="K402" s="404">
        <f>'Управление ИБ'!L106</f>
        <v>0</v>
      </c>
      <c r="L402" s="404" t="str">
        <f t="shared" si="13"/>
        <v xml:space="preserve"> </v>
      </c>
      <c r="M402" s="373">
        <f t="shared" si="14"/>
        <v>0</v>
      </c>
      <c r="N402" s="407" t="str">
        <f>'Управление ИБ'!S106</f>
        <v xml:space="preserve"> - Контролировать соответствие сетевых взаимодействий документации, применение и неизменность безопасных конфигураций не реже чем раз в 1 год.</v>
      </c>
      <c r="O402" s="407"/>
      <c r="P402" s="407"/>
    </row>
    <row r="403" spans="1:16" ht="78">
      <c r="A403" s="270" t="s">
        <v>19</v>
      </c>
      <c r="B403" s="403" t="s">
        <v>503</v>
      </c>
      <c r="C403" s="404" t="str">
        <f>Реагирование!B54</f>
        <v>Проводятся регулярные киберучения по реагированию на инциденты ИБ</v>
      </c>
      <c r="D403" s="404" t="str">
        <f>Реагирование!C54</f>
        <v>РЕАГ.АНЛЗ.5</v>
      </c>
      <c r="E403" s="404">
        <f>Реагирование!D54</f>
        <v>5</v>
      </c>
      <c r="F403" s="404">
        <f>Реагирование!E54</f>
        <v>3.2</v>
      </c>
      <c r="G403" s="404">
        <f>Реагирование!F54</f>
        <v>0</v>
      </c>
      <c r="H403" s="373">
        <f>Реагирование!R54</f>
        <v>230.04999999999995</v>
      </c>
      <c r="I403" s="404">
        <f>Реагирование!K54</f>
        <v>0</v>
      </c>
      <c r="J403" s="404">
        <f>Реагирование!I54</f>
        <v>0</v>
      </c>
      <c r="K403" s="404">
        <f>Реагирование!L54</f>
        <v>0</v>
      </c>
      <c r="L403" s="404" t="str">
        <f t="shared" si="13"/>
        <v xml:space="preserve"> </v>
      </c>
      <c r="M403" s="373">
        <f t="shared" si="14"/>
        <v>0</v>
      </c>
      <c r="N403" s="407" t="str">
        <f>Реагирование!S54</f>
        <v xml:space="preserve"> - Разработать и утвердить методику и программу проведения киберучений по реагированию на инциденты;
 -  Учебные сценарии должны включать взаимодействие заинтересованных лиц и позволяют тестировать постановку задач, процессы коммуникации и принятия решений;
 -  Обеспечить ежегодное планирование и проведения киберучений</v>
      </c>
      <c r="O403" s="407"/>
      <c r="P403" s="407"/>
    </row>
    <row r="404" spans="1:16" ht="78">
      <c r="A404" s="270" t="s">
        <v>780</v>
      </c>
      <c r="B404" s="403" t="s">
        <v>421</v>
      </c>
      <c r="C404" s="404" t="str">
        <f>'Управление ИБ'!B157</f>
        <v>Проводится регулярное профессиональное обучение и повышение квалификации работников ИБ</v>
      </c>
      <c r="D404" s="404" t="str">
        <f>'Управление ИБ'!C157</f>
        <v>УИБ.AW.1</v>
      </c>
      <c r="E404" s="404">
        <f>'Управление ИБ'!D157</f>
        <v>5</v>
      </c>
      <c r="F404" s="404">
        <f>'Управление ИБ'!E157</f>
        <v>3.2</v>
      </c>
      <c r="G404" s="404">
        <f>'Управление ИБ'!F157</f>
        <v>1.6</v>
      </c>
      <c r="H404" s="410">
        <f>'Управление ИБ'!R157</f>
        <v>231.01</v>
      </c>
      <c r="I404" s="404">
        <f>'Управление ИБ'!K157</f>
        <v>1.6</v>
      </c>
      <c r="J404" s="404">
        <f>'Управление ИБ'!I157</f>
        <v>0</v>
      </c>
      <c r="K404" s="404">
        <f>'Управление ИБ'!L157</f>
        <v>0</v>
      </c>
      <c r="L404" s="404">
        <f t="shared" si="13"/>
        <v>0</v>
      </c>
      <c r="M404" s="373">
        <f t="shared" si="14"/>
        <v>1.6</v>
      </c>
      <c r="N404" s="407" t="str">
        <f>'Управление ИБ'!S157</f>
        <v xml:space="preserve"> - Проводить профессиональное обучение и повышение квалификации работников ИБ на основе плана, сформированного в предыдущем году по заявкам от работников</v>
      </c>
      <c r="O404" s="407"/>
      <c r="P404" s="407"/>
    </row>
    <row r="405" spans="1:16" ht="78">
      <c r="A405" s="270" t="s">
        <v>780</v>
      </c>
      <c r="B405" s="403" t="s">
        <v>421</v>
      </c>
      <c r="C405" s="404" t="str">
        <f>'Управление ИБ'!B158</f>
        <v>Проводится регулярное повышение осведомленности работников Общества</v>
      </c>
      <c r="D405" s="404" t="str">
        <f>'Управление ИБ'!C158</f>
        <v>УИБ.AW.2</v>
      </c>
      <c r="E405" s="404">
        <f>'Управление ИБ'!D158</f>
        <v>5</v>
      </c>
      <c r="F405" s="404">
        <f>'Управление ИБ'!E158</f>
        <v>3.2</v>
      </c>
      <c r="G405" s="404">
        <f>'Управление ИБ'!F158</f>
        <v>1.6</v>
      </c>
      <c r="H405" s="410">
        <f>'Управление ИБ'!R158</f>
        <v>231.01999999999998</v>
      </c>
      <c r="I405" s="404">
        <f>'Управление ИБ'!K158</f>
        <v>1.6</v>
      </c>
      <c r="J405" s="404">
        <f>'Управление ИБ'!I158</f>
        <v>0</v>
      </c>
      <c r="K405" s="404">
        <f>'Управление ИБ'!L158</f>
        <v>0</v>
      </c>
      <c r="L405" s="404">
        <f t="shared" si="13"/>
        <v>0</v>
      </c>
      <c r="M405" s="373">
        <f t="shared" si="14"/>
        <v>1.6</v>
      </c>
      <c r="N405" s="407" t="str">
        <f>'Управление ИБ'!S158</f>
        <v xml:space="preserve"> - Проводить на регулярной основе провокационные фишинговые рассылки для всех сотрудников Общества с дальнейшим обучением и отработкой ошибок</v>
      </c>
      <c r="O405" s="407"/>
      <c r="P405" s="407"/>
    </row>
    <row r="406" spans="1:16" ht="78">
      <c r="A406" s="270" t="s">
        <v>780</v>
      </c>
      <c r="B406" s="403" t="s">
        <v>421</v>
      </c>
      <c r="C406" s="404" t="str">
        <f>'Управление ИБ'!B159</f>
        <v xml:space="preserve">При приеме на работу проводится инструктаж по информационной безопасности  и повторяется раз в год или чаще. </v>
      </c>
      <c r="D406" s="404" t="str">
        <f>'Управление ИБ'!C159</f>
        <v>УИБ.AW.3</v>
      </c>
      <c r="E406" s="404">
        <f>'Управление ИБ'!D159</f>
        <v>5</v>
      </c>
      <c r="F406" s="404">
        <f>'Управление ИБ'!E159</f>
        <v>3.2</v>
      </c>
      <c r="G406" s="404">
        <f>'Управление ИБ'!F159</f>
        <v>1.6</v>
      </c>
      <c r="H406" s="410">
        <f>'Управление ИБ'!R159</f>
        <v>231.02999999999997</v>
      </c>
      <c r="I406" s="404">
        <f>'Управление ИБ'!K159</f>
        <v>1.6</v>
      </c>
      <c r="J406" s="404">
        <f>'Управление ИБ'!I159</f>
        <v>0</v>
      </c>
      <c r="K406" s="404">
        <f>'Управление ИБ'!L159</f>
        <v>0</v>
      </c>
      <c r="L406" s="404">
        <f t="shared" si="13"/>
        <v>0</v>
      </c>
      <c r="M406" s="373">
        <f t="shared" si="14"/>
        <v>1.6</v>
      </c>
      <c r="N406" s="407" t="str">
        <f>'Управление ИБ'!S159</f>
        <v xml:space="preserve"> - Максимально автоматизировать процесс назначения и отслеживания обучения при помощи образовательной платформы</v>
      </c>
      <c r="O406" s="407"/>
      <c r="P406" s="407"/>
    </row>
    <row r="407" spans="1:16" ht="78">
      <c r="A407" s="270" t="s">
        <v>780</v>
      </c>
      <c r="B407" s="403" t="s">
        <v>421</v>
      </c>
      <c r="C407" s="404" t="str">
        <f>'Управление ИБ'!B160</f>
        <v>Учебные материалы пересматриваются раз в год или чаще.</v>
      </c>
      <c r="D407" s="404" t="str">
        <f>'Управление ИБ'!C160</f>
        <v>УИБ.AW.4</v>
      </c>
      <c r="E407" s="404">
        <f>'Управление ИБ'!D160</f>
        <v>5</v>
      </c>
      <c r="F407" s="404">
        <f>'Управление ИБ'!E160</f>
        <v>3.2</v>
      </c>
      <c r="G407" s="404">
        <f>'Управление ИБ'!F160</f>
        <v>1.6</v>
      </c>
      <c r="H407" s="410">
        <f>'Управление ИБ'!R160</f>
        <v>231.03999999999996</v>
      </c>
      <c r="I407" s="404">
        <f>'Управление ИБ'!K160</f>
        <v>1.6</v>
      </c>
      <c r="J407" s="404">
        <f>'Управление ИБ'!I160</f>
        <v>0</v>
      </c>
      <c r="K407" s="404">
        <f>'Управление ИБ'!L160</f>
        <v>0</v>
      </c>
      <c r="L407" s="404">
        <f t="shared" si="13"/>
        <v>0</v>
      </c>
      <c r="M407" s="373">
        <f t="shared" si="14"/>
        <v>1.6</v>
      </c>
      <c r="N407" s="407" t="str">
        <f>'Управление ИБ'!S160</f>
        <v xml:space="preserve"> - Раз в год пересматривать учебные материалы и при необходимости актуализировать</v>
      </c>
      <c r="O407" s="407"/>
      <c r="P407" s="407"/>
    </row>
    <row r="408" spans="1:16" ht="78">
      <c r="A408" s="270" t="s">
        <v>780</v>
      </c>
      <c r="B408" s="403" t="s">
        <v>421</v>
      </c>
      <c r="C408" s="404" t="str">
        <f>'Управление ИБ'!B161</f>
        <v>Осуществляется обучение работников распознавать атаки с использованием социальной инженерии</v>
      </c>
      <c r="D408" s="404" t="str">
        <f>'Управление ИБ'!C161</f>
        <v>УИБ.AW.5</v>
      </c>
      <c r="E408" s="404">
        <f>'Управление ИБ'!D161</f>
        <v>5</v>
      </c>
      <c r="F408" s="404">
        <f>'Управление ИБ'!E161</f>
        <v>3.2</v>
      </c>
      <c r="G408" s="404">
        <f>'Управление ИБ'!F161</f>
        <v>1.6</v>
      </c>
      <c r="H408" s="410">
        <f>'Управление ИБ'!R161</f>
        <v>231.04999999999995</v>
      </c>
      <c r="I408" s="404">
        <f>'Управление ИБ'!K161</f>
        <v>1.6</v>
      </c>
      <c r="J408" s="404">
        <f>'Управление ИБ'!I161</f>
        <v>0</v>
      </c>
      <c r="K408" s="404">
        <f>'Управление ИБ'!L161</f>
        <v>0</v>
      </c>
      <c r="L408" s="404">
        <f t="shared" si="13"/>
        <v>0</v>
      </c>
      <c r="M408" s="373">
        <f t="shared" si="14"/>
        <v>1.6</v>
      </c>
      <c r="N408" s="407" t="str">
        <f>'Управление ИБ'!S161</f>
        <v xml:space="preserve"> - Разместить образовательный курс на образовательной платформе с возможностью отслеживания прогесса обучения.</v>
      </c>
      <c r="O408" s="407"/>
      <c r="P408" s="407"/>
    </row>
    <row r="409" spans="1:16" ht="93.6">
      <c r="A409" s="270" t="s">
        <v>780</v>
      </c>
      <c r="B409" s="403" t="s">
        <v>421</v>
      </c>
      <c r="C409" s="404" t="str">
        <f>'Управление ИБ'!B162</f>
        <v>Осуществляется обучение работников по теме многофакторной аутентификации, создании сильных паролей и управлении учетными записями.</v>
      </c>
      <c r="D409" s="404" t="str">
        <f>'Управление ИБ'!C162</f>
        <v>УИБ.AW.6</v>
      </c>
      <c r="E409" s="404">
        <f>'Управление ИБ'!D162</f>
        <v>5</v>
      </c>
      <c r="F409" s="404">
        <f>'Управление ИБ'!E162</f>
        <v>3.2</v>
      </c>
      <c r="G409" s="404">
        <f>'Управление ИБ'!F162</f>
        <v>1.6</v>
      </c>
      <c r="H409" s="410">
        <f>'Управление ИБ'!R162</f>
        <v>231.05999999999995</v>
      </c>
      <c r="I409" s="404">
        <f>'Управление ИБ'!K162</f>
        <v>1.6</v>
      </c>
      <c r="J409" s="404">
        <f>'Управление ИБ'!I162</f>
        <v>0</v>
      </c>
      <c r="K409" s="404">
        <f>'Управление ИБ'!L162</f>
        <v>0</v>
      </c>
      <c r="L409" s="404">
        <f t="shared" si="13"/>
        <v>0</v>
      </c>
      <c r="M409" s="373">
        <f t="shared" si="14"/>
        <v>1.6</v>
      </c>
      <c r="N409" s="407" t="str">
        <f>'Управление ИБ'!S162</f>
        <v xml:space="preserve"> - Разместить образовательный курс на образовательной платформе с возможностью отслеживания прогесса обучения.</v>
      </c>
      <c r="O409" s="407"/>
      <c r="P409" s="407"/>
    </row>
    <row r="410" spans="1:16" ht="124.8">
      <c r="A410" s="270" t="s">
        <v>780</v>
      </c>
      <c r="B410" s="403" t="s">
        <v>421</v>
      </c>
      <c r="C410" s="404" t="str">
        <f>'Управление ИБ'!B163</f>
        <v>Осуществляется обучение работников о необходимости блокировать рабочие станции, стирать информацию с флипчартов и виртуальных досок после совещаний и хранить данные в защищенном месте.</v>
      </c>
      <c r="D410" s="404" t="str">
        <f>'Управление ИБ'!C163</f>
        <v>УИБ.AW.7</v>
      </c>
      <c r="E410" s="404">
        <f>'Управление ИБ'!D163</f>
        <v>5</v>
      </c>
      <c r="F410" s="404">
        <f>'Управление ИБ'!E163</f>
        <v>3.2</v>
      </c>
      <c r="G410" s="404">
        <f>'Управление ИБ'!F163</f>
        <v>1.6</v>
      </c>
      <c r="H410" s="410">
        <f>'Управление ИБ'!R163</f>
        <v>231.06999999999994</v>
      </c>
      <c r="I410" s="404">
        <f>'Управление ИБ'!K163</f>
        <v>1.6</v>
      </c>
      <c r="J410" s="404">
        <f>'Управление ИБ'!I163</f>
        <v>0</v>
      </c>
      <c r="K410" s="404">
        <f>'Управление ИБ'!L163</f>
        <v>0</v>
      </c>
      <c r="L410" s="404">
        <f t="shared" si="13"/>
        <v>0</v>
      </c>
      <c r="M410" s="373">
        <f t="shared" si="14"/>
        <v>1.6</v>
      </c>
      <c r="N410" s="407" t="str">
        <f>'Управление ИБ'!S163</f>
        <v xml:space="preserve"> - Разместить образовательный курс на образовательной платформе с возможностью отслеживания прогесса обучения.</v>
      </c>
      <c r="O410" s="407"/>
      <c r="P410" s="407"/>
    </row>
    <row r="411" spans="1:16" ht="93.6">
      <c r="A411" s="270" t="s">
        <v>780</v>
      </c>
      <c r="B411" s="403" t="s">
        <v>421</v>
      </c>
      <c r="C411" s="404" t="str">
        <f>'Управление ИБ'!B164</f>
        <v>Осуществляется обучение работников по теме ошибочной отправки и публикации конфиденциальных данных, потери рабочих устройств и съемных носителей. </v>
      </c>
      <c r="D411" s="404" t="str">
        <f>'Управление ИБ'!C164</f>
        <v>УИБ.AW.8</v>
      </c>
      <c r="E411" s="404">
        <f>'Управление ИБ'!D164</f>
        <v>5</v>
      </c>
      <c r="F411" s="404">
        <f>'Управление ИБ'!E164</f>
        <v>3.2</v>
      </c>
      <c r="G411" s="404">
        <f>'Управление ИБ'!F164</f>
        <v>1.6</v>
      </c>
      <c r="H411" s="410">
        <f>'Управление ИБ'!R164</f>
        <v>231.07999999999993</v>
      </c>
      <c r="I411" s="404">
        <f>'Управление ИБ'!K164</f>
        <v>1.6</v>
      </c>
      <c r="J411" s="404">
        <f>'Управление ИБ'!I164</f>
        <v>0</v>
      </c>
      <c r="K411" s="404">
        <f>'Управление ИБ'!L164</f>
        <v>0</v>
      </c>
      <c r="L411" s="404">
        <f t="shared" si="13"/>
        <v>0</v>
      </c>
      <c r="M411" s="373">
        <f t="shared" si="14"/>
        <v>1.6</v>
      </c>
      <c r="N411" s="407" t="str">
        <f>'Управление ИБ'!S164</f>
        <v xml:space="preserve"> - Разместить образовательный курс на образовательной платформе с возможностью отслеживания прогесса обучения.</v>
      </c>
      <c r="O411" s="407"/>
      <c r="P411" s="407"/>
    </row>
    <row r="412" spans="1:16" ht="78">
      <c r="A412" s="270" t="s">
        <v>780</v>
      </c>
      <c r="B412" s="403" t="s">
        <v>421</v>
      </c>
      <c r="C412" s="404" t="str">
        <f>'Управление ИБ'!B165</f>
        <v>Осуществляется обучение работников распознавать инциденты безопасности и сообщать о них</v>
      </c>
      <c r="D412" s="404" t="str">
        <f>'Управление ИБ'!C165</f>
        <v>УИБ.AW.9</v>
      </c>
      <c r="E412" s="404">
        <f>'Управление ИБ'!D165</f>
        <v>5</v>
      </c>
      <c r="F412" s="404">
        <f>'Управление ИБ'!E165</f>
        <v>3.2</v>
      </c>
      <c r="G412" s="404">
        <f>'Управление ИБ'!F165</f>
        <v>1.6</v>
      </c>
      <c r="H412" s="410">
        <f>'Управление ИБ'!R165</f>
        <v>231.08999999999992</v>
      </c>
      <c r="I412" s="404">
        <f>'Управление ИБ'!K165</f>
        <v>1.6</v>
      </c>
      <c r="J412" s="404">
        <f>'Управление ИБ'!I165</f>
        <v>0</v>
      </c>
      <c r="K412" s="404">
        <f>'Управление ИБ'!L165</f>
        <v>0</v>
      </c>
      <c r="L412" s="404">
        <f t="shared" si="13"/>
        <v>0</v>
      </c>
      <c r="M412" s="373">
        <f t="shared" si="14"/>
        <v>1.6</v>
      </c>
      <c r="N412" s="407" t="str">
        <f>'Управление ИБ'!S165</f>
        <v xml:space="preserve"> - Разместить образовательный курс на образовательной платформе с возможностью отслеживания прогесса обучения.</v>
      </c>
      <c r="O412" s="407"/>
      <c r="P412" s="407"/>
    </row>
    <row r="413" spans="1:16" ht="78">
      <c r="A413" s="270" t="s">
        <v>19</v>
      </c>
      <c r="B413" s="403" t="s">
        <v>503</v>
      </c>
      <c r="C413" s="404" t="str">
        <f>Реагирование!B51</f>
        <v>Процесс расследования инцидентов</v>
      </c>
      <c r="D413" s="404" t="str">
        <f>Реагирование!C51</f>
        <v>РЕАГ.АНЛЗ.2</v>
      </c>
      <c r="E413" s="404">
        <f>Реагирование!D51</f>
        <v>4</v>
      </c>
      <c r="F413" s="404">
        <f>Реагирование!E51</f>
        <v>3</v>
      </c>
      <c r="G413" s="404">
        <f>Реагирование!F51</f>
        <v>1</v>
      </c>
      <c r="H413" s="373">
        <f>Реагирование!R51</f>
        <v>230.01999999999998</v>
      </c>
      <c r="I413" s="404">
        <f>Реагирование!K51</f>
        <v>1</v>
      </c>
      <c r="J413" s="404">
        <f>Реагирование!I51</f>
        <v>0</v>
      </c>
      <c r="K413" s="404">
        <f>Реагирование!L51</f>
        <v>1</v>
      </c>
      <c r="L413" s="404">
        <f t="shared" si="13"/>
        <v>1</v>
      </c>
      <c r="M413" s="373">
        <f t="shared" si="14"/>
        <v>0</v>
      </c>
      <c r="N413" s="407" t="str">
        <f>Реагирование!S51</f>
        <v xml:space="preserve"> - Разработать и задокументировать процесс расследования инцидентов, довести до сведения заинтересованных лиц;
  - Расследование инцидентов должно проводиться с использованием средств автоматизации;
 -  Создать единую базу знаний по расследованиям. Результаты расследований и артефакты хранить в единой базе знаний.</v>
      </c>
      <c r="O413" s="407"/>
      <c r="P413" s="407"/>
    </row>
    <row r="414" spans="1:16" ht="78">
      <c r="A414" s="270" t="s">
        <v>780</v>
      </c>
      <c r="B414" s="403" t="s">
        <v>421</v>
      </c>
      <c r="C414" s="404" t="str">
        <f>'Управление ИБ'!B167</f>
        <v>Внедрена политика чистого стола и осуществляется контроль ее исполнения</v>
      </c>
      <c r="D414" s="404" t="str">
        <f>'Управление ИБ'!C167</f>
        <v>УИБ.AW.11</v>
      </c>
      <c r="E414" s="404">
        <f>'Управление ИБ'!D167</f>
        <v>5</v>
      </c>
      <c r="F414" s="404">
        <f>'Управление ИБ'!E167</f>
        <v>3.2</v>
      </c>
      <c r="G414" s="404">
        <f>'Управление ИБ'!F167</f>
        <v>1.6</v>
      </c>
      <c r="H414" s="410">
        <f>'Управление ИБ'!R167</f>
        <v>231.1099999999999</v>
      </c>
      <c r="I414" s="404">
        <f>'Управление ИБ'!K167</f>
        <v>1.6</v>
      </c>
      <c r="J414" s="404">
        <f>'Управление ИБ'!I167</f>
        <v>0</v>
      </c>
      <c r="K414" s="404">
        <f>'Управление ИБ'!L167</f>
        <v>1.6</v>
      </c>
      <c r="L414" s="404">
        <f t="shared" si="13"/>
        <v>1.6</v>
      </c>
      <c r="M414" s="373">
        <f t="shared" si="14"/>
        <v>0</v>
      </c>
      <c r="N414" s="407" t="str">
        <f>'Управление ИБ'!S167</f>
        <v xml:space="preserve"> - Разработать материалы для регулярного напоминания сотрудникам соблюдения правил выполнение правил чистого стола для бумажных документов, переносных устройств хранения информации и правил чистого экрана для устройств обработки информации.</v>
      </c>
      <c r="O414" s="407"/>
      <c r="P414" s="407"/>
    </row>
    <row r="415" spans="1:16" ht="78">
      <c r="A415" s="270" t="s">
        <v>20</v>
      </c>
      <c r="B415" s="403" t="s">
        <v>521</v>
      </c>
      <c r="C415" s="404" t="str">
        <f>Восстановление!B42</f>
        <v>Подготовлены планы коммуникаций на случай сбоев в планах по восстановлению</v>
      </c>
      <c r="D415" s="404" t="str">
        <f>Восстановление!C42</f>
        <v>ВССТ.КМНК.1</v>
      </c>
      <c r="E415" s="404">
        <f>Восстановление!D42</f>
        <v>5</v>
      </c>
      <c r="F415" s="404">
        <f>Восстановление!E42</f>
        <v>3.2</v>
      </c>
      <c r="G415" s="404">
        <f>Восстановление!F42</f>
        <v>0</v>
      </c>
      <c r="H415" s="404">
        <f>Восстановление!R42</f>
        <v>232.01</v>
      </c>
      <c r="I415" s="404">
        <f>Восстановление!K61</f>
        <v>0</v>
      </c>
      <c r="J415" s="404">
        <f>Восстановление!L42</f>
        <v>0</v>
      </c>
      <c r="K415" s="404">
        <f>Восстановление!L42</f>
        <v>0</v>
      </c>
      <c r="L415" s="404" t="str">
        <f t="shared" si="13"/>
        <v xml:space="preserve"> </v>
      </c>
      <c r="M415" s="373">
        <f t="shared" si="14"/>
        <v>0</v>
      </c>
      <c r="N415" s="404" t="str">
        <f>Восстановление!S42</f>
        <v xml:space="preserve"> - Подготовить планы коммуникаций на случай сбоев в планах по восстановлению</v>
      </c>
      <c r="O415" s="407"/>
      <c r="P415" s="407"/>
    </row>
    <row r="416" spans="1:16" ht="78">
      <c r="A416" s="270" t="s">
        <v>20</v>
      </c>
      <c r="B416" s="403" t="s">
        <v>521</v>
      </c>
      <c r="C416" s="404" t="str">
        <f>Восстановление!B43</f>
        <v>Юристами Общества подготовлены типовые ответы на претензии по факту инцидента</v>
      </c>
      <c r="D416" s="404" t="str">
        <f>Восстановление!C43</f>
        <v>ВССТ.КМНК.2</v>
      </c>
      <c r="E416" s="404">
        <f>Восстановление!D43</f>
        <v>5</v>
      </c>
      <c r="F416" s="404">
        <f>Восстановление!E43</f>
        <v>0</v>
      </c>
      <c r="G416" s="404">
        <f>Восстановление!F43</f>
        <v>0</v>
      </c>
      <c r="H416" s="404">
        <f>Восстановление!R43</f>
        <v>232.01999999999998</v>
      </c>
      <c r="I416" s="404">
        <f>Восстановление!K62</f>
        <v>0</v>
      </c>
      <c r="J416" s="404">
        <f>Восстановление!L43</f>
        <v>0</v>
      </c>
      <c r="K416" s="404">
        <f>Восстановление!L43</f>
        <v>0</v>
      </c>
      <c r="L416" s="404" t="str">
        <f t="shared" si="13"/>
        <v xml:space="preserve"> </v>
      </c>
      <c r="M416" s="373">
        <f t="shared" si="14"/>
        <v>0</v>
      </c>
      <c r="N416" s="404" t="str">
        <f>Восстановление!S43</f>
        <v/>
      </c>
      <c r="O416" s="407"/>
      <c r="P416" s="407"/>
    </row>
    <row r="417" spans="1:16" ht="140.4">
      <c r="A417" s="270" t="s">
        <v>19</v>
      </c>
      <c r="B417" s="403" t="s">
        <v>503</v>
      </c>
      <c r="C417" s="404" t="str">
        <f>Реагирование!B52</f>
        <v>Анализируются причины возникновения инцидентов</v>
      </c>
      <c r="D417" s="404" t="str">
        <f>Реагирование!C52</f>
        <v>РЕАГ.АНЛЗ.3</v>
      </c>
      <c r="E417" s="404">
        <f>Реагирование!D52</f>
        <v>5</v>
      </c>
      <c r="F417" s="404">
        <f>Реагирование!E52</f>
        <v>5</v>
      </c>
      <c r="G417" s="404">
        <f>Реагирование!F52</f>
        <v>3.2</v>
      </c>
      <c r="H417" s="373">
        <f>Реагирование!R52</f>
        <v>230.02999999999997</v>
      </c>
      <c r="I417" s="404">
        <f>Реагирование!K52</f>
        <v>3.2</v>
      </c>
      <c r="J417" s="404">
        <f>Реагирование!I52</f>
        <v>0</v>
      </c>
      <c r="K417" s="404">
        <f>Реагирование!L52</f>
        <v>1.6</v>
      </c>
      <c r="L417" s="404">
        <f t="shared" si="13"/>
        <v>1.6</v>
      </c>
      <c r="M417" s="373">
        <f t="shared" si="14"/>
        <v>1.6</v>
      </c>
      <c r="N417" s="407" t="str">
        <f>Реагирование!S52</f>
        <v xml:space="preserve"> - Проводить анализ причин возникновения инцидентов уровня, 'высокий', 'критичный';
 -  Результаты анализа хранить в единой базе знаний;
 - По результатам анализа причин возникновения инцидентов разрабатывать рекомендации по устранению таких причин/ Рекомендации доводятся до ответственных подразделений/осуществляется контроль за выполнением рекомендаций;
 - Автоматизировать контроль и учет мероприятий по устранению причин инцидентов и выполнению рекомендаций;
 - Определить метрики процесса устранения причин инцидентов. На постоянной основе проводить мониторинг процесса по утвержденным метрикам и показателям.</v>
      </c>
      <c r="O417" s="407"/>
      <c r="P417" s="407"/>
    </row>
    <row r="418" spans="1:16" ht="109.2">
      <c r="A418" s="270" t="s">
        <v>19</v>
      </c>
      <c r="B418" s="403" t="s">
        <v>503</v>
      </c>
      <c r="C418" s="404" t="str">
        <f>Реагирование!B53</f>
        <v>Процесс пост-анализа инцидентов</v>
      </c>
      <c r="D418" s="404" t="str">
        <f>Реагирование!C53</f>
        <v>РЕАГ.АНЛЗ.4</v>
      </c>
      <c r="E418" s="404">
        <f>Реагирование!D53</f>
        <v>4</v>
      </c>
      <c r="F418" s="404">
        <f>Реагирование!E53</f>
        <v>3</v>
      </c>
      <c r="G418" s="404">
        <f>Реагирование!F53</f>
        <v>1</v>
      </c>
      <c r="H418" s="373">
        <f>Реагирование!R53</f>
        <v>230.03999999999996</v>
      </c>
      <c r="I418" s="404">
        <f>Реагирование!K53</f>
        <v>1</v>
      </c>
      <c r="J418" s="404">
        <f>Реагирование!I53</f>
        <v>0</v>
      </c>
      <c r="K418" s="404">
        <f>Реагирование!L53</f>
        <v>1</v>
      </c>
      <c r="L418" s="404">
        <f t="shared" si="13"/>
        <v>1</v>
      </c>
      <c r="M418" s="373">
        <f t="shared" si="14"/>
        <v>0</v>
      </c>
      <c r="N418" s="407" t="str">
        <f>Реагирование!S53</f>
        <v xml:space="preserve"> - Формализовать и утвердить процесс пост-анализа инцидентов ИБ;
  -  Довести процесс до заинтересованных лиц;
 -  Создать единую базу знаний инцидентов ИБ;
 - Проводить оценку и анализ инцидентов ИБ;
 - По результатам расследования инцидентов разрабатывать рекомендации по устранению выявленных уязвимостей и предотвращению аналогичных инцидентов в будущем;
 - Разрабатывать рекомендации по улучшению применяемы</v>
      </c>
      <c r="O418" s="407"/>
      <c r="P418" s="407"/>
    </row>
    <row r="419" spans="1:16" ht="78">
      <c r="A419" s="270" t="s">
        <v>780</v>
      </c>
      <c r="B419" s="403" t="s">
        <v>421</v>
      </c>
      <c r="C419" s="404" t="str">
        <f>'Управление ИБ'!B166</f>
        <v>Осуществляется обучение привелигированных пользователей приемам безопасной работы</v>
      </c>
      <c r="D419" s="404" t="str">
        <f>'Управление ИБ'!C166</f>
        <v>УИБ.AW.10</v>
      </c>
      <c r="E419" s="404">
        <f>'Управление ИБ'!D166</f>
        <v>5</v>
      </c>
      <c r="F419" s="404">
        <f>'Управление ИБ'!E166</f>
        <v>3.2</v>
      </c>
      <c r="G419" s="404">
        <f>'Управление ИБ'!F166</f>
        <v>1.6</v>
      </c>
      <c r="H419" s="410">
        <f>'Управление ИБ'!R166</f>
        <v>231.09999999999991</v>
      </c>
      <c r="I419" s="404">
        <f>'Управление ИБ'!K166</f>
        <v>1.6</v>
      </c>
      <c r="J419" s="404">
        <f>'Управление ИБ'!I166</f>
        <v>0</v>
      </c>
      <c r="K419" s="404">
        <f>'Управление ИБ'!L166</f>
        <v>0</v>
      </c>
      <c r="L419" s="404">
        <f t="shared" si="13"/>
        <v>0</v>
      </c>
      <c r="M419" s="373">
        <f t="shared" si="14"/>
        <v>1.6</v>
      </c>
      <c r="N419" s="407" t="str">
        <f>'Управление ИБ'!S166</f>
        <v xml:space="preserve"> - Разместить образовательный курс на образовательной платформе с возможностью отслеживания прогесса обучения.</v>
      </c>
      <c r="O419" s="407"/>
      <c r="P419" s="407"/>
    </row>
    <row r="420" spans="1:16" ht="40.799999999999997">
      <c r="A420" s="504" t="s">
        <v>69</v>
      </c>
      <c r="B420" s="406" t="s">
        <v>290</v>
      </c>
      <c r="C420" s="408" t="str">
        <f>'Управление ИБ'!B132</f>
        <v>Назначен ответственный за безопасную разработку ПО</v>
      </c>
      <c r="D420" s="408" t="str">
        <f>'Управление ИБ'!C132</f>
        <v>УИБ.БР.5.9.1</v>
      </c>
      <c r="E420" s="408">
        <f>'Управление ИБ'!D132</f>
        <v>5</v>
      </c>
      <c r="F420" s="408">
        <f>'Управление ИБ'!E132</f>
        <v>5</v>
      </c>
      <c r="G420" s="408">
        <f>'Управление ИБ'!F132</f>
        <v>0</v>
      </c>
      <c r="H420" s="409">
        <f>'Управление ИБ'!R132</f>
        <v>233.01</v>
      </c>
      <c r="I420" s="408">
        <f>'Управление ИБ'!K132</f>
        <v>0</v>
      </c>
      <c r="J420" s="408">
        <f>'Управление ИБ'!I132</f>
        <v>0</v>
      </c>
      <c r="K420" s="404">
        <f>'Управление ИБ'!L132</f>
        <v>0</v>
      </c>
      <c r="L420" s="404" t="str">
        <f t="shared" si="13"/>
        <v xml:space="preserve"> </v>
      </c>
      <c r="M420" s="373">
        <f t="shared" si="14"/>
        <v>0</v>
      </c>
      <c r="N420" s="407" t="str">
        <f>'Управление ИБ'!S132</f>
        <v xml:space="preserve"> Определить и официально назначить ответственного сотрудника за безопасную разработку ПО;</v>
      </c>
      <c r="O420" s="407"/>
      <c r="P420" s="407"/>
    </row>
    <row r="421" spans="1:16" ht="78">
      <c r="A421" s="270" t="s">
        <v>780</v>
      </c>
      <c r="B421" s="406" t="s">
        <v>290</v>
      </c>
      <c r="C421" s="408" t="str">
        <f>'Управление ИБ'!B133</f>
        <v>Требования ИБ формируются на этапе разработки требований к ПО</v>
      </c>
      <c r="D421" s="408" t="str">
        <f>'Управление ИБ'!C133</f>
        <v>УИБ.БР.5.9.2</v>
      </c>
      <c r="E421" s="408">
        <f>'Управление ИБ'!D133</f>
        <v>5</v>
      </c>
      <c r="F421" s="408">
        <f>'Управление ИБ'!E133</f>
        <v>3.2</v>
      </c>
      <c r="G421" s="408">
        <f>'Управление ИБ'!F133</f>
        <v>1.6</v>
      </c>
      <c r="H421" s="409">
        <f>'Управление ИБ'!R133</f>
        <v>233.01999999999998</v>
      </c>
      <c r="I421" s="408">
        <f>'Управление ИБ'!K133</f>
        <v>1.6</v>
      </c>
      <c r="J421" s="408">
        <f>'Управление ИБ'!I133</f>
        <v>0</v>
      </c>
      <c r="K421" s="404">
        <f>'Управление ИБ'!L133</f>
        <v>0</v>
      </c>
      <c r="L421" s="404">
        <f t="shared" si="13"/>
        <v>0</v>
      </c>
      <c r="M421" s="373">
        <f t="shared" si="14"/>
        <v>1.6</v>
      </c>
      <c r="N421" s="407" t="str">
        <f>'Управление ИБ'!S133</f>
        <v xml:space="preserve"> 1. Для систем Business Critical формализовать:
-требования безопасности ПО; 
-типовой набор требований безопасности ПО.
2.Автоматизировать процесс предоставления, получения и выполнения требований безопасности ПО;</v>
      </c>
      <c r="O421" s="407"/>
      <c r="P421" s="407"/>
    </row>
    <row r="422" spans="1:16" ht="78">
      <c r="A422" s="270" t="s">
        <v>780</v>
      </c>
      <c r="B422" s="406" t="s">
        <v>290</v>
      </c>
      <c r="C422" s="408" t="str">
        <f>'Управление ИБ'!B134</f>
        <v>Определен Порядок фиксации замечаний по безопасности и последующего исправления багов</v>
      </c>
      <c r="D422" s="408" t="str">
        <f>'Управление ИБ'!C134</f>
        <v>УИБ.БР.5.9.3</v>
      </c>
      <c r="E422" s="408">
        <f>'Управление ИБ'!D134</f>
        <v>5</v>
      </c>
      <c r="F422" s="408">
        <f>'Управление ИБ'!E134</f>
        <v>5</v>
      </c>
      <c r="G422" s="408">
        <f>'Управление ИБ'!F134</f>
        <v>0</v>
      </c>
      <c r="H422" s="409">
        <f>'Управление ИБ'!R134</f>
        <v>233.02999999999997</v>
      </c>
      <c r="I422" s="408">
        <f>'Управление ИБ'!K134</f>
        <v>0</v>
      </c>
      <c r="J422" s="408">
        <f>'Управление ИБ'!I134</f>
        <v>0</v>
      </c>
      <c r="K422" s="404">
        <f>'Управление ИБ'!L134</f>
        <v>0</v>
      </c>
      <c r="L422" s="404" t="str">
        <f t="shared" si="13"/>
        <v xml:space="preserve"> </v>
      </c>
      <c r="M422" s="373">
        <f t="shared" si="14"/>
        <v>0</v>
      </c>
      <c r="N422" s="407" t="str">
        <f>'Управление ИБ'!S134</f>
        <v xml:space="preserve"> Разработать и утвердить Порядок фиксации замечаний по безопасности и последующего исправления багов</v>
      </c>
      <c r="O422" s="407"/>
      <c r="P422" s="407"/>
    </row>
    <row r="423" spans="1:16" ht="93.6">
      <c r="A423" s="270" t="s">
        <v>780</v>
      </c>
      <c r="B423" s="406" t="s">
        <v>290</v>
      </c>
      <c r="C423" s="408" t="str">
        <f>'Управление ИБ'!B135</f>
        <v>Организован процесс тестирования ПО</v>
      </c>
      <c r="D423" s="408" t="str">
        <f>'Управление ИБ'!C135</f>
        <v>УИБ.БР.5.9.4</v>
      </c>
      <c r="E423" s="408">
        <f>'Управление ИБ'!D135</f>
        <v>4</v>
      </c>
      <c r="F423" s="408">
        <f>'Управление ИБ'!E135</f>
        <v>3</v>
      </c>
      <c r="G423" s="408">
        <f>'Управление ИБ'!F135</f>
        <v>1</v>
      </c>
      <c r="H423" s="409">
        <f>'Управление ИБ'!R135</f>
        <v>233.03999999999996</v>
      </c>
      <c r="I423" s="408">
        <f>'Управление ИБ'!K135</f>
        <v>1</v>
      </c>
      <c r="J423" s="408">
        <f>'Управление ИБ'!I135</f>
        <v>0</v>
      </c>
      <c r="K423" s="404">
        <f>'Управление ИБ'!L135</f>
        <v>0</v>
      </c>
      <c r="L423" s="404">
        <f t="shared" si="13"/>
        <v>0</v>
      </c>
      <c r="M423" s="373">
        <f t="shared" si="14"/>
        <v>1</v>
      </c>
      <c r="N423" s="407" t="str">
        <f>'Управление ИБ'!S135</f>
        <v>1. Для всех систем формализовать:
-регламент проведения динамического анализа исходного кода ПО;
-регламент функционального тестирования; 
-регламент нефункционального тестирования.
2.Автоматизировать процесс тестирование ПО;
3.Мониторить процессы тестирования ПО в CI/CD-конвейере.</v>
      </c>
      <c r="O423" s="407"/>
      <c r="P423" s="407"/>
    </row>
    <row r="424" spans="1:16" ht="140.4">
      <c r="A424" s="504" t="s">
        <v>69</v>
      </c>
      <c r="B424" s="406" t="s">
        <v>290</v>
      </c>
      <c r="C424" s="408" t="str">
        <f>'Управление ИБ'!B136</f>
        <v>Организован процесс приемки и инсталляции ПО:
- порядок приемки ПО перед его запуском в продуктивной среде
- порядок передачи ПО в продуктивную среду
- состав и содержание эксплуатационных документов на ПО</v>
      </c>
      <c r="D424" s="408" t="str">
        <f>'Управление ИБ'!C136</f>
        <v>УИБ.БР.5.9.5</v>
      </c>
      <c r="E424" s="408">
        <f>'Управление ИБ'!D136</f>
        <v>5</v>
      </c>
      <c r="F424" s="408">
        <f>'Управление ИБ'!E136</f>
        <v>3.2</v>
      </c>
      <c r="G424" s="408">
        <f>'Управление ИБ'!F136</f>
        <v>1.6</v>
      </c>
      <c r="H424" s="409">
        <f>'Управление ИБ'!R136</f>
        <v>233.04999999999995</v>
      </c>
      <c r="I424" s="408">
        <f>'Управление ИБ'!K136</f>
        <v>1.6</v>
      </c>
      <c r="J424" s="408">
        <f>'Управление ИБ'!I136</f>
        <v>0</v>
      </c>
      <c r="K424" s="404">
        <f>'Управление ИБ'!L136</f>
        <v>0</v>
      </c>
      <c r="L424" s="404">
        <f t="shared" si="13"/>
        <v>0</v>
      </c>
      <c r="M424" s="373">
        <f t="shared" si="14"/>
        <v>1.6</v>
      </c>
      <c r="N424" s="407" t="str">
        <f>'Управление ИБ'!S136</f>
        <v xml:space="preserve">Для систем Mission и Business Critical формализовать:
- порядок приемки ПО перед его запуском в продуктивной среде;
- порядок передачи ПО в продуктивную среду;
- состав и содержание эксплуатационных документов на ПО. </v>
      </c>
      <c r="O424" s="407"/>
      <c r="P424" s="407"/>
    </row>
    <row r="425" spans="1:16" ht="218.4">
      <c r="A425" s="270" t="s">
        <v>780</v>
      </c>
      <c r="B425" s="406" t="s">
        <v>290</v>
      </c>
      <c r="C425" s="408" t="str">
        <f>'Управление ИБ'!B137</f>
        <v>Организован процесс эксплуатации ПО:
- назначены ответственные за техническую поддержку пользователей ПО
- сформирован порядок информирования пользователей об обновлениях ПО, обнаруженных уязвимостях и окончании технической поддержки
- назначены ответственные за поиск уязвимостей ПО и их устранение</v>
      </c>
      <c r="D425" s="408" t="str">
        <f>'Управление ИБ'!C137</f>
        <v>УИБ.БР.5.9.6</v>
      </c>
      <c r="E425" s="408">
        <f>'Управление ИБ'!D137</f>
        <v>5</v>
      </c>
      <c r="F425" s="408">
        <f>'Управление ИБ'!E137</f>
        <v>3.2</v>
      </c>
      <c r="G425" s="408">
        <f>'Управление ИБ'!F137</f>
        <v>1.6</v>
      </c>
      <c r="H425" s="409">
        <f>'Управление ИБ'!R137</f>
        <v>233.05999999999995</v>
      </c>
      <c r="I425" s="408">
        <f>'Управление ИБ'!K137</f>
        <v>1.6</v>
      </c>
      <c r="J425" s="408">
        <f>'Управление ИБ'!I137</f>
        <v>0</v>
      </c>
      <c r="K425" s="404">
        <f>'Управление ИБ'!L137</f>
        <v>0</v>
      </c>
      <c r="L425" s="404">
        <f t="shared" si="13"/>
        <v>0</v>
      </c>
      <c r="M425" s="373">
        <f t="shared" si="14"/>
        <v>1.6</v>
      </c>
      <c r="N425" s="407" t="str">
        <f>'Управление ИБ'!S137</f>
        <v xml:space="preserve">Для систем Business Critical. :
- назначить ответственных за техническую поддержку пользователей ПО;
- формализовать порядок информирования пользователей об обновлениях ПО, обнаруженных уязвимостях и окончании технической поддержки;
- назначить о ответственных за поиск уязвимостей ПО и их устранение. </v>
      </c>
      <c r="O425" s="407"/>
      <c r="P425" s="407"/>
    </row>
    <row r="426" spans="1:16" ht="93.6">
      <c r="A426" s="270" t="s">
        <v>780</v>
      </c>
      <c r="B426" s="406" t="s">
        <v>290</v>
      </c>
      <c r="C426" s="408" t="str">
        <f>'Управление ИБ'!B138</f>
        <v xml:space="preserve">Используются проверенные модули безопасности (шифрования, ведения журналов, идентификации/аутентификапции) </v>
      </c>
      <c r="D426" s="408" t="str">
        <f>'Управление ИБ'!C138</f>
        <v>УИБ.БР.5.9.7</v>
      </c>
      <c r="E426" s="408">
        <f>'Управление ИБ'!D138</f>
        <v>5</v>
      </c>
      <c r="F426" s="408">
        <f>'Управление ИБ'!E138</f>
        <v>5</v>
      </c>
      <c r="G426" s="408">
        <f>'Управление ИБ'!F138</f>
        <v>0</v>
      </c>
      <c r="H426" s="409">
        <f>'Управление ИБ'!R138</f>
        <v>233.06999999999994</v>
      </c>
      <c r="I426" s="408">
        <f>'Управление ИБ'!K138</f>
        <v>0</v>
      </c>
      <c r="J426" s="408">
        <f>'Управление ИБ'!I138</f>
        <v>0</v>
      </c>
      <c r="K426" s="404">
        <f>'Управление ИБ'!L138</f>
        <v>0</v>
      </c>
      <c r="L426" s="404" t="str">
        <f t="shared" si="13"/>
        <v xml:space="preserve"> </v>
      </c>
      <c r="M426" s="373">
        <f t="shared" si="14"/>
        <v>0</v>
      </c>
      <c r="N426" s="407" t="str">
        <f>'Управление ИБ'!S138</f>
        <v>- Провести инвентаризацию всех используемых модулей и служб в текущей инфраструктуре;
- Определить критерии оценки модулей и служб (наличие сертификаций, регулярные обновления, отзывы сообщества); 
- Разработать реестр проверенных модулей и служб, с указанием источника и даты проверки; - Обеспечить использование модулей и служб, внесенных в реестр;
- Настроить автоматические обновления для всех используемых модулей и служб</v>
      </c>
      <c r="O426" s="407"/>
      <c r="P426" s="407"/>
    </row>
    <row r="427" spans="1:16" ht="93.6">
      <c r="A427" s="270" t="s">
        <v>780</v>
      </c>
      <c r="B427" s="406" t="s">
        <v>290</v>
      </c>
      <c r="C427" s="408" t="str">
        <f>'Управление ИБ'!B139</f>
        <v>Организован процесс обучения сотрудников</v>
      </c>
      <c r="D427" s="408" t="str">
        <f>'Управление ИБ'!C139</f>
        <v>УИБ.БР.5.9.8</v>
      </c>
      <c r="E427" s="408">
        <f>'Управление ИБ'!D139</f>
        <v>5</v>
      </c>
      <c r="F427" s="408">
        <f>'Управление ИБ'!E139</f>
        <v>3.2</v>
      </c>
      <c r="G427" s="408">
        <f>'Управление ИБ'!F139</f>
        <v>1.6</v>
      </c>
      <c r="H427" s="409">
        <f>'Управление ИБ'!R139</f>
        <v>233.07999999999993</v>
      </c>
      <c r="I427" s="408">
        <f>'Управление ИБ'!K139</f>
        <v>1.6</v>
      </c>
      <c r="J427" s="408">
        <f>'Управление ИБ'!I139</f>
        <v>0</v>
      </c>
      <c r="K427" s="404">
        <f>'Управление ИБ'!L139</f>
        <v>0</v>
      </c>
      <c r="L427" s="404">
        <f t="shared" si="13"/>
        <v>0</v>
      </c>
      <c r="M427" s="373">
        <f t="shared" si="14"/>
        <v>1.6</v>
      </c>
      <c r="N427" s="407" t="str">
        <f>'Управление ИБ'!S139</f>
        <v xml:space="preserve"> 1. Формализовать:
- порядок повышения и поддержания на должном уровне компетенций разработчиков в области безопасности ПО;
- программу и план обучения в области безопасности ПО; 
2. Автоматизировать процесс обучения;
3. Мониторить процесс обучения.</v>
      </c>
      <c r="O427" s="407"/>
      <c r="P427" s="407"/>
    </row>
    <row r="428" spans="1:16" ht="78">
      <c r="A428" s="270" t="s">
        <v>780</v>
      </c>
      <c r="B428" s="406" t="s">
        <v>290</v>
      </c>
      <c r="C428" s="408" t="str">
        <f>'Управление ИБ'!B144</f>
        <v>Используется система обнаружения уязвимостей с рейтингом критичности и отслеживанием метрик</v>
      </c>
      <c r="D428" s="408" t="str">
        <f>'Управление ИБ'!C144</f>
        <v>УИБ.БР.5.9.13</v>
      </c>
      <c r="E428" s="408">
        <f>'Управление ИБ'!D144</f>
        <v>5</v>
      </c>
      <c r="F428" s="408">
        <f>'Управление ИБ'!E144</f>
        <v>5</v>
      </c>
      <c r="G428" s="408">
        <f>'Управление ИБ'!F144</f>
        <v>0</v>
      </c>
      <c r="H428" s="409">
        <f>'Управление ИБ'!R144</f>
        <v>233.12999999999988</v>
      </c>
      <c r="I428" s="408">
        <f>'Управление ИБ'!K144</f>
        <v>0</v>
      </c>
      <c r="J428" s="408">
        <f>'Управление ИБ'!I144</f>
        <v>0</v>
      </c>
      <c r="K428" s="404">
        <f>'Управление ИБ'!L144</f>
        <v>0</v>
      </c>
      <c r="L428" s="404" t="str">
        <f t="shared" si="13"/>
        <v xml:space="preserve"> </v>
      </c>
      <c r="M428" s="373">
        <f t="shared" si="14"/>
        <v>0</v>
      </c>
      <c r="N428" s="407" t="str">
        <f>'Управление ИБ'!S144</f>
        <v>1.Внедрить систему обнаружения уязвимостей:
2.Формализовать SLA ;
3.Формализовать уровни критичности используемых библиотек для всех систем ;
4.Формализовать метрики отслеживаемости для всех систем.</v>
      </c>
      <c r="O428" s="407"/>
      <c r="P428" s="407"/>
    </row>
    <row r="429" spans="1:16" ht="93.6">
      <c r="A429" s="270" t="s">
        <v>780</v>
      </c>
      <c r="B429" s="406" t="s">
        <v>290</v>
      </c>
      <c r="C429" s="408" t="str">
        <f>'Управление ИБ'!B140</f>
        <v>Формализованы и определены процедуры контроля сторонней разработки.
Заказчиком осуществляется контроль безопасности ПО при заказе разработки ПО</v>
      </c>
      <c r="D429" s="408" t="str">
        <f>'Управление ИБ'!C140</f>
        <v>УИБ.БР.5.9.9</v>
      </c>
      <c r="E429" s="408">
        <f>'Управление ИБ'!D140</f>
        <v>5</v>
      </c>
      <c r="F429" s="408">
        <f>'Управление ИБ'!E140</f>
        <v>3.2</v>
      </c>
      <c r="G429" s="408">
        <f>'Управление ИБ'!F140</f>
        <v>1.6</v>
      </c>
      <c r="H429" s="409">
        <f>'Управление ИБ'!R140</f>
        <v>233.08999999999992</v>
      </c>
      <c r="I429" s="408">
        <f>'Управление ИБ'!K140</f>
        <v>1.6</v>
      </c>
      <c r="J429" s="408">
        <f>'Управление ИБ'!I140</f>
        <v>0</v>
      </c>
      <c r="K429" s="404">
        <f>'Управление ИБ'!L140</f>
        <v>0</v>
      </c>
      <c r="L429" s="404">
        <f t="shared" si="13"/>
        <v>0</v>
      </c>
      <c r="M429" s="373">
        <f t="shared" si="14"/>
        <v>1.6</v>
      </c>
      <c r="N429" s="407" t="str">
        <f>'Управление ИБ'!S140</f>
        <v xml:space="preserve"> Мероприятия на КБ1 + 
1.Вести отчетность по анализу кода ПО, полученного через цепочки поставок, на предмет внедрения вредоносного программного обеспечения для систем Business  Critical.
2. Автоматизировать контроль безопасности ПО для систем Business  Critical.</v>
      </c>
      <c r="O429" s="407"/>
      <c r="P429" s="407"/>
    </row>
    <row r="430" spans="1:16" ht="171.6">
      <c r="A430" s="270" t="s">
        <v>780</v>
      </c>
      <c r="B430" s="403" t="s">
        <v>328</v>
      </c>
      <c r="C430" s="404" t="str">
        <f>'Управление ИБ'!B154</f>
        <v>Управление устройствами хранения информации должно осуществляться на всем протяжении их жизненного цикла, включающего приобретение, использование, транспортировку и уничтожение, в соответствии с классификационной схемой Общества и требованиями к обращению.</v>
      </c>
      <c r="D430" s="404" t="str">
        <f>'Управление ИБ'!C154</f>
        <v>УИБ.ФД.4</v>
      </c>
      <c r="E430" s="404">
        <f>'Управление ИБ'!D154</f>
        <v>5</v>
      </c>
      <c r="F430" s="404">
        <f>'Управление ИБ'!E154</f>
        <v>3.2</v>
      </c>
      <c r="G430" s="404">
        <f>'Управление ИБ'!F154</f>
        <v>1.6</v>
      </c>
      <c r="H430" s="410">
        <f>'Управление ИБ'!R154</f>
        <v>234.03999999999996</v>
      </c>
      <c r="I430" s="404">
        <f>'Управление ИБ'!K154</f>
        <v>1.6</v>
      </c>
      <c r="J430" s="404">
        <f>'Управление ИБ'!I154</f>
        <v>0</v>
      </c>
      <c r="K430" s="404">
        <f>'Управление ИБ'!L154</f>
        <v>0</v>
      </c>
      <c r="L430" s="404">
        <f t="shared" si="13"/>
        <v>0</v>
      </c>
      <c r="M430" s="373">
        <f t="shared" si="14"/>
        <v>1.6</v>
      </c>
      <c r="N430" s="407" t="str">
        <f>'Управление ИБ'!S154</f>
        <v xml:space="preserve"> - Реализовать в Обществе процесс управления устройствами хранения информации;
   - Проводить регулярные проверки реального соблюдения регламента обращения с машинными носителями;
   - Разработать процедуры резервного копирования, архивирования и восстановления данных на основе ценности информации, классификации данных, точек восстановления и времени восстановления</v>
      </c>
      <c r="O430" s="407"/>
      <c r="P430" s="407"/>
    </row>
    <row r="431" spans="1:16" ht="93.6">
      <c r="A431" s="270" t="s">
        <v>780</v>
      </c>
      <c r="B431" s="405" t="s">
        <v>55</v>
      </c>
      <c r="C431" s="517" t="str">
        <f>'Управление ИБ'!B108</f>
        <v>Процессы взаимодействия в ИТ цепочке c участниками цепочки поставок определены, управляются и согласовываются заинтересованными сторонами Общества</v>
      </c>
      <c r="D431" s="404" t="str">
        <f>'Управление ИБ'!C108</f>
        <v>УИБ.ЦП.1</v>
      </c>
      <c r="E431" s="404">
        <f>'Управление ИБ'!D108</f>
        <v>5</v>
      </c>
      <c r="F431" s="404">
        <f>'Управление ИБ'!E108</f>
        <v>3.2</v>
      </c>
      <c r="G431" s="404">
        <f>'Управление ИБ'!F108</f>
        <v>1.6</v>
      </c>
      <c r="H431" s="373">
        <f>'Управление ИБ'!R108</f>
        <v>235.01</v>
      </c>
      <c r="I431" s="404">
        <f>'Управление ИБ'!K108</f>
        <v>1.6</v>
      </c>
      <c r="J431" s="404">
        <f>'Управление ИБ'!I108</f>
        <v>0</v>
      </c>
      <c r="K431" s="404">
        <f>'Управление ИБ'!L108</f>
        <v>0</v>
      </c>
      <c r="L431" s="404">
        <f t="shared" si="13"/>
        <v>0</v>
      </c>
      <c r="M431" s="373">
        <f t="shared" si="14"/>
        <v>1.6</v>
      </c>
      <c r="N431" s="407">
        <f>'Управление ИБ'!S108</f>
        <v>0</v>
      </c>
      <c r="O431" s="407"/>
      <c r="P431" s="407"/>
    </row>
    <row r="432" spans="1:16" ht="78">
      <c r="A432" s="270" t="s">
        <v>780</v>
      </c>
      <c r="B432" s="405" t="s">
        <v>55</v>
      </c>
      <c r="C432" s="517" t="str">
        <f>'Управление ИБ'!B109</f>
        <v>В договорах со всеми подрядчиками прописана необходимость соблюдения мер информационной безопасности</v>
      </c>
      <c r="D432" s="404" t="str">
        <f>'Управление ИБ'!C109</f>
        <v>УИБ.ЦП.2</v>
      </c>
      <c r="E432" s="404">
        <f>'Управление ИБ'!D109</f>
        <v>5</v>
      </c>
      <c r="F432" s="404">
        <f>'Управление ИБ'!E109</f>
        <v>3.2</v>
      </c>
      <c r="G432" s="404">
        <f>'Управление ИБ'!F109</f>
        <v>1.6</v>
      </c>
      <c r="H432" s="373">
        <f>'Управление ИБ'!R109</f>
        <v>235.01999999999998</v>
      </c>
      <c r="I432" s="404">
        <f>'Управление ИБ'!K109</f>
        <v>1.6</v>
      </c>
      <c r="J432" s="404">
        <f>'Управление ИБ'!I109</f>
        <v>0</v>
      </c>
      <c r="K432" s="404">
        <f>'Управление ИБ'!L109</f>
        <v>0</v>
      </c>
      <c r="L432" s="404">
        <f t="shared" si="13"/>
        <v>0</v>
      </c>
      <c r="M432" s="373">
        <f t="shared" si="14"/>
        <v>1.6</v>
      </c>
      <c r="N432" s="407" t="str">
        <f>'Управление ИБ'!S109</f>
        <v xml:space="preserve"> - Составить перечень подрядчиков, чья деятельность может влиять на Общество;
   - Включить в договоры требования к услугам в части обеспечения ИБ.</v>
      </c>
      <c r="O432" s="407"/>
      <c r="P432" s="407"/>
    </row>
    <row r="433" spans="1:16" ht="140.4">
      <c r="A433" s="270" t="s">
        <v>780</v>
      </c>
      <c r="B433" s="405" t="s">
        <v>55</v>
      </c>
      <c r="C433" s="517" t="str">
        <f>'Управление ИБ'!B110</f>
        <v>Поставщики и сторонние партнеры регулярно проходят оценку, чтобы подтвердить, что они выполняют свои договорные обязательства. Проводятся обзоры аудитов, резюме результатов испытаний или другие эквивалентные оценки поставщиков</v>
      </c>
      <c r="D433" s="404" t="str">
        <f>'Управление ИБ'!C110</f>
        <v>УИБ.ЦП.3</v>
      </c>
      <c r="E433" s="404">
        <f>'Управление ИБ'!D110</f>
        <v>5</v>
      </c>
      <c r="F433" s="404">
        <f>'Управление ИБ'!E110</f>
        <v>3.2</v>
      </c>
      <c r="G433" s="404">
        <f>'Управление ИБ'!F110</f>
        <v>1.6</v>
      </c>
      <c r="H433" s="373">
        <f>'Управление ИБ'!R110</f>
        <v>235.02999999999997</v>
      </c>
      <c r="I433" s="404">
        <f>'Управление ИБ'!K110</f>
        <v>1.6</v>
      </c>
      <c r="J433" s="404">
        <f>'Управление ИБ'!I110</f>
        <v>0</v>
      </c>
      <c r="K433" s="404">
        <f>'Управление ИБ'!L110</f>
        <v>0</v>
      </c>
      <c r="L433" s="404">
        <f t="shared" si="13"/>
        <v>0</v>
      </c>
      <c r="M433" s="373">
        <f t="shared" si="14"/>
        <v>1.6</v>
      </c>
      <c r="N433" s="407" t="str">
        <f>'Управление ИБ'!S110</f>
        <v xml:space="preserve"> - Получить от подрядчиков подтверждение соблюдения мер ИБ (отчеты о внутреннем и внешнем аудите)</v>
      </c>
      <c r="O433" s="407"/>
      <c r="P433" s="407"/>
    </row>
    <row r="434" spans="1:16" ht="109.2">
      <c r="A434" s="270" t="s">
        <v>780</v>
      </c>
      <c r="B434" s="406" t="s">
        <v>290</v>
      </c>
      <c r="C434" s="408" t="str">
        <f>'Управление ИБ'!B141</f>
        <v>Создан и актуален реестр одобренных компонентов ПО, принадлежащих сторонним производителям. 
Отслеживаются  обновления и свежие версии компонентов не реже раз в месяц.</v>
      </c>
      <c r="D434" s="408" t="str">
        <f>'Управление ИБ'!C141</f>
        <v>УИБ.БР.5.9.10</v>
      </c>
      <c r="E434" s="408">
        <f>'Управление ИБ'!D141</f>
        <v>5</v>
      </c>
      <c r="F434" s="408">
        <f>'Управление ИБ'!E141</f>
        <v>3.2</v>
      </c>
      <c r="G434" s="408">
        <f>'Управление ИБ'!F141</f>
        <v>1.6</v>
      </c>
      <c r="H434" s="409">
        <f>'Управление ИБ'!R141</f>
        <v>233.09999999999991</v>
      </c>
      <c r="I434" s="408">
        <f>'Управление ИБ'!K141</f>
        <v>1.6</v>
      </c>
      <c r="J434" s="408">
        <f>'Управление ИБ'!I141</f>
        <v>0</v>
      </c>
      <c r="K434" s="404">
        <f>'Управление ИБ'!L141</f>
        <v>0</v>
      </c>
      <c r="L434" s="404">
        <f t="shared" si="13"/>
        <v>0</v>
      </c>
      <c r="M434" s="373">
        <f t="shared" si="14"/>
        <v>1.6</v>
      </c>
      <c r="N434" s="407" t="str">
        <f>'Управление ИБ'!S141</f>
        <v xml:space="preserve"> -Мероприятия для КБ1 +
1. Автоматизировать поиск узявимостей в реестре одобренных компонентов ПО;
2. Автоматизировать процесс отслеживания обновления ПО и информации об уязвимостях.</v>
      </c>
      <c r="O434" s="407"/>
      <c r="P434" s="407"/>
    </row>
    <row r="435" spans="1:16" ht="78">
      <c r="A435" s="270" t="s">
        <v>780</v>
      </c>
      <c r="B435" s="406" t="s">
        <v>290</v>
      </c>
      <c r="C435" s="408" t="str">
        <f>'Управление ИБ'!B142</f>
        <v>Компоненты Реестра ПО скачиваются из проверенных источников и проверяются на безопасность перед установкой</v>
      </c>
      <c r="D435" s="408" t="str">
        <f>'Управление ИБ'!C142</f>
        <v>УИБ.БР.5.9.11</v>
      </c>
      <c r="E435" s="408">
        <f>'Управление ИБ'!D142</f>
        <v>5</v>
      </c>
      <c r="F435" s="408">
        <f>'Управление ИБ'!E142</f>
        <v>3.2</v>
      </c>
      <c r="G435" s="408">
        <f>'Управление ИБ'!F142</f>
        <v>1.6</v>
      </c>
      <c r="H435" s="409">
        <f>'Управление ИБ'!R142</f>
        <v>233.1099999999999</v>
      </c>
      <c r="I435" s="408">
        <f>'Управление ИБ'!K142</f>
        <v>1.6</v>
      </c>
      <c r="J435" s="408">
        <f>'Управление ИБ'!I142</f>
        <v>0</v>
      </c>
      <c r="K435" s="404">
        <f>'Управление ИБ'!L142</f>
        <v>0</v>
      </c>
      <c r="L435" s="404">
        <f t="shared" si="13"/>
        <v>0</v>
      </c>
      <c r="M435" s="373">
        <f t="shared" si="14"/>
        <v>1.6</v>
      </c>
      <c r="N435" s="407" t="str">
        <f>'Управление ИБ'!S142</f>
        <v xml:space="preserve"> -Автоматизировать в Реестре проверку компонентов на уязвимости и угрозы безопасности. 
- Получать  компоненты ПО только из доверенных источников.</v>
      </c>
      <c r="O435" s="407"/>
      <c r="P435" s="407"/>
    </row>
    <row r="436" spans="1:16" ht="93.6">
      <c r="A436" s="270" t="s">
        <v>780</v>
      </c>
      <c r="B436" s="406" t="s">
        <v>290</v>
      </c>
      <c r="C436" s="408" t="str">
        <f>'Управление ИБ'!B143</f>
        <v>При разработке ПО, для обеспечения безопасности критичных компонентов используются механизмы безопасности системного уровня</v>
      </c>
      <c r="D436" s="408" t="str">
        <f>'Управление ИБ'!C143</f>
        <v>УИБ.БР.5.9.12</v>
      </c>
      <c r="E436" s="408">
        <f>'Управление ИБ'!D143</f>
        <v>5</v>
      </c>
      <c r="F436" s="408">
        <f>'Управление ИБ'!E143</f>
        <v>3.2</v>
      </c>
      <c r="G436" s="408">
        <f>'Управление ИБ'!F143</f>
        <v>1.6</v>
      </c>
      <c r="H436" s="409">
        <f>'Управление ИБ'!R143</f>
        <v>233.11999999999989</v>
      </c>
      <c r="I436" s="408">
        <f>'Управление ИБ'!K143</f>
        <v>1.6</v>
      </c>
      <c r="J436" s="408">
        <f>'Управление ИБ'!I143</f>
        <v>0</v>
      </c>
      <c r="K436" s="404">
        <f>'Управление ИБ'!L143</f>
        <v>0</v>
      </c>
      <c r="L436" s="404">
        <f t="shared" si="13"/>
        <v>0</v>
      </c>
      <c r="M436" s="373">
        <f t="shared" si="14"/>
        <v>1.6</v>
      </c>
      <c r="N436" s="407" t="str">
        <f>'Управление ИБ'!S143</f>
        <v xml:space="preserve"> 1. Для систем Business Critical формализовать механизмы безопасности системного уровня для обеспечения безопасности критичных компонентов ПО.
2. Настроить использование механизмов безопасности системного уровня лучшим практикам.</v>
      </c>
      <c r="O436" s="407"/>
      <c r="P436" s="407"/>
    </row>
    <row r="437" spans="1:16" ht="62.4">
      <c r="A437" s="270" t="s">
        <v>19</v>
      </c>
      <c r="B437" s="403" t="s">
        <v>203</v>
      </c>
      <c r="C437" s="404" t="str">
        <f>Реагирование!B46</f>
        <v>Определен порядок эскалации инцидентов</v>
      </c>
      <c r="D437" s="404" t="str">
        <f>Реагирование!C46</f>
        <v>РЕАГ.КМНК.3</v>
      </c>
      <c r="E437" s="404">
        <f>Реагирование!D46</f>
        <v>5</v>
      </c>
      <c r="F437" s="404">
        <f>Реагирование!E46</f>
        <v>3.2</v>
      </c>
      <c r="G437" s="404">
        <f>Реагирование!F46</f>
        <v>0</v>
      </c>
      <c r="H437" s="373">
        <f>Реагирование!R46</f>
        <v>237.02999999999997</v>
      </c>
      <c r="I437" s="404">
        <f>Реагирование!K46</f>
        <v>0</v>
      </c>
      <c r="J437" s="404">
        <f>Реагирование!I46</f>
        <v>0</v>
      </c>
      <c r="K437" s="404">
        <f>Реагирование!L46</f>
        <v>0</v>
      </c>
      <c r="L437" s="404" t="str">
        <f t="shared" si="13"/>
        <v xml:space="preserve"> </v>
      </c>
      <c r="M437" s="373">
        <f t="shared" si="14"/>
        <v>0</v>
      </c>
      <c r="N437" s="407" t="str">
        <f>Реагирование!S46</f>
        <v xml:space="preserve"> - Определить критерии и порядок эскалации инцидентов;
  -  Определить маршруты эскалации;
  - Регламентировать процесс эскалации.</v>
      </c>
      <c r="O437" s="407"/>
      <c r="P437" s="407"/>
    </row>
    <row r="438" spans="1:16" ht="62.4">
      <c r="A438" s="270" t="s">
        <v>19</v>
      </c>
      <c r="B438" s="403" t="s">
        <v>203</v>
      </c>
      <c r="C438" s="404" t="str">
        <f>Реагирование!B47</f>
        <v>Определен порядок взаимодействия с регуляторами по инцидентам ИБ</v>
      </c>
      <c r="D438" s="404" t="str">
        <f>Реагирование!C47</f>
        <v>РЕАГ.КМНК.4</v>
      </c>
      <c r="E438" s="404">
        <f>Реагирование!D47</f>
        <v>5</v>
      </c>
      <c r="F438" s="404">
        <f>Реагирование!E47</f>
        <v>3.2</v>
      </c>
      <c r="G438" s="404">
        <f>Реагирование!F47</f>
        <v>1.6</v>
      </c>
      <c r="H438" s="373">
        <f>Реагирование!R47</f>
        <v>237.03999999999996</v>
      </c>
      <c r="I438" s="404">
        <f>Реагирование!K47</f>
        <v>1.6</v>
      </c>
      <c r="J438" s="404">
        <f>Реагирование!I47</f>
        <v>0</v>
      </c>
      <c r="K438" s="404">
        <f>Реагирование!L47</f>
        <v>1.6</v>
      </c>
      <c r="L438" s="404">
        <f t="shared" si="13"/>
        <v>1.6</v>
      </c>
      <c r="M438" s="373">
        <f t="shared" si="14"/>
        <v>0</v>
      </c>
      <c r="N438" s="407" t="str">
        <f>Реагирование!S47</f>
        <v xml:space="preserve"> - Регламентировать процесс взаимодействия с регуляторами;
  -  Определить ответственных за взаимодействие;
 -  Определить состав и объем предоставляемой информации об инцидентах.</v>
      </c>
      <c r="O438" s="407"/>
      <c r="P438" s="407"/>
    </row>
    <row r="439" spans="1:16" ht="78">
      <c r="A439" s="270" t="s">
        <v>780</v>
      </c>
      <c r="B439" s="406" t="s">
        <v>290</v>
      </c>
      <c r="C439" s="408" t="str">
        <f>'Управление ИБ'!B145</f>
        <v xml:space="preserve">Наиболее критичные замечания исправляются в первую очередь. </v>
      </c>
      <c r="D439" s="408" t="str">
        <f>'Управление ИБ'!C145</f>
        <v>УИБ.БР.5.9.14</v>
      </c>
      <c r="E439" s="408">
        <f>'Управление ИБ'!D145</f>
        <v>5</v>
      </c>
      <c r="F439" s="408">
        <f>'Управление ИБ'!E145</f>
        <v>5</v>
      </c>
      <c r="G439" s="408">
        <f>'Управление ИБ'!F145</f>
        <v>0</v>
      </c>
      <c r="H439" s="409">
        <f>'Управление ИБ'!R145</f>
        <v>233.13999999999987</v>
      </c>
      <c r="I439" s="408">
        <f>'Управление ИБ'!K145</f>
        <v>0</v>
      </c>
      <c r="J439" s="408">
        <f>'Управление ИБ'!I145</f>
        <v>0</v>
      </c>
      <c r="K439" s="404">
        <f>'Управление ИБ'!L145</f>
        <v>0</v>
      </c>
      <c r="L439" s="404" t="str">
        <f t="shared" si="13"/>
        <v xml:space="preserve"> </v>
      </c>
      <c r="M439" s="373">
        <f t="shared" si="14"/>
        <v>0</v>
      </c>
      <c r="N439" s="407" t="str">
        <f>'Управление ИБ'!S145</f>
        <v>1.Формализовать критерии оценки замечаний; 
2.Формализовать порядок приоритезации замечаний в зависимости от уровня критичности.</v>
      </c>
      <c r="O439" s="407"/>
      <c r="P439" s="407"/>
    </row>
    <row r="440" spans="1:16" ht="93.6">
      <c r="A440" s="504" t="s">
        <v>69</v>
      </c>
      <c r="B440" s="405" t="s">
        <v>97</v>
      </c>
      <c r="C440" s="517" t="str">
        <f>'Нормативное соответствие'!B106</f>
        <v>Утвержден документ, регламентирующий  организацию, эксплуатацию и вывод из эксплуатации СКЗИ в организации, включая формы соответствующих документов</v>
      </c>
      <c r="D440" s="404" t="str">
        <f>'Нормативное соответствие'!C106</f>
        <v>НС.СКЗИ.5.9.3.10</v>
      </c>
      <c r="E440" s="404">
        <f>'Нормативное соответствие'!D106</f>
        <v>5</v>
      </c>
      <c r="F440" s="404">
        <f>'Нормативное соответствие'!E106</f>
        <v>3.2</v>
      </c>
      <c r="G440" s="404">
        <f>'Нормативное соответствие'!F106</f>
        <v>1.6</v>
      </c>
      <c r="H440" s="411">
        <f>'Нормативное соответствие'!R106</f>
        <v>237.09999999999997</v>
      </c>
      <c r="I440" s="404">
        <f>'Нормативное соответствие'!K106</f>
        <v>1.6</v>
      </c>
      <c r="J440" s="404">
        <f>'Нормативное соответствие'!I106</f>
        <v>0</v>
      </c>
      <c r="K440" s="404">
        <f>'Нормативное соответствие'!L106</f>
        <v>0</v>
      </c>
      <c r="L440" s="404">
        <f t="shared" si="13"/>
        <v>0</v>
      </c>
      <c r="M440" s="373">
        <f t="shared" si="14"/>
        <v>1.6</v>
      </c>
      <c r="N440" s="407" t="str">
        <f>'Нормативное соответствие'!S106</f>
        <v/>
      </c>
      <c r="O440" s="407"/>
      <c r="P440" s="407"/>
    </row>
    <row r="441" spans="1:16" ht="78">
      <c r="A441" s="270" t="s">
        <v>780</v>
      </c>
      <c r="B441" s="406" t="s">
        <v>17</v>
      </c>
      <c r="C441" s="408" t="str">
        <f>'Управление ИБ'!B126</f>
        <v>Определены требования к отказоустойчивости компонент</v>
      </c>
      <c r="D441" s="408" t="str">
        <f>'Управление ИБ'!C126</f>
        <v>УИБ.ОД.1</v>
      </c>
      <c r="E441" s="408">
        <f>'Управление ИБ'!D126</f>
        <v>5</v>
      </c>
      <c r="F441" s="408">
        <f>'Управление ИБ'!E126</f>
        <v>5</v>
      </c>
      <c r="G441" s="408">
        <f>'Управление ИБ'!F126</f>
        <v>0</v>
      </c>
      <c r="H441" s="401">
        <f>'Управление ИБ'!R126</f>
        <v>239.01</v>
      </c>
      <c r="I441" s="408">
        <f>'Управление ИБ'!K126</f>
        <v>0</v>
      </c>
      <c r="J441" s="408">
        <f>'Управление ИБ'!I126</f>
        <v>0</v>
      </c>
      <c r="K441" s="404">
        <f>'Управление ИБ'!L126</f>
        <v>0</v>
      </c>
      <c r="L441" s="404" t="str">
        <f t="shared" si="13"/>
        <v xml:space="preserve"> </v>
      </c>
      <c r="M441" s="373">
        <f t="shared" si="14"/>
        <v>0</v>
      </c>
      <c r="N441" s="407" t="str">
        <f>'Управление ИБ'!S126</f>
        <v xml:space="preserve"> - Провести анализ всех ИС и определить требования к отказоустойчивости для каждой;
   - Определить требования к характеристикам отказоустойчивости, дублированию, резервированию всех программных и аппаратных компонентов ИС, обеспечивающих систем, внешних сервисов, облачных провайдеров, каналов связи, ЦОД;
   - Обеспечить реализацию требований.</v>
      </c>
      <c r="O441" s="407"/>
      <c r="P441" s="407"/>
    </row>
    <row r="442" spans="1:16" ht="78">
      <c r="A442" s="270" t="s">
        <v>780</v>
      </c>
      <c r="B442" s="406" t="s">
        <v>17</v>
      </c>
      <c r="C442" s="408" t="str">
        <f>'Управление ИБ'!B127</f>
        <v>Осуществляется дублирование инфраструктуры в разных территориально разделенных ЦОД</v>
      </c>
      <c r="D442" s="408" t="str">
        <f>'Управление ИБ'!C127</f>
        <v>УИБ.ОД.2</v>
      </c>
      <c r="E442" s="408">
        <f>'Управление ИБ'!D127</f>
        <v>5</v>
      </c>
      <c r="F442" s="408">
        <f>'Управление ИБ'!E127</f>
        <v>3.2</v>
      </c>
      <c r="G442" s="408">
        <f>'Управление ИБ'!F127</f>
        <v>0</v>
      </c>
      <c r="H442" s="401">
        <f>'Управление ИБ'!R127</f>
        <v>239.01999999999998</v>
      </c>
      <c r="I442" s="408">
        <f>'Управление ИБ'!K127</f>
        <v>0</v>
      </c>
      <c r="J442" s="408">
        <f>'Управление ИБ'!I127</f>
        <v>0</v>
      </c>
      <c r="K442" s="404">
        <f>'Управление ИБ'!L127</f>
        <v>0</v>
      </c>
      <c r="L442" s="404" t="str">
        <f t="shared" si="13"/>
        <v xml:space="preserve"> </v>
      </c>
      <c r="M442" s="373">
        <f t="shared" si="14"/>
        <v>0</v>
      </c>
      <c r="N442" s="407" t="str">
        <f>'Управление ИБ'!S127</f>
        <v xml:space="preserve"> - Обеспечить дублирование инфраструктуры в разных ЦОД для критичных ИС.</v>
      </c>
      <c r="O442" s="407"/>
      <c r="P442" s="407"/>
    </row>
    <row r="443" spans="1:16" ht="78">
      <c r="A443" s="270" t="s">
        <v>780</v>
      </c>
      <c r="B443" s="406" t="s">
        <v>17</v>
      </c>
      <c r="C443" s="408" t="str">
        <f>'Управление ИБ'!B128</f>
        <v>Осуществляется кластеризация компонентов Mission Critical и Busines Critical систем</v>
      </c>
      <c r="D443" s="408" t="str">
        <f>'Управление ИБ'!C128</f>
        <v>УИБ.ОД.3</v>
      </c>
      <c r="E443" s="408">
        <f>'Управление ИБ'!D128</f>
        <v>5</v>
      </c>
      <c r="F443" s="408">
        <f>'Управление ИБ'!E128</f>
        <v>5</v>
      </c>
      <c r="G443" s="408">
        <f>'Управление ИБ'!F128</f>
        <v>0</v>
      </c>
      <c r="H443" s="401">
        <f>'Управление ИБ'!R128</f>
        <v>239.02999999999997</v>
      </c>
      <c r="I443" s="408">
        <f>'Управление ИБ'!K128</f>
        <v>0</v>
      </c>
      <c r="J443" s="408">
        <f>'Управление ИБ'!I128</f>
        <v>0</v>
      </c>
      <c r="K443" s="404">
        <f>'Управление ИБ'!L128</f>
        <v>0</v>
      </c>
      <c r="L443" s="404" t="str">
        <f t="shared" si="13"/>
        <v xml:space="preserve"> </v>
      </c>
      <c r="M443" s="373">
        <f t="shared" si="14"/>
        <v>0</v>
      </c>
      <c r="N443" s="407" t="str">
        <f>'Управление ИБ'!S128</f>
        <v xml:space="preserve"> - Определить требования к кластеризации компонентов ИС;
  - Обеспечить кластеризацию критичных ИС;
  - Реализовать мониторинг состояния кластеров;
  - Обеспечить отказоустойчивость кластеров при сбоях</v>
      </c>
      <c r="O443" s="407"/>
      <c r="P443" s="407"/>
    </row>
    <row r="444" spans="1:16" ht="78">
      <c r="A444" s="270" t="s">
        <v>780</v>
      </c>
      <c r="B444" s="406" t="s">
        <v>17</v>
      </c>
      <c r="C444" s="408" t="str">
        <f>'Управление ИБ'!B130</f>
        <v>Обеспечивается уровень доступности систем и средств защиты не ниже, чем уровень доступности защищаемых информационных систем</v>
      </c>
      <c r="D444" s="408" t="str">
        <f>'Управление ИБ'!C130</f>
        <v>УИБ.ОД.7</v>
      </c>
      <c r="E444" s="408">
        <f>'Управление ИБ'!D130</f>
        <v>5</v>
      </c>
      <c r="F444" s="408">
        <f>'Управление ИБ'!E130</f>
        <v>3.2</v>
      </c>
      <c r="G444" s="408">
        <f>'Управление ИБ'!F130</f>
        <v>0</v>
      </c>
      <c r="H444" s="401">
        <f>'Управление ИБ'!R130</f>
        <v>239.04999999999995</v>
      </c>
      <c r="I444" s="408">
        <f>'Управление ИБ'!K130</f>
        <v>0</v>
      </c>
      <c r="J444" s="408">
        <f>'Управление ИБ'!I130</f>
        <v>0</v>
      </c>
      <c r="K444" s="404">
        <f>'Управление ИБ'!L130</f>
        <v>0</v>
      </c>
      <c r="L444" s="404" t="str">
        <f t="shared" si="13"/>
        <v xml:space="preserve"> </v>
      </c>
      <c r="M444" s="373">
        <f t="shared" si="14"/>
        <v>0</v>
      </c>
      <c r="N444" s="407" t="str">
        <f>'Управление ИБ'!S130</f>
        <v xml:space="preserve"> - Определить требования к уровню доступности средств защиты и обеспечить его выполнение;
   - Обеспечить уровень доступности средств защиты не ниже чем уровень доступности защищаемых ИС; 
- Обеспечить доступность средств защиты при авариях и сбоях ИС;
  - Обеспечить  применение компенсирующих мер защиты при сбоях и авариях средств защиты.</v>
      </c>
      <c r="O444" s="407"/>
      <c r="P444" s="407"/>
    </row>
    <row r="445" spans="1:16" ht="78">
      <c r="A445" s="270" t="s">
        <v>780</v>
      </c>
      <c r="B445" s="403" t="s">
        <v>30</v>
      </c>
      <c r="C445" s="404" t="str">
        <f>'Управление ИБ'!B74</f>
        <v>Риски определены качественно</v>
      </c>
      <c r="D445" s="404" t="str">
        <f>'Управление ИБ'!C74</f>
        <v>УИБ.УР.3</v>
      </c>
      <c r="E445" s="404">
        <f>'Управление ИБ'!D74</f>
        <v>5</v>
      </c>
      <c r="F445" s="404">
        <f>'Управление ИБ'!E74</f>
        <v>5</v>
      </c>
      <c r="G445" s="404">
        <f>'Управление ИБ'!F74</f>
        <v>0</v>
      </c>
      <c r="H445" s="373">
        <f>'Управление ИБ'!R74</f>
        <v>241.02999999999997</v>
      </c>
      <c r="I445" s="404">
        <f>'Управление ИБ'!K74</f>
        <v>0</v>
      </c>
      <c r="J445" s="404">
        <f>'Управление ИБ'!I74</f>
        <v>0</v>
      </c>
      <c r="K445" s="404">
        <f>'Управление ИБ'!L74</f>
        <v>0</v>
      </c>
      <c r="L445" s="404" t="str">
        <f t="shared" si="13"/>
        <v xml:space="preserve"> </v>
      </c>
      <c r="M445" s="373">
        <f t="shared" si="14"/>
        <v>0</v>
      </c>
      <c r="N445" s="407">
        <f>'Управление ИБ'!S74</f>
        <v>0</v>
      </c>
      <c r="O445" s="407"/>
      <c r="P445" s="407"/>
    </row>
    <row r="446" spans="1:16" ht="78">
      <c r="A446" s="270" t="s">
        <v>780</v>
      </c>
      <c r="B446" s="403" t="s">
        <v>30</v>
      </c>
      <c r="C446" s="404" t="str">
        <f>'Управление ИБ'!B75</f>
        <v>Внедрен процесс количественной оценки рисков</v>
      </c>
      <c r="D446" s="404" t="str">
        <f>'Управление ИБ'!C75</f>
        <v>УИБ.УР.4</v>
      </c>
      <c r="E446" s="404">
        <f>'Управление ИБ'!D75</f>
        <v>4</v>
      </c>
      <c r="F446" s="404">
        <f>'Управление ИБ'!E75</f>
        <v>0</v>
      </c>
      <c r="G446" s="404">
        <f>'Управление ИБ'!F75</f>
        <v>0</v>
      </c>
      <c r="H446" s="373">
        <f>'Управление ИБ'!R75</f>
        <v>241.03999999999996</v>
      </c>
      <c r="I446" s="404">
        <f>'Управление ИБ'!K75</f>
        <v>0</v>
      </c>
      <c r="J446" s="404">
        <f>'Управление ИБ'!I75</f>
        <v>0</v>
      </c>
      <c r="K446" s="404">
        <f>'Управление ИБ'!L75</f>
        <v>0</v>
      </c>
      <c r="L446" s="404" t="str">
        <f t="shared" si="13"/>
        <v xml:space="preserve"> </v>
      </c>
      <c r="M446" s="373">
        <f t="shared" si="14"/>
        <v>0</v>
      </c>
      <c r="N446" s="407" t="str">
        <f>'Управление ИБ'!S75</f>
        <v/>
      </c>
      <c r="O446" s="407"/>
      <c r="P446" s="407"/>
    </row>
    <row r="447" spans="1:16" ht="78">
      <c r="A447" s="270" t="s">
        <v>780</v>
      </c>
      <c r="B447" s="403" t="s">
        <v>30</v>
      </c>
      <c r="C447" s="404" t="str">
        <f>'Управление ИБ'!B76</f>
        <v>Процесс оценки рисков ИБ интегрирован в общую систему управления рисками Общества</v>
      </c>
      <c r="D447" s="404" t="str">
        <f>'Управление ИБ'!C76</f>
        <v>УИБ.УР.5</v>
      </c>
      <c r="E447" s="404">
        <f>'Управление ИБ'!D76</f>
        <v>5</v>
      </c>
      <c r="F447" s="404">
        <f>'Управление ИБ'!E76</f>
        <v>0</v>
      </c>
      <c r="G447" s="404">
        <f>'Управление ИБ'!F76</f>
        <v>0</v>
      </c>
      <c r="H447" s="373">
        <f>'Управление ИБ'!R76</f>
        <v>241.04999999999995</v>
      </c>
      <c r="I447" s="404">
        <f>'Управление ИБ'!K76</f>
        <v>0</v>
      </c>
      <c r="J447" s="404">
        <f>'Управление ИБ'!I76</f>
        <v>0</v>
      </c>
      <c r="K447" s="404">
        <f>'Управление ИБ'!L76</f>
        <v>0</v>
      </c>
      <c r="L447" s="404" t="str">
        <f t="shared" ref="L447:L510" si="15">IF(J447=I447," ",K447-J447)</f>
        <v xml:space="preserve"> </v>
      </c>
      <c r="M447" s="373">
        <f t="shared" si="14"/>
        <v>0</v>
      </c>
      <c r="N447" s="407" t="str">
        <f>'Управление ИБ'!S76</f>
        <v/>
      </c>
      <c r="O447" s="407"/>
      <c r="P447" s="407"/>
    </row>
    <row r="448" spans="1:16" ht="78">
      <c r="A448" s="270" t="s">
        <v>780</v>
      </c>
      <c r="B448" s="403" t="s">
        <v>439</v>
      </c>
      <c r="C448" s="404" t="str">
        <f>'Управление ИБ'!B190</f>
        <v>Наличие нормативного документа, регламентирующего категории конфиденциальности обрабатываемой информации</v>
      </c>
      <c r="D448" s="404" t="str">
        <f>'Управление ИБ'!C190</f>
        <v>УИБ.Д.1</v>
      </c>
      <c r="E448" s="404">
        <f>'Управление ИБ'!D190</f>
        <v>5</v>
      </c>
      <c r="F448" s="404">
        <f>'Управление ИБ'!E190</f>
        <v>5</v>
      </c>
      <c r="G448" s="404">
        <f>'Управление ИБ'!F190</f>
        <v>0</v>
      </c>
      <c r="H448" s="373">
        <f>'Управление ИБ'!R190</f>
        <v>242.01</v>
      </c>
      <c r="I448" s="404">
        <f>'Управление ИБ'!K190</f>
        <v>0</v>
      </c>
      <c r="J448" s="404">
        <f>'Управление ИБ'!I190</f>
        <v>0</v>
      </c>
      <c r="K448" s="404">
        <f>'Управление ИБ'!L190</f>
        <v>5</v>
      </c>
      <c r="L448" s="404" t="str">
        <f t="shared" si="15"/>
        <v xml:space="preserve"> </v>
      </c>
      <c r="M448" s="373">
        <f t="shared" si="14"/>
        <v>0</v>
      </c>
      <c r="N448" s="407" t="str">
        <f>'Управление ИБ'!S190</f>
        <v/>
      </c>
      <c r="O448" s="407"/>
      <c r="P448" s="407"/>
    </row>
    <row r="449" spans="1:16" ht="62.4">
      <c r="A449" s="270" t="s">
        <v>19</v>
      </c>
      <c r="B449" s="403" t="s">
        <v>203</v>
      </c>
      <c r="C449" s="404" t="str">
        <f>Реагирование!B44</f>
        <v>Определен и обновляется список участников процессов реагирования (ИБ, ИТ, PR, HR, юристы, подрядчики)</v>
      </c>
      <c r="D449" s="404" t="str">
        <f>Реагирование!C44</f>
        <v>РЕАГ.КМНК.1</v>
      </c>
      <c r="E449" s="404">
        <f>Реагирование!D44</f>
        <v>5</v>
      </c>
      <c r="F449" s="404">
        <f>Реагирование!E44</f>
        <v>3.2</v>
      </c>
      <c r="G449" s="404">
        <f>Реагирование!F44</f>
        <v>0</v>
      </c>
      <c r="H449" s="373">
        <f>Реагирование!R44</f>
        <v>237.01</v>
      </c>
      <c r="I449" s="404">
        <f>Реагирование!K44</f>
        <v>0</v>
      </c>
      <c r="J449" s="404">
        <f>Реагирование!I44</f>
        <v>0</v>
      </c>
      <c r="K449" s="404">
        <f>Реагирование!L44</f>
        <v>0</v>
      </c>
      <c r="L449" s="404" t="str">
        <f t="shared" si="15"/>
        <v xml:space="preserve"> </v>
      </c>
      <c r="M449" s="373">
        <f t="shared" si="14"/>
        <v>0</v>
      </c>
      <c r="N449" s="407" t="str">
        <f>Реагирование!S44</f>
        <v xml:space="preserve"> - Составить список участников процессов реагирования на инциденты;
  -  Определить зоны ответственности и полномочия при реагировании на инциденты, довести до участников и согласовать с ними;
  -  Составить список контактных данных и довести до всех участников.</v>
      </c>
      <c r="O449" s="407"/>
      <c r="P449" s="407"/>
    </row>
    <row r="450" spans="1:16" ht="78">
      <c r="A450" s="270" t="s">
        <v>780</v>
      </c>
      <c r="B450" s="403" t="s">
        <v>439</v>
      </c>
      <c r="C450" s="404" t="str">
        <f>'Управление ИБ'!B192</f>
        <v>Передаваемые между сегментами сетей данные защищены</v>
      </c>
      <c r="D450" s="404" t="str">
        <f>'Управление ИБ'!C192</f>
        <v>УИБ.Д.3</v>
      </c>
      <c r="E450" s="404">
        <f>'Управление ИБ'!D192</f>
        <v>5</v>
      </c>
      <c r="F450" s="404">
        <f>'Управление ИБ'!E192</f>
        <v>5</v>
      </c>
      <c r="G450" s="404">
        <f>'Управление ИБ'!F192</f>
        <v>1.6</v>
      </c>
      <c r="H450" s="373">
        <f>'Управление ИБ'!R192</f>
        <v>242.02999999999997</v>
      </c>
      <c r="I450" s="404">
        <f>'Управление ИБ'!K192</f>
        <v>1.6</v>
      </c>
      <c r="J450" s="404">
        <f>'Управление ИБ'!I192</f>
        <v>0</v>
      </c>
      <c r="K450" s="404">
        <f>'Управление ИБ'!L192</f>
        <v>5</v>
      </c>
      <c r="L450" s="404">
        <f t="shared" si="15"/>
        <v>5</v>
      </c>
      <c r="M450" s="373">
        <f t="shared" si="14"/>
        <v>0</v>
      </c>
      <c r="N450" s="407" t="str">
        <f>'Управление ИБ'!S192</f>
        <v/>
      </c>
      <c r="O450" s="407"/>
      <c r="P450" s="407"/>
    </row>
    <row r="451" spans="1:16" ht="62.4">
      <c r="A451" s="270" t="s">
        <v>19</v>
      </c>
      <c r="B451" s="403" t="s">
        <v>203</v>
      </c>
      <c r="C451" s="404" t="str">
        <f>Реагирование!B45</f>
        <v>Определены средства и каналы коммуникации и приоритет их использования</v>
      </c>
      <c r="D451" s="404" t="str">
        <f>Реагирование!C45</f>
        <v>РЕАГ.КМНК.2</v>
      </c>
      <c r="E451" s="404">
        <f>Реагирование!D45</f>
        <v>5</v>
      </c>
      <c r="F451" s="404">
        <f>Реагирование!E45</f>
        <v>3.2</v>
      </c>
      <c r="G451" s="404">
        <f>Реагирование!F45</f>
        <v>0</v>
      </c>
      <c r="H451" s="373">
        <f>Реагирование!R45</f>
        <v>237.01999999999998</v>
      </c>
      <c r="I451" s="404">
        <f>Реагирование!K45</f>
        <v>0</v>
      </c>
      <c r="J451" s="404">
        <f>Реагирование!I45</f>
        <v>0</v>
      </c>
      <c r="K451" s="404">
        <f>Реагирование!L45</f>
        <v>0</v>
      </c>
      <c r="L451" s="404" t="str">
        <f t="shared" si="15"/>
        <v xml:space="preserve"> </v>
      </c>
      <c r="M451" s="373">
        <f t="shared" ref="M451:M514" si="16">IF(H451&lt;100,    IF(K451&gt;=G451,0,I451-K451),       IF(H451&lt;300,     IF(K451&gt;=F451,0,I451-K451),                  IF(K451&gt;=E451,0,I451-K451)))</f>
        <v>0</v>
      </c>
      <c r="N451" s="407" t="str">
        <f>Реагирование!S45</f>
        <v xml:space="preserve"> - Определить основные и резервные каналы коммуникации и приоритет их использования/Провести тестирование каналов коммуникации. </v>
      </c>
      <c r="O451" s="407"/>
      <c r="P451" s="407"/>
    </row>
    <row r="452" spans="1:16" ht="62.4">
      <c r="A452" s="270" t="s">
        <v>18</v>
      </c>
      <c r="B452" s="403" t="s">
        <v>498</v>
      </c>
      <c r="C452" s="404" t="str">
        <f>Мониторинг!B61</f>
        <v>Процесс анализа информации о киберугрозах</v>
      </c>
      <c r="D452" s="404" t="str">
        <f>Мониторинг!C61</f>
        <v>МНТ.ПР.1</v>
      </c>
      <c r="E452" s="404">
        <f>Мониторинг!D61</f>
        <v>4</v>
      </c>
      <c r="F452" s="404">
        <f>Мониторинг!E61</f>
        <v>1</v>
      </c>
      <c r="G452" s="404">
        <f>Мониторинг!F61</f>
        <v>0</v>
      </c>
      <c r="H452" s="373">
        <f>Мониторинг!T61</f>
        <v>300.01</v>
      </c>
      <c r="I452" s="404">
        <f>Мониторинг!K61</f>
        <v>0</v>
      </c>
      <c r="J452" s="404">
        <f>Мониторинг!I61</f>
        <v>0</v>
      </c>
      <c r="K452" s="404">
        <f>Мониторинг!L61</f>
        <v>0</v>
      </c>
      <c r="L452" s="404" t="str">
        <f t="shared" si="15"/>
        <v xml:space="preserve"> </v>
      </c>
      <c r="M452" s="373">
        <f t="shared" si="16"/>
        <v>0</v>
      </c>
      <c r="N452" s="407" t="str">
        <f>Мониторинг!U61</f>
        <v xml:space="preserve"> - Организовать получение данных от  поставщиков информации об угрозах и из открытых источников. Реализовать процесс анализа угроз и защиты от релевантных угроз.</v>
      </c>
      <c r="O452" s="407"/>
      <c r="P452" s="407"/>
    </row>
    <row r="453" spans="1:16" ht="62.4">
      <c r="A453" s="270" t="s">
        <v>19</v>
      </c>
      <c r="B453" s="403" t="s">
        <v>203</v>
      </c>
      <c r="C453" s="404" t="str">
        <f>Реагирование!B48</f>
        <v>Для значимых инцидентов подготовлены планы коммуникаций</v>
      </c>
      <c r="D453" s="404" t="str">
        <f>Реагирование!C48</f>
        <v>РЕАГ.КМНК.5</v>
      </c>
      <c r="E453" s="404">
        <f>Реагирование!D48</f>
        <v>5</v>
      </c>
      <c r="F453" s="404">
        <f>Реагирование!E48</f>
        <v>3.2</v>
      </c>
      <c r="G453" s="404">
        <f>Реагирование!F48</f>
        <v>1.6</v>
      </c>
      <c r="H453" s="373">
        <f>Реагирование!R48</f>
        <v>237.04999999999995</v>
      </c>
      <c r="I453" s="404">
        <f>Реагирование!K48</f>
        <v>1.6</v>
      </c>
      <c r="J453" s="404">
        <f>Реагирование!I48</f>
        <v>0</v>
      </c>
      <c r="K453" s="404">
        <f>Реагирование!L48</f>
        <v>0</v>
      </c>
      <c r="L453" s="404">
        <f t="shared" si="15"/>
        <v>0</v>
      </c>
      <c r="M453" s="373">
        <f t="shared" si="16"/>
        <v>1.6</v>
      </c>
      <c r="N453" s="407" t="str">
        <f>Реагирование!S48</f>
        <v xml:space="preserve"> - Актуализировать план коммуникаций значимых инцидентов не реже чем раз в полгода.</v>
      </c>
      <c r="O453" s="407"/>
      <c r="P453" s="407"/>
    </row>
    <row r="454" spans="1:16" ht="78">
      <c r="A454" s="270" t="s">
        <v>780</v>
      </c>
      <c r="B454" s="406" t="s">
        <v>17</v>
      </c>
      <c r="C454" s="408" t="str">
        <f>'Управление ИБ'!B129</f>
        <v>Наличие достаточного перечня запасных частей и материалов, а также активной технической поддержки на оборудование и программное обеспечение</v>
      </c>
      <c r="D454" s="408" t="str">
        <f>'Управление ИБ'!C129</f>
        <v>УИБ.ОД.6</v>
      </c>
      <c r="E454" s="408">
        <f>'Управление ИБ'!D129</f>
        <v>5</v>
      </c>
      <c r="F454" s="408">
        <f>'Управление ИБ'!E129</f>
        <v>3.2</v>
      </c>
      <c r="G454" s="408">
        <f>'Управление ИБ'!F129</f>
        <v>0</v>
      </c>
      <c r="H454" s="401">
        <f>'Управление ИБ'!R129</f>
        <v>239.03999999999996</v>
      </c>
      <c r="I454" s="408">
        <f>'Управление ИБ'!K129</f>
        <v>0</v>
      </c>
      <c r="J454" s="408">
        <f>'Управление ИБ'!I129</f>
        <v>0</v>
      </c>
      <c r="K454" s="404">
        <f>'Управление ИБ'!L129</f>
        <v>0</v>
      </c>
      <c r="L454" s="404" t="str">
        <f t="shared" si="15"/>
        <v xml:space="preserve"> </v>
      </c>
      <c r="M454" s="373">
        <f t="shared" si="16"/>
        <v>0</v>
      </c>
      <c r="N454" s="407" t="str">
        <f>'Управление ИБ'!S129</f>
        <v xml:space="preserve"> - Определить перечень запасных частей и материалов, необходимых для обеспечения непрерывной работы информационных систем и проведения аварийно-восстановительных работ;
   - Закупить в требуемом объеме запасные части и материалы. </v>
      </c>
      <c r="O454" s="407"/>
      <c r="P454" s="407"/>
    </row>
    <row r="455" spans="1:16" ht="78">
      <c r="A455" s="270" t="s">
        <v>780</v>
      </c>
      <c r="B455" s="403" t="s">
        <v>439</v>
      </c>
      <c r="C455" s="404" t="str">
        <f>'Управление ИБ'!B191</f>
        <v>Данные на носимых устройствах хранятся в зашифрованном виде</v>
      </c>
      <c r="D455" s="404" t="str">
        <f>'Управление ИБ'!C191</f>
        <v>УИБ.Д.2</v>
      </c>
      <c r="E455" s="404">
        <f>'Управление ИБ'!D191</f>
        <v>5</v>
      </c>
      <c r="F455" s="404">
        <f>'Управление ИБ'!E191</f>
        <v>3.2</v>
      </c>
      <c r="G455" s="404">
        <f>'Управление ИБ'!F191</f>
        <v>1.6</v>
      </c>
      <c r="H455" s="373">
        <f>'Управление ИБ'!R191</f>
        <v>242.01999999999998</v>
      </c>
      <c r="I455" s="404">
        <f>'Управление ИБ'!K191</f>
        <v>1.6</v>
      </c>
      <c r="J455" s="404">
        <f>'Управление ИБ'!I191</f>
        <v>0</v>
      </c>
      <c r="K455" s="404">
        <f>'Управление ИБ'!L191</f>
        <v>0</v>
      </c>
      <c r="L455" s="404">
        <f t="shared" si="15"/>
        <v>0</v>
      </c>
      <c r="M455" s="373">
        <f t="shared" si="16"/>
        <v>1.6</v>
      </c>
      <c r="N455" s="407" t="str">
        <f>'Управление ИБ'!S191</f>
        <v xml:space="preserve"> - Приобрести и установить средства шифрования данных на носимых устройствах (ноутбуки, планшеты, телефоны): не менее чем на 60% устройств.</v>
      </c>
      <c r="O455" s="407"/>
      <c r="P455" s="407"/>
    </row>
    <row r="456" spans="1:16" ht="46.8">
      <c r="A456" s="270" t="s">
        <v>113</v>
      </c>
      <c r="B456" s="403" t="s">
        <v>187</v>
      </c>
      <c r="C456" s="404" t="str">
        <f>СЗИ!B47</f>
        <v>Процент покрытия инфраструктуры средствами антивирусного ПО</v>
      </c>
      <c r="D456" s="404" t="str">
        <f>СЗИ!C47</f>
        <v>СЗИ.ВПО.2</v>
      </c>
      <c r="E456" s="404">
        <f>СЗИ!D47</f>
        <v>4.75</v>
      </c>
      <c r="F456" s="404">
        <f>СЗИ!E47</f>
        <v>4.5</v>
      </c>
      <c r="G456" s="404">
        <f>СЗИ!F47</f>
        <v>3.75</v>
      </c>
      <c r="H456" s="373">
        <f>СЗИ!T47</f>
        <v>301.02</v>
      </c>
      <c r="I456" s="404">
        <f>СЗИ!K47</f>
        <v>3.75</v>
      </c>
      <c r="J456" s="190">
        <f>СЗИ!I47</f>
        <v>0</v>
      </c>
      <c r="K456" s="404">
        <f>СЗИ!L47</f>
        <v>0</v>
      </c>
      <c r="L456" s="404">
        <f t="shared" si="15"/>
        <v>0</v>
      </c>
      <c r="M456" s="373">
        <f t="shared" si="16"/>
        <v>3.75</v>
      </c>
      <c r="N456" s="483" t="str">
        <f>СЗИ!U47</f>
        <v>- Обеспечить установку средств АВЗ не менее чем на 95% хостов инфраструктуры Общества</v>
      </c>
      <c r="O456" s="483"/>
      <c r="P456" s="483"/>
    </row>
    <row r="457" spans="1:16" ht="78">
      <c r="A457" s="270" t="s">
        <v>780</v>
      </c>
      <c r="B457" s="403" t="s">
        <v>439</v>
      </c>
      <c r="C457" s="404" t="str">
        <f>'Управление ИБ'!B193</f>
        <v>Осуществляется контроль использования личных мобильных устройств</v>
      </c>
      <c r="D457" s="404" t="str">
        <f>'Управление ИБ'!C193</f>
        <v>УИБ.Д.4</v>
      </c>
      <c r="E457" s="404">
        <f>'Управление ИБ'!D193</f>
        <v>3.2</v>
      </c>
      <c r="F457" s="404">
        <f>'Управление ИБ'!E193</f>
        <v>1.6</v>
      </c>
      <c r="G457" s="404">
        <f>'Управление ИБ'!F193</f>
        <v>0</v>
      </c>
      <c r="H457" s="373">
        <f>'Управление ИБ'!R193</f>
        <v>242.03999999999996</v>
      </c>
      <c r="I457" s="404">
        <f>'Управление ИБ'!K193</f>
        <v>0</v>
      </c>
      <c r="J457" s="404">
        <f>'Управление ИБ'!I193</f>
        <v>0</v>
      </c>
      <c r="K457" s="404">
        <f>'Управление ИБ'!L193</f>
        <v>0</v>
      </c>
      <c r="L457" s="404" t="str">
        <f t="shared" si="15"/>
        <v xml:space="preserve"> </v>
      </c>
      <c r="M457" s="373">
        <f t="shared" si="16"/>
        <v>0</v>
      </c>
      <c r="N457" s="407" t="str">
        <f>'Управление ИБ'!S193</f>
        <v xml:space="preserve"> - Определить порядок использования личных устройств, разрешения их использования, меры безопасности и ограничения.</v>
      </c>
      <c r="O457" s="407"/>
      <c r="P457" s="407"/>
    </row>
    <row r="458" spans="1:16" ht="93.6">
      <c r="A458" s="270" t="s">
        <v>113</v>
      </c>
      <c r="B458" s="403" t="s">
        <v>187</v>
      </c>
      <c r="C458" s="404" t="str">
        <f>СЗИ!B51</f>
        <v>Процесс контроля работоспособности САВЗ</v>
      </c>
      <c r="D458" s="404" t="str">
        <f>СЗИ!C51</f>
        <v>СЗИ.ВПО.6</v>
      </c>
      <c r="E458" s="404">
        <f>СЗИ!D51</f>
        <v>4</v>
      </c>
      <c r="F458" s="404">
        <f>СЗИ!E51</f>
        <v>3</v>
      </c>
      <c r="G458" s="404">
        <f>СЗИ!F51</f>
        <v>2</v>
      </c>
      <c r="H458" s="373">
        <f>СЗИ!T51</f>
        <v>301.05999999999995</v>
      </c>
      <c r="I458" s="404">
        <f>СЗИ!K51</f>
        <v>2</v>
      </c>
      <c r="J458" s="404">
        <f>СЗИ!I51</f>
        <v>0</v>
      </c>
      <c r="K458" s="404">
        <f>СЗИ!L51</f>
        <v>0</v>
      </c>
      <c r="L458" s="404">
        <f t="shared" si="15"/>
        <v>0</v>
      </c>
      <c r="M458" s="373">
        <f t="shared" si="16"/>
        <v>2</v>
      </c>
      <c r="N458" s="483" t="str">
        <f>СЗИ!U51</f>
        <v>- Разработать систему метрик для процесса контроля рабоспособности средств АВЗ
_x000D_- Создать средство визуального мониторинга параметров процесса контроля работоспособности средств АВЗ 
_x000D_- Реализовать мониторинг параметров процесса контроля работоспособности средств АВЗ
_x000D_- Реализовать реагирование на факты отклонения параметров процесса контроля работоспособности средств АВЗ от определенных показателей</v>
      </c>
      <c r="O458" s="483"/>
      <c r="P458" s="483"/>
    </row>
    <row r="459" spans="1:16" ht="78">
      <c r="A459" s="270" t="s">
        <v>113</v>
      </c>
      <c r="B459" s="403" t="s">
        <v>187</v>
      </c>
      <c r="C459" s="404" t="str">
        <f>СЗИ!B52</f>
        <v>Процесс обновления антивирусных средств</v>
      </c>
      <c r="D459" s="404" t="str">
        <f>СЗИ!C52</f>
        <v>СЗИ.ВПО.7</v>
      </c>
      <c r="E459" s="404">
        <f>СЗИ!D52</f>
        <v>4</v>
      </c>
      <c r="F459" s="404">
        <f>СЗИ!E52</f>
        <v>3</v>
      </c>
      <c r="G459" s="404">
        <f>СЗИ!F52</f>
        <v>2</v>
      </c>
      <c r="H459" s="373">
        <f>СЗИ!T52</f>
        <v>301.06999999999994</v>
      </c>
      <c r="I459" s="404">
        <f>СЗИ!K52</f>
        <v>2</v>
      </c>
      <c r="J459" s="404">
        <f>СЗИ!I52</f>
        <v>0</v>
      </c>
      <c r="K459" s="404">
        <f>СЗИ!L52</f>
        <v>0</v>
      </c>
      <c r="L459" s="404">
        <f t="shared" si="15"/>
        <v>0</v>
      </c>
      <c r="M459" s="373">
        <f t="shared" si="16"/>
        <v>2</v>
      </c>
      <c r="N459" s="483" t="str">
        <f>СЗИ!U52</f>
        <v>- Разработать систему метрик для процесса обновления средств АВЗ
_x000D_- Создать средство визуального мониторинга параметров процесса обновления средств АВЗ 
_x000D_- Реализовать мониторинг параметров процесса обновления средств АВЗ
_x000D_- Реализовать реагирование на факты отклонения параметров процесса обновления средств АВЗ от определенных показателей</v>
      </c>
      <c r="O459" s="483"/>
      <c r="P459" s="483"/>
    </row>
    <row r="460" spans="1:16" ht="93.6">
      <c r="A460" s="270" t="s">
        <v>113</v>
      </c>
      <c r="B460" s="403" t="s">
        <v>187</v>
      </c>
      <c r="C460" s="404" t="str">
        <f>СЗИ!B53</f>
        <v>Процесс реагирования на события САВЗ</v>
      </c>
      <c r="D460" s="404" t="str">
        <f>СЗИ!C53</f>
        <v>СЗИ.ВПО.8</v>
      </c>
      <c r="E460" s="404">
        <f>СЗИ!D53</f>
        <v>4</v>
      </c>
      <c r="F460" s="404">
        <f>СЗИ!E53</f>
        <v>3</v>
      </c>
      <c r="G460" s="404">
        <f>СЗИ!F53</f>
        <v>2</v>
      </c>
      <c r="H460" s="373">
        <f>СЗИ!T53</f>
        <v>301.07999999999993</v>
      </c>
      <c r="I460" s="404">
        <f>СЗИ!K53</f>
        <v>2</v>
      </c>
      <c r="J460" s="404">
        <f>СЗИ!I53</f>
        <v>0</v>
      </c>
      <c r="K460" s="404">
        <f>СЗИ!L53</f>
        <v>0</v>
      </c>
      <c r="L460" s="404">
        <f t="shared" si="15"/>
        <v>0</v>
      </c>
      <c r="M460" s="373">
        <f t="shared" si="16"/>
        <v>2</v>
      </c>
      <c r="N460" s="483" t="str">
        <f>СЗИ!U53</f>
        <v>- Разработать систему метрик для процесса реагирования на события  средств АВЗ
_x000D_- Создать средство визуального мониторинга параметров процесса реагирования на события  средств АВЗ 
_x000D_- Реализовать мониторинг параметров процесса реагирования на события  средств АВЗ
_x000D_- Реализовать реагирование на факты отклонения параметров процесса реагирования на события средств АВЗ от определенных показателей</v>
      </c>
      <c r="O460" s="483"/>
      <c r="P460" s="483"/>
    </row>
    <row r="461" spans="1:16" ht="46.8">
      <c r="A461" s="270" t="s">
        <v>113</v>
      </c>
      <c r="B461" s="405" t="s">
        <v>333</v>
      </c>
      <c r="C461" s="517" t="str">
        <f>СЗИ!B61</f>
        <v>Процент охваченных регулярным сканированием активов</v>
      </c>
      <c r="D461" s="404" t="str">
        <f>СЗИ!C61</f>
        <v>СЗИ.CPT.2</v>
      </c>
      <c r="E461" s="404">
        <f>СЗИ!D61</f>
        <v>4.75</v>
      </c>
      <c r="F461" s="404">
        <f>СЗИ!E61</f>
        <v>4.5</v>
      </c>
      <c r="G461" s="404">
        <f>СЗИ!F61</f>
        <v>3.75</v>
      </c>
      <c r="H461" s="373">
        <f>СЗИ!T61</f>
        <v>303.02</v>
      </c>
      <c r="I461" s="404">
        <f>СЗИ!K61</f>
        <v>3.75</v>
      </c>
      <c r="J461" s="190">
        <f>СЗИ!I61</f>
        <v>0</v>
      </c>
      <c r="K461" s="404">
        <f>СЗИ!L61</f>
        <v>0</v>
      </c>
      <c r="L461" s="404">
        <f t="shared" si="15"/>
        <v>0</v>
      </c>
      <c r="M461" s="373">
        <f t="shared" si="16"/>
        <v>3.75</v>
      </c>
      <c r="N461" s="407" t="str">
        <f>СЗИ!U61</f>
        <v xml:space="preserve"> - Поставить периметр на контроль CPT, всего активов не менее: 95%</v>
      </c>
      <c r="O461" s="407"/>
      <c r="P461" s="407"/>
    </row>
    <row r="462" spans="1:16" ht="62.4">
      <c r="A462" s="270" t="s">
        <v>113</v>
      </c>
      <c r="B462" s="405" t="s">
        <v>333</v>
      </c>
      <c r="C462" s="517" t="str">
        <f>СЗИ!B62</f>
        <v>Внедрен процесс управления уязвимостями на периметре (CPT)</v>
      </c>
      <c r="D462" s="404" t="str">
        <f>СЗИ!C62</f>
        <v>СЗИ.CPT.3</v>
      </c>
      <c r="E462" s="404">
        <f>СЗИ!D62</f>
        <v>4</v>
      </c>
      <c r="F462" s="404">
        <f>СЗИ!E62</f>
        <v>3</v>
      </c>
      <c r="G462" s="404">
        <f>СЗИ!F62</f>
        <v>1</v>
      </c>
      <c r="H462" s="373">
        <f>СЗИ!T62</f>
        <v>303.02999999999997</v>
      </c>
      <c r="I462" s="404">
        <f>СЗИ!K62</f>
        <v>1</v>
      </c>
      <c r="J462" s="404">
        <f>СЗИ!I62</f>
        <v>0</v>
      </c>
      <c r="K462" s="404">
        <f>СЗИ!L62</f>
        <v>0</v>
      </c>
      <c r="L462" s="404">
        <f t="shared" si="15"/>
        <v>0</v>
      </c>
      <c r="M462" s="373">
        <f t="shared" si="16"/>
        <v>1</v>
      </c>
      <c r="N462" s="407" t="str">
        <f>СЗИ!U62</f>
        <v xml:space="preserve"> - Разработать систему метрик для процесса CPT;
 - Создать средство визуального мониторинга параметров процесса CPT;
 - Реализовать мониторинг параметров процесса CPT;
 - Реализовать реагирование на факты отклонения параметров процесса CPT</v>
      </c>
      <c r="O462" s="407"/>
      <c r="P462" s="407"/>
    </row>
    <row r="463" spans="1:16" ht="31.2">
      <c r="A463" s="270" t="s">
        <v>113</v>
      </c>
      <c r="B463" s="405" t="s">
        <v>334</v>
      </c>
      <c r="C463" s="517" t="str">
        <f>СЗИ!B64</f>
        <v>Наличие средств RA VPN</v>
      </c>
      <c r="D463" s="404" t="str">
        <f>СЗИ!C64</f>
        <v>СЗИ.RA-VPN.1</v>
      </c>
      <c r="E463" s="404">
        <f>СЗИ!D64</f>
        <v>5</v>
      </c>
      <c r="F463" s="404">
        <f>СЗИ!E64</f>
        <v>5</v>
      </c>
      <c r="G463" s="404">
        <f>СЗИ!F64</f>
        <v>5</v>
      </c>
      <c r="H463" s="373">
        <f>СЗИ!T64</f>
        <v>304.01</v>
      </c>
      <c r="I463" s="404">
        <f>СЗИ!K64</f>
        <v>5</v>
      </c>
      <c r="J463" s="404">
        <f>СЗИ!I64</f>
        <v>0</v>
      </c>
      <c r="K463" s="404">
        <f>СЗИ!L64</f>
        <v>0</v>
      </c>
      <c r="L463" s="404">
        <f t="shared" si="15"/>
        <v>0</v>
      </c>
      <c r="M463" s="373">
        <f t="shared" si="16"/>
        <v>5</v>
      </c>
      <c r="N463" s="407">
        <f>СЗИ!U64</f>
        <v>0</v>
      </c>
      <c r="O463" s="407"/>
      <c r="P463" s="407"/>
    </row>
    <row r="464" spans="1:16" ht="78">
      <c r="A464" s="270" t="s">
        <v>113</v>
      </c>
      <c r="B464" s="405" t="s">
        <v>334</v>
      </c>
      <c r="C464" s="517" t="str">
        <f>СЗИ!B65</f>
        <v>Покрытие инфраструктуры средствами защищенного удаленного доступа</v>
      </c>
      <c r="D464" s="404" t="str">
        <f>СЗИ!C65</f>
        <v>СЗИ.RA-VPN.2</v>
      </c>
      <c r="E464" s="404">
        <f>СЗИ!D65</f>
        <v>5</v>
      </c>
      <c r="F464" s="404">
        <f>СЗИ!E65</f>
        <v>3.2</v>
      </c>
      <c r="G464" s="404">
        <f>СЗИ!F65</f>
        <v>3.2</v>
      </c>
      <c r="H464" s="373">
        <f>СЗИ!T65</f>
        <v>304.02</v>
      </c>
      <c r="I464" s="404">
        <f>СЗИ!K65</f>
        <v>3.2</v>
      </c>
      <c r="J464" s="404">
        <f>СЗИ!I65</f>
        <v>0</v>
      </c>
      <c r="K464" s="404">
        <f>СЗИ!L65</f>
        <v>0</v>
      </c>
      <c r="L464" s="404">
        <f t="shared" si="15"/>
        <v>0</v>
      </c>
      <c r="M464" s="373">
        <f t="shared" si="16"/>
        <v>3.2</v>
      </c>
      <c r="N464" s="407" t="str">
        <f>СЗИ!U65</f>
        <v xml:space="preserve"> - Контролировать и осуществлять мониторинг удаленных подключений;
 - Определить разрешения для удаленных подключений;
 - Определить требования по обеспечению  безопасности удаленных рабочих мест и обеспечить их выполнение;
 - Обеспечить обновление ПО и антивируса на удаленных устройствах.</v>
      </c>
      <c r="O464" s="407"/>
      <c r="P464" s="407"/>
    </row>
    <row r="465" spans="1:16" ht="46.8">
      <c r="A465" s="270" t="s">
        <v>113</v>
      </c>
      <c r="B465" s="405" t="s">
        <v>334</v>
      </c>
      <c r="C465" s="517" t="str">
        <f>СЗИ!B66</f>
        <v>Осуществляется централизованное управление удаленным доступом</v>
      </c>
      <c r="D465" s="404" t="str">
        <f>СЗИ!C66</f>
        <v>СЗИ.RA-VPN.3</v>
      </c>
      <c r="E465" s="404">
        <f>СЗИ!D66</f>
        <v>5</v>
      </c>
      <c r="F465" s="404">
        <f>СЗИ!E66</f>
        <v>5</v>
      </c>
      <c r="G465" s="404">
        <f>СЗИ!F66</f>
        <v>3.2</v>
      </c>
      <c r="H465" s="373">
        <f>СЗИ!T66</f>
        <v>304.02999999999997</v>
      </c>
      <c r="I465" s="404">
        <f>СЗИ!K66</f>
        <v>3.2</v>
      </c>
      <c r="J465" s="404">
        <f>СЗИ!I66</f>
        <v>0</v>
      </c>
      <c r="K465" s="404">
        <f>СЗИ!L66</f>
        <v>0</v>
      </c>
      <c r="L465" s="404">
        <f t="shared" si="15"/>
        <v>0</v>
      </c>
      <c r="M465" s="373">
        <f t="shared" si="16"/>
        <v>3.2</v>
      </c>
      <c r="N465" s="407" t="str">
        <f>СЗИ!U66</f>
        <v/>
      </c>
      <c r="O465" s="407"/>
      <c r="P465" s="407"/>
    </row>
    <row r="466" spans="1:16" ht="109.2">
      <c r="A466" s="270" t="s">
        <v>19</v>
      </c>
      <c r="B466" s="403" t="s">
        <v>202</v>
      </c>
      <c r="C466" s="404" t="str">
        <f>Реагирование!B39</f>
        <v>Процесс реагирования на инциденты ИБ</v>
      </c>
      <c r="D466" s="404" t="str">
        <f>Реагирование!C39</f>
        <v>РЕАГ.ПЛР.1</v>
      </c>
      <c r="E466" s="404">
        <f>Реагирование!D39</f>
        <v>4</v>
      </c>
      <c r="F466" s="404">
        <f>Реагирование!E39</f>
        <v>3</v>
      </c>
      <c r="G466" s="404">
        <f>Реагирование!F39</f>
        <v>1</v>
      </c>
      <c r="H466" s="373">
        <f>Реагирование!T39</f>
        <v>307.01</v>
      </c>
      <c r="I466" s="404">
        <f>Реагирование!K39</f>
        <v>1</v>
      </c>
      <c r="J466" s="404">
        <f>Реагирование!I39</f>
        <v>0</v>
      </c>
      <c r="K466" s="404">
        <f>Реагирование!L39</f>
        <v>0</v>
      </c>
      <c r="L466" s="404">
        <f t="shared" si="15"/>
        <v>0</v>
      </c>
      <c r="M466" s="373">
        <f t="shared" si="16"/>
        <v>1</v>
      </c>
      <c r="N466" s="407" t="str">
        <f>Реагирование!U39</f>
        <v xml:space="preserve"> -  Разработать КПЭ по процессу реагирования на инциденты ИБ для руководства ИБ;
 -  Разработать метрики по процессу;
 -  Назначить сервис-менеджеров процесса;
 -  Создать средство визуального мониторинга параметров процесса;
 -  Реализовать мониторинг параметров процесса;
 -  Реализовать реагирование на факты отклонения параметров процесса от определенных показателей</v>
      </c>
      <c r="O466" s="407"/>
      <c r="P466" s="407"/>
    </row>
    <row r="467" spans="1:16" ht="62.4">
      <c r="A467" s="270" t="s">
        <v>19</v>
      </c>
      <c r="B467" s="403" t="s">
        <v>202</v>
      </c>
      <c r="C467" s="404" t="str">
        <f>Реагирование!B41</f>
        <v>Определен мандат на действие в ходе реагирования на инцидент</v>
      </c>
      <c r="D467" s="404" t="str">
        <f>Реагирование!C41</f>
        <v>РЕАГ.ПЛР.3</v>
      </c>
      <c r="E467" s="404">
        <f>Реагирование!D41</f>
        <v>5</v>
      </c>
      <c r="F467" s="404">
        <f>Реагирование!E41</f>
        <v>3.2</v>
      </c>
      <c r="G467" s="404">
        <f>Реагирование!F41</f>
        <v>0</v>
      </c>
      <c r="H467" s="373">
        <f>Реагирование!T41</f>
        <v>307.02999999999997</v>
      </c>
      <c r="I467" s="404">
        <f>Реагирование!K41</f>
        <v>0</v>
      </c>
      <c r="J467" s="404">
        <f>Реагирование!I41</f>
        <v>0</v>
      </c>
      <c r="K467" s="404">
        <f>Реагирование!L41</f>
        <v>0</v>
      </c>
      <c r="L467" s="404" t="str">
        <f t="shared" si="15"/>
        <v xml:space="preserve"> </v>
      </c>
      <c r="M467" s="373">
        <f t="shared" si="16"/>
        <v>0</v>
      </c>
      <c r="N467" s="407" t="str">
        <f>Реагирование!U41</f>
        <v xml:space="preserve"> -  Разработать ВНД, определяющий мандаты на действия;
 -  Пересматривать состав ГЭР и ОКУ не реже 1 раза в полгода;
 -  Разработать обучающий курс для ГЭР и ОКУ;
 -  Проводить обучение членов ГЭР и ОКУ не реже 1 раза в год.</v>
      </c>
      <c r="O467" s="407"/>
      <c r="P467" s="407"/>
    </row>
    <row r="468" spans="1:16" ht="78">
      <c r="A468" s="270" t="s">
        <v>18</v>
      </c>
      <c r="B468" s="403" t="s">
        <v>498</v>
      </c>
      <c r="C468" s="404" t="str">
        <f>Мониторинг!B63</f>
        <v>Процесс создания решающих правил</v>
      </c>
      <c r="D468" s="404" t="str">
        <f>Мониторинг!C63</f>
        <v>МНТ.ПР.3</v>
      </c>
      <c r="E468" s="404">
        <f>Мониторинг!D63</f>
        <v>4</v>
      </c>
      <c r="F468" s="404">
        <f>Мониторинг!E63</f>
        <v>3</v>
      </c>
      <c r="G468" s="404">
        <f>Мониторинг!F63</f>
        <v>0</v>
      </c>
      <c r="H468" s="373">
        <f>Мониторинг!T63</f>
        <v>300.02999999999997</v>
      </c>
      <c r="I468" s="404">
        <f>Мониторинг!K63</f>
        <v>0</v>
      </c>
      <c r="J468" s="404">
        <f>Мониторинг!I63</f>
        <v>0</v>
      </c>
      <c r="K468" s="404">
        <f>Мониторинг!L63</f>
        <v>0</v>
      </c>
      <c r="L468" s="404" t="str">
        <f t="shared" si="15"/>
        <v xml:space="preserve"> </v>
      </c>
      <c r="M468" s="373">
        <f t="shared" si="16"/>
        <v>0</v>
      </c>
      <c r="N468" s="407" t="str">
        <f>Мониторинг!U63</f>
        <v xml:space="preserve"> - Организовать процесс разработки решающих правил;
 - Создать базу знаний или инструкции по разработке решающих правил;
 -  Составить план разработки решающих правил;
 -  Организовать процесс анализа журналов событий для разработки решающих правил SIEM;
 -  Применить результаты расследования инцидентов для разработки решающих правил.</v>
      </c>
      <c r="O468" s="407"/>
      <c r="P468" s="407"/>
    </row>
    <row r="469" spans="1:16" ht="40.799999999999997">
      <c r="A469" s="504" t="s">
        <v>69</v>
      </c>
      <c r="B469" s="405" t="s">
        <v>594</v>
      </c>
      <c r="C469" s="517" t="str">
        <f>'Нормативное соответствие'!B108</f>
        <v xml:space="preserve">Созданы органы управления </v>
      </c>
      <c r="D469" s="404" t="str">
        <f>'Нормативное соответствие'!C108</f>
        <v>НС.250.1</v>
      </c>
      <c r="E469" s="404">
        <f>'Нормативное соответствие'!D108</f>
        <v>0.625</v>
      </c>
      <c r="F469" s="404">
        <f>'Нормативное соответствие'!E108</f>
        <v>0.625</v>
      </c>
      <c r="G469" s="404">
        <f>'Нормативное соответствие'!F108</f>
        <v>0.625</v>
      </c>
      <c r="H469" s="373">
        <f>'Нормативное соответствие'!T108</f>
        <v>309.01</v>
      </c>
      <c r="I469" s="404">
        <f>'Нормативное соответствие'!K108</f>
        <v>0.625</v>
      </c>
      <c r="J469" s="190">
        <f>'Нормативное соответствие'!I108</f>
        <v>0</v>
      </c>
      <c r="K469" s="404">
        <f>'Нормативное соответствие'!L108</f>
        <v>0.625</v>
      </c>
      <c r="L469" s="404">
        <f t="shared" si="15"/>
        <v>0.625</v>
      </c>
      <c r="M469" s="373">
        <f t="shared" si="16"/>
        <v>0</v>
      </c>
      <c r="N469" s="407" t="str">
        <f>'Нормативное соответствие'!U108</f>
        <v/>
      </c>
      <c r="O469" s="407"/>
      <c r="P469" s="407"/>
    </row>
    <row r="470" spans="1:16" ht="40.799999999999997">
      <c r="A470" s="504" t="s">
        <v>69</v>
      </c>
      <c r="B470" s="405" t="s">
        <v>594</v>
      </c>
      <c r="C470" s="517" t="str">
        <f>'Нормативное соответствие'!B109</f>
        <v>Подразделение по ИБ</v>
      </c>
      <c r="D470" s="404" t="str">
        <f>'Нормативное соответствие'!C109</f>
        <v>НС.250.2</v>
      </c>
      <c r="E470" s="404">
        <f>'Нормативное соответствие'!D109</f>
        <v>1.6666666666666667</v>
      </c>
      <c r="F470" s="404">
        <f>'Нормативное соответствие'!E109</f>
        <v>1.6666666666666667</v>
      </c>
      <c r="G470" s="404">
        <f>'Нормативное соответствие'!F109</f>
        <v>1.6666666666666667</v>
      </c>
      <c r="H470" s="373">
        <f>'Нормативное соответствие'!T109</f>
        <v>309.02</v>
      </c>
      <c r="I470" s="404">
        <f>'Нормативное соответствие'!K109</f>
        <v>1.6666666666666667</v>
      </c>
      <c r="J470" s="190">
        <f>'Нормативное соответствие'!I109</f>
        <v>0</v>
      </c>
      <c r="K470" s="404">
        <f>'Нормативное соответствие'!L109</f>
        <v>1.6666666666666667</v>
      </c>
      <c r="L470" s="404">
        <f t="shared" si="15"/>
        <v>1.6666666666666667</v>
      </c>
      <c r="M470" s="373">
        <f t="shared" si="16"/>
        <v>0</v>
      </c>
      <c r="N470" s="407" t="str">
        <f>'Нормативное соответствие'!U109</f>
        <v/>
      </c>
      <c r="O470" s="407"/>
      <c r="P470" s="407"/>
    </row>
    <row r="471" spans="1:16" ht="40.799999999999997">
      <c r="A471" s="504" t="s">
        <v>69</v>
      </c>
      <c r="B471" s="405" t="s">
        <v>594</v>
      </c>
      <c r="C471" s="517" t="str">
        <f>'Нормативное соответствие'!B110</f>
        <v>Организованно взаимодействие с подрядчиками</v>
      </c>
      <c r="D471" s="404" t="str">
        <f>'Нормативное соответствие'!C110</f>
        <v>НС.250.3</v>
      </c>
      <c r="E471" s="404">
        <f>'Нормативное соответствие'!D110</f>
        <v>0</v>
      </c>
      <c r="F471" s="404">
        <f>'Нормативное соответствие'!E110</f>
        <v>0</v>
      </c>
      <c r="G471" s="404">
        <f>'Нормативное соответствие'!F110</f>
        <v>0</v>
      </c>
      <c r="H471" s="373">
        <f>'Нормативное соответствие'!T110</f>
        <v>309.02999999999997</v>
      </c>
      <c r="I471" s="404">
        <f>'Нормативное соответствие'!K110</f>
        <v>0</v>
      </c>
      <c r="J471" s="190">
        <f>'Нормативное соответствие'!I110</f>
        <v>0</v>
      </c>
      <c r="K471" s="404">
        <f>'Нормативное соответствие'!L110</f>
        <v>0</v>
      </c>
      <c r="L471" s="404" t="str">
        <f t="shared" si="15"/>
        <v xml:space="preserve"> </v>
      </c>
      <c r="M471" s="373">
        <f t="shared" si="16"/>
        <v>0</v>
      </c>
      <c r="N471" s="407" t="str">
        <f>'Нормативное соответствие'!U110</f>
        <v/>
      </c>
      <c r="O471" s="407"/>
      <c r="P471" s="407"/>
    </row>
    <row r="472" spans="1:16" ht="40.799999999999997">
      <c r="A472" s="504" t="s">
        <v>69</v>
      </c>
      <c r="B472" s="405" t="s">
        <v>594</v>
      </c>
      <c r="C472" s="517" t="str">
        <f>'Нормативное соответствие'!B111</f>
        <v>Обеспечена ИБ</v>
      </c>
      <c r="D472" s="404" t="str">
        <f>'Нормативное соответствие'!C111</f>
        <v>НС.250.4</v>
      </c>
      <c r="E472" s="404">
        <f>'Нормативное соответствие'!D111</f>
        <v>0.625</v>
      </c>
      <c r="F472" s="404">
        <f>'Нормативное соответствие'!E111</f>
        <v>0.625</v>
      </c>
      <c r="G472" s="404">
        <f>'Нормативное соответствие'!F111</f>
        <v>0.3125</v>
      </c>
      <c r="H472" s="373">
        <f>'Нормативное соответствие'!T111</f>
        <v>309.03999999999996</v>
      </c>
      <c r="I472" s="404">
        <f>'Нормативное соответствие'!K111</f>
        <v>0.3125</v>
      </c>
      <c r="J472" s="190">
        <f>'Нормативное соответствие'!I111</f>
        <v>0</v>
      </c>
      <c r="K472" s="404">
        <f>'Нормативное соответствие'!L111</f>
        <v>0.625</v>
      </c>
      <c r="L472" s="404">
        <f t="shared" si="15"/>
        <v>0.625</v>
      </c>
      <c r="M472" s="373">
        <f t="shared" si="16"/>
        <v>0</v>
      </c>
      <c r="N472" s="407" t="str">
        <f>'Нормативное соответствие'!U111</f>
        <v/>
      </c>
      <c r="O472" s="407"/>
      <c r="P472" s="407"/>
    </row>
    <row r="473" spans="1:16" ht="40.799999999999997">
      <c r="A473" s="504" t="s">
        <v>69</v>
      </c>
      <c r="B473" s="405" t="s">
        <v>594</v>
      </c>
      <c r="C473" s="517" t="str">
        <f>'Нормативное соответствие'!B112</f>
        <v>Использование СЗИ</v>
      </c>
      <c r="D473" s="404" t="str">
        <f>'Нормативное соответствие'!C112</f>
        <v>НС.250.5</v>
      </c>
      <c r="E473" s="404">
        <f>'Нормативное соответствие'!D112</f>
        <v>0</v>
      </c>
      <c r="F473" s="404">
        <f>'Нормативное соответствие'!E112</f>
        <v>0</v>
      </c>
      <c r="G473" s="404">
        <f>'Нормативное соответствие'!F112</f>
        <v>0</v>
      </c>
      <c r="H473" s="373">
        <f>'Нормативное соответствие'!T112</f>
        <v>309.04999999999995</v>
      </c>
      <c r="I473" s="404">
        <f>'Нормативное соответствие'!K112</f>
        <v>0</v>
      </c>
      <c r="J473" s="190">
        <f>'Нормативное соответствие'!I112</f>
        <v>0</v>
      </c>
      <c r="K473" s="404">
        <f>'Нормативное соответствие'!L112</f>
        <v>0</v>
      </c>
      <c r="L473" s="404" t="str">
        <f t="shared" si="15"/>
        <v xml:space="preserve"> </v>
      </c>
      <c r="M473" s="373">
        <f t="shared" si="16"/>
        <v>0</v>
      </c>
      <c r="N473" s="407" t="str">
        <f>'Нормативное соответствие'!U112</f>
        <v/>
      </c>
      <c r="O473" s="407"/>
      <c r="P473" s="407"/>
    </row>
    <row r="474" spans="1:16" ht="40.799999999999997">
      <c r="A474" s="504" t="s">
        <v>69</v>
      </c>
      <c r="B474" s="405" t="s">
        <v>594</v>
      </c>
      <c r="C474" s="517" t="str">
        <f>'Нормативное соответствие'!B113</f>
        <v>Взаимодействие с ГОССОПКА</v>
      </c>
      <c r="D474" s="404" t="str">
        <f>'Нормативное соответствие'!C113</f>
        <v>НС.250.6</v>
      </c>
      <c r="E474" s="404">
        <f>'Нормативное соответствие'!D113</f>
        <v>0</v>
      </c>
      <c r="F474" s="404">
        <f>'Нормативное соответствие'!E113</f>
        <v>0</v>
      </c>
      <c r="G474" s="404">
        <f>'Нормативное соответствие'!F113</f>
        <v>0</v>
      </c>
      <c r="H474" s="373">
        <f>'Нормативное соответствие'!T113</f>
        <v>309.05999999999995</v>
      </c>
      <c r="I474" s="404">
        <f>'Нормативное соответствие'!K113</f>
        <v>0</v>
      </c>
      <c r="J474" s="190">
        <f>'Нормативное соответствие'!I113</f>
        <v>0</v>
      </c>
      <c r="K474" s="404">
        <f>'Нормативное соответствие'!L113</f>
        <v>0</v>
      </c>
      <c r="L474" s="404" t="str">
        <f t="shared" si="15"/>
        <v xml:space="preserve"> </v>
      </c>
      <c r="M474" s="373">
        <f t="shared" si="16"/>
        <v>0</v>
      </c>
      <c r="N474" s="407" t="str">
        <f>'Нормативное соответствие'!U113</f>
        <v/>
      </c>
      <c r="O474" s="407"/>
      <c r="P474" s="407"/>
    </row>
    <row r="475" spans="1:16" ht="78">
      <c r="A475" s="270" t="s">
        <v>18</v>
      </c>
      <c r="B475" s="403" t="s">
        <v>498</v>
      </c>
      <c r="C475" s="404" t="str">
        <f>Мониторинг!B64</f>
        <v>Процесс подключения источников информации</v>
      </c>
      <c r="D475" s="404" t="str">
        <f>Мониторинг!C64</f>
        <v>МНТ.ПР.4</v>
      </c>
      <c r="E475" s="404">
        <f>Мониторинг!D64</f>
        <v>4</v>
      </c>
      <c r="F475" s="404">
        <f>Мониторинг!E64</f>
        <v>2</v>
      </c>
      <c r="G475" s="404">
        <f>Мониторинг!F64</f>
        <v>0</v>
      </c>
      <c r="H475" s="373">
        <f>Мониторинг!T64</f>
        <v>300.03999999999996</v>
      </c>
      <c r="I475" s="404">
        <f>Мониторинг!K64</f>
        <v>0</v>
      </c>
      <c r="J475" s="404">
        <f>Мониторинг!I64</f>
        <v>0</v>
      </c>
      <c r="K475" s="404">
        <f>Мониторинг!L64</f>
        <v>0</v>
      </c>
      <c r="L475" s="404" t="str">
        <f t="shared" si="15"/>
        <v xml:space="preserve"> </v>
      </c>
      <c r="M475" s="373">
        <f t="shared" si="16"/>
        <v>0</v>
      </c>
      <c r="N475" s="407" t="str">
        <f>Мониторинг!U64</f>
        <v xml:space="preserve"> - Регламентировать порядок подключения источников информации к SIEM;
 -  Определить требования по обязательному подключению;
 -  Реализовать процесс подключения источников, с инвентаризацией и контролем неподключенных источников;
 - Установить SLA по подключению.</v>
      </c>
      <c r="O475" s="407"/>
      <c r="P475" s="407"/>
    </row>
    <row r="476" spans="1:16" ht="109.2">
      <c r="A476" s="270" t="s">
        <v>113</v>
      </c>
      <c r="B476" s="403" t="s">
        <v>339</v>
      </c>
      <c r="C476" s="404" t="str">
        <f>СЗИ!B88</f>
        <v>Внедрен процесс управления уязвимостями</v>
      </c>
      <c r="D476" s="404" t="str">
        <f>СЗИ!C88</f>
        <v>СЗИ.САЗ.3</v>
      </c>
      <c r="E476" s="404">
        <f>СЗИ!D88</f>
        <v>4</v>
      </c>
      <c r="F476" s="404">
        <f>СЗИ!E88</f>
        <v>3</v>
      </c>
      <c r="G476" s="404">
        <f>СЗИ!F88</f>
        <v>0</v>
      </c>
      <c r="H476" s="373">
        <f>СЗИ!T88</f>
        <v>310.02999999999997</v>
      </c>
      <c r="I476" s="404">
        <f>СЗИ!K88</f>
        <v>0</v>
      </c>
      <c r="J476" s="404">
        <f>СЗИ!I88</f>
        <v>0</v>
      </c>
      <c r="K476" s="404">
        <f>СЗИ!L88</f>
        <v>1</v>
      </c>
      <c r="L476" s="404" t="str">
        <f t="shared" si="15"/>
        <v xml:space="preserve"> </v>
      </c>
      <c r="M476" s="373">
        <f t="shared" si="16"/>
        <v>-1</v>
      </c>
      <c r="N476" s="407" t="str">
        <f>СЗИ!U88</f>
        <v xml:space="preserve"> - Автоматизировать процесс управления уязвимостями. Обеспечить устранение уязвимостей критичного уровня в срок не более 24 часов, высокого уровня в срок не более 72 часов;
 - Разработать систему метрик для процесса управления уязвимостями;
 - Создать средство визуального мониторинга параметров процесса управления уязвимостями;
 - Реализовать мониторинг параметров процесса управления уязвимостями;
 - Реализовать реагирование на факты отклонения параметров процесса управления уязвимостями от определенных показателей.</v>
      </c>
      <c r="O476" s="407"/>
      <c r="P476" s="407"/>
    </row>
    <row r="477" spans="1:16" ht="46.8">
      <c r="A477" s="270" t="s">
        <v>113</v>
      </c>
      <c r="B477" s="405" t="s">
        <v>337</v>
      </c>
      <c r="C477" s="517" t="str">
        <f>СЗИ!B78</f>
        <v>Осуществляется централизованное управление и контроль настроек</v>
      </c>
      <c r="D477" s="404" t="str">
        <f>СЗИ!C78</f>
        <v>СЗИ.NGFW.3</v>
      </c>
      <c r="E477" s="404">
        <f>СЗИ!D78</f>
        <v>5</v>
      </c>
      <c r="F477" s="404">
        <f>СЗИ!E78</f>
        <v>3.2</v>
      </c>
      <c r="G477" s="404">
        <f>СЗИ!F78</f>
        <v>0</v>
      </c>
      <c r="H477" s="373">
        <f>СЗИ!T78</f>
        <v>311.02999999999997</v>
      </c>
      <c r="I477" s="404">
        <f>СЗИ!K78</f>
        <v>0</v>
      </c>
      <c r="J477" s="404">
        <f>СЗИ!I78</f>
        <v>0</v>
      </c>
      <c r="K477" s="404">
        <f>СЗИ!L78</f>
        <v>0</v>
      </c>
      <c r="L477" s="404" t="str">
        <f t="shared" si="15"/>
        <v xml:space="preserve"> </v>
      </c>
      <c r="M477" s="373">
        <f t="shared" si="16"/>
        <v>0</v>
      </c>
      <c r="N477" s="407" t="str">
        <f>СЗИ!U78</f>
        <v xml:space="preserve"> - Подключить все МСЭ к системе централизованного управления. Реализовать процесс инвентаризации, контроля и аудита правил межсетевых экранов. Обеспечить актуальность правил МСЭ.</v>
      </c>
      <c r="O477" s="407"/>
      <c r="P477" s="407"/>
    </row>
    <row r="478" spans="1:16" ht="62.4">
      <c r="A478" s="270" t="s">
        <v>18</v>
      </c>
      <c r="B478" s="403" t="s">
        <v>498</v>
      </c>
      <c r="C478" s="404" t="str">
        <f>Мониторинг!B65</f>
        <v>Процесс контроля источников информации</v>
      </c>
      <c r="D478" s="404" t="str">
        <f>Мониторинг!C65</f>
        <v>МНТ.ПР.5</v>
      </c>
      <c r="E478" s="404">
        <f>Мониторинг!D65</f>
        <v>4</v>
      </c>
      <c r="F478" s="404">
        <f>Мониторинг!E65</f>
        <v>3</v>
      </c>
      <c r="G478" s="404">
        <f>Мониторинг!F65</f>
        <v>0</v>
      </c>
      <c r="H478" s="373">
        <f>Мониторинг!T65</f>
        <v>300.04999999999995</v>
      </c>
      <c r="I478" s="404">
        <f>Мониторинг!K65</f>
        <v>0</v>
      </c>
      <c r="J478" s="404">
        <f>Мониторинг!I65</f>
        <v>0</v>
      </c>
      <c r="K478" s="404">
        <f>Мониторинг!L65</f>
        <v>0</v>
      </c>
      <c r="L478" s="404" t="str">
        <f t="shared" si="15"/>
        <v xml:space="preserve"> </v>
      </c>
      <c r="M478" s="373">
        <f t="shared" si="16"/>
        <v>0</v>
      </c>
      <c r="N478" s="407" t="str">
        <f>Мониторинг!U65</f>
        <v xml:space="preserve"> - Регламентировать процесс контроля источников</v>
      </c>
      <c r="O478" s="407"/>
      <c r="P478" s="407"/>
    </row>
    <row r="479" spans="1:16" ht="62.4">
      <c r="A479" s="270" t="s">
        <v>18</v>
      </c>
      <c r="B479" s="403" t="s">
        <v>287</v>
      </c>
      <c r="C479" s="404" t="str">
        <f>Мониторинг!B45</f>
        <v>Процент покрытия инфраструктуры лицензиями на мониторинг</v>
      </c>
      <c r="D479" s="404" t="str">
        <f>Мониторинг!C45</f>
        <v>МНТ.SIEM.1</v>
      </c>
      <c r="E479" s="404">
        <f>Мониторинг!D45</f>
        <v>5</v>
      </c>
      <c r="F479" s="404">
        <f>Мониторинг!E45</f>
        <v>5</v>
      </c>
      <c r="G479" s="404">
        <f>Мониторинг!F45</f>
        <v>0</v>
      </c>
      <c r="H479" s="410">
        <f>Мониторинг!T45</f>
        <v>312.01</v>
      </c>
      <c r="I479" s="404">
        <f>Мониторинг!K45</f>
        <v>0</v>
      </c>
      <c r="J479" s="190">
        <f>Мониторинг!I45</f>
        <v>0</v>
      </c>
      <c r="K479" s="404">
        <f>Мониторинг!L45</f>
        <v>0</v>
      </c>
      <c r="L479" s="404" t="str">
        <f t="shared" si="15"/>
        <v xml:space="preserve"> </v>
      </c>
      <c r="M479" s="373">
        <f t="shared" si="16"/>
        <v>0</v>
      </c>
      <c r="N479" s="407" t="str">
        <f>Мониторинг!U45</f>
        <v xml:space="preserve"> - Приобрести лицензии SIEM, достаточные для полного покрытия мониторингом всех ИА.</v>
      </c>
      <c r="O479" s="407"/>
      <c r="P479" s="407"/>
    </row>
    <row r="480" spans="1:16" ht="46.8">
      <c r="A480" s="270" t="s">
        <v>113</v>
      </c>
      <c r="B480" s="403" t="s">
        <v>338</v>
      </c>
      <c r="C480" s="404" t="str">
        <f>СЗИ!B81</f>
        <v>Доступ пользователей в интернет организован через PROXY</v>
      </c>
      <c r="D480" s="404" t="str">
        <f>СЗИ!C81</f>
        <v>СЗИ.PROXY.1</v>
      </c>
      <c r="E480" s="404">
        <f>СЗИ!D81</f>
        <v>5</v>
      </c>
      <c r="F480" s="404">
        <f>СЗИ!E81</f>
        <v>3.2</v>
      </c>
      <c r="G480" s="404">
        <f>СЗИ!F81</f>
        <v>0</v>
      </c>
      <c r="H480" s="373">
        <f>СЗИ!T81</f>
        <v>312.01</v>
      </c>
      <c r="I480" s="404">
        <f>СЗИ!K81</f>
        <v>0</v>
      </c>
      <c r="J480" s="404">
        <f>СЗИ!I81</f>
        <v>0</v>
      </c>
      <c r="K480" s="404">
        <f>СЗИ!L81</f>
        <v>0</v>
      </c>
      <c r="L480" s="404" t="str">
        <f t="shared" si="15"/>
        <v xml:space="preserve"> </v>
      </c>
      <c r="M480" s="373">
        <f t="shared" si="16"/>
        <v>0</v>
      </c>
      <c r="N480" s="407" t="str">
        <f>СЗИ!U81</f>
        <v xml:space="preserve"> - Обеспечить полное покрытие (все АРМ во всех подсетях должны взаимодействовать с интернетом через прокси) </v>
      </c>
      <c r="O480" s="407"/>
      <c r="P480" s="407"/>
    </row>
    <row r="481" spans="1:16" ht="62.4">
      <c r="A481" s="270" t="s">
        <v>19</v>
      </c>
      <c r="B481" s="403" t="s">
        <v>202</v>
      </c>
      <c r="C481" s="404" t="str">
        <f>Реагирование!B40</f>
        <v>Процесс категорирования инцидентов ИБ</v>
      </c>
      <c r="D481" s="404" t="str">
        <f>Реагирование!C40</f>
        <v>РЕАГ.ПЛР.2</v>
      </c>
      <c r="E481" s="404">
        <f>Реагирование!D40</f>
        <v>4</v>
      </c>
      <c r="F481" s="404">
        <f>Реагирование!E40</f>
        <v>3</v>
      </c>
      <c r="G481" s="404">
        <f>Реагирование!F40</f>
        <v>1</v>
      </c>
      <c r="H481" s="373">
        <f>Реагирование!T40</f>
        <v>307.02</v>
      </c>
      <c r="I481" s="404">
        <f>Реагирование!K40</f>
        <v>1</v>
      </c>
      <c r="J481" s="404">
        <f>Реагирование!I40</f>
        <v>0</v>
      </c>
      <c r="K481" s="404">
        <f>Реагирование!L40</f>
        <v>0</v>
      </c>
      <c r="L481" s="404">
        <f t="shared" si="15"/>
        <v>0</v>
      </c>
      <c r="M481" s="373">
        <f t="shared" si="16"/>
        <v>1</v>
      </c>
      <c r="N481" s="407" t="str">
        <f>Реагирование!U40</f>
        <v xml:space="preserve"> - Реализовать возможность корректировки категорий инцидента ИБ в процессе реагирования</v>
      </c>
      <c r="O481" s="407"/>
      <c r="P481" s="407"/>
    </row>
    <row r="482" spans="1:16" ht="46.8">
      <c r="A482" s="270" t="s">
        <v>113</v>
      </c>
      <c r="B482" s="403" t="s">
        <v>338</v>
      </c>
      <c r="C482" s="404" t="str">
        <f>СЗИ!B82</f>
        <v>Настроены политики разграничения доступа</v>
      </c>
      <c r="D482" s="404" t="str">
        <f>СЗИ!C82</f>
        <v>СЗИ.PROXY.2</v>
      </c>
      <c r="E482" s="404">
        <f>СЗИ!D82</f>
        <v>5</v>
      </c>
      <c r="F482" s="404">
        <f>СЗИ!E82</f>
        <v>3.2</v>
      </c>
      <c r="G482" s="404">
        <f>СЗИ!F82</f>
        <v>0</v>
      </c>
      <c r="H482" s="373">
        <f>СЗИ!T82</f>
        <v>312.02</v>
      </c>
      <c r="I482" s="404">
        <f>СЗИ!K82</f>
        <v>0</v>
      </c>
      <c r="J482" s="404">
        <f>СЗИ!I82</f>
        <v>0</v>
      </c>
      <c r="K482" s="404">
        <f>СЗИ!L82</f>
        <v>0</v>
      </c>
      <c r="L482" s="404" t="str">
        <f t="shared" si="15"/>
        <v xml:space="preserve"> </v>
      </c>
      <c r="M482" s="373">
        <f t="shared" si="16"/>
        <v>0</v>
      </c>
      <c r="N482" s="407" t="str">
        <f>СЗИ!U82</f>
        <v xml:space="preserve"> - Обеспечить обновление списков вредоносных сайтов</v>
      </c>
      <c r="O482" s="407"/>
      <c r="P482" s="407"/>
    </row>
    <row r="483" spans="1:16" ht="46.8">
      <c r="A483" s="270" t="s">
        <v>113</v>
      </c>
      <c r="B483" s="403" t="s">
        <v>338</v>
      </c>
      <c r="C483" s="404" t="str">
        <f>СЗИ!B83</f>
        <v>Проведена интеграция со средствами защиты от ВПО и AD</v>
      </c>
      <c r="D483" s="404" t="str">
        <f>СЗИ!C83</f>
        <v>СЗИ.PROXY.3</v>
      </c>
      <c r="E483" s="404">
        <f>СЗИ!D83</f>
        <v>5</v>
      </c>
      <c r="F483" s="404">
        <f>СЗИ!E83</f>
        <v>2.5</v>
      </c>
      <c r="G483" s="404">
        <f>СЗИ!F83</f>
        <v>0</v>
      </c>
      <c r="H483" s="373">
        <f>СЗИ!T83</f>
        <v>312.02999999999997</v>
      </c>
      <c r="I483" s="404">
        <f>СЗИ!K83</f>
        <v>0</v>
      </c>
      <c r="J483" s="404">
        <f>СЗИ!I83</f>
        <v>0</v>
      </c>
      <c r="K483" s="404">
        <f>СЗИ!L83</f>
        <v>0</v>
      </c>
      <c r="L483" s="404" t="str">
        <f t="shared" si="15"/>
        <v xml:space="preserve"> </v>
      </c>
      <c r="M483" s="373">
        <f t="shared" si="16"/>
        <v>0</v>
      </c>
      <c r="N483" s="407">
        <f>СЗИ!U83</f>
        <v>0</v>
      </c>
      <c r="O483" s="407"/>
      <c r="P483" s="407"/>
    </row>
    <row r="484" spans="1:16" ht="62.4">
      <c r="A484" s="270" t="s">
        <v>18</v>
      </c>
      <c r="B484" s="403" t="s">
        <v>287</v>
      </c>
      <c r="C484" s="404" t="str">
        <f>Мониторинг!B47</f>
        <v>Определен набор решающих правил и пороги страбатывания</v>
      </c>
      <c r="D484" s="414" t="str">
        <f>Мониторинг!C47</f>
        <v>МНТ.SIEM.3</v>
      </c>
      <c r="E484" s="414">
        <f>Мониторинг!D47</f>
        <v>5</v>
      </c>
      <c r="F484" s="414">
        <f>Мониторинг!E47</f>
        <v>3.2</v>
      </c>
      <c r="G484" s="414">
        <f>Мониторинг!F47</f>
        <v>0</v>
      </c>
      <c r="H484" s="410">
        <f>Мониторинг!T47</f>
        <v>312.02999999999997</v>
      </c>
      <c r="I484" s="414">
        <f>Мониторинг!K47</f>
        <v>0</v>
      </c>
      <c r="J484" s="414">
        <f>Мониторинг!I47</f>
        <v>0</v>
      </c>
      <c r="K484" s="414">
        <f>Мониторинг!L47</f>
        <v>0</v>
      </c>
      <c r="L484" s="404" t="str">
        <f t="shared" si="15"/>
        <v xml:space="preserve"> </v>
      </c>
      <c r="M484" s="373">
        <f t="shared" si="16"/>
        <v>0</v>
      </c>
      <c r="N484" s="407" t="str">
        <f>Мониторинг!U47</f>
        <v xml:space="preserve"> - Проводить анализ эффективности решающих правил;
 - Реализовать процесс разработки решающих правил;
 -  Проводить доработку решающих правил с учетом произошедших инцидентов</v>
      </c>
      <c r="O484" s="407"/>
      <c r="P484" s="407"/>
    </row>
    <row r="485" spans="1:16" ht="265.2">
      <c r="A485" s="270" t="s">
        <v>18</v>
      </c>
      <c r="B485" s="403" t="s">
        <v>287</v>
      </c>
      <c r="C485" s="404" t="str">
        <f>Мониторинг!B48</f>
        <v>Осуществляется сбор событий, необходимых для детекта и обогащения в объеме, достаточном для решения задач            
(- создания, изменения, удаления субъектов и объектов доступа;
- аутентификации (вход и выход субъектов);
- авторизации (доступа субъектов к объектам);
- запуска и остановки, удаления и остановки служб (ПО);
- изменения настроек ПО и средств защиты информации;
- обработки сетевого трафика (netflow))</v>
      </c>
      <c r="D485" s="414" t="str">
        <f>Мониторинг!C48</f>
        <v>МНТ.SIEM.4</v>
      </c>
      <c r="E485" s="414">
        <f>Мониторинг!D48</f>
        <v>5</v>
      </c>
      <c r="F485" s="414">
        <f>Мониторинг!E48</f>
        <v>3.2</v>
      </c>
      <c r="G485" s="414">
        <f>Мониторинг!F48</f>
        <v>0</v>
      </c>
      <c r="H485" s="410">
        <f>Мониторинг!T48</f>
        <v>312.03999999999996</v>
      </c>
      <c r="I485" s="414">
        <f>Мониторинг!K48</f>
        <v>0</v>
      </c>
      <c r="J485" s="414">
        <f>Мониторинг!I48</f>
        <v>0</v>
      </c>
      <c r="K485" s="414">
        <f>Мониторинг!L48</f>
        <v>0</v>
      </c>
      <c r="L485" s="404" t="str">
        <f t="shared" si="15"/>
        <v xml:space="preserve"> </v>
      </c>
      <c r="M485" s="373">
        <f t="shared" si="16"/>
        <v>0</v>
      </c>
      <c r="N485" s="407" t="str">
        <f>Мониторинг!U48</f>
        <v/>
      </c>
      <c r="O485" s="407"/>
      <c r="P485" s="407"/>
    </row>
    <row r="486" spans="1:16" ht="46.8">
      <c r="A486" s="270" t="s">
        <v>113</v>
      </c>
      <c r="B486" s="403" t="s">
        <v>338</v>
      </c>
      <c r="C486" s="404" t="str">
        <f>СЗИ!B84</f>
        <v>Настроенные политики соответствуют ТТР Блока ИБ</v>
      </c>
      <c r="D486" s="404" t="str">
        <f>СЗИ!C84</f>
        <v>СЗИ.PROXY.4</v>
      </c>
      <c r="E486" s="404">
        <f>СЗИ!D84</f>
        <v>5</v>
      </c>
      <c r="F486" s="404">
        <f>СЗИ!E84</f>
        <v>3.2</v>
      </c>
      <c r="G486" s="404">
        <f>СЗИ!F84</f>
        <v>0</v>
      </c>
      <c r="H486" s="373">
        <f>СЗИ!T84</f>
        <v>312.03999999999996</v>
      </c>
      <c r="I486" s="404">
        <f>СЗИ!K84</f>
        <v>0</v>
      </c>
      <c r="J486" s="404">
        <f>СЗИ!I84</f>
        <v>0</v>
      </c>
      <c r="K486" s="404">
        <f>СЗИ!L84</f>
        <v>0</v>
      </c>
      <c r="L486" s="404" t="str">
        <f t="shared" si="15"/>
        <v xml:space="preserve"> </v>
      </c>
      <c r="M486" s="373">
        <f t="shared" si="16"/>
        <v>0</v>
      </c>
      <c r="N486" s="407" t="str">
        <f>СЗИ!U84</f>
        <v xml:space="preserve"> - Получить от Блока ИБ ТТР и реализовать рекомендуемые решения (в полном объеме)</v>
      </c>
      <c r="O486" s="407"/>
      <c r="P486" s="407"/>
    </row>
    <row r="487" spans="1:16" ht="62.4">
      <c r="A487" s="270" t="s">
        <v>19</v>
      </c>
      <c r="B487" s="403" t="s">
        <v>202</v>
      </c>
      <c r="C487" s="404" t="str">
        <f>Реагирование!B42</f>
        <v>Планы реагирования совершенствуются по результатам тестирования и пост-анализа</v>
      </c>
      <c r="D487" s="404" t="str">
        <f>Реагирование!C42</f>
        <v>РЕАГ.ПЛР.4</v>
      </c>
      <c r="E487" s="404">
        <f>Реагирование!D42</f>
        <v>5</v>
      </c>
      <c r="F487" s="404">
        <f>Реагирование!E42</f>
        <v>3.2</v>
      </c>
      <c r="G487" s="404">
        <f>Реагирование!F42</f>
        <v>0</v>
      </c>
      <c r="H487" s="373">
        <f>Реагирование!T42</f>
        <v>307.03999999999996</v>
      </c>
      <c r="I487" s="404">
        <f>Реагирование!K42</f>
        <v>0</v>
      </c>
      <c r="J487" s="404">
        <f>Реагирование!I42</f>
        <v>0</v>
      </c>
      <c r="K487" s="404">
        <f>Реагирование!L42</f>
        <v>0</v>
      </c>
      <c r="L487" s="404" t="str">
        <f t="shared" si="15"/>
        <v xml:space="preserve"> </v>
      </c>
      <c r="M487" s="373">
        <f t="shared" si="16"/>
        <v>0</v>
      </c>
      <c r="N487" s="407" t="str">
        <f>Реагирование!U42</f>
        <v xml:space="preserve"> - Все инциденты должны проходить этап пост-анализа;
  - Контролировать и получать подтверждения об изменении процесса по результатам пост-анализа.</v>
      </c>
      <c r="O487" s="407"/>
      <c r="P487" s="407"/>
    </row>
    <row r="488" spans="1:16" ht="46.8">
      <c r="A488" s="270" t="s">
        <v>113</v>
      </c>
      <c r="B488" s="403" t="s">
        <v>339</v>
      </c>
      <c r="C488" s="404" t="str">
        <f>СЗИ!B87</f>
        <v>Процент охваченных регулярным сканированием активов</v>
      </c>
      <c r="D488" s="404" t="str">
        <f>СЗИ!C87</f>
        <v>СЗИ.САЗ.2</v>
      </c>
      <c r="E488" s="404">
        <f>СЗИ!D87</f>
        <v>5</v>
      </c>
      <c r="F488" s="404">
        <f>СЗИ!E87</f>
        <v>3.2</v>
      </c>
      <c r="G488" s="404">
        <f>СЗИ!F87</f>
        <v>0</v>
      </c>
      <c r="H488" s="373">
        <f>СЗИ!T87</f>
        <v>310.02</v>
      </c>
      <c r="I488" s="404">
        <f>СЗИ!K87</f>
        <v>0</v>
      </c>
      <c r="J488" s="190">
        <f>СЗИ!I87</f>
        <v>0</v>
      </c>
      <c r="K488" s="404">
        <f>СЗИ!L87</f>
        <v>0</v>
      </c>
      <c r="L488" s="404" t="str">
        <f t="shared" si="15"/>
        <v xml:space="preserve"> </v>
      </c>
      <c r="M488" s="373">
        <f t="shared" si="16"/>
        <v>0</v>
      </c>
      <c r="N488" s="407" t="str">
        <f>СЗИ!U87</f>
        <v xml:space="preserve"> - Реализовать процесс регулярного сканирования 100% активов.</v>
      </c>
      <c r="O488" s="407"/>
      <c r="P488" s="407"/>
    </row>
    <row r="489" spans="1:16" ht="31.2">
      <c r="A489" s="270" t="s">
        <v>113</v>
      </c>
      <c r="B489" s="405" t="s">
        <v>337</v>
      </c>
      <c r="C489" s="517" t="str">
        <f>СЗИ!B79</f>
        <v>Настроенные политики соответствуют ТТР Блока ИБ</v>
      </c>
      <c r="D489" s="404" t="str">
        <f>СЗИ!C79</f>
        <v>СЗИ.NGFW.4</v>
      </c>
      <c r="E489" s="404">
        <f>СЗИ!D79</f>
        <v>5</v>
      </c>
      <c r="F489" s="404">
        <f>СЗИ!E79</f>
        <v>3.2</v>
      </c>
      <c r="G489" s="404">
        <f>СЗИ!F79</f>
        <v>0</v>
      </c>
      <c r="H489" s="373">
        <f>СЗИ!T79</f>
        <v>311.03999999999996</v>
      </c>
      <c r="I489" s="404">
        <f>СЗИ!K79</f>
        <v>0</v>
      </c>
      <c r="J489" s="404">
        <f>СЗИ!I79</f>
        <v>0</v>
      </c>
      <c r="K489" s="404">
        <f>СЗИ!L79</f>
        <v>0</v>
      </c>
      <c r="L489" s="404" t="str">
        <f t="shared" si="15"/>
        <v xml:space="preserve"> </v>
      </c>
      <c r="M489" s="373">
        <f t="shared" si="16"/>
        <v>0</v>
      </c>
      <c r="N489" s="407" t="str">
        <f>СЗИ!U79</f>
        <v xml:space="preserve"> - Получить от Блока ИБ ТТР и реализовать рекомендуемые решения (в полном объеме)</v>
      </c>
      <c r="O489" s="407"/>
      <c r="P489" s="407"/>
    </row>
    <row r="490" spans="1:16" ht="62.4">
      <c r="A490" s="270" t="s">
        <v>18</v>
      </c>
      <c r="B490" s="403" t="s">
        <v>287</v>
      </c>
      <c r="C490" s="404" t="str">
        <f>Мониторинг!B46</f>
        <v>Процент покрытия инфраструктуры мониторингом</v>
      </c>
      <c r="D490" s="404" t="str">
        <f>Мониторинг!C46</f>
        <v>МНТ.SIEM.2</v>
      </c>
      <c r="E490" s="404">
        <f>Мониторинг!D46</f>
        <v>4.75</v>
      </c>
      <c r="F490" s="404">
        <f>Мониторинг!E46</f>
        <v>4.5</v>
      </c>
      <c r="G490" s="404">
        <f>Мониторинг!F46</f>
        <v>0</v>
      </c>
      <c r="H490" s="410">
        <f>Мониторинг!T46</f>
        <v>312.02</v>
      </c>
      <c r="I490" s="404">
        <f>Мониторинг!K46</f>
        <v>0</v>
      </c>
      <c r="J490" s="190">
        <f>Мониторинг!I46</f>
        <v>0</v>
      </c>
      <c r="K490" s="404">
        <f>Мониторинг!L46</f>
        <v>0</v>
      </c>
      <c r="L490" s="404" t="str">
        <f t="shared" si="15"/>
        <v xml:space="preserve"> </v>
      </c>
      <c r="M490" s="373">
        <f t="shared" si="16"/>
        <v>0</v>
      </c>
      <c r="N490" s="407" t="str">
        <f>Мониторинг!U46</f>
        <v xml:space="preserve"> - Подключить к SIEM 100% серверов, сетевого оборудования, 100% АРМ</v>
      </c>
      <c r="O490" s="407"/>
      <c r="P490" s="407"/>
    </row>
    <row r="491" spans="1:16" ht="62.4">
      <c r="A491" s="270" t="s">
        <v>18</v>
      </c>
      <c r="B491" s="403" t="s">
        <v>287</v>
      </c>
      <c r="C491" s="404" t="str">
        <f>Мониторинг!B49</f>
        <v>Настроенные решающие правила соответствуют ТТР Блока ИБ</v>
      </c>
      <c r="D491" s="404" t="str">
        <f>Мониторинг!C49</f>
        <v>МНТ.SIEM.5</v>
      </c>
      <c r="E491" s="404">
        <f>Мониторинг!D49</f>
        <v>5</v>
      </c>
      <c r="F491" s="404">
        <f>Мониторинг!E49</f>
        <v>3.2</v>
      </c>
      <c r="G491" s="404">
        <f>Мониторинг!F49</f>
        <v>0</v>
      </c>
      <c r="H491" s="410">
        <f>Мониторинг!T49</f>
        <v>312.04999999999995</v>
      </c>
      <c r="I491" s="404">
        <f>Мониторинг!K49</f>
        <v>0</v>
      </c>
      <c r="J491" s="404">
        <f>Мониторинг!I49</f>
        <v>0</v>
      </c>
      <c r="K491" s="404">
        <f>Мониторинг!L49</f>
        <v>0</v>
      </c>
      <c r="L491" s="404" t="str">
        <f t="shared" si="15"/>
        <v xml:space="preserve"> </v>
      </c>
      <c r="M491" s="373">
        <f t="shared" si="16"/>
        <v>0</v>
      </c>
      <c r="N491" s="407" t="str">
        <f>Мониторинг!U49</f>
        <v xml:space="preserve"> - Получить от Блока ИБ ТТР и реализовать рекомендуемые решения (в полном объеме)</v>
      </c>
      <c r="O491" s="407"/>
      <c r="P491" s="407"/>
    </row>
    <row r="492" spans="1:16" ht="62.4">
      <c r="A492" s="270" t="s">
        <v>18</v>
      </c>
      <c r="B492" s="403" t="s">
        <v>287</v>
      </c>
      <c r="C492" s="404" t="str">
        <f>Мониторинг!B50</f>
        <v>Контролируются сетевые события</v>
      </c>
      <c r="D492" s="404" t="str">
        <f>Мониторинг!C50</f>
        <v>МНТ.SIEM.6</v>
      </c>
      <c r="E492" s="404">
        <f>Мониторинг!D50</f>
        <v>5</v>
      </c>
      <c r="F492" s="404">
        <f>Мониторинг!E50</f>
        <v>3.2</v>
      </c>
      <c r="G492" s="404">
        <f>Мониторинг!F50</f>
        <v>0</v>
      </c>
      <c r="H492" s="410">
        <f>Мониторинг!T50</f>
        <v>312.05999999999995</v>
      </c>
      <c r="I492" s="404">
        <f>Мониторинг!K50</f>
        <v>0</v>
      </c>
      <c r="J492" s="404">
        <f>Мониторинг!I50</f>
        <v>0</v>
      </c>
      <c r="K492" s="404">
        <f>Мониторинг!L50</f>
        <v>0</v>
      </c>
      <c r="L492" s="404" t="str">
        <f t="shared" si="15"/>
        <v xml:space="preserve"> </v>
      </c>
      <c r="M492" s="373">
        <f t="shared" si="16"/>
        <v>0</v>
      </c>
      <c r="N492" s="407" t="str">
        <f>Мониторинг!U50</f>
        <v xml:space="preserve"> - Подключить к SIEM сетевые устройства: 100%. Оценивать и дорабатывать решающие правила для сетевых событий.</v>
      </c>
      <c r="O492" s="407"/>
      <c r="P492" s="407"/>
    </row>
    <row r="493" spans="1:16" ht="62.4">
      <c r="A493" s="270" t="s">
        <v>18</v>
      </c>
      <c r="B493" s="403" t="s">
        <v>287</v>
      </c>
      <c r="C493" s="404" t="str">
        <f>Мониторинг!B51</f>
        <v>Контролируются  события ОС</v>
      </c>
      <c r="D493" s="404" t="str">
        <f>Мониторинг!C51</f>
        <v>МНТ.SIEM.7</v>
      </c>
      <c r="E493" s="404">
        <f>Мониторинг!D51</f>
        <v>5</v>
      </c>
      <c r="F493" s="404">
        <f>Мониторинг!E51</f>
        <v>3.2</v>
      </c>
      <c r="G493" s="404">
        <f>Мониторинг!F51</f>
        <v>0</v>
      </c>
      <c r="H493" s="410">
        <f>Мониторинг!T51</f>
        <v>312.06999999999994</v>
      </c>
      <c r="I493" s="404">
        <f>Мониторинг!K51</f>
        <v>0</v>
      </c>
      <c r="J493" s="404">
        <f>Мониторинг!I51</f>
        <v>0</v>
      </c>
      <c r="K493" s="404">
        <f>Мониторинг!L51</f>
        <v>0</v>
      </c>
      <c r="L493" s="404" t="str">
        <f t="shared" si="15"/>
        <v xml:space="preserve"> </v>
      </c>
      <c r="M493" s="373">
        <f t="shared" si="16"/>
        <v>0</v>
      </c>
      <c r="N493" s="407" t="str">
        <f>Мониторинг!U51</f>
        <v xml:space="preserve"> - Подключить к SIEM операц.системы: не менее 100%. Разработать решающие правила для ОС</v>
      </c>
      <c r="O493" s="407"/>
      <c r="P493" s="407"/>
    </row>
    <row r="494" spans="1:16" ht="62.4">
      <c r="A494" s="270" t="s">
        <v>18</v>
      </c>
      <c r="B494" s="403" t="s">
        <v>287</v>
      </c>
      <c r="C494" s="404" t="str">
        <f>Мониторинг!B52</f>
        <v>Контролируются события СУБД</v>
      </c>
      <c r="D494" s="404" t="str">
        <f>Мониторинг!C52</f>
        <v>МНТ.SIEM.8</v>
      </c>
      <c r="E494" s="404">
        <f>Мониторинг!D52</f>
        <v>5</v>
      </c>
      <c r="F494" s="404">
        <f>Мониторинг!E52</f>
        <v>3.2</v>
      </c>
      <c r="G494" s="404">
        <f>Мониторинг!F52</f>
        <v>0</v>
      </c>
      <c r="H494" s="410">
        <f>Мониторинг!T52</f>
        <v>312.07999999999993</v>
      </c>
      <c r="I494" s="404">
        <f>Мониторинг!K52</f>
        <v>0</v>
      </c>
      <c r="J494" s="404">
        <f>Мониторинг!I52</f>
        <v>0</v>
      </c>
      <c r="K494" s="404">
        <f>Мониторинг!L52</f>
        <v>0</v>
      </c>
      <c r="L494" s="404" t="str">
        <f t="shared" si="15"/>
        <v xml:space="preserve"> </v>
      </c>
      <c r="M494" s="373">
        <f t="shared" si="16"/>
        <v>0</v>
      </c>
      <c r="N494" s="407" t="str">
        <f>Мониторинг!U52</f>
        <v xml:space="preserve"> - Подключить к SIEM СУБД: не менее 100%. Разработать решающие правила для СУБД</v>
      </c>
      <c r="O494" s="407"/>
      <c r="P494" s="407"/>
    </row>
    <row r="495" spans="1:16" ht="62.4">
      <c r="A495" s="270" t="s">
        <v>18</v>
      </c>
      <c r="B495" s="403" t="s">
        <v>287</v>
      </c>
      <c r="C495" s="404" t="str">
        <f>Мониторинг!B53</f>
        <v>Контролируются события прикладных ИС</v>
      </c>
      <c r="D495" s="404" t="str">
        <f>Мониторинг!C53</f>
        <v>МНТ.SIEM.9</v>
      </c>
      <c r="E495" s="404">
        <f>Мониторинг!D53</f>
        <v>5</v>
      </c>
      <c r="F495" s="404">
        <f>Мониторинг!E53</f>
        <v>3.2</v>
      </c>
      <c r="G495" s="404">
        <f>Мониторинг!F53</f>
        <v>0</v>
      </c>
      <c r="H495" s="410">
        <f>Мониторинг!T53</f>
        <v>312.08999999999992</v>
      </c>
      <c r="I495" s="404">
        <f>Мониторинг!K53</f>
        <v>0</v>
      </c>
      <c r="J495" s="404">
        <f>Мониторинг!I53</f>
        <v>0</v>
      </c>
      <c r="K495" s="404">
        <f>Мониторинг!L53</f>
        <v>0</v>
      </c>
      <c r="L495" s="404" t="str">
        <f t="shared" si="15"/>
        <v xml:space="preserve"> </v>
      </c>
      <c r="M495" s="373">
        <f t="shared" si="16"/>
        <v>0</v>
      </c>
      <c r="N495" s="407" t="str">
        <f>Мониторинг!U53</f>
        <v xml:space="preserve"> - Подключить к SIEM прикладные ИС: не менее 100%. Разработать решающие правила для прикладных ИС</v>
      </c>
      <c r="O495" s="407"/>
      <c r="P495" s="407"/>
    </row>
    <row r="496" spans="1:16" ht="78">
      <c r="A496" s="270" t="s">
        <v>780</v>
      </c>
      <c r="B496" s="403" t="s">
        <v>237</v>
      </c>
      <c r="C496" s="404" t="str">
        <f>'Управление ИБ'!B66</f>
        <v>Статус достижения целей ИБ регулярно доводится до руководства Общества</v>
      </c>
      <c r="D496" s="404" t="str">
        <f>'Управление ИБ'!C66</f>
        <v>СУИБ.УР.4</v>
      </c>
      <c r="E496" s="404">
        <f>'Управление ИБ'!D66</f>
        <v>5</v>
      </c>
      <c r="F496" s="404">
        <f>'Управление ИБ'!E66</f>
        <v>3.2</v>
      </c>
      <c r="G496" s="404">
        <f>'Управление ИБ'!F66</f>
        <v>0</v>
      </c>
      <c r="H496" s="373">
        <f>'Управление ИБ'!T66</f>
        <v>314.05999999999995</v>
      </c>
      <c r="I496" s="404">
        <f>'Управление ИБ'!K66</f>
        <v>0</v>
      </c>
      <c r="J496" s="404">
        <f>'Управление ИБ'!I66</f>
        <v>0</v>
      </c>
      <c r="K496" s="404">
        <f>'Управление ИБ'!L66</f>
        <v>1.6</v>
      </c>
      <c r="L496" s="404" t="str">
        <f t="shared" si="15"/>
        <v xml:space="preserve"> </v>
      </c>
      <c r="M496" s="373">
        <f t="shared" si="16"/>
        <v>-1.6</v>
      </c>
      <c r="N496" s="407" t="str">
        <f>'Управление ИБ'!U66</f>
        <v>Организовать процесс регулярной отчетности перед руководством по достижению целей ИБ</v>
      </c>
      <c r="O496" s="407"/>
      <c r="P496" s="407"/>
    </row>
    <row r="497" spans="1:16" ht="78">
      <c r="A497" s="270" t="s">
        <v>780</v>
      </c>
      <c r="B497" s="403" t="s">
        <v>237</v>
      </c>
      <c r="C497" s="404" t="str">
        <f>'Управление ИБ'!B67</f>
        <v>Проводится регулярный (ежегодный) внешний аудит</v>
      </c>
      <c r="D497" s="404" t="str">
        <f>'Управление ИБ'!C67</f>
        <v>СУИБ.УР.5</v>
      </c>
      <c r="E497" s="404">
        <f>'Управление ИБ'!D67</f>
        <v>5</v>
      </c>
      <c r="F497" s="404">
        <f>'Управление ИБ'!E67</f>
        <v>5</v>
      </c>
      <c r="G497" s="404">
        <f>'Управление ИБ'!F67</f>
        <v>0</v>
      </c>
      <c r="H497" s="373">
        <f>'Управление ИБ'!T67</f>
        <v>314.06999999999994</v>
      </c>
      <c r="I497" s="404">
        <f>'Управление ИБ'!K67</f>
        <v>0</v>
      </c>
      <c r="J497" s="404">
        <f>'Управление ИБ'!I67</f>
        <v>0</v>
      </c>
      <c r="K497" s="404">
        <f>'Управление ИБ'!L67</f>
        <v>0</v>
      </c>
      <c r="L497" s="404" t="str">
        <f t="shared" si="15"/>
        <v xml:space="preserve"> </v>
      </c>
      <c r="M497" s="373">
        <f t="shared" si="16"/>
        <v>0</v>
      </c>
      <c r="N497" s="407" t="str">
        <f>'Управление ИБ'!U67</f>
        <v>Организовать процесс регулярных внешних аудитов ИБ. Определить требования к процессу внешнего аудита</v>
      </c>
      <c r="O497" s="407"/>
      <c r="P497" s="407"/>
    </row>
    <row r="498" spans="1:16" ht="78">
      <c r="A498" s="270" t="s">
        <v>780</v>
      </c>
      <c r="B498" s="403" t="s">
        <v>237</v>
      </c>
      <c r="C498" s="404" t="str">
        <f>'Управление ИБ'!B68</f>
        <v>Проводятся регулярные (ежегодные) киберучения</v>
      </c>
      <c r="D498" s="404" t="str">
        <f>'Управление ИБ'!C68</f>
        <v>СУИБ.УР.6</v>
      </c>
      <c r="E498" s="404">
        <f>'Управление ИБ'!D68</f>
        <v>5</v>
      </c>
      <c r="F498" s="404">
        <f>'Управление ИБ'!E68</f>
        <v>5</v>
      </c>
      <c r="G498" s="404">
        <f>'Управление ИБ'!F68</f>
        <v>0</v>
      </c>
      <c r="H498" s="373">
        <f>'Управление ИБ'!T68</f>
        <v>314.07999999999993</v>
      </c>
      <c r="I498" s="404">
        <f>'Управление ИБ'!K68</f>
        <v>0</v>
      </c>
      <c r="J498" s="404">
        <f>'Управление ИБ'!I68</f>
        <v>0</v>
      </c>
      <c r="K498" s="404">
        <f>'Управление ИБ'!L68</f>
        <v>0</v>
      </c>
      <c r="L498" s="404" t="str">
        <f t="shared" si="15"/>
        <v xml:space="preserve"> </v>
      </c>
      <c r="M498" s="373">
        <f t="shared" si="16"/>
        <v>0</v>
      </c>
      <c r="N498" s="407" t="str">
        <f>'Управление ИБ'!U68</f>
        <v/>
      </c>
      <c r="O498" s="407"/>
      <c r="P498" s="407"/>
    </row>
    <row r="499" spans="1:16" ht="62.4">
      <c r="A499" s="270" t="s">
        <v>18</v>
      </c>
      <c r="B499" s="403" t="s">
        <v>287</v>
      </c>
      <c r="C499" s="404" t="str">
        <f>Мониторинг!B54</f>
        <v>Контроль событий СЗИ</v>
      </c>
      <c r="D499" s="404" t="str">
        <f>Мониторинг!C54</f>
        <v>МНТ.SIEM.10</v>
      </c>
      <c r="E499" s="404">
        <f>Мониторинг!D54</f>
        <v>5</v>
      </c>
      <c r="F499" s="404">
        <f>Мониторинг!E54</f>
        <v>3.2</v>
      </c>
      <c r="G499" s="404">
        <f>Мониторинг!F54</f>
        <v>0</v>
      </c>
      <c r="H499" s="410">
        <f>Мониторинг!T54</f>
        <v>312.09999999999991</v>
      </c>
      <c r="I499" s="404">
        <f>Мониторинг!K54</f>
        <v>0</v>
      </c>
      <c r="J499" s="404">
        <f>Мониторинг!I54</f>
        <v>0</v>
      </c>
      <c r="K499" s="404">
        <f>Мониторинг!L54</f>
        <v>0</v>
      </c>
      <c r="L499" s="404" t="str">
        <f t="shared" si="15"/>
        <v xml:space="preserve"> </v>
      </c>
      <c r="M499" s="373">
        <f t="shared" si="16"/>
        <v>0</v>
      </c>
      <c r="N499" s="407" t="str">
        <f>Мониторинг!U54</f>
        <v xml:space="preserve"> - Подключить к SIEM СЗИ: не менее 100%. Разработать решающие правила для СЗИ</v>
      </c>
      <c r="O499" s="407"/>
      <c r="P499" s="407"/>
    </row>
    <row r="500" spans="1:16" ht="109.2">
      <c r="A500" s="270" t="s">
        <v>780</v>
      </c>
      <c r="B500" s="403" t="s">
        <v>237</v>
      </c>
      <c r="C500" s="404" t="str">
        <f>'Управление ИБ'!B70</f>
        <v>Актуализация внутренних нормативных документов в соответствии с изменениями в нормативно-правовых актах и распоряжениях регуляторов и контрольных (надзорных) ведомств в сфере ИБ</v>
      </c>
      <c r="D500" s="404" t="str">
        <f>'Управление ИБ'!C70</f>
        <v>СУИБ.УР.8</v>
      </c>
      <c r="E500" s="404">
        <f>'Управление ИБ'!D70</f>
        <v>5</v>
      </c>
      <c r="F500" s="404">
        <f>'Управление ИБ'!E70</f>
        <v>5</v>
      </c>
      <c r="G500" s="404">
        <f>'Управление ИБ'!F70</f>
        <v>0</v>
      </c>
      <c r="H500" s="373">
        <f>'Управление ИБ'!T70</f>
        <v>314.09999999999991</v>
      </c>
      <c r="I500" s="404">
        <f>'Управление ИБ'!K70</f>
        <v>0</v>
      </c>
      <c r="J500" s="404">
        <f>'Управление ИБ'!I70</f>
        <v>0</v>
      </c>
      <c r="K500" s="404">
        <f>'Управление ИБ'!L70</f>
        <v>5</v>
      </c>
      <c r="L500" s="404" t="str">
        <f t="shared" si="15"/>
        <v xml:space="preserve"> </v>
      </c>
      <c r="M500" s="373">
        <f t="shared" si="16"/>
        <v>0</v>
      </c>
      <c r="N500" s="407" t="str">
        <f>'Управление ИБ'!U70</f>
        <v/>
      </c>
      <c r="O500" s="407"/>
      <c r="P500" s="407"/>
    </row>
    <row r="501" spans="1:16" ht="62.4">
      <c r="A501" s="270" t="s">
        <v>18</v>
      </c>
      <c r="B501" s="403" t="s">
        <v>287</v>
      </c>
      <c r="C501" s="404" t="str">
        <f>Мониторинг!B55</f>
        <v>Контроль событий о действиях привелигированных пользователей</v>
      </c>
      <c r="D501" s="404" t="str">
        <f>Мониторинг!C55</f>
        <v>МНТ.SIEM.11</v>
      </c>
      <c r="E501" s="404">
        <f>Мониторинг!D55</f>
        <v>5</v>
      </c>
      <c r="F501" s="404">
        <f>Мониторинг!E55</f>
        <v>3.2</v>
      </c>
      <c r="G501" s="404">
        <f>Мониторинг!F55</f>
        <v>1.6</v>
      </c>
      <c r="H501" s="410">
        <f>Мониторинг!T55</f>
        <v>312.1099999999999</v>
      </c>
      <c r="I501" s="404">
        <f>Мониторинг!K55</f>
        <v>1.6</v>
      </c>
      <c r="J501" s="404">
        <f>Мониторинг!I55</f>
        <v>0</v>
      </c>
      <c r="K501" s="404">
        <f>Мониторинг!L55</f>
        <v>0</v>
      </c>
      <c r="L501" s="404">
        <f t="shared" si="15"/>
        <v>0</v>
      </c>
      <c r="M501" s="373">
        <f t="shared" si="16"/>
        <v>1.6</v>
      </c>
      <c r="N501" s="407" t="str">
        <f>Мониторинг!U55</f>
        <v xml:space="preserve"> - Повышать эффективность решающих правил с учетом инцидентов.</v>
      </c>
      <c r="O501" s="407"/>
      <c r="P501" s="407"/>
    </row>
    <row r="502" spans="1:16" ht="62.4">
      <c r="A502" s="270" t="s">
        <v>18</v>
      </c>
      <c r="B502" s="403" t="s">
        <v>287</v>
      </c>
      <c r="C502" s="404" t="str">
        <f>Мониторинг!B56</f>
        <v>Внедрен процесс управления сбоями и мониторинга работоспособности SIEM</v>
      </c>
      <c r="D502" s="404" t="str">
        <f>Мониторинг!C56</f>
        <v>МНТ.SIEM.12</v>
      </c>
      <c r="E502" s="404">
        <f>Мониторинг!D56</f>
        <v>4</v>
      </c>
      <c r="F502" s="404">
        <f>Мониторинг!E56</f>
        <v>3</v>
      </c>
      <c r="G502" s="404">
        <f>Мониторинг!F56</f>
        <v>0</v>
      </c>
      <c r="H502" s="410">
        <f>Мониторинг!T56</f>
        <v>312.11999999999989</v>
      </c>
      <c r="I502" s="404">
        <f>Мониторинг!K56</f>
        <v>0</v>
      </c>
      <c r="J502" s="404">
        <f>Мониторинг!I56</f>
        <v>0</v>
      </c>
      <c r="K502" s="404">
        <f>Мониторинг!L56</f>
        <v>0</v>
      </c>
      <c r="L502" s="404" t="str">
        <f t="shared" si="15"/>
        <v xml:space="preserve"> </v>
      </c>
      <c r="M502" s="373">
        <f t="shared" si="16"/>
        <v>0</v>
      </c>
      <c r="N502" s="407" t="str">
        <f>Мониторинг!U56</f>
        <v xml:space="preserve"> - Приобрести лицензии SIEM, достаточные для полного покрытия мониторингом всех ИА.</v>
      </c>
      <c r="O502" s="407"/>
      <c r="P502" s="407"/>
    </row>
    <row r="503" spans="1:16" ht="78">
      <c r="A503" s="270" t="s">
        <v>780</v>
      </c>
      <c r="B503" s="412" t="s">
        <v>16</v>
      </c>
      <c r="C503" s="515" t="str">
        <f>'Управление ИБ'!B114</f>
        <v>Ведется персонифицированный учет учетных записей (УЗ), технологических УЗ, привилегированных УЗ и УЗ групповых почтовых ящиков</v>
      </c>
      <c r="D503" s="408" t="str">
        <f>'Управление ИБ'!C114</f>
        <v>УИБ.ИН.3</v>
      </c>
      <c r="E503" s="408">
        <f>'Управление ИБ'!D114</f>
        <v>5</v>
      </c>
      <c r="F503" s="408">
        <f>'Управление ИБ'!E114</f>
        <v>3.2</v>
      </c>
      <c r="G503" s="408">
        <f>'Управление ИБ'!F114</f>
        <v>1.6</v>
      </c>
      <c r="H503" s="409">
        <f>'Управление ИБ'!T114</f>
        <v>315.02999999999997</v>
      </c>
      <c r="I503" s="408">
        <f>'Управление ИБ'!K114</f>
        <v>1.6</v>
      </c>
      <c r="J503" s="408">
        <f>'Управление ИБ'!I114</f>
        <v>0</v>
      </c>
      <c r="K503" s="404">
        <f>'Управление ИБ'!L114</f>
        <v>1.6</v>
      </c>
      <c r="L503" s="404">
        <f t="shared" si="15"/>
        <v>1.6</v>
      </c>
      <c r="M503" s="373">
        <f t="shared" si="16"/>
        <v>0</v>
      </c>
      <c r="N503" s="407" t="str">
        <f>'Управление ИБ'!U114</f>
        <v xml:space="preserve"> - Регламентировать процесс аудита учетных записей;
 - Контролировать выполнение аудита учетных записей;
 - Определить метрики процесса аудита, отслеживать результаты;
 - Обеспечить аудит 100% учетных записей во всех системах, включая локальные. </v>
      </c>
      <c r="O503" s="407"/>
      <c r="P503" s="407"/>
    </row>
    <row r="504" spans="1:16" ht="78">
      <c r="A504" s="270" t="s">
        <v>780</v>
      </c>
      <c r="B504" s="412" t="s">
        <v>16</v>
      </c>
      <c r="C504" s="515" t="str">
        <f>'Управление ИБ'!B115</f>
        <v>Контроль белого (разрешенного) и черного (неразрешенного) списка программного обеспечения.</v>
      </c>
      <c r="D504" s="408" t="str">
        <f>'Управление ИБ'!C115</f>
        <v>УИБ.ИН.4</v>
      </c>
      <c r="E504" s="408">
        <f>'Управление ИБ'!D115</f>
        <v>5</v>
      </c>
      <c r="F504" s="408">
        <f>'Управление ИБ'!E115</f>
        <v>3.2</v>
      </c>
      <c r="G504" s="408">
        <f>'Управление ИБ'!F115</f>
        <v>1.6</v>
      </c>
      <c r="H504" s="409">
        <f>'Управление ИБ'!T115</f>
        <v>315.03999999999996</v>
      </c>
      <c r="I504" s="408">
        <f>'Управление ИБ'!K115</f>
        <v>1.6</v>
      </c>
      <c r="J504" s="408">
        <f>'Управление ИБ'!I115</f>
        <v>0</v>
      </c>
      <c r="K504" s="404">
        <f>'Управление ИБ'!L115</f>
        <v>0</v>
      </c>
      <c r="L504" s="404">
        <f t="shared" si="15"/>
        <v>0</v>
      </c>
      <c r="M504" s="373">
        <f t="shared" si="16"/>
        <v>1.6</v>
      </c>
      <c r="N504" s="407" t="str">
        <f>'Управление ИБ'!U115</f>
        <v xml:space="preserve"> - Использовать белые списки авторизованного ПО для информационных систем;
 - Реализовать процесс авторизации состава ПО на этапе проектирования ИС;
  - Реализовать процесс контроля состава ПО ИС.</v>
      </c>
      <c r="O504" s="407"/>
      <c r="P504" s="407"/>
    </row>
    <row r="505" spans="1:16" ht="78">
      <c r="A505" s="270" t="s">
        <v>780</v>
      </c>
      <c r="B505" s="403" t="s">
        <v>237</v>
      </c>
      <c r="C505" s="404" t="str">
        <f>'Управление ИБ'!B69</f>
        <v>Требования по ИБ к информационным активам (ИА) предьявляются на стадиях принятия решения о создании/приобретении ИА</v>
      </c>
      <c r="D505" s="404" t="str">
        <f>'Управление ИБ'!C69</f>
        <v>СУИБ.УР.7</v>
      </c>
      <c r="E505" s="404">
        <f>'Управление ИБ'!D69</f>
        <v>5</v>
      </c>
      <c r="F505" s="404">
        <f>'Управление ИБ'!E69</f>
        <v>3.2</v>
      </c>
      <c r="G505" s="404">
        <f>'Управление ИБ'!F69</f>
        <v>0</v>
      </c>
      <c r="H505" s="373">
        <f>'Управление ИБ'!T69</f>
        <v>314.08999999999992</v>
      </c>
      <c r="I505" s="404">
        <f>'Управление ИБ'!K69</f>
        <v>0</v>
      </c>
      <c r="J505" s="404">
        <f>'Управление ИБ'!I69</f>
        <v>0</v>
      </c>
      <c r="K505" s="404">
        <f>'Управление ИБ'!L69</f>
        <v>1.6</v>
      </c>
      <c r="L505" s="404" t="str">
        <f t="shared" si="15"/>
        <v xml:space="preserve"> </v>
      </c>
      <c r="M505" s="373">
        <f t="shared" si="16"/>
        <v>-1.6</v>
      </c>
      <c r="N505" s="407" t="str">
        <f>'Управление ИБ'!U69</f>
        <v>- Обеспечить формирование, коректировку, согласование, контроль исполнения требований ИБ на каждом этапе создания / приобретения ИА</v>
      </c>
      <c r="O505" s="407"/>
      <c r="P505" s="407"/>
    </row>
    <row r="506" spans="1:16" ht="124.8">
      <c r="A506" s="270" t="s">
        <v>780</v>
      </c>
      <c r="B506" s="412" t="s">
        <v>16</v>
      </c>
      <c r="C506" s="515" t="str">
        <f>'Управление ИБ'!B112</f>
        <v>Ведется учет используемых и (или) эксплуатируемых физических устройств (АРМ, сервера, принтеры, коммутационное оборудование и т.п.)</v>
      </c>
      <c r="D506" s="408" t="str">
        <f>'Управление ИБ'!C112</f>
        <v>УИБ.ИН.1</v>
      </c>
      <c r="E506" s="408">
        <f>'Управление ИБ'!D112</f>
        <v>5</v>
      </c>
      <c r="F506" s="408">
        <f>'Управление ИБ'!E112</f>
        <v>3.2</v>
      </c>
      <c r="G506" s="408">
        <f>'Управление ИБ'!F112</f>
        <v>1.6</v>
      </c>
      <c r="H506" s="409">
        <f>'Управление ИБ'!T112</f>
        <v>315.01</v>
      </c>
      <c r="I506" s="408">
        <f>'Управление ИБ'!K112</f>
        <v>1.6</v>
      </c>
      <c r="J506" s="408">
        <f>'Управление ИБ'!I112</f>
        <v>0</v>
      </c>
      <c r="K506" s="404">
        <f>'Управление ИБ'!L112</f>
        <v>1.6</v>
      </c>
      <c r="L506" s="404">
        <f t="shared" si="15"/>
        <v>1.6</v>
      </c>
      <c r="M506" s="373">
        <f t="shared" si="16"/>
        <v>0</v>
      </c>
      <c r="N506" s="407" t="str">
        <f>'Управление ИБ'!U112</f>
        <v xml:space="preserve"> - Разработать и поддерживать реестр эксплуатируемых АРМ,  серверов, коммутационного оборудования, перефирийных устройств, машинных носителей информации;
  - В реестр должны быть внесены все устройства, которые регулярно подключаются к корпоративной сетевой инфраструктуре физически, удаленно или виртуально, даже если они не контролируются организацией;
  - На всех DHCP-серверах вести журналы для обновления реестра/ Данные в реестре обновлять раз в неделю или чаще;
  - При выявлении неучтенных устройств отключать обеспечить их вывод из эксплуатации.</v>
      </c>
      <c r="O506" s="407"/>
      <c r="P506" s="407"/>
    </row>
    <row r="507" spans="1:16" ht="78">
      <c r="A507" s="270" t="s">
        <v>780</v>
      </c>
      <c r="B507" s="412" t="s">
        <v>16</v>
      </c>
      <c r="C507" s="515" t="str">
        <f>'Управление ИБ'!B118</f>
        <v>Ведется учет опубликованных на внешнем периметре информационные системы, домены</v>
      </c>
      <c r="D507" s="408" t="str">
        <f>'Управление ИБ'!C118</f>
        <v>УИБ.ИН.7</v>
      </c>
      <c r="E507" s="408">
        <f>'Управление ИБ'!D118</f>
        <v>5</v>
      </c>
      <c r="F507" s="408">
        <f>'Управление ИБ'!E118</f>
        <v>3.2</v>
      </c>
      <c r="G507" s="408">
        <f>'Управление ИБ'!F118</f>
        <v>3.2</v>
      </c>
      <c r="H507" s="409">
        <f>'Управление ИБ'!T118</f>
        <v>315.06999999999994</v>
      </c>
      <c r="I507" s="408">
        <f>'Управление ИБ'!K118</f>
        <v>3.2</v>
      </c>
      <c r="J507" s="408">
        <f>'Управление ИБ'!I118</f>
        <v>0</v>
      </c>
      <c r="K507" s="404">
        <f>'Управление ИБ'!L118</f>
        <v>0</v>
      </c>
      <c r="L507" s="404">
        <f t="shared" si="15"/>
        <v>0</v>
      </c>
      <c r="M507" s="373">
        <f t="shared" si="16"/>
        <v>3.2</v>
      </c>
      <c r="N507" s="407" t="str">
        <f>'Управление ИБ'!U118</f>
        <v xml:space="preserve"> - Для учета применять средства автоматизации;
  - Для актуализации реестра использовать инструменты активного/пассивного обнаружения активов.</v>
      </c>
      <c r="O507" s="407"/>
      <c r="P507" s="407"/>
    </row>
    <row r="508" spans="1:16" ht="78">
      <c r="A508" s="270" t="s">
        <v>780</v>
      </c>
      <c r="B508" s="412" t="s">
        <v>16</v>
      </c>
      <c r="C508" s="515" t="str">
        <f>'Управление ИБ'!B119</f>
        <v>За информационными активами закреплены ответственные</v>
      </c>
      <c r="D508" s="408" t="str">
        <f>'Управление ИБ'!C119</f>
        <v>УИБ.ИН.8</v>
      </c>
      <c r="E508" s="408">
        <f>'Управление ИБ'!D119</f>
        <v>5</v>
      </c>
      <c r="F508" s="408">
        <f>'Управление ИБ'!E119</f>
        <v>3.2</v>
      </c>
      <c r="G508" s="408">
        <f>'Управление ИБ'!F119</f>
        <v>3.2</v>
      </c>
      <c r="H508" s="409">
        <f>'Управление ИБ'!T119</f>
        <v>315.07999999999993</v>
      </c>
      <c r="I508" s="408">
        <f>'Управление ИБ'!K119</f>
        <v>3.2</v>
      </c>
      <c r="J508" s="408">
        <f>'Управление ИБ'!I119</f>
        <v>0</v>
      </c>
      <c r="K508" s="404">
        <f>'Управление ИБ'!L119</f>
        <v>0</v>
      </c>
      <c r="L508" s="404">
        <f t="shared" si="15"/>
        <v>0</v>
      </c>
      <c r="M508" s="373">
        <f t="shared" si="16"/>
        <v>3.2</v>
      </c>
      <c r="N508" s="407" t="str">
        <f>'Управление ИБ'!U119</f>
        <v xml:space="preserve"> - Издать внутренние приказы по закреплению ответственных за каждым информационным активом;
   - Проводить периодическую сверку. Определить функции и обязанности ответственных.</v>
      </c>
      <c r="O508" s="407"/>
      <c r="P508" s="407"/>
    </row>
    <row r="509" spans="1:16" ht="78">
      <c r="A509" s="270" t="s">
        <v>780</v>
      </c>
      <c r="B509" s="412" t="s">
        <v>16</v>
      </c>
      <c r="C509" s="515" t="str">
        <f>'Управление ИБ'!B120</f>
        <v>Наличие специализированного ПО для хранения инвентаризационных данных</v>
      </c>
      <c r="D509" s="408" t="str">
        <f>'Управление ИБ'!C120</f>
        <v>УИБ.ИН.9</v>
      </c>
      <c r="E509" s="408">
        <f>'Управление ИБ'!D120</f>
        <v>5</v>
      </c>
      <c r="F509" s="408">
        <f>'Управление ИБ'!E120</f>
        <v>3.2</v>
      </c>
      <c r="G509" s="408">
        <f>'Управление ИБ'!F120</f>
        <v>0</v>
      </c>
      <c r="H509" s="409">
        <f>'Управление ИБ'!T120</f>
        <v>315.08999999999992</v>
      </c>
      <c r="I509" s="408">
        <f>'Управление ИБ'!K120</f>
        <v>0</v>
      </c>
      <c r="J509" s="408">
        <f>'Управление ИБ'!I120</f>
        <v>0</v>
      </c>
      <c r="K509" s="404">
        <f>'Управление ИБ'!L120</f>
        <v>0</v>
      </c>
      <c r="L509" s="404" t="str">
        <f t="shared" si="15"/>
        <v xml:space="preserve"> </v>
      </c>
      <c r="M509" s="373">
        <f t="shared" si="16"/>
        <v>0</v>
      </c>
      <c r="N509" s="407" t="str">
        <f>'Управление ИБ'!U120</f>
        <v>Применять для хранения и управления инвентаризационными данными автоматизированную систему учета активов класса CMDB (Configuration Management Database)</v>
      </c>
      <c r="O509" s="407"/>
      <c r="P509" s="407"/>
    </row>
    <row r="510" spans="1:16" ht="78">
      <c r="A510" s="270" t="s">
        <v>780</v>
      </c>
      <c r="B510" s="412" t="s">
        <v>16</v>
      </c>
      <c r="C510" s="515" t="str">
        <f>'Управление ИБ'!B113</f>
        <v>Ведется учет имеющегося и используемого ПО</v>
      </c>
      <c r="D510" s="408" t="str">
        <f>'Управление ИБ'!C113</f>
        <v>УИБ.ИН.2</v>
      </c>
      <c r="E510" s="408">
        <f>'Управление ИБ'!D113</f>
        <v>5</v>
      </c>
      <c r="F510" s="408">
        <f>'Управление ИБ'!E113</f>
        <v>3.2</v>
      </c>
      <c r="G510" s="408">
        <f>'Управление ИБ'!F113</f>
        <v>1.6</v>
      </c>
      <c r="H510" s="409">
        <f>'Управление ИБ'!T113</f>
        <v>315.02</v>
      </c>
      <c r="I510" s="408">
        <f>'Управление ИБ'!K113</f>
        <v>1.6</v>
      </c>
      <c r="J510" s="408">
        <f>'Управление ИБ'!I113</f>
        <v>0</v>
      </c>
      <c r="K510" s="404">
        <f>'Управление ИБ'!L113</f>
        <v>0</v>
      </c>
      <c r="L510" s="404">
        <f t="shared" si="15"/>
        <v>0</v>
      </c>
      <c r="M510" s="373">
        <f t="shared" si="16"/>
        <v>1.6</v>
      </c>
      <c r="N510" s="407" t="str">
        <f>'Управление ИБ'!U113</f>
        <v xml:space="preserve"> - Проверять, что всё используемое ПО включено в реестр, при выявлении неучтенного ПО обеспечивать его удаление;
  - Автоматизировать процесс проверки использования неучтенного ПО.</v>
      </c>
      <c r="O510" s="407"/>
      <c r="P510" s="407"/>
    </row>
    <row r="511" spans="1:16" ht="78">
      <c r="A511" s="270" t="s">
        <v>780</v>
      </c>
      <c r="B511" s="412" t="s">
        <v>16</v>
      </c>
      <c r="C511" s="515" t="str">
        <f>'Управление ИБ'!B122</f>
        <v>Результаты работы сканеров уязвимости являются источниками для пополнения БД систем инвентаризации</v>
      </c>
      <c r="D511" s="408" t="str">
        <f>'Управление ИБ'!C122</f>
        <v>УИБ.ИН.11</v>
      </c>
      <c r="E511" s="408">
        <f>'Управление ИБ'!D122</f>
        <v>5</v>
      </c>
      <c r="F511" s="408">
        <f>'Управление ИБ'!E122</f>
        <v>3.2</v>
      </c>
      <c r="G511" s="408">
        <f>'Управление ИБ'!F122</f>
        <v>0</v>
      </c>
      <c r="H511" s="409">
        <f>'Управление ИБ'!T122</f>
        <v>315.1099999999999</v>
      </c>
      <c r="I511" s="408">
        <f>'Управление ИБ'!K122</f>
        <v>0</v>
      </c>
      <c r="J511" s="408">
        <f>'Управление ИБ'!I122</f>
        <v>0</v>
      </c>
      <c r="K511" s="404">
        <f>'Управление ИБ'!L122</f>
        <v>0</v>
      </c>
      <c r="L511" s="404" t="str">
        <f t="shared" ref="L511:L573" si="17">IF(J511=I511," ",K511-J511)</f>
        <v xml:space="preserve"> </v>
      </c>
      <c r="M511" s="373">
        <f t="shared" si="16"/>
        <v>0</v>
      </c>
      <c r="N511" s="407" t="str">
        <f>'Управление ИБ'!U122</f>
        <v xml:space="preserve"> - Интегрировать инструменты анализа защищенности и СРТ  с автоматизированной системой учета активов.</v>
      </c>
      <c r="O511" s="407"/>
      <c r="P511" s="407"/>
    </row>
    <row r="512" spans="1:16" ht="78">
      <c r="A512" s="270" t="s">
        <v>780</v>
      </c>
      <c r="B512" s="412" t="s">
        <v>16</v>
      </c>
      <c r="C512" s="515" t="str">
        <f>'Управление ИБ'!B116</f>
        <v>Ведется учет использования адресных пространств (IP)</v>
      </c>
      <c r="D512" s="408" t="str">
        <f>'Управление ИБ'!C116</f>
        <v>УИБ.ИН.5</v>
      </c>
      <c r="E512" s="408">
        <f>'Управление ИБ'!D116</f>
        <v>5</v>
      </c>
      <c r="F512" s="408">
        <f>'Управление ИБ'!E116</f>
        <v>3.2</v>
      </c>
      <c r="G512" s="408">
        <f>'Управление ИБ'!F116</f>
        <v>1.6</v>
      </c>
      <c r="H512" s="409">
        <f>'Управление ИБ'!T116</f>
        <v>315.04999999999995</v>
      </c>
      <c r="I512" s="408">
        <f>'Управление ИБ'!K116</f>
        <v>1.6</v>
      </c>
      <c r="J512" s="408">
        <f>'Управление ИБ'!I116</f>
        <v>0</v>
      </c>
      <c r="K512" s="404">
        <f>'Управление ИБ'!L116</f>
        <v>0</v>
      </c>
      <c r="L512" s="404">
        <f t="shared" si="17"/>
        <v>0</v>
      </c>
      <c r="M512" s="373">
        <f t="shared" si="16"/>
        <v>1.6</v>
      </c>
      <c r="N512" s="407" t="str">
        <f>'Управление ИБ'!U116</f>
        <v>- Применять средства автоматизации для централизованного учета и управления IP-адресным пространством.</v>
      </c>
      <c r="O512" s="407"/>
      <c r="P512" s="407"/>
    </row>
    <row r="513" spans="1:16" ht="78">
      <c r="A513" s="270" t="s">
        <v>780</v>
      </c>
      <c r="B513" s="412" t="s">
        <v>16</v>
      </c>
      <c r="C513" s="515" t="str">
        <f>'Управление ИБ'!B117</f>
        <v>Ведется учет созданных, используемых и (или) эксплуатируемых ИС</v>
      </c>
      <c r="D513" s="408" t="str">
        <f>'Управление ИБ'!C117</f>
        <v>УИБ.ИН.6</v>
      </c>
      <c r="E513" s="408">
        <f>'Управление ИБ'!D117</f>
        <v>5</v>
      </c>
      <c r="F513" s="408">
        <f>'Управление ИБ'!E117</f>
        <v>3.2</v>
      </c>
      <c r="G513" s="408">
        <f>'Управление ИБ'!F117</f>
        <v>1.6</v>
      </c>
      <c r="H513" s="409">
        <f>'Управление ИБ'!T117</f>
        <v>315.05999999999995</v>
      </c>
      <c r="I513" s="408">
        <f>'Управление ИБ'!K117</f>
        <v>1.6</v>
      </c>
      <c r="J513" s="408">
        <f>'Управление ИБ'!I117</f>
        <v>0</v>
      </c>
      <c r="K513" s="404">
        <f>'Управление ИБ'!L117</f>
        <v>0</v>
      </c>
      <c r="L513" s="404">
        <f t="shared" si="17"/>
        <v>0</v>
      </c>
      <c r="M513" s="373">
        <f t="shared" si="16"/>
        <v>1.6</v>
      </c>
      <c r="N513" s="407" t="str">
        <f>'Управление ИБ'!U117</f>
        <v xml:space="preserve"> - Применять средства автоматизации для учета созданных, используемых, эксплуатируемых и выведенных из эксплуатации информационных систем, Вести учет состава и компонентов ИС.</v>
      </c>
      <c r="O513" s="407"/>
      <c r="P513" s="407"/>
    </row>
    <row r="514" spans="1:16" ht="78">
      <c r="A514" s="270" t="s">
        <v>780</v>
      </c>
      <c r="B514" s="403" t="s">
        <v>182</v>
      </c>
      <c r="C514" s="404" t="str">
        <f>'Управление ИБ'!B169</f>
        <v>Наличие политики/регламентов управления доступом к ИА</v>
      </c>
      <c r="D514" s="404" t="str">
        <f>'Управление ИБ'!C169</f>
        <v>УИБ.УД.1</v>
      </c>
      <c r="E514" s="404">
        <f>'Управление ИБ'!D169</f>
        <v>3.2</v>
      </c>
      <c r="F514" s="404">
        <f>'Управление ИБ'!E169</f>
        <v>1.6</v>
      </c>
      <c r="G514" s="404">
        <f>'Управление ИБ'!F169</f>
        <v>0</v>
      </c>
      <c r="H514" s="410">
        <f>'Управление ИБ'!T169</f>
        <v>316.01</v>
      </c>
      <c r="I514" s="404">
        <f>'Управление ИБ'!K169</f>
        <v>0</v>
      </c>
      <c r="J514" s="404">
        <f>'Управление ИБ'!I169</f>
        <v>0</v>
      </c>
      <c r="K514" s="404">
        <f>'Управление ИБ'!L169</f>
        <v>0</v>
      </c>
      <c r="L514" s="404" t="str">
        <f t="shared" si="17"/>
        <v xml:space="preserve"> </v>
      </c>
      <c r="M514" s="373">
        <f t="shared" si="16"/>
        <v>0</v>
      </c>
      <c r="N514" s="407" t="str">
        <f>'Управление ИБ'!U169</f>
        <v xml:space="preserve"> - Разработать регламенты, описывающие процессы отзыва прав доступа, аудита прав доступа, порядок формирования и изменения ролевых моделей.</v>
      </c>
      <c r="O514" s="407"/>
      <c r="P514" s="407"/>
    </row>
    <row r="515" spans="1:16" ht="78">
      <c r="A515" s="270" t="s">
        <v>780</v>
      </c>
      <c r="B515" s="412" t="s">
        <v>16</v>
      </c>
      <c r="C515" s="515" t="str">
        <f>'Управление ИБ'!B121</f>
        <v>Используется инструментарий активного/пассивного обнаружения активов</v>
      </c>
      <c r="D515" s="408" t="str">
        <f>'Управление ИБ'!C121</f>
        <v>УИБ.ИН.10</v>
      </c>
      <c r="E515" s="408">
        <f>'Управление ИБ'!D121</f>
        <v>5</v>
      </c>
      <c r="F515" s="408">
        <f>'Управление ИБ'!E121</f>
        <v>3.2</v>
      </c>
      <c r="G515" s="408">
        <f>'Управление ИБ'!F121</f>
        <v>0</v>
      </c>
      <c r="H515" s="409">
        <f>'Управление ИБ'!T121</f>
        <v>315.09999999999991</v>
      </c>
      <c r="I515" s="408">
        <f>'Управление ИБ'!K121</f>
        <v>0</v>
      </c>
      <c r="J515" s="408">
        <f>'Управление ИБ'!I121</f>
        <v>0</v>
      </c>
      <c r="K515" s="404">
        <f>'Управление ИБ'!L121</f>
        <v>0</v>
      </c>
      <c r="L515" s="404" t="str">
        <f t="shared" si="17"/>
        <v xml:space="preserve"> </v>
      </c>
      <c r="M515" s="373">
        <f t="shared" ref="M515:M578" si="18">IF(H515&lt;100,    IF(K515&gt;=G515,0,I515-K515),       IF(H515&lt;300,     IF(K515&gt;=F515,0,I515-K515),                  IF(K515&gt;=E515,0,I515-K515)))</f>
        <v>0</v>
      </c>
      <c r="N515" s="407" t="str">
        <f>'Управление ИБ'!U121</f>
        <v xml:space="preserve"> - Для обнаружения новых активов применять инструменты для пассивного обнаружения устройств;
  - Результаты сканирования используются для обновления реестра устройств не реже одного раза в неделю;
  - Выполнять авторизацию каждого выявленного актива. </v>
      </c>
      <c r="O515" s="407"/>
      <c r="P515" s="407"/>
    </row>
    <row r="516" spans="1:16" ht="78">
      <c r="A516" s="270" t="s">
        <v>780</v>
      </c>
      <c r="B516" s="403" t="s">
        <v>182</v>
      </c>
      <c r="C516" s="404" t="str">
        <f>'Управление ИБ'!B171</f>
        <v>ИБ участвует в согласовании и предоставлении доступа</v>
      </c>
      <c r="D516" s="404" t="str">
        <f>'Управление ИБ'!C171</f>
        <v>УИБ.УД.3</v>
      </c>
      <c r="E516" s="404">
        <f>'Управление ИБ'!D171</f>
        <v>5</v>
      </c>
      <c r="F516" s="404">
        <f>'Управление ИБ'!E171</f>
        <v>3.2</v>
      </c>
      <c r="G516" s="404">
        <f>'Управление ИБ'!F171</f>
        <v>1.6</v>
      </c>
      <c r="H516" s="410">
        <f>'Управление ИБ'!T171</f>
        <v>316.02999999999997</v>
      </c>
      <c r="I516" s="404">
        <f>'Управление ИБ'!K171</f>
        <v>1.6</v>
      </c>
      <c r="J516" s="404">
        <f>'Управление ИБ'!I171</f>
        <v>0</v>
      </c>
      <c r="K516" s="404">
        <f>'Управление ИБ'!L171</f>
        <v>0</v>
      </c>
      <c r="L516" s="404">
        <f t="shared" si="17"/>
        <v>0</v>
      </c>
      <c r="M516" s="373">
        <f t="shared" si="18"/>
        <v>1.6</v>
      </c>
      <c r="N516" s="407" t="str">
        <f>'Управление ИБ'!U171</f>
        <v xml:space="preserve"> - Реализовать процесс согласование доступа для административных учетных записей, создаваемых владельцем ИС.</v>
      </c>
      <c r="O516" s="407"/>
      <c r="P516" s="407"/>
    </row>
    <row r="517" spans="1:16" ht="78">
      <c r="A517" s="270" t="s">
        <v>780</v>
      </c>
      <c r="B517" s="403" t="s">
        <v>182</v>
      </c>
      <c r="C517" s="404" t="str">
        <f>'Управление ИБ'!B172</f>
        <v>При приеме нового сотрудника, изменении должности или роли осуществляется автоматическое назначение прав доступа</v>
      </c>
      <c r="D517" s="404" t="str">
        <f>'Управление ИБ'!C172</f>
        <v>УИБ.УД.4</v>
      </c>
      <c r="E517" s="404">
        <f>'Управление ИБ'!D172</f>
        <v>3.2</v>
      </c>
      <c r="F517" s="404">
        <f>'Управление ИБ'!E172</f>
        <v>1.6</v>
      </c>
      <c r="G517" s="404">
        <f>'Управление ИБ'!F172</f>
        <v>0</v>
      </c>
      <c r="H517" s="410">
        <f>'Управление ИБ'!T172</f>
        <v>316.03999999999996</v>
      </c>
      <c r="I517" s="404">
        <f>'Управление ИБ'!K172</f>
        <v>0</v>
      </c>
      <c r="J517" s="404">
        <f>'Управление ИБ'!I172</f>
        <v>0</v>
      </c>
      <c r="K517" s="404">
        <f>'Управление ИБ'!L172</f>
        <v>0</v>
      </c>
      <c r="L517" s="404" t="str">
        <f t="shared" si="17"/>
        <v xml:space="preserve"> </v>
      </c>
      <c r="M517" s="373">
        <f t="shared" si="18"/>
        <v>0</v>
      </c>
      <c r="N517" s="407" t="str">
        <f>'Управление ИБ'!U172</f>
        <v xml:space="preserve"> - Реализовать автоматическое назначение прав в соответствии с должностью при приеме на работу или смене должности.</v>
      </c>
      <c r="O517" s="407"/>
      <c r="P517" s="407"/>
    </row>
    <row r="518" spans="1:16" ht="78">
      <c r="A518" s="270" t="s">
        <v>780</v>
      </c>
      <c r="B518" s="403" t="s">
        <v>182</v>
      </c>
      <c r="C518" s="404" t="str">
        <f>'Управление ИБ'!B173</f>
        <v>При увольнении работника происходит автоматический отзыв прав и блокировка УЗ</v>
      </c>
      <c r="D518" s="404" t="str">
        <f>'Управление ИБ'!C173</f>
        <v>УИБ.УД.5</v>
      </c>
      <c r="E518" s="404">
        <f>'Управление ИБ'!D173</f>
        <v>3.2</v>
      </c>
      <c r="F518" s="404">
        <f>'Управление ИБ'!E173</f>
        <v>1.6</v>
      </c>
      <c r="G518" s="404">
        <f>'Управление ИБ'!F173</f>
        <v>0</v>
      </c>
      <c r="H518" s="410">
        <f>'Управление ИБ'!T173</f>
        <v>316.04999999999995</v>
      </c>
      <c r="I518" s="404">
        <f>'Управление ИБ'!K173</f>
        <v>0</v>
      </c>
      <c r="J518" s="404">
        <f>'Управление ИБ'!I173</f>
        <v>0</v>
      </c>
      <c r="K518" s="404">
        <f>'Управление ИБ'!L173</f>
        <v>0</v>
      </c>
      <c r="L518" s="404" t="str">
        <f t="shared" si="17"/>
        <v xml:space="preserve"> </v>
      </c>
      <c r="M518" s="373">
        <f t="shared" si="18"/>
        <v>0</v>
      </c>
      <c r="N518" s="407" t="str">
        <f>'Управление ИБ'!U173</f>
        <v xml:space="preserve"> - Реализовать автоматический отзыв прав доступа при увольнении работника на основе данных из систем кадрового учета.</v>
      </c>
      <c r="O518" s="407"/>
      <c r="P518" s="407"/>
    </row>
    <row r="519" spans="1:16" ht="78">
      <c r="A519" s="270" t="s">
        <v>780</v>
      </c>
      <c r="B519" s="403" t="s">
        <v>182</v>
      </c>
      <c r="C519" s="404" t="str">
        <f>'Управление ИБ'!B174</f>
        <v>Проводится регулярный аудит УЗ и доступов не реже одного раза в год</v>
      </c>
      <c r="D519" s="404" t="str">
        <f>'Управление ИБ'!C174</f>
        <v>УИБ.УД.6</v>
      </c>
      <c r="E519" s="404">
        <f>'Управление ИБ'!D174</f>
        <v>5</v>
      </c>
      <c r="F519" s="404">
        <f>'Управление ИБ'!E174</f>
        <v>3.2</v>
      </c>
      <c r="G519" s="404">
        <f>'Управление ИБ'!F174</f>
        <v>1.6</v>
      </c>
      <c r="H519" s="410">
        <f>'Управление ИБ'!T174</f>
        <v>316.05999999999995</v>
      </c>
      <c r="I519" s="404">
        <f>'Управление ИБ'!K174</f>
        <v>1.6</v>
      </c>
      <c r="J519" s="404">
        <f>'Управление ИБ'!I174</f>
        <v>0</v>
      </c>
      <c r="K519" s="404">
        <f>'Управление ИБ'!L174</f>
        <v>1.6</v>
      </c>
      <c r="L519" s="404">
        <f t="shared" si="17"/>
        <v>1.6</v>
      </c>
      <c r="M519" s="373">
        <f t="shared" si="18"/>
        <v>0</v>
      </c>
      <c r="N519" s="407" t="str">
        <f>'Управление ИБ'!U174</f>
        <v xml:space="preserve"> - Реализовать процесс регулярного аудита всех учетных записей для всех ИС. Обеспечить проведение аудита не реже чем раз в 6 месяцев.</v>
      </c>
      <c r="O519" s="407"/>
      <c r="P519" s="407"/>
    </row>
    <row r="520" spans="1:16" ht="124.8">
      <c r="A520" s="270" t="s">
        <v>780</v>
      </c>
      <c r="B520" s="412" t="s">
        <v>16</v>
      </c>
      <c r="C520" s="515" t="str">
        <f>'Управление ИБ'!B123</f>
        <v>Производится регулярный контроль фактического состава созданных, используемых и (или) эксплуатируемых информационных активов и их корректного размещения в сегментах вычислительных сетей</v>
      </c>
      <c r="D520" s="408" t="str">
        <f>'Управление ИБ'!C123</f>
        <v>УИБ.ИН.12</v>
      </c>
      <c r="E520" s="408">
        <f>'Управление ИБ'!D123</f>
        <v>5</v>
      </c>
      <c r="F520" s="408">
        <f>'Управление ИБ'!E123</f>
        <v>3.2</v>
      </c>
      <c r="G520" s="408">
        <f>'Управление ИБ'!F123</f>
        <v>0</v>
      </c>
      <c r="H520" s="409">
        <f>'Управление ИБ'!T123</f>
        <v>315.11999999999989</v>
      </c>
      <c r="I520" s="408">
        <f>'Управление ИБ'!K123</f>
        <v>0</v>
      </c>
      <c r="J520" s="408">
        <f>'Управление ИБ'!I123</f>
        <v>0</v>
      </c>
      <c r="K520" s="404">
        <f>'Управление ИБ'!L123</f>
        <v>0</v>
      </c>
      <c r="L520" s="404" t="str">
        <f t="shared" si="17"/>
        <v xml:space="preserve"> </v>
      </c>
      <c r="M520" s="373">
        <f t="shared" si="18"/>
        <v>0</v>
      </c>
      <c r="N520" s="407" t="str">
        <f>'Управление ИБ'!U123</f>
        <v xml:space="preserve"> - Процесс контроля осуществляется с применением средств автоматизации</v>
      </c>
      <c r="O520" s="407"/>
      <c r="P520" s="407"/>
    </row>
    <row r="521" spans="1:16" ht="93.6">
      <c r="A521" s="270" t="s">
        <v>780</v>
      </c>
      <c r="B521" s="412" t="s">
        <v>16</v>
      </c>
      <c r="C521" s="515" t="str">
        <f>'Управление ИБ'!B124</f>
        <v>Осуществляется разработка, ведение, актуализация, хранение проектной, рабочей, эксплуатационной документации на информационные системы</v>
      </c>
      <c r="D521" s="408" t="str">
        <f>'Управление ИБ'!C124</f>
        <v>УИБ.ИН.13</v>
      </c>
      <c r="E521" s="408">
        <f>'Управление ИБ'!D124</f>
        <v>5</v>
      </c>
      <c r="F521" s="408">
        <f>'Управление ИБ'!E124</f>
        <v>3.2</v>
      </c>
      <c r="G521" s="408">
        <f>'Управление ИБ'!F124</f>
        <v>0</v>
      </c>
      <c r="H521" s="409">
        <f>'Управление ИБ'!T124</f>
        <v>315.12999999999988</v>
      </c>
      <c r="I521" s="408">
        <f>'Управление ИБ'!K124</f>
        <v>0</v>
      </c>
      <c r="J521" s="408">
        <f>'Управление ИБ'!I124</f>
        <v>0</v>
      </c>
      <c r="K521" s="404">
        <f>'Управление ИБ'!L124</f>
        <v>0</v>
      </c>
      <c r="L521" s="404" t="str">
        <f t="shared" si="17"/>
        <v xml:space="preserve"> </v>
      </c>
      <c r="M521" s="373">
        <f t="shared" si="18"/>
        <v>0</v>
      </c>
      <c r="N521" s="407" t="str">
        <f>'Управление ИБ'!U124</f>
        <v xml:space="preserve"> - Сведения и артефакты о проектной, рабочей, эксплуатационной документации на информационные системы необходимо хранить и актуализировать в единой автоматизированной системе учета</v>
      </c>
      <c r="O521" s="407"/>
      <c r="P521" s="407"/>
    </row>
    <row r="522" spans="1:16" ht="78">
      <c r="A522" s="270" t="s">
        <v>780</v>
      </c>
      <c r="B522" s="403" t="s">
        <v>193</v>
      </c>
      <c r="C522" s="404" t="str">
        <f>'Управление ИБ'!B184</f>
        <v>Пароли локальных УЗ администраторов на АРМ с ОС Windows хранятся с применением технологии LAPS</v>
      </c>
      <c r="D522" s="404" t="str">
        <f>'Управление ИБ'!C184</f>
        <v>УИБ.ИА.5</v>
      </c>
      <c r="E522" s="404">
        <f>'Управление ИБ'!D184</f>
        <v>5</v>
      </c>
      <c r="F522" s="404">
        <f>'Управление ИБ'!E184</f>
        <v>3.2</v>
      </c>
      <c r="G522" s="404">
        <f>'Управление ИБ'!F184</f>
        <v>0</v>
      </c>
      <c r="H522" s="373">
        <f>'Управление ИБ'!T184</f>
        <v>317.04999999999995</v>
      </c>
      <c r="I522" s="404">
        <f>'Управление ИБ'!K184</f>
        <v>0</v>
      </c>
      <c r="J522" s="404">
        <f>'Управление ИБ'!I184</f>
        <v>0</v>
      </c>
      <c r="K522" s="404">
        <f>'Управление ИБ'!L184</f>
        <v>0</v>
      </c>
      <c r="L522" s="404" t="str">
        <f t="shared" si="17"/>
        <v xml:space="preserve"> </v>
      </c>
      <c r="M522" s="373">
        <f t="shared" si="18"/>
        <v>0</v>
      </c>
      <c r="N522" s="407" t="str">
        <f>'Управление ИБ'!U184</f>
        <v xml:space="preserve"> - Рализовать применение технологии LAPS на 100% АРМ.</v>
      </c>
      <c r="O522" s="407"/>
      <c r="P522" s="407"/>
    </row>
    <row r="523" spans="1:16" ht="78">
      <c r="A523" s="270" t="s">
        <v>780</v>
      </c>
      <c r="B523" s="403" t="s">
        <v>182</v>
      </c>
      <c r="C523" s="404" t="str">
        <f>'Управление ИБ'!B170</f>
        <v>Доступ к ИА Осуществляется на основе согласованных с ИБ ролевых моделей (исключение SoD-конфликтов)</v>
      </c>
      <c r="D523" s="404" t="str">
        <f>'Управление ИБ'!C170</f>
        <v>УИБ.УД.2</v>
      </c>
      <c r="E523" s="404">
        <f>'Управление ИБ'!D170</f>
        <v>5</v>
      </c>
      <c r="F523" s="404">
        <f>'Управление ИБ'!E170</f>
        <v>3.2</v>
      </c>
      <c r="G523" s="404">
        <f>'Управление ИБ'!F170</f>
        <v>1.6</v>
      </c>
      <c r="H523" s="410">
        <f>'Управление ИБ'!T170</f>
        <v>316.02</v>
      </c>
      <c r="I523" s="404">
        <f>'Управление ИБ'!K170</f>
        <v>1.6</v>
      </c>
      <c r="J523" s="404">
        <f>'Управление ИБ'!I170</f>
        <v>0</v>
      </c>
      <c r="K523" s="404">
        <f>'Управление ИБ'!L170</f>
        <v>0</v>
      </c>
      <c r="L523" s="404">
        <f t="shared" si="17"/>
        <v>0</v>
      </c>
      <c r="M523" s="373">
        <f t="shared" si="18"/>
        <v>1.6</v>
      </c>
      <c r="N523" s="407" t="str">
        <f>'Управление ИБ'!U170</f>
        <v xml:space="preserve"> - Для всех ИС провести аудит прав доступа в ИС и назначить всем пользователям роли в соответствии с ролевой моделью;
  - Реализовать процесс определения ролей, совмещение явялется конфликтом разделения полномочий/Вести учет таких ролей;
  - Реализовать процесс назначения ролей с учетом исключения SoD-конфликтов</v>
      </c>
      <c r="O523" s="407"/>
      <c r="P523" s="407"/>
    </row>
    <row r="524" spans="1:16" ht="62.4">
      <c r="A524" s="270" t="s">
        <v>113</v>
      </c>
      <c r="B524" s="403" t="s">
        <v>341</v>
      </c>
      <c r="C524" s="404" t="str">
        <f>СЗИ!B95</f>
        <v>Настроены и актуализированы SPF, DKIM, DMARC записи</v>
      </c>
      <c r="D524" s="404" t="str">
        <f>СЗИ!C95</f>
        <v>СЗИ.SPAM.1</v>
      </c>
      <c r="E524" s="404">
        <f>СЗИ!D95</f>
        <v>5</v>
      </c>
      <c r="F524" s="404">
        <f>СЗИ!E95</f>
        <v>0</v>
      </c>
      <c r="G524" s="404">
        <f>СЗИ!F95</f>
        <v>0</v>
      </c>
      <c r="H524" s="373">
        <f>СЗИ!T95</f>
        <v>318.01</v>
      </c>
      <c r="I524" s="404">
        <f>СЗИ!K95</f>
        <v>0</v>
      </c>
      <c r="J524" s="404">
        <f>СЗИ!I95</f>
        <v>0</v>
      </c>
      <c r="K524" s="404">
        <f>СЗИ!L95</f>
        <v>0</v>
      </c>
      <c r="L524" s="404" t="str">
        <f t="shared" si="17"/>
        <v xml:space="preserve"> </v>
      </c>
      <c r="M524" s="373">
        <f t="shared" si="18"/>
        <v>0</v>
      </c>
      <c r="N524" s="407">
        <f>СЗИ!U95</f>
        <v>0</v>
      </c>
      <c r="O524" s="407"/>
      <c r="P524" s="407"/>
    </row>
    <row r="525" spans="1:16" ht="62.4">
      <c r="A525" s="270" t="s">
        <v>113</v>
      </c>
      <c r="B525" s="403" t="s">
        <v>341</v>
      </c>
      <c r="C525" s="404" t="str">
        <f>СЗИ!B96</f>
        <v>Наличие антиспам решения, реализующего контентный, сигнатурный и динамический анализ писем и вложений</v>
      </c>
      <c r="D525" s="404" t="str">
        <f>СЗИ!C96</f>
        <v>СЗИ.SPAM.2</v>
      </c>
      <c r="E525" s="404">
        <f>СЗИ!D96</f>
        <v>5</v>
      </c>
      <c r="F525" s="404">
        <f>СЗИ!E96</f>
        <v>0</v>
      </c>
      <c r="G525" s="404">
        <f>СЗИ!F96</f>
        <v>0</v>
      </c>
      <c r="H525" s="373">
        <f>СЗИ!T96</f>
        <v>318.02</v>
      </c>
      <c r="I525" s="404">
        <f>СЗИ!K96</f>
        <v>0</v>
      </c>
      <c r="J525" s="404">
        <f>СЗИ!I96</f>
        <v>0</v>
      </c>
      <c r="K525" s="404">
        <f>СЗИ!L96</f>
        <v>0</v>
      </c>
      <c r="L525" s="404" t="str">
        <f t="shared" si="17"/>
        <v xml:space="preserve"> </v>
      </c>
      <c r="M525" s="373">
        <f t="shared" si="18"/>
        <v>0</v>
      </c>
      <c r="N525" s="407" t="str">
        <f>СЗИ!U96</f>
        <v xml:space="preserve"> - Внедрить решение по защите от спама</v>
      </c>
      <c r="O525" s="407"/>
      <c r="P525" s="407"/>
    </row>
    <row r="526" spans="1:16" ht="78">
      <c r="A526" s="270" t="s">
        <v>113</v>
      </c>
      <c r="B526" s="403" t="s">
        <v>341</v>
      </c>
      <c r="C526" s="404" t="str">
        <f>СЗИ!B97</f>
        <v>Наличие антиспам решения, осуществляющего проверки писем на предмет вредоносного содержимого антивирусными средствами</v>
      </c>
      <c r="D526" s="404" t="str">
        <f>СЗИ!C97</f>
        <v>СЗИ.SPAM.3</v>
      </c>
      <c r="E526" s="404">
        <f>СЗИ!D97</f>
        <v>5</v>
      </c>
      <c r="F526" s="404">
        <f>СЗИ!E97</f>
        <v>0</v>
      </c>
      <c r="G526" s="404">
        <f>СЗИ!F97</f>
        <v>0</v>
      </c>
      <c r="H526" s="373">
        <f>СЗИ!T97</f>
        <v>318.02999999999997</v>
      </c>
      <c r="I526" s="404">
        <f>СЗИ!K97</f>
        <v>0</v>
      </c>
      <c r="J526" s="404">
        <f>СЗИ!I97</f>
        <v>0</v>
      </c>
      <c r="K526" s="404">
        <f>СЗИ!L97</f>
        <v>0</v>
      </c>
      <c r="L526" s="404" t="str">
        <f t="shared" si="17"/>
        <v xml:space="preserve"> </v>
      </c>
      <c r="M526" s="373">
        <f t="shared" si="18"/>
        <v>0</v>
      </c>
      <c r="N526" s="407" t="str">
        <f>СЗИ!U97</f>
        <v xml:space="preserve"> - Внедрить решение по антивирусной защите почтового трафика. </v>
      </c>
      <c r="O526" s="407"/>
      <c r="P526" s="407"/>
    </row>
    <row r="527" spans="1:16" ht="62.4">
      <c r="A527" s="270" t="s">
        <v>113</v>
      </c>
      <c r="B527" s="403" t="s">
        <v>341</v>
      </c>
      <c r="C527" s="404" t="str">
        <f>СЗИ!B98</f>
        <v>Весь почтовый трафик Общества предварительно проходит через системы Антиспам</v>
      </c>
      <c r="D527" s="404" t="str">
        <f>СЗИ!C98</f>
        <v>СЗИ.SPAM.4</v>
      </c>
      <c r="E527" s="404">
        <f>СЗИ!D98</f>
        <v>5</v>
      </c>
      <c r="F527" s="404">
        <f>СЗИ!E98</f>
        <v>0</v>
      </c>
      <c r="G527" s="404">
        <f>СЗИ!F98</f>
        <v>0</v>
      </c>
      <c r="H527" s="373">
        <f>СЗИ!T98</f>
        <v>318.04000000000002</v>
      </c>
      <c r="I527" s="404">
        <f>СЗИ!K98</f>
        <v>0</v>
      </c>
      <c r="J527" s="404">
        <f>СЗИ!I98</f>
        <v>0</v>
      </c>
      <c r="K527" s="404">
        <f>СЗИ!L98</f>
        <v>0</v>
      </c>
      <c r="L527" s="404" t="str">
        <f t="shared" si="17"/>
        <v xml:space="preserve"> </v>
      </c>
      <c r="M527" s="373">
        <f t="shared" si="18"/>
        <v>0</v>
      </c>
      <c r="N527" s="407" t="str">
        <f>СЗИ!U98</f>
        <v xml:space="preserve"> - Обеспечить проверку всего входящего почтового трафика. Обеспечиь блокирование нежелательных писем. </v>
      </c>
      <c r="O527" s="407"/>
      <c r="P527" s="407"/>
    </row>
    <row r="528" spans="1:16" ht="78">
      <c r="A528" s="270" t="s">
        <v>780</v>
      </c>
      <c r="B528" s="403" t="s">
        <v>340</v>
      </c>
      <c r="C528" s="404" t="str">
        <f>СЗИ!B90</f>
        <v>Наличие собственного решения или внешнего сервиса по защите от DDoS</v>
      </c>
      <c r="D528" s="404" t="str">
        <f>СЗИ!C90</f>
        <v>УИБ.DDoS.1</v>
      </c>
      <c r="E528" s="404">
        <f>СЗИ!D90</f>
        <v>5</v>
      </c>
      <c r="F528" s="404">
        <f>СЗИ!E90</f>
        <v>5</v>
      </c>
      <c r="G528" s="404">
        <f>СЗИ!F90</f>
        <v>0</v>
      </c>
      <c r="H528" s="373">
        <f>СЗИ!T90</f>
        <v>319.01</v>
      </c>
      <c r="I528" s="404">
        <f>СЗИ!K90</f>
        <v>0</v>
      </c>
      <c r="J528" s="404">
        <f>СЗИ!I90</f>
        <v>0</v>
      </c>
      <c r="K528" s="404">
        <f>СЗИ!L90</f>
        <v>0</v>
      </c>
      <c r="L528" s="404" t="str">
        <f t="shared" si="17"/>
        <v xml:space="preserve"> </v>
      </c>
      <c r="M528" s="373">
        <f t="shared" si="18"/>
        <v>0</v>
      </c>
      <c r="N528" s="407" t="str">
        <f>СЗИ!U90</f>
        <v xml:space="preserve"> - Внедрить решение или подключить сервис по защите от DDoS для 100% ИА</v>
      </c>
      <c r="O528" s="407"/>
      <c r="P528" s="407"/>
    </row>
    <row r="529" spans="1:16" ht="78">
      <c r="A529" s="270" t="s">
        <v>780</v>
      </c>
      <c r="B529" s="403" t="s">
        <v>340</v>
      </c>
      <c r="C529" s="404" t="str">
        <f>СЗИ!B91</f>
        <v>Осуществляется блокирование атак типа «отказ в обслуживании» в масштабе времени, близком к реальному</v>
      </c>
      <c r="D529" s="404" t="str">
        <f>СЗИ!C91</f>
        <v>УИБ.DDoS.2</v>
      </c>
      <c r="E529" s="404">
        <f>СЗИ!D91</f>
        <v>5</v>
      </c>
      <c r="F529" s="404">
        <f>СЗИ!E91</f>
        <v>3.2</v>
      </c>
      <c r="G529" s="404">
        <f>СЗИ!F91</f>
        <v>0</v>
      </c>
      <c r="H529" s="373">
        <f>СЗИ!T91</f>
        <v>319.02</v>
      </c>
      <c r="I529" s="404">
        <f>СЗИ!K91</f>
        <v>0</v>
      </c>
      <c r="J529" s="404">
        <f>СЗИ!I91</f>
        <v>0</v>
      </c>
      <c r="K529" s="404">
        <f>СЗИ!L91</f>
        <v>0</v>
      </c>
      <c r="L529" s="404" t="str">
        <f t="shared" si="17"/>
        <v xml:space="preserve"> </v>
      </c>
      <c r="M529" s="373">
        <f t="shared" si="18"/>
        <v>0</v>
      </c>
      <c r="N529" s="407" t="str">
        <f>СЗИ!U91</f>
        <v xml:space="preserve"> - Автоматизировать средства защиты от DDoS и обеспечить автоматическое блокирование атак.</v>
      </c>
      <c r="O529" s="407"/>
      <c r="P529" s="407"/>
    </row>
    <row r="530" spans="1:16" ht="78">
      <c r="A530" s="270" t="s">
        <v>780</v>
      </c>
      <c r="B530" s="403" t="s">
        <v>340</v>
      </c>
      <c r="C530" s="404" t="str">
        <f>СЗИ!B93</f>
        <v>Проводится актуализация защищаемых ресурсов и порогов срабатывания защиты от отказа в обслуживании</v>
      </c>
      <c r="D530" s="404" t="str">
        <f>СЗИ!C93</f>
        <v>УИБ.DDoS.3</v>
      </c>
      <c r="E530" s="404">
        <f>СЗИ!D93</f>
        <v>5</v>
      </c>
      <c r="F530" s="404">
        <f>СЗИ!E93</f>
        <v>3.6</v>
      </c>
      <c r="G530" s="404">
        <f>СЗИ!F93</f>
        <v>0</v>
      </c>
      <c r="H530" s="373">
        <f>СЗИ!T93</f>
        <v>319.04000000000002</v>
      </c>
      <c r="I530" s="404">
        <f>СЗИ!K93</f>
        <v>0</v>
      </c>
      <c r="J530" s="404">
        <f>СЗИ!I93</f>
        <v>0</v>
      </c>
      <c r="K530" s="404">
        <f>СЗИ!L93</f>
        <v>0</v>
      </c>
      <c r="L530" s="404" t="str">
        <f t="shared" si="17"/>
        <v xml:space="preserve"> </v>
      </c>
      <c r="M530" s="373">
        <f t="shared" si="18"/>
        <v>0</v>
      </c>
      <c r="N530" s="407" t="str">
        <f>СЗИ!U93</f>
        <v xml:space="preserve"> - Разработать систему метрик для процесса защиты от DDoS;
 - Создать средство визуального мониторинга параметров процесса защиты от DDoS;
 - Реализовать мониторинг параметров процесса защиты от DDoS;
 - Реализовать реагирование на факты отклонения параметров процесса защиты от DDoS от определенных показателей</v>
      </c>
      <c r="O530" s="407"/>
      <c r="P530" s="407"/>
    </row>
    <row r="531" spans="1:16" ht="78">
      <c r="A531" s="270" t="s">
        <v>20</v>
      </c>
      <c r="B531" s="403" t="s">
        <v>216</v>
      </c>
      <c r="C531" s="518" t="str">
        <f>Восстановление!B32</f>
        <v>Разработана политика обеспечения непрерывности и восстановления деятельности (ОНИВД)</v>
      </c>
      <c r="D531" s="404" t="str">
        <f>Восстановление!C32</f>
        <v>ВССТ.ПЛН.1</v>
      </c>
      <c r="E531" s="404">
        <f>Восстановление!D32</f>
        <v>5</v>
      </c>
      <c r="F531" s="404">
        <f>Восстановление!E32</f>
        <v>5</v>
      </c>
      <c r="G531" s="404">
        <f>Восстановление!F32</f>
        <v>0</v>
      </c>
      <c r="H531" s="404">
        <f>Восстановление!T32</f>
        <v>322.01</v>
      </c>
      <c r="I531" s="404">
        <f>Восстановление!K32</f>
        <v>0</v>
      </c>
      <c r="J531" s="404">
        <f>Восстановление!I32</f>
        <v>0</v>
      </c>
      <c r="K531" s="404">
        <f>Восстановление!L32</f>
        <v>0</v>
      </c>
      <c r="L531" s="404" t="str">
        <f t="shared" si="17"/>
        <v xml:space="preserve"> </v>
      </c>
      <c r="M531" s="373">
        <f t="shared" si="18"/>
        <v>0</v>
      </c>
      <c r="N531" s="404">
        <f>Восстановление!U32</f>
        <v>0</v>
      </c>
      <c r="O531" s="407"/>
      <c r="P531" s="407"/>
    </row>
    <row r="532" spans="1:16" ht="78">
      <c r="A532" s="270" t="s">
        <v>20</v>
      </c>
      <c r="B532" s="403" t="s">
        <v>216</v>
      </c>
      <c r="C532" s="518" t="str">
        <f>Восстановление!B33</f>
        <v>Определены уровни и сроки восстановления систем в зависимости от критичности ИА</v>
      </c>
      <c r="D532" s="404" t="str">
        <f>Восстановление!C33</f>
        <v>ВССТ.ПЛН.2</v>
      </c>
      <c r="E532" s="404">
        <f>Восстановление!D33</f>
        <v>5</v>
      </c>
      <c r="F532" s="404">
        <f>Восстановление!E33</f>
        <v>5</v>
      </c>
      <c r="G532" s="404">
        <f>Восстановление!F33</f>
        <v>0</v>
      </c>
      <c r="H532" s="404">
        <f>Восстановление!T33</f>
        <v>322.02</v>
      </c>
      <c r="I532" s="404">
        <f>Восстановление!K33</f>
        <v>0</v>
      </c>
      <c r="J532" s="404">
        <f>Восстановление!I33</f>
        <v>0</v>
      </c>
      <c r="K532" s="404">
        <f>Восстановление!L33</f>
        <v>0</v>
      </c>
      <c r="L532" s="404" t="str">
        <f t="shared" si="17"/>
        <v xml:space="preserve"> </v>
      </c>
      <c r="M532" s="373">
        <f t="shared" si="18"/>
        <v>0</v>
      </c>
      <c r="N532" s="404">
        <f>Восстановление!U33</f>
        <v>0</v>
      </c>
      <c r="O532" s="407"/>
      <c r="P532" s="407"/>
    </row>
    <row r="533" spans="1:16" ht="78">
      <c r="A533" s="270" t="s">
        <v>780</v>
      </c>
      <c r="B533" s="403" t="s">
        <v>182</v>
      </c>
      <c r="C533" s="404" t="str">
        <f>'Управление ИБ'!B178</f>
        <v xml:space="preserve">При организации доступа к сети Интернет осуществляется контроль сетевых  протоколов и портов, URL адресов </v>
      </c>
      <c r="D533" s="404" t="str">
        <f>'Управление ИБ'!C178</f>
        <v>УИБ.УД.11</v>
      </c>
      <c r="E533" s="404">
        <f>'Управление ИБ'!D178</f>
        <v>5</v>
      </c>
      <c r="F533" s="404">
        <f>'Управление ИБ'!E178</f>
        <v>3.2</v>
      </c>
      <c r="G533" s="404">
        <f>'Управление ИБ'!F178</f>
        <v>1.6</v>
      </c>
      <c r="H533" s="410">
        <f>'Управление ИБ'!T178</f>
        <v>316.09999999999991</v>
      </c>
      <c r="I533" s="404">
        <f>'Управление ИБ'!K178</f>
        <v>1.6</v>
      </c>
      <c r="J533" s="404">
        <f>'Управление ИБ'!I178</f>
        <v>0</v>
      </c>
      <c r="K533" s="404">
        <f>'Управление ИБ'!L178</f>
        <v>1.6</v>
      </c>
      <c r="L533" s="404">
        <f t="shared" si="17"/>
        <v>1.6</v>
      </c>
      <c r="M533" s="373">
        <f t="shared" si="18"/>
        <v>0</v>
      </c>
      <c r="N533" s="407" t="str">
        <f>'Управление ИБ'!U178</f>
        <v xml:space="preserve"> - Обеспечить взаимодействие с интернетом только по безопасным протоколам для всех существующих ИС.</v>
      </c>
      <c r="O533" s="407"/>
      <c r="P533" s="407"/>
    </row>
    <row r="534" spans="1:16" ht="78">
      <c r="A534" s="270" t="s">
        <v>780</v>
      </c>
      <c r="B534" s="403" t="s">
        <v>193</v>
      </c>
      <c r="C534" s="404" t="str">
        <f>'Управление ИБ'!B188</f>
        <v>Наличие специализированного ПО для хранения аутентификационных данных (оценить покрытие средством)</v>
      </c>
      <c r="D534" s="404" t="str">
        <f>'Управление ИБ'!C188</f>
        <v>УИБ.ИА.9</v>
      </c>
      <c r="E534" s="404">
        <f>'Управление ИБ'!D188</f>
        <v>5</v>
      </c>
      <c r="F534" s="404">
        <f>'Управление ИБ'!E188</f>
        <v>3.2</v>
      </c>
      <c r="G534" s="404">
        <f>'Управление ИБ'!F188</f>
        <v>0</v>
      </c>
      <c r="H534" s="373">
        <f>'Управление ИБ'!T188</f>
        <v>317.08999999999992</v>
      </c>
      <c r="I534" s="404">
        <f>'Управление ИБ'!K188</f>
        <v>0</v>
      </c>
      <c r="J534" s="404">
        <f>'Управление ИБ'!I188</f>
        <v>0</v>
      </c>
      <c r="K534" s="404">
        <f>'Управление ИБ'!L188</f>
        <v>0</v>
      </c>
      <c r="L534" s="404" t="str">
        <f t="shared" si="17"/>
        <v xml:space="preserve"> </v>
      </c>
      <c r="M534" s="373">
        <f t="shared" si="18"/>
        <v>0</v>
      </c>
      <c r="N534" s="407" t="str">
        <f>'Управление ИБ'!U188</f>
        <v xml:space="preserve"> - Обеспечить применение средства хранения аутентификационных данных всеми пользователями.</v>
      </c>
      <c r="O534" s="407"/>
      <c r="P534" s="407"/>
    </row>
    <row r="535" spans="1:16" ht="78">
      <c r="A535" s="270" t="s">
        <v>20</v>
      </c>
      <c r="B535" s="403" t="s">
        <v>216</v>
      </c>
      <c r="C535" s="518" t="str">
        <f>Восстановление!B34</f>
        <v>Планы ОНИВД разработаны</v>
      </c>
      <c r="D535" s="404" t="str">
        <f>Восстановление!C34</f>
        <v>ВССТ.ПЛН.3</v>
      </c>
      <c r="E535" s="404">
        <f>Восстановление!D34</f>
        <v>5</v>
      </c>
      <c r="F535" s="404">
        <f>Восстановление!E34</f>
        <v>3.2</v>
      </c>
      <c r="G535" s="404">
        <f>Восстановление!F34</f>
        <v>0</v>
      </c>
      <c r="H535" s="404">
        <f>Восстановление!T34</f>
        <v>322.02999999999997</v>
      </c>
      <c r="I535" s="404">
        <f>Восстановление!K34</f>
        <v>0</v>
      </c>
      <c r="J535" s="404">
        <f>Восстановление!I34</f>
        <v>0</v>
      </c>
      <c r="K535" s="404">
        <f>Восстановление!L34</f>
        <v>0</v>
      </c>
      <c r="L535" s="404" t="str">
        <f t="shared" si="17"/>
        <v xml:space="preserve"> </v>
      </c>
      <c r="M535" s="373">
        <f t="shared" si="18"/>
        <v>0</v>
      </c>
      <c r="N535" s="404" t="str">
        <f>Восстановление!U34</f>
        <v xml:space="preserve"> - Актуализировать план не реже чем раз в год</v>
      </c>
      <c r="O535" s="407"/>
      <c r="P535" s="407"/>
    </row>
    <row r="536" spans="1:16" s="73" customFormat="1" ht="78">
      <c r="A536" s="270" t="s">
        <v>20</v>
      </c>
      <c r="B536" s="403" t="s">
        <v>216</v>
      </c>
      <c r="C536" s="518" t="str">
        <f>Восстановление!B35</f>
        <v>Разработан регламент резервного копирования</v>
      </c>
      <c r="D536" s="404" t="str">
        <f>Восстановление!C35</f>
        <v>ВССТ.ПЛН.4</v>
      </c>
      <c r="E536" s="404">
        <f>Восстановление!D35</f>
        <v>5</v>
      </c>
      <c r="F536" s="404">
        <f>Восстановление!E35</f>
        <v>3.2</v>
      </c>
      <c r="G536" s="404">
        <f>Восстановление!F35</f>
        <v>0</v>
      </c>
      <c r="H536" s="404">
        <f>Восстановление!T35</f>
        <v>322.03999999999996</v>
      </c>
      <c r="I536" s="404">
        <f>Восстановление!K35</f>
        <v>0</v>
      </c>
      <c r="J536" s="404">
        <f>Восстановление!I35</f>
        <v>0</v>
      </c>
      <c r="K536" s="404">
        <f>Восстановление!L35</f>
        <v>0</v>
      </c>
      <c r="L536" s="404" t="str">
        <f t="shared" si="17"/>
        <v xml:space="preserve"> </v>
      </c>
      <c r="M536" s="373">
        <f t="shared" si="18"/>
        <v>0</v>
      </c>
      <c r="N536" s="404" t="str">
        <f>Восстановление!U35</f>
        <v xml:space="preserve"> - Актуализировать регламент не реже чем раз в год</v>
      </c>
      <c r="O536" s="407"/>
      <c r="P536" s="407"/>
    </row>
    <row r="537" spans="1:16" ht="78">
      <c r="A537" s="270" t="s">
        <v>20</v>
      </c>
      <c r="B537" s="403" t="s">
        <v>216</v>
      </c>
      <c r="C537" s="518" t="str">
        <f>Восстановление!B36</f>
        <v>Выполняется регулярное создание резервных копий в соответствии с регламентом</v>
      </c>
      <c r="D537" s="404" t="str">
        <f>Восстановление!C36</f>
        <v>ВССТ.ПЛН.5</v>
      </c>
      <c r="E537" s="404">
        <f>Восстановление!D36</f>
        <v>5</v>
      </c>
      <c r="F537" s="404">
        <f>Восстановление!E36</f>
        <v>3.2</v>
      </c>
      <c r="G537" s="404">
        <f>Восстановление!F36</f>
        <v>3.2</v>
      </c>
      <c r="H537" s="404">
        <f>Восстановление!T36</f>
        <v>322.04999999999995</v>
      </c>
      <c r="I537" s="404">
        <f>Восстановление!K36</f>
        <v>3.2</v>
      </c>
      <c r="J537" s="404">
        <f>Восстановление!I36</f>
        <v>0</v>
      </c>
      <c r="K537" s="404">
        <f>Восстановление!L36</f>
        <v>0</v>
      </c>
      <c r="L537" s="404">
        <f t="shared" si="17"/>
        <v>0</v>
      </c>
      <c r="M537" s="373">
        <f t="shared" si="18"/>
        <v>3.2</v>
      </c>
      <c r="N537" s="404" t="str">
        <f>Восстановление!U36</f>
        <v xml:space="preserve"> - Обеспечить регулярное создание резервных копий, их хранение и тестирование с учетом требований критичности ИА</v>
      </c>
      <c r="O537" s="407"/>
      <c r="P537" s="407"/>
    </row>
    <row r="538" spans="1:16" ht="78">
      <c r="A538" s="270" t="s">
        <v>20</v>
      </c>
      <c r="B538" s="403" t="s">
        <v>216</v>
      </c>
      <c r="C538" s="518" t="str">
        <f>Восстановление!B37</f>
        <v>Резервные копии хранятся на сторонних площадках</v>
      </c>
      <c r="D538" s="404" t="str">
        <f>Восстановление!C37</f>
        <v>ВССТ.ПЛН.6</v>
      </c>
      <c r="E538" s="404">
        <f>Восстановление!D37</f>
        <v>5</v>
      </c>
      <c r="F538" s="404">
        <f>Восстановление!E37</f>
        <v>3.2</v>
      </c>
      <c r="G538" s="404">
        <f>Восстановление!F37</f>
        <v>1.6</v>
      </c>
      <c r="H538" s="404">
        <f>Восстановление!T37</f>
        <v>322.05999999999995</v>
      </c>
      <c r="I538" s="404">
        <f>Восстановление!K37</f>
        <v>1.6</v>
      </c>
      <c r="J538" s="404">
        <f>Восстановление!I37</f>
        <v>0</v>
      </c>
      <c r="K538" s="404">
        <f>Восстановление!L37</f>
        <v>0</v>
      </c>
      <c r="L538" s="404">
        <f t="shared" si="17"/>
        <v>0</v>
      </c>
      <c r="M538" s="373">
        <f t="shared" si="18"/>
        <v>1.6</v>
      </c>
      <c r="N538" s="404" t="str">
        <f>Восстановление!U37</f>
        <v xml:space="preserve"> - Обеспечить хранение резервных копий на нескольких площадках. Проводить аудит хранимых резервных копий.</v>
      </c>
      <c r="O538" s="407"/>
      <c r="P538" s="407"/>
    </row>
    <row r="539" spans="1:16" ht="78">
      <c r="A539" s="270" t="s">
        <v>20</v>
      </c>
      <c r="B539" s="403" t="s">
        <v>216</v>
      </c>
      <c r="C539" s="518" t="str">
        <f>Восстановление!B38</f>
        <v>Определены требования восстановления и проводятся тестирования</v>
      </c>
      <c r="D539" s="404" t="str">
        <f>Восстановление!C38</f>
        <v>ВССТ.ПЛН.7</v>
      </c>
      <c r="E539" s="404">
        <f>Восстановление!D38</f>
        <v>5</v>
      </c>
      <c r="F539" s="404">
        <f>Восстановление!E38</f>
        <v>3.2</v>
      </c>
      <c r="G539" s="404">
        <f>Восстановление!F38</f>
        <v>1.6</v>
      </c>
      <c r="H539" s="404">
        <f>Восстановление!T38</f>
        <v>322.06999999999994</v>
      </c>
      <c r="I539" s="404">
        <f>Восстановление!K38</f>
        <v>1.6</v>
      </c>
      <c r="J539" s="404">
        <f>Восстановление!I38</f>
        <v>0</v>
      </c>
      <c r="K539" s="404">
        <f>Восстановление!L38</f>
        <v>0</v>
      </c>
      <c r="L539" s="404">
        <f t="shared" si="17"/>
        <v>0</v>
      </c>
      <c r="M539" s="373">
        <f t="shared" si="18"/>
        <v>1.6</v>
      </c>
      <c r="N539" s="404" t="str">
        <f>Восстановление!U38</f>
        <v xml:space="preserve"> - Регламентировать тестирование планов восстановления, определить порядок тестирования и регулярность;
   - Контролировать проведение тестирования.</v>
      </c>
      <c r="O539" s="407"/>
      <c r="P539" s="407"/>
    </row>
    <row r="540" spans="1:16" ht="62.4">
      <c r="A540" s="270" t="s">
        <v>113</v>
      </c>
      <c r="B540" s="403" t="s">
        <v>342</v>
      </c>
      <c r="C540" s="404" t="str">
        <f>СЗИ!B101</f>
        <v>Процент покрытия внешних активов лицензиями и/или услугами</v>
      </c>
      <c r="D540" s="404" t="str">
        <f>СЗИ!C101</f>
        <v>СЗИ.WAF.1</v>
      </c>
      <c r="E540" s="404">
        <f>СЗИ!D101</f>
        <v>5</v>
      </c>
      <c r="F540" s="404">
        <f>СЗИ!E101</f>
        <v>0</v>
      </c>
      <c r="G540" s="404">
        <f>СЗИ!F101</f>
        <v>0</v>
      </c>
      <c r="H540" s="373">
        <f>СЗИ!T101</f>
        <v>323.01</v>
      </c>
      <c r="I540" s="404">
        <f>СЗИ!K101</f>
        <v>0</v>
      </c>
      <c r="J540" s="190">
        <f>СЗИ!I101</f>
        <v>0</v>
      </c>
      <c r="K540" s="404">
        <f>СЗИ!L101</f>
        <v>0</v>
      </c>
      <c r="L540" s="404" t="str">
        <f t="shared" si="17"/>
        <v xml:space="preserve"> </v>
      </c>
      <c r="M540" s="373">
        <f t="shared" si="18"/>
        <v>0</v>
      </c>
      <c r="N540" s="407" t="b">
        <f>СЗИ!U101</f>
        <v>0</v>
      </c>
      <c r="O540" s="407"/>
      <c r="P540" s="407"/>
    </row>
    <row r="541" spans="1:16" ht="78">
      <c r="A541" s="270" t="s">
        <v>113</v>
      </c>
      <c r="B541" s="403" t="s">
        <v>342</v>
      </c>
      <c r="C541" s="404" t="str">
        <f>СЗИ!B103</f>
        <v xml:space="preserve">Процедура публикации внешних ресурсов описана и контролируется службой ИБ </v>
      </c>
      <c r="D541" s="404" t="str">
        <f>СЗИ!C103</f>
        <v>СЗИ.WAF.2</v>
      </c>
      <c r="E541" s="404">
        <f>СЗИ!D103</f>
        <v>4</v>
      </c>
      <c r="F541" s="404">
        <f>СЗИ!E103</f>
        <v>3</v>
      </c>
      <c r="G541" s="404">
        <f>СЗИ!F103</f>
        <v>1</v>
      </c>
      <c r="H541" s="373">
        <f>СЗИ!T103</f>
        <v>323.02999999999997</v>
      </c>
      <c r="I541" s="404">
        <f>СЗИ!K103</f>
        <v>1</v>
      </c>
      <c r="J541" s="404">
        <f>СЗИ!I103</f>
        <v>0</v>
      </c>
      <c r="K541" s="404">
        <f>СЗИ!L103</f>
        <v>0</v>
      </c>
      <c r="L541" s="404">
        <f t="shared" si="17"/>
        <v>0</v>
      </c>
      <c r="M541" s="373">
        <f t="shared" si="18"/>
        <v>1</v>
      </c>
      <c r="N541" s="407" t="str">
        <f>СЗИ!U103</f>
        <v xml:space="preserve"> - Разработать или Получить в Блоке ИБ ПАО Ростелеком типовое описание процесса публикации сервиса в интернете;
 - Утвердить в Обществе ВНД, описывающий процесс публикации сервиса в интернете;
 - Реализовать процесс проверки и согласования до публикации сервиса в интернете;
 -  Обеспечить контроль защищенности и отсутствия уязвимостей до публикации.</v>
      </c>
      <c r="O541" s="407"/>
      <c r="P541" s="407"/>
    </row>
    <row r="542" spans="1:16" ht="62.4">
      <c r="A542" s="270" t="s">
        <v>19</v>
      </c>
      <c r="B542" s="403" t="s">
        <v>342</v>
      </c>
      <c r="C542" s="404" t="str">
        <f>СЗИ!B104</f>
        <v>Наличие плейбука по реагированию на сработки (WAF)</v>
      </c>
      <c r="D542" s="404" t="str">
        <f>СЗИ!C104</f>
        <v>РЕАГ.PB.5.9.3.11</v>
      </c>
      <c r="E542" s="404">
        <f>СЗИ!D104</f>
        <v>5</v>
      </c>
      <c r="F542" s="404">
        <f>СЗИ!E104</f>
        <v>0</v>
      </c>
      <c r="G542" s="404">
        <f>СЗИ!F104</f>
        <v>0</v>
      </c>
      <c r="H542" s="373">
        <f>СЗИ!T104</f>
        <v>323.04000000000002</v>
      </c>
      <c r="I542" s="404">
        <f>СЗИ!K104</f>
        <v>0</v>
      </c>
      <c r="J542" s="404">
        <f>СЗИ!I104</f>
        <v>0</v>
      </c>
      <c r="K542" s="404">
        <f>СЗИ!L104</f>
        <v>0</v>
      </c>
      <c r="L542" s="404" t="str">
        <f t="shared" si="17"/>
        <v xml:space="preserve"> </v>
      </c>
      <c r="M542" s="373">
        <f t="shared" si="18"/>
        <v>0</v>
      </c>
      <c r="N542" s="407" t="str">
        <f>СЗИ!U104</f>
        <v/>
      </c>
      <c r="O542" s="407"/>
      <c r="P542" s="407"/>
    </row>
    <row r="543" spans="1:16" ht="62.4">
      <c r="A543" s="270" t="s">
        <v>113</v>
      </c>
      <c r="B543" s="403" t="s">
        <v>342</v>
      </c>
      <c r="C543" s="404" t="str">
        <f>СЗИ!B105</f>
        <v>Как часто обновляются правила и сигнатуры в WAF и проверяются настройки</v>
      </c>
      <c r="D543" s="404" t="str">
        <f>СЗИ!C105</f>
        <v>СЗИ.WAF.3</v>
      </c>
      <c r="E543" s="404">
        <f>СЗИ!D105</f>
        <v>5</v>
      </c>
      <c r="F543" s="404">
        <f>СЗИ!E105</f>
        <v>0</v>
      </c>
      <c r="G543" s="404">
        <f>СЗИ!F105</f>
        <v>0</v>
      </c>
      <c r="H543" s="373">
        <f>СЗИ!T105</f>
        <v>323.05</v>
      </c>
      <c r="I543" s="404">
        <f>СЗИ!K105</f>
        <v>0</v>
      </c>
      <c r="J543" s="404">
        <f>СЗИ!I105</f>
        <v>0</v>
      </c>
      <c r="K543" s="404">
        <f>СЗИ!L105</f>
        <v>0</v>
      </c>
      <c r="L543" s="404" t="str">
        <f t="shared" si="17"/>
        <v xml:space="preserve"> </v>
      </c>
      <c r="M543" s="373">
        <f t="shared" si="18"/>
        <v>0</v>
      </c>
      <c r="N543" s="407" t="str">
        <f>СЗИ!U105</f>
        <v xml:space="preserve"> - Реализовать процесс непрерывного обновления сигнатур WAF.</v>
      </c>
      <c r="O543" s="407"/>
      <c r="P543" s="407"/>
    </row>
    <row r="544" spans="1:16" ht="124.8">
      <c r="A544" s="270" t="s">
        <v>113</v>
      </c>
      <c r="B544" s="403" t="s">
        <v>343</v>
      </c>
      <c r="C544" s="404" t="str">
        <f>СЗИ!B107</f>
        <v>Процент покрытия инфраструктуры JumpHost</v>
      </c>
      <c r="D544" s="404" t="str">
        <f>СЗИ!C107</f>
        <v>СЗИ.PAM.1</v>
      </c>
      <c r="E544" s="404">
        <f>СЗИ!D107</f>
        <v>5</v>
      </c>
      <c r="F544" s="404">
        <f>СЗИ!E107</f>
        <v>0</v>
      </c>
      <c r="G544" s="404">
        <f>СЗИ!F107</f>
        <v>0</v>
      </c>
      <c r="H544" s="373">
        <f>СЗИ!T107</f>
        <v>324.01</v>
      </c>
      <c r="I544" s="404">
        <f>СЗИ!K107</f>
        <v>0</v>
      </c>
      <c r="J544" s="414">
        <f>СЗИ!I107</f>
        <v>0</v>
      </c>
      <c r="K544" s="404">
        <f>СЗИ!L107</f>
        <v>0</v>
      </c>
      <c r="L544" s="404" t="str">
        <f t="shared" si="17"/>
        <v xml:space="preserve"> </v>
      </c>
      <c r="M544" s="373">
        <f t="shared" si="18"/>
        <v>0</v>
      </c>
      <c r="N544" s="407" t="str">
        <f>СЗИ!U107</f>
        <v xml:space="preserve"> - Разработать или Получить в Блоке ИБ ПАО Ростелеком типовое описание процесса защиты привилегированного доступа;
 - Утвердить в Обществе ВНД, описывающий процесс защиты привилегированного доступа;
 - Спроектировать и реализовать систему защиты привилегированного доступа;
 - Реализовать процесс администрирования информационных систем с использованием системы защиты привилегированного доступа;
 - Обеспечить достаточное количество Jump-хостов для администрирования всех ИС
</v>
      </c>
      <c r="O544" s="407"/>
      <c r="P544" s="407"/>
    </row>
    <row r="545" spans="1:16" ht="46.8">
      <c r="A545" s="270" t="s">
        <v>113</v>
      </c>
      <c r="B545" s="403" t="s">
        <v>343</v>
      </c>
      <c r="C545" s="404" t="str">
        <f>СЗИ!B108</f>
        <v>JumpHost настроены в соответствии с требованиями ТТР</v>
      </c>
      <c r="D545" s="404" t="str">
        <f>СЗИ!C108</f>
        <v>СЗИ.PAM.2</v>
      </c>
      <c r="E545" s="404">
        <f>СЗИ!D108</f>
        <v>5</v>
      </c>
      <c r="F545" s="404">
        <f>СЗИ!E108</f>
        <v>0</v>
      </c>
      <c r="G545" s="404">
        <f>СЗИ!F108</f>
        <v>0</v>
      </c>
      <c r="H545" s="373">
        <f>СЗИ!T108</f>
        <v>324.02</v>
      </c>
      <c r="I545" s="404">
        <f>СЗИ!K108</f>
        <v>0</v>
      </c>
      <c r="J545" s="404">
        <f>СЗИ!I108</f>
        <v>0</v>
      </c>
      <c r="K545" s="404">
        <f>СЗИ!L108</f>
        <v>0</v>
      </c>
      <c r="L545" s="404" t="str">
        <f t="shared" si="17"/>
        <v xml:space="preserve"> </v>
      </c>
      <c r="M545" s="373">
        <f t="shared" si="18"/>
        <v>0</v>
      </c>
      <c r="N545" s="407" t="str">
        <f>СЗИ!U108</f>
        <v xml:space="preserve"> - Получить от Блока ИБ ТТР по организации и настройке JH и реализовать рекомендуемые решения</v>
      </c>
      <c r="O545" s="407"/>
      <c r="P545" s="407"/>
    </row>
    <row r="546" spans="1:16" ht="46.8">
      <c r="A546" s="270" t="s">
        <v>113</v>
      </c>
      <c r="B546" s="403" t="s">
        <v>343</v>
      </c>
      <c r="C546" s="404" t="str">
        <f>СЗИ!B109</f>
        <v>Процент покрытия инфраструктуры лицензиями PAM</v>
      </c>
      <c r="D546" s="404" t="str">
        <f>СЗИ!C109</f>
        <v>СЗИ.PAM.3</v>
      </c>
      <c r="E546" s="404">
        <f>СЗИ!D109</f>
        <v>5</v>
      </c>
      <c r="F546" s="404">
        <f>СЗИ!E109</f>
        <v>0</v>
      </c>
      <c r="G546" s="404">
        <f>СЗИ!F109</f>
        <v>0</v>
      </c>
      <c r="H546" s="373">
        <f>СЗИ!T109</f>
        <v>324.02999999999997</v>
      </c>
      <c r="I546" s="404">
        <f>СЗИ!K109</f>
        <v>0</v>
      </c>
      <c r="J546" s="404">
        <f>СЗИ!I109</f>
        <v>0</v>
      </c>
      <c r="K546" s="404">
        <f>СЗИ!L109</f>
        <v>0</v>
      </c>
      <c r="L546" s="404" t="str">
        <f t="shared" si="17"/>
        <v xml:space="preserve"> </v>
      </c>
      <c r="M546" s="373">
        <f t="shared" si="18"/>
        <v>0</v>
      </c>
      <c r="N546" s="407" t="str">
        <f>СЗИ!U109</f>
        <v xml:space="preserve"> - Приобрести лицензии на PAM в объеме, достаточном для покрытия 100 % инфраструктуры</v>
      </c>
      <c r="O546" s="407"/>
      <c r="P546" s="407"/>
    </row>
    <row r="547" spans="1:16" ht="31.2">
      <c r="A547" s="270" t="s">
        <v>113</v>
      </c>
      <c r="B547" s="403" t="s">
        <v>343</v>
      </c>
      <c r="C547" s="404" t="str">
        <f>СЗИ!B110</f>
        <v>Процент активов, администрируемых через PAM</v>
      </c>
      <c r="D547" s="404" t="str">
        <f>СЗИ!C110</f>
        <v>СЗИ.PAM.4</v>
      </c>
      <c r="E547" s="404">
        <f>СЗИ!D110</f>
        <v>5</v>
      </c>
      <c r="F547" s="404">
        <f>СЗИ!E110</f>
        <v>0</v>
      </c>
      <c r="G547" s="404">
        <f>СЗИ!F110</f>
        <v>0</v>
      </c>
      <c r="H547" s="373">
        <f>СЗИ!T110</f>
        <v>324.04000000000002</v>
      </c>
      <c r="I547" s="404">
        <f>СЗИ!K110</f>
        <v>0</v>
      </c>
      <c r="J547" s="404">
        <f>СЗИ!I110</f>
        <v>0</v>
      </c>
      <c r="K547" s="404">
        <f>СЗИ!L110</f>
        <v>0</v>
      </c>
      <c r="L547" s="404" t="str">
        <f t="shared" si="17"/>
        <v xml:space="preserve"> </v>
      </c>
      <c r="M547" s="373">
        <f t="shared" si="18"/>
        <v>0</v>
      </c>
      <c r="N547" s="407" t="str">
        <f>СЗИ!U110</f>
        <v xml:space="preserve"> - Реализовать процесс администрирования 100% информационных активов исключительно через PAM.</v>
      </c>
      <c r="O547" s="407"/>
      <c r="P547" s="407"/>
    </row>
    <row r="548" spans="1:16" ht="31.2">
      <c r="A548" s="270" t="s">
        <v>113</v>
      </c>
      <c r="B548" s="403" t="s">
        <v>343</v>
      </c>
      <c r="C548" s="404" t="str">
        <f>СЗИ!B111</f>
        <v>Настроенные политики соответствуют ТТР Блока ИБ</v>
      </c>
      <c r="D548" s="404" t="str">
        <f>СЗИ!C111</f>
        <v>СЗИ.PAM.5</v>
      </c>
      <c r="E548" s="404">
        <f>СЗИ!D111</f>
        <v>5</v>
      </c>
      <c r="F548" s="404">
        <f>СЗИ!E111</f>
        <v>0</v>
      </c>
      <c r="G548" s="404">
        <f>СЗИ!F111</f>
        <v>0</v>
      </c>
      <c r="H548" s="373">
        <f>СЗИ!T111</f>
        <v>324.05</v>
      </c>
      <c r="I548" s="404">
        <f>СЗИ!K111</f>
        <v>0</v>
      </c>
      <c r="J548" s="404">
        <f>СЗИ!I111</f>
        <v>0</v>
      </c>
      <c r="K548" s="404">
        <f>СЗИ!L111</f>
        <v>0</v>
      </c>
      <c r="L548" s="404" t="str">
        <f t="shared" si="17"/>
        <v xml:space="preserve"> </v>
      </c>
      <c r="M548" s="373">
        <f t="shared" si="18"/>
        <v>0</v>
      </c>
      <c r="N548" s="407" t="str">
        <f>СЗИ!U111</f>
        <v xml:space="preserve"> - Получить от Блока ИБ ТТР по применению PAM и реализовать рекомендуемые решения</v>
      </c>
      <c r="O548" s="407"/>
      <c r="P548" s="407"/>
    </row>
    <row r="549" spans="1:16" ht="46.8">
      <c r="A549" s="270" t="s">
        <v>113</v>
      </c>
      <c r="B549" s="403" t="s">
        <v>344</v>
      </c>
      <c r="C549" s="404" t="str">
        <f>СЗИ!B114</f>
        <v>Все каналы выхода информации за периметр Общества контролируются средствами DLP</v>
      </c>
      <c r="D549" s="404" t="str">
        <f>СЗИ!C114</f>
        <v>СЗИ.DLP.1</v>
      </c>
      <c r="E549" s="404">
        <f>СЗИ!D114</f>
        <v>5</v>
      </c>
      <c r="F549" s="404">
        <f>СЗИ!E114</f>
        <v>0</v>
      </c>
      <c r="G549" s="404">
        <f>СЗИ!F114</f>
        <v>0</v>
      </c>
      <c r="H549" s="373">
        <f>СЗИ!T114</f>
        <v>325.01</v>
      </c>
      <c r="I549" s="404">
        <f>СЗИ!K114</f>
        <v>0</v>
      </c>
      <c r="J549" s="404">
        <f>СЗИ!I114</f>
        <v>0</v>
      </c>
      <c r="K549" s="404">
        <f>СЗИ!L114</f>
        <v>0</v>
      </c>
      <c r="L549" s="404" t="str">
        <f t="shared" si="17"/>
        <v xml:space="preserve"> </v>
      </c>
      <c r="M549" s="373">
        <f t="shared" si="18"/>
        <v>0</v>
      </c>
      <c r="N549" s="407" t="str">
        <f>СЗИ!U114</f>
        <v xml:space="preserve"> - Спроектировать, приобрести и внедрить DLP</v>
      </c>
      <c r="O549" s="407"/>
      <c r="P549" s="407"/>
    </row>
    <row r="550" spans="1:16" ht="46.8">
      <c r="A550" s="270" t="s">
        <v>113</v>
      </c>
      <c r="B550" s="403" t="s">
        <v>344</v>
      </c>
      <c r="C550" s="404" t="str">
        <f>СЗИ!B115</f>
        <v>Процент покрытия инфраструктуры лицензиями на DLP</v>
      </c>
      <c r="D550" s="404" t="str">
        <f>СЗИ!C115</f>
        <v>СЗИ.DLP.3</v>
      </c>
      <c r="E550" s="404">
        <f>СЗИ!D115</f>
        <v>5</v>
      </c>
      <c r="F550" s="404">
        <f>СЗИ!E115</f>
        <v>0</v>
      </c>
      <c r="G550" s="404">
        <f>СЗИ!F115</f>
        <v>0</v>
      </c>
      <c r="H550" s="373">
        <f>СЗИ!T115</f>
        <v>325.02</v>
      </c>
      <c r="I550" s="404">
        <f>СЗИ!K115</f>
        <v>0</v>
      </c>
      <c r="J550" s="190">
        <f>СЗИ!I115</f>
        <v>0</v>
      </c>
      <c r="K550" s="404">
        <f>СЗИ!L115</f>
        <v>0</v>
      </c>
      <c r="L550" s="404" t="str">
        <f t="shared" si="17"/>
        <v xml:space="preserve"> </v>
      </c>
      <c r="M550" s="373">
        <f t="shared" si="18"/>
        <v>0</v>
      </c>
      <c r="N550" s="407" t="str">
        <f>СЗИ!U115</f>
        <v xml:space="preserve"> - Приобрести лицензии на DLP в объеме, достаточном для покрытия 100 % инфраструктуры</v>
      </c>
      <c r="O550" s="407"/>
      <c r="P550" s="407"/>
    </row>
    <row r="551" spans="1:16" ht="46.8">
      <c r="A551" s="270" t="s">
        <v>113</v>
      </c>
      <c r="B551" s="403" t="s">
        <v>344</v>
      </c>
      <c r="C551" s="404" t="str">
        <f>СЗИ!B116</f>
        <v>Процент покрытия инфраструктуры средствами DLP</v>
      </c>
      <c r="D551" s="404" t="str">
        <f>СЗИ!C116</f>
        <v>СЗИ.DLP.4</v>
      </c>
      <c r="E551" s="404">
        <f>СЗИ!D116</f>
        <v>4.75</v>
      </c>
      <c r="F551" s="404">
        <f>СЗИ!E116</f>
        <v>0</v>
      </c>
      <c r="G551" s="404">
        <f>СЗИ!F116</f>
        <v>0</v>
      </c>
      <c r="H551" s="373">
        <f>СЗИ!T116</f>
        <v>325.02999999999997</v>
      </c>
      <c r="I551" s="404">
        <f>СЗИ!K116</f>
        <v>0</v>
      </c>
      <c r="J551" s="190">
        <f>СЗИ!I116</f>
        <v>0</v>
      </c>
      <c r="K551" s="404">
        <f>СЗИ!L116</f>
        <v>0</v>
      </c>
      <c r="L551" s="404" t="str">
        <f t="shared" si="17"/>
        <v xml:space="preserve"> </v>
      </c>
      <c r="M551" s="373">
        <f t="shared" si="18"/>
        <v>0</v>
      </c>
      <c r="N551" s="407" t="str">
        <f>СЗИ!U116</f>
        <v xml:space="preserve"> - Обеспечить установку DLP на 100% АРМ</v>
      </c>
      <c r="O551" s="407"/>
      <c r="P551" s="407"/>
    </row>
    <row r="552" spans="1:16" ht="46.8">
      <c r="A552" s="270" t="s">
        <v>113</v>
      </c>
      <c r="B552" s="403" t="s">
        <v>344</v>
      </c>
      <c r="C552" s="404" t="str">
        <f>СЗИ!B117</f>
        <v>Осуществляется централизованное управление DLP</v>
      </c>
      <c r="D552" s="404" t="str">
        <f>СЗИ!C117</f>
        <v>СЗИ.DLP.5</v>
      </c>
      <c r="E552" s="404">
        <f>СЗИ!D117</f>
        <v>5</v>
      </c>
      <c r="F552" s="404">
        <f>СЗИ!E117</f>
        <v>0</v>
      </c>
      <c r="G552" s="404">
        <f>СЗИ!F117</f>
        <v>0</v>
      </c>
      <c r="H552" s="373">
        <f>СЗИ!T117</f>
        <v>325.03999999999996</v>
      </c>
      <c r="I552" s="404">
        <f>СЗИ!K117</f>
        <v>0</v>
      </c>
      <c r="J552" s="404">
        <f>СЗИ!I117</f>
        <v>0</v>
      </c>
      <c r="K552" s="404">
        <f>СЗИ!L117</f>
        <v>0</v>
      </c>
      <c r="L552" s="404" t="str">
        <f t="shared" si="17"/>
        <v xml:space="preserve"> </v>
      </c>
      <c r="M552" s="373">
        <f t="shared" si="18"/>
        <v>0</v>
      </c>
      <c r="N552" s="407" t="str">
        <f>СЗИ!U117</f>
        <v xml:space="preserve"> - Создать систему централизованного управления средствами DLP и обеспечить подключение к ней всех элементов инфраструктуры</v>
      </c>
      <c r="O552" s="407"/>
      <c r="P552" s="407"/>
    </row>
    <row r="553" spans="1:16" ht="46.8">
      <c r="A553" s="270" t="s">
        <v>113</v>
      </c>
      <c r="B553" s="403" t="s">
        <v>344</v>
      </c>
      <c r="C553" s="404" t="str">
        <f>СЗИ!B118</f>
        <v>Настроенные политики соответствуют ТТР Блока ИБ</v>
      </c>
      <c r="D553" s="404" t="str">
        <f>СЗИ!C118</f>
        <v>СЗИ.DLP.6</v>
      </c>
      <c r="E553" s="404">
        <f>СЗИ!D118</f>
        <v>5</v>
      </c>
      <c r="F553" s="404">
        <f>СЗИ!E118</f>
        <v>0</v>
      </c>
      <c r="G553" s="404">
        <f>СЗИ!F118</f>
        <v>0</v>
      </c>
      <c r="H553" s="373">
        <f>СЗИ!T118</f>
        <v>325.04999999999995</v>
      </c>
      <c r="I553" s="404">
        <f>СЗИ!K118</f>
        <v>0</v>
      </c>
      <c r="J553" s="404">
        <f>СЗИ!I118</f>
        <v>0</v>
      </c>
      <c r="K553" s="404">
        <f>СЗИ!L118</f>
        <v>0</v>
      </c>
      <c r="L553" s="404" t="str">
        <f t="shared" si="17"/>
        <v xml:space="preserve"> </v>
      </c>
      <c r="M553" s="373">
        <f t="shared" si="18"/>
        <v>0</v>
      </c>
      <c r="N553" s="407" t="str">
        <f>СЗИ!U118</f>
        <v xml:space="preserve"> - Получить от Блока ИБ ТТР по применению DLP и реализовать рекомендуемые решения</v>
      </c>
      <c r="O553" s="407"/>
      <c r="P553" s="407"/>
    </row>
    <row r="554" spans="1:16" ht="156">
      <c r="A554" s="270" t="s">
        <v>113</v>
      </c>
      <c r="B554" s="403" t="s">
        <v>344</v>
      </c>
      <c r="C554" s="404" t="str">
        <f>СЗИ!B119</f>
        <v>Процесс контроля работоспособности DLP</v>
      </c>
      <c r="D554" s="404" t="str">
        <f>СЗИ!C119</f>
        <v>СЗИ.DLP.7</v>
      </c>
      <c r="E554" s="404">
        <f>СЗИ!D119</f>
        <v>4</v>
      </c>
      <c r="F554" s="404">
        <f>СЗИ!E119</f>
        <v>0</v>
      </c>
      <c r="G554" s="404">
        <f>СЗИ!F119</f>
        <v>0</v>
      </c>
      <c r="H554" s="373">
        <f>СЗИ!T119</f>
        <v>325.05999999999995</v>
      </c>
      <c r="I554" s="404">
        <f>СЗИ!K119</f>
        <v>0</v>
      </c>
      <c r="J554" s="404">
        <f>СЗИ!I119</f>
        <v>0</v>
      </c>
      <c r="K554" s="404">
        <f>СЗИ!L119</f>
        <v>0</v>
      </c>
      <c r="L554" s="404" t="str">
        <f t="shared" si="17"/>
        <v xml:space="preserve"> </v>
      </c>
      <c r="M554" s="373">
        <f t="shared" si="18"/>
        <v>0</v>
      </c>
      <c r="N554" s="407" t="str">
        <f>СЗИ!U119</f>
        <v xml:space="preserve"> - Разработать или Получить в Блоке ИБ ПАО Ростелеком типовое описание процесса контроля средств DLP;
 - Утвердить в Обществе ВНД, описывающий процесс контроля рабоспособности средств DLP;
 - Реализовать в Обществе процесс контроля рабоспособности средств DLP;
 - Разработать систему метрик для процесса контроля рабоспособности средств DLP;
 - Создать средство визуального мониторинга параметров процесса контроля работоспособности средств DLP;
 - Реализовать мониторинг параметров процесса контроля работоспособности средств DLP;
 - Реализовать реагирование на факты отклонения параметров процесса контроля работоспособности средств DLP от определенных показателей</v>
      </c>
      <c r="O554" s="407"/>
      <c r="P554" s="407"/>
    </row>
    <row r="555" spans="1:16" ht="46.8">
      <c r="A555" s="270" t="s">
        <v>113</v>
      </c>
      <c r="B555" s="403" t="s">
        <v>344</v>
      </c>
      <c r="C555" s="404" t="str">
        <f>СЗИ!B120</f>
        <v>Наличие плейбука по реагированию на события DLP</v>
      </c>
      <c r="D555" s="404" t="str">
        <f>СЗИ!C120</f>
        <v>РЕАГ.PB.5.9.3.10</v>
      </c>
      <c r="E555" s="404">
        <f>СЗИ!D120</f>
        <v>5</v>
      </c>
      <c r="F555" s="404">
        <f>СЗИ!E120</f>
        <v>0</v>
      </c>
      <c r="G555" s="404">
        <f>СЗИ!F120</f>
        <v>0</v>
      </c>
      <c r="H555" s="373">
        <f>СЗИ!T120</f>
        <v>325.06999999999994</v>
      </c>
      <c r="I555" s="404">
        <f>СЗИ!K120</f>
        <v>0</v>
      </c>
      <c r="J555" s="404">
        <f>СЗИ!I120</f>
        <v>0</v>
      </c>
      <c r="K555" s="404">
        <f>СЗИ!L120</f>
        <v>0</v>
      </c>
      <c r="L555" s="404" t="str">
        <f t="shared" si="17"/>
        <v xml:space="preserve"> </v>
      </c>
      <c r="M555" s="373">
        <f t="shared" si="18"/>
        <v>0</v>
      </c>
      <c r="N555" s="407">
        <f>СЗИ!U120</f>
        <v>0</v>
      </c>
      <c r="O555" s="407"/>
      <c r="P555" s="407"/>
    </row>
    <row r="556" spans="1:16" ht="78">
      <c r="A556" s="270" t="s">
        <v>780</v>
      </c>
      <c r="B556" s="403" t="s">
        <v>421</v>
      </c>
      <c r="C556" s="404" t="str">
        <f>'Управление ИБ'!B157</f>
        <v>Проводится регулярное профессиональное обучение и повышение квалификации работников ИБ</v>
      </c>
      <c r="D556" s="404" t="str">
        <f>'Управление ИБ'!C157</f>
        <v>УИБ.AW.1</v>
      </c>
      <c r="E556" s="404">
        <f>'Управление ИБ'!D157</f>
        <v>5</v>
      </c>
      <c r="F556" s="404">
        <f>'Управление ИБ'!E157</f>
        <v>3.2</v>
      </c>
      <c r="G556" s="404">
        <f>'Управление ИБ'!F157</f>
        <v>1.6</v>
      </c>
      <c r="H556" s="410">
        <f>'Нормативное соответствие'!T50</f>
        <v>326.01</v>
      </c>
      <c r="I556" s="404">
        <f>'Управление ИБ'!K157</f>
        <v>1.6</v>
      </c>
      <c r="J556" s="404">
        <f>'Управление ИБ'!I157</f>
        <v>0</v>
      </c>
      <c r="K556" s="404">
        <f>'Управление ИБ'!L157</f>
        <v>0</v>
      </c>
      <c r="L556" s="404">
        <f t="shared" si="17"/>
        <v>0</v>
      </c>
      <c r="M556" s="373">
        <f t="shared" si="18"/>
        <v>1.6</v>
      </c>
      <c r="N556" s="407" t="str">
        <f>'Управление ИБ'!U157</f>
        <v xml:space="preserve"> - Проводить плановое профессиональное обучение и повышение квалификации работников ИБ на основе плана, сформированного в предыдущем году по заявкам от работников с учетом потребностей подразделений в зависимости от выполняемых подразделением задач</v>
      </c>
      <c r="O556" s="407"/>
      <c r="P556" s="407"/>
    </row>
    <row r="557" spans="1:16" ht="78">
      <c r="A557" s="270" t="s">
        <v>780</v>
      </c>
      <c r="B557" s="403" t="s">
        <v>421</v>
      </c>
      <c r="C557" s="404" t="str">
        <f>'Управление ИБ'!B158</f>
        <v>Проводится регулярное повышение осведомленности работников Общества</v>
      </c>
      <c r="D557" s="404" t="str">
        <f>'Управление ИБ'!C158</f>
        <v>УИБ.AW.2</v>
      </c>
      <c r="E557" s="404">
        <f>'Управление ИБ'!D158</f>
        <v>5</v>
      </c>
      <c r="F557" s="404">
        <f>'Управление ИБ'!E158</f>
        <v>3.2</v>
      </c>
      <c r="G557" s="404">
        <f>'Управление ИБ'!F158</f>
        <v>1.6</v>
      </c>
      <c r="H557" s="410">
        <f>'Нормативное соответствие'!T51</f>
        <v>326.02</v>
      </c>
      <c r="I557" s="404">
        <f>'Управление ИБ'!K158</f>
        <v>1.6</v>
      </c>
      <c r="J557" s="404">
        <f>'Управление ИБ'!I158</f>
        <v>0</v>
      </c>
      <c r="K557" s="404">
        <f>'Управление ИБ'!L158</f>
        <v>0</v>
      </c>
      <c r="L557" s="404">
        <f t="shared" si="17"/>
        <v>0</v>
      </c>
      <c r="M557" s="373">
        <f t="shared" si="18"/>
        <v>1.6</v>
      </c>
      <c r="N557" s="407" t="str">
        <f>'Управление ИБ'!U158</f>
        <v xml:space="preserve"> - Проводить на регулярной основе провокационные фишинговые рассылки для всех сотрудников Общества с дальнейшим обучением, отработкой ошибок и корректирокой сценариев рассылок в зависимости от полученных резульатов, отслежвать динамику</v>
      </c>
      <c r="O557" s="407"/>
      <c r="P557" s="407"/>
    </row>
    <row r="558" spans="1:16" ht="93.6">
      <c r="A558" s="270" t="s">
        <v>780</v>
      </c>
      <c r="B558" s="403" t="s">
        <v>421</v>
      </c>
      <c r="C558" s="404" t="str">
        <f>'Управление ИБ'!B162</f>
        <v>Осуществляется обучение работников по теме многофакторной аутентификации, создании сильных паролей и управлении учетными записями.</v>
      </c>
      <c r="D558" s="404" t="str">
        <f>'Управление ИБ'!C162</f>
        <v>УИБ.AW.6</v>
      </c>
      <c r="E558" s="404">
        <f>'Управление ИБ'!D162</f>
        <v>5</v>
      </c>
      <c r="F558" s="404">
        <f>'Управление ИБ'!E162</f>
        <v>3.2</v>
      </c>
      <c r="G558" s="404">
        <f>'Управление ИБ'!F162</f>
        <v>1.6</v>
      </c>
      <c r="H558" s="410">
        <f>'Нормативное соответствие'!T52</f>
        <v>326.02999999999997</v>
      </c>
      <c r="I558" s="404">
        <f>'Управление ИБ'!K162</f>
        <v>1.6</v>
      </c>
      <c r="J558" s="404">
        <f>'Управление ИБ'!I162</f>
        <v>0</v>
      </c>
      <c r="K558" s="404">
        <f>'Управление ИБ'!L162</f>
        <v>0</v>
      </c>
      <c r="L558" s="404">
        <f t="shared" si="17"/>
        <v>0</v>
      </c>
      <c r="M558" s="373">
        <f t="shared" si="18"/>
        <v>1.6</v>
      </c>
      <c r="N558" s="407" t="str">
        <f>'Управление ИБ'!U162</f>
        <v xml:space="preserve"> - Осуществлять регулярный мониторинг и отслеживание динамики обучения. Выработать показатели эффективности обучения</v>
      </c>
      <c r="O558" s="407"/>
      <c r="P558" s="407"/>
    </row>
    <row r="559" spans="1:16" ht="124.8">
      <c r="A559" s="270" t="s">
        <v>780</v>
      </c>
      <c r="B559" s="403" t="s">
        <v>421</v>
      </c>
      <c r="C559" s="404" t="str">
        <f>'Управление ИБ'!B163</f>
        <v>Осуществляется обучение работников о необходимости блокировать рабочие станции, стирать информацию с флипчартов и виртуальных досок после совещаний и хранить данные в защищенном месте.</v>
      </c>
      <c r="D559" s="404" t="str">
        <f>'Управление ИБ'!C163</f>
        <v>УИБ.AW.7</v>
      </c>
      <c r="E559" s="404">
        <f>'Управление ИБ'!D163</f>
        <v>5</v>
      </c>
      <c r="F559" s="404">
        <f>'Управление ИБ'!E163</f>
        <v>3.2</v>
      </c>
      <c r="G559" s="404">
        <f>'Управление ИБ'!F163</f>
        <v>1.6</v>
      </c>
      <c r="H559" s="410">
        <f>'Нормативное соответствие'!T53</f>
        <v>326.03999999999996</v>
      </c>
      <c r="I559" s="404">
        <f>'Управление ИБ'!K163</f>
        <v>1.6</v>
      </c>
      <c r="J559" s="404">
        <f>'Управление ИБ'!I163</f>
        <v>0</v>
      </c>
      <c r="K559" s="404">
        <f>'Управление ИБ'!L163</f>
        <v>0</v>
      </c>
      <c r="L559" s="404">
        <f t="shared" si="17"/>
        <v>0</v>
      </c>
      <c r="M559" s="373">
        <f t="shared" si="18"/>
        <v>1.6</v>
      </c>
      <c r="N559" s="407" t="str">
        <f>'Управление ИБ'!U163</f>
        <v xml:space="preserve"> - Осуществлять регулярный мониторинг и отслеживание динамики обучения. Выработать показатели эффективности обучения</v>
      </c>
      <c r="O559" s="407"/>
      <c r="P559" s="407"/>
    </row>
    <row r="560" spans="1:16" ht="78">
      <c r="A560" s="270" t="s">
        <v>780</v>
      </c>
      <c r="B560" s="403" t="s">
        <v>421</v>
      </c>
      <c r="C560" s="404" t="str">
        <f>'Управление ИБ'!B165</f>
        <v>Осуществляется обучение работников распознавать инциденты безопасности и сообщать о них</v>
      </c>
      <c r="D560" s="404" t="str">
        <f>'Управление ИБ'!C165</f>
        <v>УИБ.AW.9</v>
      </c>
      <c r="E560" s="404">
        <f>'Управление ИБ'!D165</f>
        <v>5</v>
      </c>
      <c r="F560" s="404">
        <f>'Управление ИБ'!E165</f>
        <v>3.2</v>
      </c>
      <c r="G560" s="404">
        <f>'Управление ИБ'!F165</f>
        <v>1.6</v>
      </c>
      <c r="H560" s="410">
        <f>'Нормативное соответствие'!T54</f>
        <v>326.04999999999995</v>
      </c>
      <c r="I560" s="404">
        <f>'Управление ИБ'!K165</f>
        <v>1.6</v>
      </c>
      <c r="J560" s="404">
        <f>'Управление ИБ'!I165</f>
        <v>0</v>
      </c>
      <c r="K560" s="404">
        <f>'Управление ИБ'!L165</f>
        <v>0</v>
      </c>
      <c r="L560" s="404">
        <f t="shared" si="17"/>
        <v>0</v>
      </c>
      <c r="M560" s="373">
        <f t="shared" si="18"/>
        <v>1.6</v>
      </c>
      <c r="N560" s="407" t="str">
        <f>'Управление ИБ'!U165</f>
        <v xml:space="preserve"> - Осуществлять регулярный мониторинг и отслеживание динамики обучения. Выработать показатели эффективности обучения</v>
      </c>
      <c r="O560" s="407"/>
      <c r="P560" s="407"/>
    </row>
    <row r="561" spans="1:16" ht="78">
      <c r="A561" s="270" t="s">
        <v>20</v>
      </c>
      <c r="B561" s="403" t="s">
        <v>216</v>
      </c>
      <c r="C561" s="518" t="str">
        <f>Восстановление!B39</f>
        <v>Тестирование планов по реагированию и восстановлению проводятся совместно с поставщиками и сторонними провайдерами</v>
      </c>
      <c r="D561" s="404" t="str">
        <f>Восстановление!C39</f>
        <v>ВССТ.ПЛН.8</v>
      </c>
      <c r="E561" s="404">
        <f>Восстановление!D39</f>
        <v>5</v>
      </c>
      <c r="F561" s="404">
        <f>Восстановление!E39</f>
        <v>3.2</v>
      </c>
      <c r="G561" s="404">
        <f>Восстановление!F39</f>
        <v>1.6</v>
      </c>
      <c r="H561" s="404">
        <f>Восстановление!T39</f>
        <v>322.07999999999993</v>
      </c>
      <c r="I561" s="404">
        <f>Восстановление!K39</f>
        <v>1.6</v>
      </c>
      <c r="J561" s="404">
        <f>Восстановление!I39</f>
        <v>0</v>
      </c>
      <c r="K561" s="404">
        <f>Восстановление!L39</f>
        <v>0</v>
      </c>
      <c r="L561" s="404">
        <f t="shared" si="17"/>
        <v>0</v>
      </c>
      <c r="M561" s="373">
        <f t="shared" si="18"/>
        <v>1.6</v>
      </c>
      <c r="N561" s="404" t="str">
        <f>Восстановление!U39</f>
        <v xml:space="preserve"> - Регулярно тестировать планы по реагированию и восстановлению совместно с поставщиком.</v>
      </c>
      <c r="O561" s="407"/>
      <c r="P561" s="407"/>
    </row>
    <row r="562" spans="1:16" ht="62.4">
      <c r="A562" s="270" t="s">
        <v>19</v>
      </c>
      <c r="B562" s="403" t="s">
        <v>279</v>
      </c>
      <c r="C562" s="404" t="str">
        <f>Реагирование!B57</f>
        <v>Наличие плейбука по реагированию на сработки АВЗ</v>
      </c>
      <c r="D562" s="404" t="str">
        <f>Реагирование!C57</f>
        <v>РЕАГ.PB.5.9.3.2</v>
      </c>
      <c r="E562" s="404">
        <f>Реагирование!D57</f>
        <v>5</v>
      </c>
      <c r="F562" s="404">
        <f>Реагирование!E57</f>
        <v>5</v>
      </c>
      <c r="G562" s="404">
        <f>Реагирование!F57</f>
        <v>5</v>
      </c>
      <c r="H562" s="410">
        <f>Реагирование!T57</f>
        <v>327.02</v>
      </c>
      <c r="I562" s="404">
        <f>Реагирование!K57</f>
        <v>5</v>
      </c>
      <c r="J562" s="404">
        <f>Реагирование!I57</f>
        <v>0</v>
      </c>
      <c r="K562" s="404">
        <f>Реагирование!L57</f>
        <v>0</v>
      </c>
      <c r="L562" s="404">
        <f t="shared" si="17"/>
        <v>0</v>
      </c>
      <c r="M562" s="373">
        <f t="shared" si="18"/>
        <v>5</v>
      </c>
      <c r="N562" s="407">
        <f>Реагирование!U57</f>
        <v>0</v>
      </c>
      <c r="O562" s="407"/>
      <c r="P562" s="407"/>
    </row>
    <row r="563" spans="1:16" ht="62.4">
      <c r="A563" s="270" t="s">
        <v>19</v>
      </c>
      <c r="B563" s="403" t="s">
        <v>279</v>
      </c>
      <c r="C563" s="404" t="str">
        <f>Реагирование!B64</f>
        <v>Наличие плейбука по реагированию на сработки PAM</v>
      </c>
      <c r="D563" s="404" t="str">
        <f>Реагирование!C64</f>
        <v>РЕАГ.PB.5.9.3.9</v>
      </c>
      <c r="E563" s="404">
        <f>Реагирование!D64</f>
        <v>5</v>
      </c>
      <c r="F563" s="404">
        <f>Реагирование!E64</f>
        <v>0</v>
      </c>
      <c r="G563" s="404">
        <f>Реагирование!F64</f>
        <v>0</v>
      </c>
      <c r="H563" s="410">
        <f>Реагирование!T64</f>
        <v>327.08999999999992</v>
      </c>
      <c r="I563" s="404">
        <f>Реагирование!K64</f>
        <v>0</v>
      </c>
      <c r="J563" s="404">
        <f>Реагирование!I64</f>
        <v>0</v>
      </c>
      <c r="K563" s="404">
        <f>Реагирование!L64</f>
        <v>0</v>
      </c>
      <c r="L563" s="404" t="str">
        <f t="shared" si="17"/>
        <v xml:space="preserve"> </v>
      </c>
      <c r="M563" s="373">
        <f t="shared" si="18"/>
        <v>0</v>
      </c>
      <c r="N563" s="407" t="str">
        <f>Реагирование!U64</f>
        <v xml:space="preserve"> - Разработать и простестировать плейбуки по реагированию на сработки PAM</v>
      </c>
      <c r="O563" s="407"/>
      <c r="P563" s="407"/>
    </row>
    <row r="564" spans="1:16" ht="62.4">
      <c r="A564" s="270" t="s">
        <v>19</v>
      </c>
      <c r="B564" s="403" t="s">
        <v>279</v>
      </c>
      <c r="C564" s="404" t="str">
        <f>Реагирование!B65</f>
        <v>Наличие плейбука по реагированию на события DLP</v>
      </c>
      <c r="D564" s="404" t="str">
        <f>Реагирование!C65</f>
        <v>РЕАГ.PB.5.9.3.10</v>
      </c>
      <c r="E564" s="404">
        <f>Реагирование!D65</f>
        <v>5</v>
      </c>
      <c r="F564" s="404">
        <f>Реагирование!E65</f>
        <v>0</v>
      </c>
      <c r="G564" s="404">
        <f>Реагирование!F65</f>
        <v>0</v>
      </c>
      <c r="H564" s="410">
        <f>Реагирование!T65</f>
        <v>327.09999999999991</v>
      </c>
      <c r="I564" s="404">
        <f>Реагирование!K65</f>
        <v>0</v>
      </c>
      <c r="J564" s="404">
        <f>Реагирование!I65</f>
        <v>0</v>
      </c>
      <c r="K564" s="404">
        <f>Реагирование!L65</f>
        <v>0</v>
      </c>
      <c r="L564" s="404" t="str">
        <f t="shared" si="17"/>
        <v xml:space="preserve"> </v>
      </c>
      <c r="M564" s="373">
        <f t="shared" si="18"/>
        <v>0</v>
      </c>
      <c r="N564" s="407" t="str">
        <f>Реагирование!U65</f>
        <v xml:space="preserve"> - Разработать и простестировать плейбуки по реагированию на сработки DLP</v>
      </c>
      <c r="O564" s="407"/>
      <c r="P564" s="407"/>
    </row>
    <row r="565" spans="1:16" ht="62.4">
      <c r="A565" s="270" t="s">
        <v>19</v>
      </c>
      <c r="B565" s="403" t="s">
        <v>279</v>
      </c>
      <c r="C565" s="404" t="str">
        <f>Реагирование!B66</f>
        <v>Наличие плейбука по реагированию на сработки (WAF)</v>
      </c>
      <c r="D565" s="404" t="str">
        <f>Реагирование!C66</f>
        <v>РЕАГ.PB.5.9.3.11</v>
      </c>
      <c r="E565" s="404">
        <f>Реагирование!D66</f>
        <v>5</v>
      </c>
      <c r="F565" s="404">
        <f>Реагирование!E66</f>
        <v>0</v>
      </c>
      <c r="G565" s="404">
        <f>Реагирование!F66</f>
        <v>0</v>
      </c>
      <c r="H565" s="410">
        <f>Реагирование!T66</f>
        <v>327.1099999999999</v>
      </c>
      <c r="I565" s="404">
        <f>Реагирование!K66</f>
        <v>0</v>
      </c>
      <c r="J565" s="404">
        <f>Реагирование!I66</f>
        <v>0</v>
      </c>
      <c r="K565" s="404">
        <f>Реагирование!L66</f>
        <v>0</v>
      </c>
      <c r="L565" s="404" t="str">
        <f t="shared" si="17"/>
        <v xml:space="preserve"> </v>
      </c>
      <c r="M565" s="373">
        <f t="shared" si="18"/>
        <v>0</v>
      </c>
      <c r="N565" s="407" t="str">
        <f>Реагирование!U66</f>
        <v xml:space="preserve"> - Разработать и простестировать плейбуки по реагированию на сработки WAF</v>
      </c>
      <c r="O565" s="407"/>
      <c r="P565" s="407"/>
    </row>
    <row r="566" spans="1:16" ht="78">
      <c r="A566" s="270" t="s">
        <v>780</v>
      </c>
      <c r="B566" s="405" t="s">
        <v>48</v>
      </c>
      <c r="C566" s="517" t="str">
        <f>'Управление ИБ'!B102</f>
        <v>Информационные системы Общества соотнесены с ресурсами, на которых они функциониуют</v>
      </c>
      <c r="D566" s="404" t="str">
        <f>'Управление ИБ'!C102</f>
        <v>УИБ.УА.1</v>
      </c>
      <c r="E566" s="404">
        <f>'Управление ИБ'!D102</f>
        <v>5</v>
      </c>
      <c r="F566" s="404">
        <f>'Управление ИБ'!E102</f>
        <v>3.2</v>
      </c>
      <c r="G566" s="404">
        <f>'Управление ИБ'!F102</f>
        <v>1.6</v>
      </c>
      <c r="H566" s="373">
        <f>'Управление ИБ'!T102</f>
        <v>329.01</v>
      </c>
      <c r="I566" s="404">
        <f>'Управление ИБ'!K102</f>
        <v>1.6</v>
      </c>
      <c r="J566" s="404">
        <f>'Управление ИБ'!I102</f>
        <v>0</v>
      </c>
      <c r="K566" s="404">
        <f>'Управление ИБ'!L102</f>
        <v>1.6</v>
      </c>
      <c r="L566" s="404">
        <f t="shared" si="17"/>
        <v>1.6</v>
      </c>
      <c r="M566" s="373">
        <f t="shared" si="18"/>
        <v>0</v>
      </c>
      <c r="N566" s="407" t="str">
        <f>'Управление ИБ'!U102</f>
        <v xml:space="preserve"> - Обеспечить непрерывный учет и актуальность данных об ИС и их ресурсах.</v>
      </c>
      <c r="O566" s="407"/>
      <c r="P566" s="407"/>
    </row>
    <row r="567" spans="1:16" ht="78">
      <c r="A567" s="270" t="s">
        <v>780</v>
      </c>
      <c r="B567" s="405" t="s">
        <v>48</v>
      </c>
      <c r="C567" s="517" t="str">
        <f>'Управление ИБ'!B103</f>
        <v>Внедрен процесс инвентаризации и категорирования информационных активов</v>
      </c>
      <c r="D567" s="404" t="str">
        <f>'Управление ИБ'!C103</f>
        <v>УИБ.УА.2</v>
      </c>
      <c r="E567" s="404">
        <f>'Управление ИБ'!D103</f>
        <v>4</v>
      </c>
      <c r="F567" s="404">
        <f>'Управление ИБ'!E103</f>
        <v>3</v>
      </c>
      <c r="G567" s="404">
        <f>'Управление ИБ'!F103</f>
        <v>1</v>
      </c>
      <c r="H567" s="373">
        <f>'Управление ИБ'!T103</f>
        <v>329.02</v>
      </c>
      <c r="I567" s="404">
        <f>'Управление ИБ'!K103</f>
        <v>1</v>
      </c>
      <c r="J567" s="404">
        <f>'Управление ИБ'!I103</f>
        <v>0</v>
      </c>
      <c r="K567" s="404">
        <f>'Управление ИБ'!L103</f>
        <v>1</v>
      </c>
      <c r="L567" s="404">
        <f t="shared" si="17"/>
        <v>1</v>
      </c>
      <c r="M567" s="373">
        <f t="shared" si="18"/>
        <v>0</v>
      </c>
      <c r="N567" s="407" t="str">
        <f>'Управление ИБ'!U103</f>
        <v xml:space="preserve"> - Обеспечить категорирование всех вновь сосздаваемых ИА и периодический пересмотр данных о категорировании.</v>
      </c>
      <c r="O567" s="407"/>
      <c r="P567" s="407"/>
    </row>
    <row r="568" spans="1:16" ht="78">
      <c r="A568" s="270" t="s">
        <v>20</v>
      </c>
      <c r="B568" s="403" t="s">
        <v>216</v>
      </c>
      <c r="C568" s="518" t="str">
        <f>Восстановление!B40</f>
        <v>Планы восстановления совершенствуются по результатам тестирования и реагирования</v>
      </c>
      <c r="D568" s="404" t="str">
        <f>Восстановление!C40</f>
        <v>ВССТ.ПЛН.9</v>
      </c>
      <c r="E568" s="404">
        <f>Восстановление!D40</f>
        <v>5</v>
      </c>
      <c r="F568" s="404">
        <f>Восстановление!E40</f>
        <v>3.2</v>
      </c>
      <c r="G568" s="404">
        <f>Восстановление!F40</f>
        <v>1.6</v>
      </c>
      <c r="H568" s="404">
        <f>Восстановление!T40</f>
        <v>322.08999999999992</v>
      </c>
      <c r="I568" s="404">
        <f>Восстановление!K40</f>
        <v>1.6</v>
      </c>
      <c r="J568" s="404">
        <f>Восстановление!I40</f>
        <v>0</v>
      </c>
      <c r="K568" s="404">
        <f>Восстановление!L40</f>
        <v>0</v>
      </c>
      <c r="L568" s="404">
        <f t="shared" si="17"/>
        <v>0</v>
      </c>
      <c r="M568" s="373">
        <f t="shared" si="18"/>
        <v>1.6</v>
      </c>
      <c r="N568" s="404" t="str">
        <f>Восстановление!U40</f>
        <v xml:space="preserve"> - Документировать недостатки и изменения. Проводить повторное тестирование планов.</v>
      </c>
      <c r="O568" s="407"/>
      <c r="P568" s="407"/>
    </row>
    <row r="569" spans="1:16" ht="78">
      <c r="A569" s="270" t="s">
        <v>780</v>
      </c>
      <c r="B569" s="403" t="s">
        <v>421</v>
      </c>
      <c r="C569" s="404" t="str">
        <f>'Управление ИБ'!B166</f>
        <v>Осуществляется обучение привелигированных пользователей приемам безопасной работы</v>
      </c>
      <c r="D569" s="404" t="str">
        <f>'Управление ИБ'!C166</f>
        <v>УИБ.AW.10</v>
      </c>
      <c r="E569" s="404">
        <f>'Управление ИБ'!D166</f>
        <v>5</v>
      </c>
      <c r="F569" s="404">
        <f>'Управление ИБ'!E166</f>
        <v>3.2</v>
      </c>
      <c r="G569" s="404">
        <f>'Управление ИБ'!F166</f>
        <v>1.6</v>
      </c>
      <c r="H569" s="410">
        <f>'Нормативное соответствие'!T55</f>
        <v>326.05999999999995</v>
      </c>
      <c r="I569" s="404">
        <f>'Управление ИБ'!K166</f>
        <v>1.6</v>
      </c>
      <c r="J569" s="404">
        <f>'Управление ИБ'!I166</f>
        <v>0</v>
      </c>
      <c r="K569" s="404">
        <f>'Управление ИБ'!L166</f>
        <v>0</v>
      </c>
      <c r="L569" s="404">
        <f t="shared" si="17"/>
        <v>0</v>
      </c>
      <c r="M569" s="373">
        <f t="shared" si="18"/>
        <v>1.6</v>
      </c>
      <c r="N569" s="407" t="str">
        <f>'Управление ИБ'!U166</f>
        <v xml:space="preserve"> - Осуществлять регулярный мониторинг и отслеживание динамики обучения. Выработать показатели эффективности обучения</v>
      </c>
      <c r="O569" s="407"/>
      <c r="P569" s="407"/>
    </row>
    <row r="570" spans="1:16" ht="78">
      <c r="A570" s="270" t="s">
        <v>780</v>
      </c>
      <c r="B570" s="405" t="s">
        <v>48</v>
      </c>
      <c r="C570" s="517" t="str">
        <f>'Управление ИБ'!B104</f>
        <v>Описаны все сетевые взаимодействия между компонентами инфраструктуры и информационными системами</v>
      </c>
      <c r="D570" s="404" t="str">
        <f>'Управление ИБ'!C104</f>
        <v>УИБ.УА.3</v>
      </c>
      <c r="E570" s="404">
        <f>'Управление ИБ'!D104</f>
        <v>5</v>
      </c>
      <c r="F570" s="404">
        <f>'Управление ИБ'!E104</f>
        <v>3.2</v>
      </c>
      <c r="G570" s="404">
        <f>'Управление ИБ'!F104</f>
        <v>0</v>
      </c>
      <c r="H570" s="373">
        <f>'Управление ИБ'!T104</f>
        <v>329.03</v>
      </c>
      <c r="I570" s="404">
        <f>'Управление ИБ'!K104</f>
        <v>0</v>
      </c>
      <c r="J570" s="404">
        <f>'Управление ИБ'!I104</f>
        <v>0</v>
      </c>
      <c r="K570" s="404">
        <f>'Управление ИБ'!L104</f>
        <v>1.6</v>
      </c>
      <c r="L570" s="404" t="str">
        <f t="shared" si="17"/>
        <v xml:space="preserve"> </v>
      </c>
      <c r="M570" s="373">
        <f t="shared" si="18"/>
        <v>-1.6</v>
      </c>
      <c r="N570" s="407" t="str">
        <f>'Управление ИБ'!U104</f>
        <v xml:space="preserve"> - Документировать перечень разрешенных сетевых взаимодействий для всех ИС;
  - Документировать конфигурацию сети (состав сетевых сегментов, сетевые маршруты, правила межсетевых экранов);
  - Регламентировать и реализовать процесс  согласования и изменения конфигурации сети.</v>
      </c>
      <c r="O570" s="407"/>
      <c r="P570" s="407"/>
    </row>
    <row r="571" spans="1:16" ht="62.4">
      <c r="A571" s="270" t="s">
        <v>19</v>
      </c>
      <c r="B571" s="403" t="s">
        <v>503</v>
      </c>
      <c r="C571" s="404" t="str">
        <f>Реагирование!B50</f>
        <v>Есть собственная команда или договор на расследование инцидентов ИБ</v>
      </c>
      <c r="D571" s="404" t="str">
        <f>Реагирование!C50</f>
        <v>РЕАГ.АНЛЗ.1</v>
      </c>
      <c r="E571" s="404">
        <f>Реагирование!D50</f>
        <v>5</v>
      </c>
      <c r="F571" s="404">
        <f>Реагирование!E50</f>
        <v>5</v>
      </c>
      <c r="G571" s="404">
        <f>Реагирование!F50</f>
        <v>0</v>
      </c>
      <c r="H571" s="373">
        <f>Реагирование!T50</f>
        <v>330.01</v>
      </c>
      <c r="I571" s="404">
        <f>Реагирование!K50</f>
        <v>0</v>
      </c>
      <c r="J571" s="404">
        <f>Реагирование!I50</f>
        <v>0</v>
      </c>
      <c r="K571" s="404">
        <f>Реагирование!L50</f>
        <v>0</v>
      </c>
      <c r="L571" s="404" t="str">
        <f t="shared" si="17"/>
        <v xml:space="preserve"> </v>
      </c>
      <c r="M571" s="373">
        <f t="shared" si="18"/>
        <v>0</v>
      </c>
      <c r="N571" s="407">
        <f>Реагирование!U50</f>
        <v>0</v>
      </c>
      <c r="O571" s="407"/>
      <c r="P571" s="407"/>
    </row>
    <row r="572" spans="1:16" ht="78">
      <c r="A572" s="270" t="s">
        <v>780</v>
      </c>
      <c r="B572" s="405" t="s">
        <v>48</v>
      </c>
      <c r="C572" s="517" t="str">
        <f>'Управление ИБ'!B105</f>
        <v>Определены правила конфигурирования ативов (Харденинг)</v>
      </c>
      <c r="D572" s="404" t="str">
        <f>'Управление ИБ'!C105</f>
        <v>УИБ.УА.4</v>
      </c>
      <c r="E572" s="404">
        <f>'Управление ИБ'!D105</f>
        <v>5</v>
      </c>
      <c r="F572" s="404">
        <f>'Управление ИБ'!E105</f>
        <v>3.2</v>
      </c>
      <c r="G572" s="404">
        <f>'Управление ИБ'!F105</f>
        <v>0</v>
      </c>
      <c r="H572" s="373">
        <f>'Управление ИБ'!T105</f>
        <v>329.03999999999996</v>
      </c>
      <c r="I572" s="404">
        <f>'Управление ИБ'!K105</f>
        <v>0</v>
      </c>
      <c r="J572" s="404">
        <f>'Управление ИБ'!I105</f>
        <v>0</v>
      </c>
      <c r="K572" s="404">
        <f>'Управление ИБ'!L105</f>
        <v>0</v>
      </c>
      <c r="L572" s="404" t="str">
        <f t="shared" si="17"/>
        <v xml:space="preserve"> </v>
      </c>
      <c r="M572" s="373">
        <f t="shared" si="18"/>
        <v>0</v>
      </c>
      <c r="N572" s="407" t="str">
        <f>'Управление ИБ'!U105</f>
        <v xml:space="preserve"> - Обеспечить применение безопасных конфигураций на 100% хостов;
  - Разработать безопасные конфигурации для видов ПО, применяемых в Обществе.</v>
      </c>
      <c r="O572" s="407"/>
      <c r="P572" s="407"/>
    </row>
    <row r="573" spans="1:16" ht="78">
      <c r="A573" s="270" t="s">
        <v>780</v>
      </c>
      <c r="B573" s="405" t="s">
        <v>48</v>
      </c>
      <c r="C573" s="517" t="str">
        <f>'Управление ИБ'!B106</f>
        <v>Внедрен процесс контроля изменений конфигурации</v>
      </c>
      <c r="D573" s="404" t="str">
        <f>'Управление ИБ'!C106</f>
        <v>УИБ.УА.5</v>
      </c>
      <c r="E573" s="404">
        <f>'Управление ИБ'!D106</f>
        <v>4</v>
      </c>
      <c r="F573" s="404">
        <f>'Управление ИБ'!E106</f>
        <v>3</v>
      </c>
      <c r="G573" s="404">
        <f>'Управление ИБ'!F106</f>
        <v>0</v>
      </c>
      <c r="H573" s="373">
        <f>'Управление ИБ'!T106</f>
        <v>329.04999999999995</v>
      </c>
      <c r="I573" s="404">
        <f>'Управление ИБ'!K106</f>
        <v>0</v>
      </c>
      <c r="J573" s="404">
        <f>'Управление ИБ'!I106</f>
        <v>0</v>
      </c>
      <c r="K573" s="404">
        <f>'Управление ИБ'!L106</f>
        <v>0</v>
      </c>
      <c r="L573" s="404" t="str">
        <f t="shared" si="17"/>
        <v xml:space="preserve"> </v>
      </c>
      <c r="M573" s="373">
        <f t="shared" si="18"/>
        <v>0</v>
      </c>
      <c r="N573" s="407" t="str">
        <f>'Управление ИБ'!U106</f>
        <v xml:space="preserve"> - Автоматизировать контроль и проверять неизменнность конфигураций на регулярной основе;
 -  Отслеживать события изменения конфигурации.</v>
      </c>
      <c r="O573" s="407"/>
      <c r="P573" s="407"/>
    </row>
    <row r="574" spans="1:16" ht="187.2">
      <c r="A574" s="270" t="s">
        <v>19</v>
      </c>
      <c r="B574" s="403" t="s">
        <v>503</v>
      </c>
      <c r="C574" s="404" t="str">
        <f>Реагирование!B54</f>
        <v>Проводятся регулярные киберучения по реагированию на инциденты ИБ</v>
      </c>
      <c r="D574" s="404" t="str">
        <f>Реагирование!C54</f>
        <v>РЕАГ.АНЛЗ.5</v>
      </c>
      <c r="E574" s="404">
        <f>Реагирование!D54</f>
        <v>5</v>
      </c>
      <c r="F574" s="404">
        <f>Реагирование!E54</f>
        <v>3.2</v>
      </c>
      <c r="G574" s="404">
        <f>Реагирование!F54</f>
        <v>0</v>
      </c>
      <c r="H574" s="373">
        <f>Реагирование!T54</f>
        <v>330.04999999999995</v>
      </c>
      <c r="I574" s="404">
        <f>Реагирование!K54</f>
        <v>0</v>
      </c>
      <c r="J574" s="404">
        <f>Реагирование!I54</f>
        <v>0</v>
      </c>
      <c r="K574" s="404">
        <f>Реагирование!L54</f>
        <v>0</v>
      </c>
      <c r="L574" s="404" t="str">
        <f t="shared" ref="L574:L613" si="19">IF(J574=I574," ",K574-J574)</f>
        <v xml:space="preserve"> </v>
      </c>
      <c r="M574" s="373">
        <f t="shared" si="18"/>
        <v>0</v>
      </c>
      <c r="N574" s="407" t="str">
        <f>Реагирование!U54</f>
        <v xml:space="preserve"> - Обеспечить формализацию процесса проведения киберучений;
  - Разработать сценарии кибератак, основанных на актуальных для Общества угрозах и уязвимостях;
 -  Обеспечить проведение предварительных тренингов или семинаров для участников киберучений;
 - При проведении киберучений необходимо применять средства автоматизации. Все действия участников должны быть поставленны на мониторинг, для последующего анализа;
 -  По результатам киберучений необходимо проводить оценку и анализ, составлять детализированные отчеты, в которых описывать выполненные действия, успешные практики и выявленные недостатки
Должны быть предоставлены рекомендации для улучшения процесов ИБ и реагирования на инциденты ИБ.</v>
      </c>
      <c r="O574" s="407"/>
      <c r="P574" s="407"/>
    </row>
    <row r="575" spans="1:16" ht="78">
      <c r="A575" s="270" t="s">
        <v>780</v>
      </c>
      <c r="B575" s="403" t="s">
        <v>421</v>
      </c>
      <c r="C575" s="404" t="str">
        <f>'Управление ИБ'!B160</f>
        <v>Учебные материалы пересматриваются раз в год или чаще.</v>
      </c>
      <c r="D575" s="404" t="str">
        <f>'Управление ИБ'!C160</f>
        <v>УИБ.AW.4</v>
      </c>
      <c r="E575" s="404">
        <f>'Управление ИБ'!D160</f>
        <v>5</v>
      </c>
      <c r="F575" s="404">
        <f>'Управление ИБ'!E160</f>
        <v>3.2</v>
      </c>
      <c r="G575" s="404">
        <f>'Управление ИБ'!F160</f>
        <v>1.6</v>
      </c>
      <c r="H575" s="410">
        <f>'Управление ИБ'!T160</f>
        <v>331.03999999999996</v>
      </c>
      <c r="I575" s="404">
        <f>'Управление ИБ'!K160</f>
        <v>1.6</v>
      </c>
      <c r="J575" s="404">
        <f>'Управление ИБ'!I160</f>
        <v>0</v>
      </c>
      <c r="K575" s="404">
        <f>'Управление ИБ'!L160</f>
        <v>0</v>
      </c>
      <c r="L575" s="404">
        <f t="shared" si="19"/>
        <v>0</v>
      </c>
      <c r="M575" s="373">
        <f t="shared" si="18"/>
        <v>1.6</v>
      </c>
      <c r="N575" s="407" t="str">
        <f>'Управление ИБ'!U160</f>
        <v xml:space="preserve"> - Раз в год пересматривать учебные материалы и при необходимости актуализировать</v>
      </c>
      <c r="O575" s="407"/>
      <c r="P575" s="407"/>
    </row>
    <row r="576" spans="1:16" ht="78">
      <c r="A576" s="270" t="s">
        <v>19</v>
      </c>
      <c r="B576" s="403" t="s">
        <v>503</v>
      </c>
      <c r="C576" s="404" t="str">
        <f>Реагирование!B51</f>
        <v>Процесс расследования инцидентов</v>
      </c>
      <c r="D576" s="404" t="str">
        <f>Реагирование!C51</f>
        <v>РЕАГ.АНЛЗ.2</v>
      </c>
      <c r="E576" s="404">
        <f>Реагирование!D51</f>
        <v>4</v>
      </c>
      <c r="F576" s="404">
        <f>Реагирование!E51</f>
        <v>3</v>
      </c>
      <c r="G576" s="404">
        <f>Реагирование!F51</f>
        <v>1</v>
      </c>
      <c r="H576" s="373">
        <f>Реагирование!T51</f>
        <v>330.02</v>
      </c>
      <c r="I576" s="404">
        <f>Реагирование!K51</f>
        <v>1</v>
      </c>
      <c r="J576" s="404">
        <f>Реагирование!I51</f>
        <v>0</v>
      </c>
      <c r="K576" s="404">
        <f>Реагирование!L51</f>
        <v>1</v>
      </c>
      <c r="L576" s="404">
        <f t="shared" si="19"/>
        <v>1</v>
      </c>
      <c r="M576" s="373">
        <f t="shared" si="18"/>
        <v>0</v>
      </c>
      <c r="N576" s="407" t="str">
        <f>Реагирование!U51</f>
        <v xml:space="preserve"> - Определить метрики процесса реагирования на инциденты и  расследования;
  -  На постоянной основе проводить мониторинг процесса по утвержденным метрикам и показателям;
  -  Интегрировать процесс расследования инцидентов в единый процесс управления инцидентами ИБ</v>
      </c>
      <c r="O576" s="407"/>
      <c r="P576" s="407"/>
    </row>
    <row r="577" spans="1:16" ht="78">
      <c r="A577" s="270" t="s">
        <v>20</v>
      </c>
      <c r="B577" s="403" t="s">
        <v>521</v>
      </c>
      <c r="C577" s="404" t="str">
        <f>Восстановление!B43</f>
        <v>Юристами Общества подготовлены типовые ответы на претензии по факту инцидента</v>
      </c>
      <c r="D577" s="404" t="str">
        <f>Восстановление!C43</f>
        <v>ВССТ.КМНК.2</v>
      </c>
      <c r="E577" s="404">
        <f>Восстановление!D43</f>
        <v>5</v>
      </c>
      <c r="F577" s="404">
        <f>Восстановление!E43</f>
        <v>0</v>
      </c>
      <c r="G577" s="404">
        <f>Восстановление!F43</f>
        <v>0</v>
      </c>
      <c r="H577" s="404">
        <f>Восстановление!T43</f>
        <v>332.02</v>
      </c>
      <c r="I577" s="404">
        <f>Восстановление!K43</f>
        <v>0</v>
      </c>
      <c r="J577" s="404">
        <f>Восстановление!L43</f>
        <v>0</v>
      </c>
      <c r="K577" s="404">
        <f>Восстановление!L43</f>
        <v>0</v>
      </c>
      <c r="L577" s="404" t="str">
        <f t="shared" si="19"/>
        <v xml:space="preserve"> </v>
      </c>
      <c r="M577" s="373">
        <f t="shared" si="18"/>
        <v>0</v>
      </c>
      <c r="N577" s="404" t="str">
        <f>Восстановление!U43</f>
        <v xml:space="preserve"> - Подготовить типовые ответы на претензии по факту инцидента</v>
      </c>
      <c r="O577" s="407"/>
      <c r="P577" s="407"/>
    </row>
    <row r="578" spans="1:16" ht="93.6">
      <c r="A578" s="270" t="s">
        <v>19</v>
      </c>
      <c r="B578" s="403" t="s">
        <v>503</v>
      </c>
      <c r="C578" s="404" t="str">
        <f>Реагирование!B53</f>
        <v>Процесс пост-анализа инцидентов</v>
      </c>
      <c r="D578" s="404" t="str">
        <f>Реагирование!C53</f>
        <v>РЕАГ.АНЛЗ.4</v>
      </c>
      <c r="E578" s="404">
        <f>Реагирование!D53</f>
        <v>4</v>
      </c>
      <c r="F578" s="404">
        <f>Реагирование!E53</f>
        <v>3</v>
      </c>
      <c r="G578" s="404">
        <f>Реагирование!F53</f>
        <v>1</v>
      </c>
      <c r="H578" s="373">
        <f>Реагирование!T53</f>
        <v>330.03999999999996</v>
      </c>
      <c r="I578" s="404">
        <f>Реагирование!K53</f>
        <v>1</v>
      </c>
      <c r="J578" s="404">
        <f>Реагирование!I53</f>
        <v>0</v>
      </c>
      <c r="K578" s="404">
        <f>Реагирование!L53</f>
        <v>1</v>
      </c>
      <c r="L578" s="404">
        <f t="shared" si="19"/>
        <v>1</v>
      </c>
      <c r="M578" s="373">
        <f t="shared" si="18"/>
        <v>0</v>
      </c>
      <c r="N578" s="407" t="str">
        <f>Реагирование!U53</f>
        <v xml:space="preserve"> - Обеспечить проведение пост-анализа инцидентов ИБ с применением средств автоматизации;
  -  Обеспечить контроль за выполнением рекомендаций и оценку эффективности выполненных мероприятий;
  -  На постоянной основе проводить мониторинг процесса по утвержденным метрикам и показателям;
  - Назначить ответственных за соблюдением сроков проведения утвержденных мероприятий.</v>
      </c>
      <c r="O578" s="407"/>
      <c r="P578" s="407"/>
    </row>
    <row r="579" spans="1:16" ht="78">
      <c r="A579" s="270" t="s">
        <v>20</v>
      </c>
      <c r="B579" s="403" t="s">
        <v>521</v>
      </c>
      <c r="C579" s="404" t="str">
        <f>Восстановление!B42</f>
        <v>Подготовлены планы коммуникаций на случай сбоев в планах по восстановлению</v>
      </c>
      <c r="D579" s="404" t="str">
        <f>Восстановление!C42</f>
        <v>ВССТ.КМНК.1</v>
      </c>
      <c r="E579" s="404">
        <f>Восстановление!D42</f>
        <v>5</v>
      </c>
      <c r="F579" s="404">
        <f>Восстановление!E42</f>
        <v>3.2</v>
      </c>
      <c r="G579" s="404">
        <f>Восстановление!F42</f>
        <v>0</v>
      </c>
      <c r="H579" s="404">
        <f>Восстановление!T42</f>
        <v>332.01</v>
      </c>
      <c r="I579" s="404">
        <f>Восстановление!K42</f>
        <v>0</v>
      </c>
      <c r="J579" s="404">
        <f>Восстановление!L42</f>
        <v>0</v>
      </c>
      <c r="K579" s="404">
        <f>Восстановление!L42</f>
        <v>0</v>
      </c>
      <c r="L579" s="404" t="str">
        <f t="shared" si="19"/>
        <v xml:space="preserve"> </v>
      </c>
      <c r="M579" s="373">
        <f t="shared" ref="M579:M613" si="20">IF(H579&lt;100,    IF(K579&gt;=G579,0,I579-K579),       IF(H579&lt;300,     IF(K579&gt;=F579,0,I579-K579),                  IF(K579&gt;=E579,0,I579-K579)))</f>
        <v>0</v>
      </c>
      <c r="N579" s="404" t="str">
        <f>Восстановление!U42</f>
        <v xml:space="preserve"> - Поддерживать и актуализировать планы коммуникаций</v>
      </c>
      <c r="O579" s="407"/>
      <c r="P579" s="407"/>
    </row>
    <row r="580" spans="1:16" ht="78">
      <c r="A580" s="270" t="s">
        <v>780</v>
      </c>
      <c r="B580" s="406" t="s">
        <v>290</v>
      </c>
      <c r="C580" s="408" t="str">
        <f>'Управление ИБ'!B133</f>
        <v>Требования ИБ формируются на этапе разработки требований к ПО</v>
      </c>
      <c r="D580" s="408" t="str">
        <f>'Управление ИБ'!C133</f>
        <v>УИБ.БР.5.9.2</v>
      </c>
      <c r="E580" s="408">
        <f>'Управление ИБ'!D133</f>
        <v>5</v>
      </c>
      <c r="F580" s="408">
        <f>'Управление ИБ'!E133</f>
        <v>3.2</v>
      </c>
      <c r="G580" s="408">
        <f>'Управление ИБ'!F133</f>
        <v>1.6</v>
      </c>
      <c r="H580" s="409">
        <f>'Управление ИБ'!T133</f>
        <v>333.02</v>
      </c>
      <c r="I580" s="408">
        <f>'Управление ИБ'!K133</f>
        <v>1.6</v>
      </c>
      <c r="J580" s="408">
        <f>'Управление ИБ'!I133</f>
        <v>0</v>
      </c>
      <c r="K580" s="404">
        <f>'Управление ИБ'!L133</f>
        <v>0</v>
      </c>
      <c r="L580" s="404">
        <f t="shared" si="19"/>
        <v>0</v>
      </c>
      <c r="M580" s="373">
        <f t="shared" si="20"/>
        <v>1.6</v>
      </c>
      <c r="N580" s="407" t="str">
        <f>'Управление ИБ'!U133</f>
        <v xml:space="preserve"> Для всех систем формализовать:
-требования безопасности ПО; 
-типовой набор требований безопасности ПО.</v>
      </c>
      <c r="O580" s="407"/>
      <c r="P580" s="407"/>
    </row>
    <row r="581" spans="1:16" ht="78">
      <c r="A581" s="270" t="s">
        <v>780</v>
      </c>
      <c r="B581" s="406" t="s">
        <v>290</v>
      </c>
      <c r="C581" s="408" t="str">
        <f>'Управление ИБ'!B135</f>
        <v>Организован процесс тестирования ПО</v>
      </c>
      <c r="D581" s="408" t="str">
        <f>'Управление ИБ'!C135</f>
        <v>УИБ.БР.5.9.4</v>
      </c>
      <c r="E581" s="408">
        <f>'Управление ИБ'!D135</f>
        <v>4</v>
      </c>
      <c r="F581" s="408">
        <f>'Управление ИБ'!E135</f>
        <v>3</v>
      </c>
      <c r="G581" s="408">
        <f>'Управление ИБ'!F135</f>
        <v>1</v>
      </c>
      <c r="H581" s="409">
        <f>'Управление ИБ'!T135</f>
        <v>333.03999999999996</v>
      </c>
      <c r="I581" s="408">
        <f>'Управление ИБ'!K135</f>
        <v>1</v>
      </c>
      <c r="J581" s="408">
        <f>'Управление ИБ'!I135</f>
        <v>0</v>
      </c>
      <c r="K581" s="404">
        <f>'Управление ИБ'!L135</f>
        <v>0</v>
      </c>
      <c r="L581" s="404">
        <f t="shared" si="19"/>
        <v>0</v>
      </c>
      <c r="M581" s="373">
        <f t="shared" si="20"/>
        <v>1</v>
      </c>
      <c r="N581" s="407" t="str">
        <f>'Управление ИБ'!U135</f>
        <v>Качество процесса отслеживать с помощью метрик.</v>
      </c>
      <c r="O581" s="407"/>
      <c r="P581" s="407"/>
    </row>
    <row r="582" spans="1:16" ht="140.4">
      <c r="A582" s="504" t="s">
        <v>69</v>
      </c>
      <c r="B582" s="406" t="s">
        <v>290</v>
      </c>
      <c r="C582" s="408" t="str">
        <f>'Управление ИБ'!B136</f>
        <v>Организован процесс приемки и инсталляции ПО:
- порядок приемки ПО перед его запуском в продуктивной среде
- порядок передачи ПО в продуктивную среду
- состав и содержание эксплуатационных документов на ПО</v>
      </c>
      <c r="D582" s="408" t="str">
        <f>'Управление ИБ'!C136</f>
        <v>УИБ.БР.5.9.5</v>
      </c>
      <c r="E582" s="408">
        <f>'Управление ИБ'!D136</f>
        <v>5</v>
      </c>
      <c r="F582" s="408">
        <f>'Управление ИБ'!E136</f>
        <v>3.2</v>
      </c>
      <c r="G582" s="408">
        <f>'Управление ИБ'!F136</f>
        <v>1.6</v>
      </c>
      <c r="H582" s="409">
        <f>'Управление ИБ'!T136</f>
        <v>333.04999999999995</v>
      </c>
      <c r="I582" s="408">
        <f>'Управление ИБ'!K136</f>
        <v>1.6</v>
      </c>
      <c r="J582" s="408">
        <f>'Управление ИБ'!I136</f>
        <v>0</v>
      </c>
      <c r="K582" s="404">
        <f>'Управление ИБ'!L136</f>
        <v>0</v>
      </c>
      <c r="L582" s="404">
        <f t="shared" si="19"/>
        <v>0</v>
      </c>
      <c r="M582" s="373">
        <f t="shared" si="20"/>
        <v>1.6</v>
      </c>
      <c r="N582" s="407" t="str">
        <f>'Управление ИБ'!U136</f>
        <v>Для всех систем формализовать:
- порядок приемки ПО перед его запуском в продуктивной среде;
- порядок передачи ПО в продуктивную среду;
- состав и содержание эксплуатационных документов на ПО.</v>
      </c>
      <c r="O582" s="407"/>
      <c r="P582" s="407"/>
    </row>
    <row r="583" spans="1:16" ht="218.4">
      <c r="A583" s="270" t="s">
        <v>780</v>
      </c>
      <c r="B583" s="406" t="s">
        <v>290</v>
      </c>
      <c r="C583" s="408" t="str">
        <f>'Управление ИБ'!B137</f>
        <v>Организован процесс эксплуатации ПО:
- назначены ответственные за техническую поддержку пользователей ПО
- сформирован порядок информирования пользователей об обновлениях ПО, обнаруженных уязвимостях и окончании технической поддержки
- назначены ответственные за поиск уязвимостей ПО и их устранение</v>
      </c>
      <c r="D583" s="408" t="str">
        <f>'Управление ИБ'!C137</f>
        <v>УИБ.БР.5.9.6</v>
      </c>
      <c r="E583" s="408">
        <f>'Управление ИБ'!D137</f>
        <v>5</v>
      </c>
      <c r="F583" s="408">
        <f>'Управление ИБ'!E137</f>
        <v>3.2</v>
      </c>
      <c r="G583" s="408">
        <f>'Управление ИБ'!F137</f>
        <v>1.6</v>
      </c>
      <c r="H583" s="409">
        <f>'Управление ИБ'!T137</f>
        <v>333.05999999999995</v>
      </c>
      <c r="I583" s="408">
        <f>'Управление ИБ'!K137</f>
        <v>1.6</v>
      </c>
      <c r="J583" s="408">
        <f>'Управление ИБ'!I137</f>
        <v>0</v>
      </c>
      <c r="K583" s="404">
        <f>'Управление ИБ'!L137</f>
        <v>0</v>
      </c>
      <c r="L583" s="404">
        <f t="shared" si="19"/>
        <v>0</v>
      </c>
      <c r="M583" s="373">
        <f t="shared" si="20"/>
        <v>1.6</v>
      </c>
      <c r="N583" s="407" t="str">
        <f>'Управление ИБ'!U137</f>
        <v xml:space="preserve">Для всех систем:
- назначить ответственных за техническую поддержку пользователей ПО;
- формализовать порядок информирования пользователей об обновлениях ПО,обнаруженных уязвимостях и окончании технической поддержки
- назначить о ответственных за поиск уязвимостей ПО и их устранение. </v>
      </c>
      <c r="O583" s="407"/>
      <c r="P583" s="407"/>
    </row>
    <row r="584" spans="1:16" ht="93.6">
      <c r="A584" s="270" t="s">
        <v>780</v>
      </c>
      <c r="B584" s="406" t="s">
        <v>290</v>
      </c>
      <c r="C584" s="408" t="str">
        <f>'Управление ИБ'!B138</f>
        <v xml:space="preserve">Используются проверенные модули безопасности (шифрования, ведения журналов, идентификации/аутентификапции) </v>
      </c>
      <c r="D584" s="408" t="str">
        <f>'Управление ИБ'!C138</f>
        <v>УИБ.БР.5.9.7</v>
      </c>
      <c r="E584" s="408">
        <f>'Управление ИБ'!D138</f>
        <v>5</v>
      </c>
      <c r="F584" s="408">
        <f>'Управление ИБ'!E138</f>
        <v>5</v>
      </c>
      <c r="G584" s="408">
        <f>'Управление ИБ'!F138</f>
        <v>0</v>
      </c>
      <c r="H584" s="409">
        <f>'Управление ИБ'!T138</f>
        <v>333.06999999999994</v>
      </c>
      <c r="I584" s="408">
        <f>'Управление ИБ'!K138</f>
        <v>0</v>
      </c>
      <c r="J584" s="408">
        <f>'Управление ИБ'!I138</f>
        <v>0</v>
      </c>
      <c r="K584" s="404">
        <f>'Управление ИБ'!L138</f>
        <v>0</v>
      </c>
      <c r="L584" s="404" t="str">
        <f t="shared" si="19"/>
        <v xml:space="preserve"> </v>
      </c>
      <c r="M584" s="373">
        <f t="shared" si="20"/>
        <v>0</v>
      </c>
      <c r="N584" s="407" t="str">
        <f>'Управление ИБ'!U138</f>
        <v/>
      </c>
      <c r="O584" s="407"/>
      <c r="P584" s="407"/>
    </row>
    <row r="585" spans="1:16" ht="78">
      <c r="A585" s="270" t="s">
        <v>780</v>
      </c>
      <c r="B585" s="406" t="s">
        <v>290</v>
      </c>
      <c r="C585" s="408" t="str">
        <f>'Управление ИБ'!B139</f>
        <v>Организован процесс обучения сотрудников</v>
      </c>
      <c r="D585" s="408" t="str">
        <f>'Управление ИБ'!C139</f>
        <v>УИБ.БР.5.9.8</v>
      </c>
      <c r="E585" s="408">
        <f>'Управление ИБ'!D139</f>
        <v>5</v>
      </c>
      <c r="F585" s="408">
        <f>'Управление ИБ'!E139</f>
        <v>3.2</v>
      </c>
      <c r="G585" s="408">
        <f>'Управление ИБ'!F139</f>
        <v>1.6</v>
      </c>
      <c r="H585" s="409">
        <f>'Управление ИБ'!T139</f>
        <v>333.07999999999993</v>
      </c>
      <c r="I585" s="408">
        <f>'Управление ИБ'!K139</f>
        <v>1.6</v>
      </c>
      <c r="J585" s="408">
        <f>'Управление ИБ'!I139</f>
        <v>0</v>
      </c>
      <c r="K585" s="404">
        <f>'Управление ИБ'!L139</f>
        <v>0</v>
      </c>
      <c r="L585" s="404">
        <f t="shared" si="19"/>
        <v>0</v>
      </c>
      <c r="M585" s="373">
        <f t="shared" si="20"/>
        <v>1.6</v>
      </c>
      <c r="N585" s="407" t="str">
        <f>'Управление ИБ'!U139</f>
        <v>Качество процесса отслеживать с помощью метрик</v>
      </c>
      <c r="O585" s="407"/>
      <c r="P585" s="407"/>
    </row>
    <row r="586" spans="1:16" ht="93.6">
      <c r="A586" s="270" t="s">
        <v>780</v>
      </c>
      <c r="B586" s="406" t="s">
        <v>290</v>
      </c>
      <c r="C586" s="408" t="str">
        <f>'Управление ИБ'!B140</f>
        <v>Формализованы и определены процедуры контроля сторонней разработки.
Заказчиком осуществляется контроль безопасности ПО при заказе разработки ПО</v>
      </c>
      <c r="D586" s="408" t="str">
        <f>'Управление ИБ'!C140</f>
        <v>УИБ.БР.5.9.9</v>
      </c>
      <c r="E586" s="408">
        <f>'Управление ИБ'!D140</f>
        <v>5</v>
      </c>
      <c r="F586" s="408">
        <f>'Управление ИБ'!E140</f>
        <v>3.2</v>
      </c>
      <c r="G586" s="408">
        <f>'Управление ИБ'!F140</f>
        <v>1.6</v>
      </c>
      <c r="H586" s="409">
        <f>'Управление ИБ'!T140</f>
        <v>333.08999999999992</v>
      </c>
      <c r="I586" s="408">
        <f>'Управление ИБ'!K140</f>
        <v>1.6</v>
      </c>
      <c r="J586" s="408">
        <f>'Управление ИБ'!I140</f>
        <v>0</v>
      </c>
      <c r="K586" s="404">
        <f>'Управление ИБ'!L140</f>
        <v>0</v>
      </c>
      <c r="L586" s="404">
        <f t="shared" si="19"/>
        <v>0</v>
      </c>
      <c r="M586" s="373">
        <f t="shared" si="20"/>
        <v>1.6</v>
      </c>
      <c r="N586" s="407" t="str">
        <f>'Управление ИБ'!U140</f>
        <v>1. Вести отчетность по анализу кода ПО, полученного через цепочки поставок, на предмет внедрения вредоносного программного обеспечения для всех систем ;
2. Автоматизировать контроль безопасности ПО для всех систем;</v>
      </c>
      <c r="O586" s="407"/>
      <c r="P586" s="407"/>
    </row>
    <row r="587" spans="1:16" ht="109.2">
      <c r="A587" s="270" t="s">
        <v>780</v>
      </c>
      <c r="B587" s="406" t="s">
        <v>290</v>
      </c>
      <c r="C587" s="408" t="str">
        <f>'Управление ИБ'!B141</f>
        <v>Создан и актуален реестр одобренных компонентов ПО, принадлежащих сторонним производителям. 
Отслеживаются  обновления и свежие версии компонентов не реже раз в месяц.</v>
      </c>
      <c r="D587" s="408" t="str">
        <f>'Управление ИБ'!C141</f>
        <v>УИБ.БР.5.9.10</v>
      </c>
      <c r="E587" s="408">
        <f>'Управление ИБ'!D141</f>
        <v>5</v>
      </c>
      <c r="F587" s="408">
        <f>'Управление ИБ'!E141</f>
        <v>3.2</v>
      </c>
      <c r="G587" s="408">
        <f>'Управление ИБ'!F141</f>
        <v>1.6</v>
      </c>
      <c r="H587" s="409">
        <f>'Управление ИБ'!T141</f>
        <v>333.09999999999991</v>
      </c>
      <c r="I587" s="408">
        <f>'Управление ИБ'!K141</f>
        <v>1.6</v>
      </c>
      <c r="J587" s="408">
        <f>'Управление ИБ'!I141</f>
        <v>0</v>
      </c>
      <c r="K587" s="404">
        <f>'Управление ИБ'!L141</f>
        <v>0</v>
      </c>
      <c r="L587" s="404">
        <f t="shared" si="19"/>
        <v>0</v>
      </c>
      <c r="M587" s="373">
        <f t="shared" si="20"/>
        <v>1.6</v>
      </c>
      <c r="N587" s="407" t="str">
        <f>'Управление ИБ'!U141</f>
        <v>1.Мониторить процесс  поиска узявимостей в реестре одобренных компонентов ПО;
2.Отслеживать с помощью метрик процесс обновления ПО и информации об уязвимостях не реже одного раза в месяц.</v>
      </c>
      <c r="O587" s="407"/>
      <c r="P587" s="407"/>
    </row>
    <row r="588" spans="1:16" ht="78">
      <c r="A588" s="270" t="s">
        <v>780</v>
      </c>
      <c r="B588" s="406" t="s">
        <v>290</v>
      </c>
      <c r="C588" s="408" t="str">
        <f>'Управление ИБ'!B142</f>
        <v>Компоненты Реестра ПО скачиваются из проверенных источников и проверяются на безопасность перед установкой</v>
      </c>
      <c r="D588" s="408" t="str">
        <f>'Управление ИБ'!C142</f>
        <v>УИБ.БР.5.9.11</v>
      </c>
      <c r="E588" s="408">
        <f>'Управление ИБ'!D142</f>
        <v>5</v>
      </c>
      <c r="F588" s="408">
        <f>'Управление ИБ'!E142</f>
        <v>3.2</v>
      </c>
      <c r="G588" s="408">
        <f>'Управление ИБ'!F142</f>
        <v>1.6</v>
      </c>
      <c r="H588" s="409">
        <f>'Управление ИБ'!T142</f>
        <v>333.1099999999999</v>
      </c>
      <c r="I588" s="408">
        <f>'Управление ИБ'!K142</f>
        <v>1.6</v>
      </c>
      <c r="J588" s="408">
        <f>'Управление ИБ'!I142</f>
        <v>0</v>
      </c>
      <c r="K588" s="404">
        <f>'Управление ИБ'!L142</f>
        <v>0</v>
      </c>
      <c r="L588" s="404">
        <f t="shared" si="19"/>
        <v>0</v>
      </c>
      <c r="M588" s="373">
        <f t="shared" si="20"/>
        <v>1.6</v>
      </c>
      <c r="N588" s="407" t="str">
        <f>'Управление ИБ'!U142</f>
        <v xml:space="preserve">
Отслеживать с помощью метрик процесс проверки компонентов на уязвимости и угрозы безопасности.</v>
      </c>
      <c r="O588" s="407"/>
      <c r="P588" s="407"/>
    </row>
    <row r="589" spans="1:16" ht="93.6">
      <c r="A589" s="270" t="s">
        <v>780</v>
      </c>
      <c r="B589" s="406" t="s">
        <v>290</v>
      </c>
      <c r="C589" s="408" t="str">
        <f>'Управление ИБ'!B143</f>
        <v>При разработке ПО, для обеспечения безопасности критичных компонентов используются механизмы безопасности системного уровня</v>
      </c>
      <c r="D589" s="408" t="str">
        <f>'Управление ИБ'!C143</f>
        <v>УИБ.БР.5.9.12</v>
      </c>
      <c r="E589" s="408">
        <f>'Управление ИБ'!D143</f>
        <v>5</v>
      </c>
      <c r="F589" s="408">
        <f>'Управление ИБ'!E143</f>
        <v>3.2</v>
      </c>
      <c r="G589" s="408">
        <f>'Управление ИБ'!F143</f>
        <v>1.6</v>
      </c>
      <c r="H589" s="409">
        <f>'Управление ИБ'!T143</f>
        <v>333.11999999999989</v>
      </c>
      <c r="I589" s="408">
        <f>'Управление ИБ'!K143</f>
        <v>1.6</v>
      </c>
      <c r="J589" s="408">
        <f>'Управление ИБ'!I143</f>
        <v>0</v>
      </c>
      <c r="K589" s="404">
        <f>'Управление ИБ'!L143</f>
        <v>0</v>
      </c>
      <c r="L589" s="404">
        <f t="shared" si="19"/>
        <v>0</v>
      </c>
      <c r="M589" s="373">
        <f t="shared" si="20"/>
        <v>1.6</v>
      </c>
      <c r="N589" s="407" t="str">
        <f>'Управление ИБ'!U143</f>
        <v xml:space="preserve"> Для всех систем формализовать механизмы безопасности системного уровня для обеспечения безопасности критичных компонентов ПО.</v>
      </c>
      <c r="O589" s="407"/>
      <c r="P589" s="407"/>
    </row>
    <row r="590" spans="1:16" ht="78">
      <c r="A590" s="270" t="s">
        <v>780</v>
      </c>
      <c r="B590" s="406" t="s">
        <v>290</v>
      </c>
      <c r="C590" s="408" t="str">
        <f>'Управление ИБ'!B144</f>
        <v>Используется система обнаружения уязвимостей с рейтингом критичности и отслеживанием метрик</v>
      </c>
      <c r="D590" s="408" t="str">
        <f>'Управление ИБ'!C144</f>
        <v>УИБ.БР.5.9.13</v>
      </c>
      <c r="E590" s="408">
        <f>'Управление ИБ'!D144</f>
        <v>5</v>
      </c>
      <c r="F590" s="408">
        <f>'Управление ИБ'!E144</f>
        <v>5</v>
      </c>
      <c r="G590" s="408">
        <f>'Управление ИБ'!F144</f>
        <v>0</v>
      </c>
      <c r="H590" s="409">
        <f>'Управление ИБ'!T144</f>
        <v>333.12999999999988</v>
      </c>
      <c r="I590" s="408">
        <f>'Управление ИБ'!K144</f>
        <v>0</v>
      </c>
      <c r="J590" s="408">
        <f>'Управление ИБ'!I144</f>
        <v>0</v>
      </c>
      <c r="K590" s="404">
        <f>'Управление ИБ'!L144</f>
        <v>0</v>
      </c>
      <c r="L590" s="404" t="str">
        <f t="shared" si="19"/>
        <v xml:space="preserve"> </v>
      </c>
      <c r="M590" s="373">
        <f t="shared" si="20"/>
        <v>0</v>
      </c>
      <c r="N590" s="407" t="str">
        <f>'Управление ИБ'!U144</f>
        <v xml:space="preserve"> </v>
      </c>
      <c r="O590" s="407"/>
      <c r="P590" s="407"/>
    </row>
    <row r="591" spans="1:16" ht="78">
      <c r="A591" s="270" t="s">
        <v>780</v>
      </c>
      <c r="B591" s="406" t="s">
        <v>290</v>
      </c>
      <c r="C591" s="408" t="str">
        <f>'Управление ИБ'!B145</f>
        <v xml:space="preserve">Наиболее критичные замечания исправляются в первую очередь. </v>
      </c>
      <c r="D591" s="408" t="str">
        <f>'Управление ИБ'!C145</f>
        <v>УИБ.БР.5.9.14</v>
      </c>
      <c r="E591" s="408">
        <f>'Управление ИБ'!D145</f>
        <v>5</v>
      </c>
      <c r="F591" s="408">
        <f>'Управление ИБ'!E145</f>
        <v>5</v>
      </c>
      <c r="G591" s="408">
        <f>'Управление ИБ'!F145</f>
        <v>0</v>
      </c>
      <c r="H591" s="409">
        <f>'Управление ИБ'!T145</f>
        <v>333.13999999999987</v>
      </c>
      <c r="I591" s="408">
        <f>'Управление ИБ'!K145</f>
        <v>0</v>
      </c>
      <c r="J591" s="408">
        <f>'Управление ИБ'!I145</f>
        <v>0</v>
      </c>
      <c r="K591" s="404">
        <f>'Управление ИБ'!L145</f>
        <v>0</v>
      </c>
      <c r="L591" s="404" t="str">
        <f t="shared" si="19"/>
        <v xml:space="preserve"> </v>
      </c>
      <c r="M591" s="373">
        <f t="shared" si="20"/>
        <v>0</v>
      </c>
      <c r="N591" s="407" t="str">
        <f>'Управление ИБ'!U145</f>
        <v/>
      </c>
      <c r="O591" s="407"/>
      <c r="P591" s="407"/>
    </row>
    <row r="592" spans="1:16" ht="171.6">
      <c r="A592" s="270" t="s">
        <v>780</v>
      </c>
      <c r="B592" s="403" t="s">
        <v>328</v>
      </c>
      <c r="C592" s="404" t="str">
        <f>'Управление ИБ'!B154</f>
        <v>Управление устройствами хранения информации должно осуществляться на всем протяжении их жизненного цикла, включающего приобретение, использование, транспортировку и уничтожение, в соответствии с классификационной схемой Общества и требованиями к обращению.</v>
      </c>
      <c r="D592" s="404" t="str">
        <f>'Управление ИБ'!C154</f>
        <v>УИБ.ФД.4</v>
      </c>
      <c r="E592" s="404">
        <f>'Управление ИБ'!D154</f>
        <v>5</v>
      </c>
      <c r="F592" s="404">
        <f>'Управление ИБ'!E154</f>
        <v>3.2</v>
      </c>
      <c r="G592" s="404">
        <f>'Управление ИБ'!F154</f>
        <v>1.6</v>
      </c>
      <c r="H592" s="410">
        <f>'Управление ИБ'!T154</f>
        <v>334.03999999999996</v>
      </c>
      <c r="I592" s="404">
        <f>'Управление ИБ'!K154</f>
        <v>1.6</v>
      </c>
      <c r="J592" s="404">
        <f>'Управление ИБ'!I154</f>
        <v>0</v>
      </c>
      <c r="K592" s="404">
        <f>'Управление ИБ'!L154</f>
        <v>0</v>
      </c>
      <c r="L592" s="404">
        <f t="shared" si="19"/>
        <v>0</v>
      </c>
      <c r="M592" s="373">
        <f t="shared" si="20"/>
        <v>1.6</v>
      </c>
      <c r="N592" s="407" t="str">
        <f>'Управление ИБ'!U154</f>
        <v xml:space="preserve"> - Контролировать и оценивать процесс управления устройствами хранения информации;
   - Обеспечить планирование, внедрение и оптимизацию технологий и процессов, используемых для хранения данных, в т.ч. с применением сетевых устройств хранения данных;
   - Проводить регулярный контроль емкости, производительности, доступность и другие операционных показателей применяемых устройств хранения информации и их достаточность для обеспечения бизнес-процессов Общества</v>
      </c>
      <c r="O592" s="407"/>
      <c r="P592" s="407"/>
    </row>
    <row r="593" spans="1:16" ht="93.6">
      <c r="A593" s="270" t="s">
        <v>780</v>
      </c>
      <c r="B593" s="405" t="s">
        <v>55</v>
      </c>
      <c r="C593" s="517" t="str">
        <f>'Управление ИБ'!B108</f>
        <v>Процессы взаимодействия в ИТ цепочке c участниками цепочки поставок определены, управляются и согласовываются заинтересованными сторонами Общества</v>
      </c>
      <c r="D593" s="404" t="str">
        <f>'Управление ИБ'!C108</f>
        <v>УИБ.ЦП.1</v>
      </c>
      <c r="E593" s="404">
        <f>'Управление ИБ'!D108</f>
        <v>5</v>
      </c>
      <c r="F593" s="404">
        <f>'Управление ИБ'!E108</f>
        <v>3.2</v>
      </c>
      <c r="G593" s="404">
        <f>'Управление ИБ'!F108</f>
        <v>1.6</v>
      </c>
      <c r="H593" s="373">
        <f>'Управление ИБ'!T108</f>
        <v>335.01</v>
      </c>
      <c r="I593" s="404">
        <f>'Управление ИБ'!K108</f>
        <v>1.6</v>
      </c>
      <c r="J593" s="404">
        <f>'Управление ИБ'!I108</f>
        <v>0</v>
      </c>
      <c r="K593" s="404">
        <f>'Управление ИБ'!L108</f>
        <v>0</v>
      </c>
      <c r="L593" s="404">
        <f t="shared" si="19"/>
        <v>0</v>
      </c>
      <c r="M593" s="373">
        <f t="shared" si="20"/>
        <v>1.6</v>
      </c>
      <c r="N593" s="407" t="str">
        <f>'Управление ИБ'!U108</f>
        <v/>
      </c>
      <c r="O593" s="407"/>
      <c r="P593" s="407"/>
    </row>
    <row r="594" spans="1:16" ht="78">
      <c r="A594" s="270" t="s">
        <v>780</v>
      </c>
      <c r="B594" s="405" t="s">
        <v>55</v>
      </c>
      <c r="C594" s="517" t="str">
        <f>'Управление ИБ'!B109</f>
        <v>В договорах со всеми подрядчиками прописана необходимость соблюдения мер информационной безопасности</v>
      </c>
      <c r="D594" s="404" t="str">
        <f>'Управление ИБ'!C109</f>
        <v>УИБ.ЦП.2</v>
      </c>
      <c r="E594" s="404">
        <f>'Управление ИБ'!D109</f>
        <v>5</v>
      </c>
      <c r="F594" s="404">
        <f>'Управление ИБ'!E109</f>
        <v>3.2</v>
      </c>
      <c r="G594" s="404">
        <f>'Управление ИБ'!F109</f>
        <v>1.6</v>
      </c>
      <c r="H594" s="373">
        <f>'Управление ИБ'!T109</f>
        <v>335.02</v>
      </c>
      <c r="I594" s="404">
        <f>'Управление ИБ'!K109</f>
        <v>1.6</v>
      </c>
      <c r="J594" s="404">
        <f>'Управление ИБ'!I109</f>
        <v>0</v>
      </c>
      <c r="K594" s="404">
        <f>'Управление ИБ'!L109</f>
        <v>0</v>
      </c>
      <c r="L594" s="404">
        <f t="shared" si="19"/>
        <v>0</v>
      </c>
      <c r="M594" s="373">
        <f t="shared" si="20"/>
        <v>1.6</v>
      </c>
      <c r="N594" s="407" t="str">
        <f>'Управление ИБ'!U109</f>
        <v xml:space="preserve"> - Вести мониторинг работы подрядчиков и контролировать соблюдение мер ИБ.</v>
      </c>
      <c r="O594" s="407"/>
      <c r="P594" s="407"/>
    </row>
    <row r="595" spans="1:16" ht="140.4">
      <c r="A595" s="270" t="s">
        <v>780</v>
      </c>
      <c r="B595" s="405" t="s">
        <v>55</v>
      </c>
      <c r="C595" s="517" t="str">
        <f>'Управление ИБ'!B110</f>
        <v>Поставщики и сторонние партнеры регулярно проходят оценку, чтобы подтвердить, что они выполняют свои договорные обязательства. Проводятся обзоры аудитов, резюме результатов испытаний или другие эквивалентные оценки поставщиков</v>
      </c>
      <c r="D595" s="404" t="str">
        <f>'Управление ИБ'!C110</f>
        <v>УИБ.ЦП.3</v>
      </c>
      <c r="E595" s="404">
        <f>'Управление ИБ'!D110</f>
        <v>5</v>
      </c>
      <c r="F595" s="404">
        <f>'Управление ИБ'!E110</f>
        <v>3.2</v>
      </c>
      <c r="G595" s="404">
        <f>'Управление ИБ'!F110</f>
        <v>1.6</v>
      </c>
      <c r="H595" s="373">
        <f>'Управление ИБ'!T110</f>
        <v>335.03</v>
      </c>
      <c r="I595" s="404">
        <f>'Управление ИБ'!K110</f>
        <v>1.6</v>
      </c>
      <c r="J595" s="404">
        <f>'Управление ИБ'!I110</f>
        <v>0</v>
      </c>
      <c r="K595" s="404">
        <f>'Управление ИБ'!L110</f>
        <v>0</v>
      </c>
      <c r="L595" s="404">
        <f t="shared" si="19"/>
        <v>0</v>
      </c>
      <c r="M595" s="373">
        <f t="shared" si="20"/>
        <v>1.6</v>
      </c>
      <c r="N595" s="407" t="str">
        <f>'Управление ИБ'!U110</f>
        <v xml:space="preserve"> - Регулярно запрашивать у подрядчиков отчеты о пройденных аудитах.</v>
      </c>
      <c r="O595" s="407"/>
      <c r="P595" s="407"/>
    </row>
    <row r="596" spans="1:16" ht="62.4">
      <c r="A596" s="270" t="s">
        <v>19</v>
      </c>
      <c r="B596" s="403" t="s">
        <v>203</v>
      </c>
      <c r="C596" s="404" t="str">
        <f>Реагирование!B44</f>
        <v>Определен и обновляется список участников процессов реагирования (ИБ, ИТ, PR, HR, юристы, подрядчики)</v>
      </c>
      <c r="D596" s="404" t="str">
        <f>Реагирование!C44</f>
        <v>РЕАГ.КМНК.1</v>
      </c>
      <c r="E596" s="404">
        <f>Реагирование!D44</f>
        <v>5</v>
      </c>
      <c r="F596" s="404">
        <f>Реагирование!E44</f>
        <v>3.2</v>
      </c>
      <c r="G596" s="404">
        <f>Реагирование!F44</f>
        <v>0</v>
      </c>
      <c r="H596" s="373">
        <f>Реагирование!T44</f>
        <v>337.01</v>
      </c>
      <c r="I596" s="404">
        <f>Реагирование!K44</f>
        <v>0</v>
      </c>
      <c r="J596" s="404">
        <f>Реагирование!I44</f>
        <v>0</v>
      </c>
      <c r="K596" s="404">
        <f>Реагирование!L44</f>
        <v>0</v>
      </c>
      <c r="L596" s="404" t="str">
        <f t="shared" si="19"/>
        <v xml:space="preserve"> </v>
      </c>
      <c r="M596" s="373">
        <f t="shared" si="20"/>
        <v>0</v>
      </c>
      <c r="N596" s="407" t="str">
        <f>Реагирование!U44</f>
        <v xml:space="preserve"> - Постоянно актуализировать список участников процессов реагирования на инциденты, их контактных данных.</v>
      </c>
      <c r="O596" s="407"/>
      <c r="P596" s="407"/>
    </row>
    <row r="597" spans="1:16" ht="62.4">
      <c r="A597" s="270" t="s">
        <v>19</v>
      </c>
      <c r="B597" s="403" t="s">
        <v>203</v>
      </c>
      <c r="C597" s="404" t="str">
        <f>Реагирование!B45</f>
        <v>Определены средства и каналы коммуникации и приоритет их использования</v>
      </c>
      <c r="D597" s="404" t="str">
        <f>Реагирование!C45</f>
        <v>РЕАГ.КМНК.2</v>
      </c>
      <c r="E597" s="404">
        <f>Реагирование!D45</f>
        <v>5</v>
      </c>
      <c r="F597" s="404">
        <f>Реагирование!E45</f>
        <v>3.2</v>
      </c>
      <c r="G597" s="404">
        <f>Реагирование!F45</f>
        <v>0</v>
      </c>
      <c r="H597" s="373">
        <f>Реагирование!T45</f>
        <v>337.02</v>
      </c>
      <c r="I597" s="404">
        <f>Реагирование!K45</f>
        <v>0</v>
      </c>
      <c r="J597" s="404">
        <f>Реагирование!I45</f>
        <v>0</v>
      </c>
      <c r="K597" s="404">
        <f>Реагирование!L45</f>
        <v>0</v>
      </c>
      <c r="L597" s="404" t="str">
        <f t="shared" si="19"/>
        <v xml:space="preserve"> </v>
      </c>
      <c r="M597" s="373">
        <f t="shared" si="20"/>
        <v>0</v>
      </c>
      <c r="N597" s="407" t="str">
        <f>Реагирование!U45</f>
        <v xml:space="preserve"> - Проводить периодическую проверку каналов коммуникации.</v>
      </c>
      <c r="O597" s="407"/>
      <c r="P597" s="407"/>
    </row>
    <row r="598" spans="1:16" ht="62.4">
      <c r="A598" s="270" t="s">
        <v>19</v>
      </c>
      <c r="B598" s="403" t="s">
        <v>203</v>
      </c>
      <c r="C598" s="404" t="str">
        <f>Реагирование!B46</f>
        <v>Определен порядок эскалации инцидентов</v>
      </c>
      <c r="D598" s="404" t="str">
        <f>Реагирование!C46</f>
        <v>РЕАГ.КМНК.3</v>
      </c>
      <c r="E598" s="404">
        <f>Реагирование!D46</f>
        <v>5</v>
      </c>
      <c r="F598" s="404">
        <f>Реагирование!E46</f>
        <v>3.2</v>
      </c>
      <c r="G598" s="404">
        <f>Реагирование!F46</f>
        <v>0</v>
      </c>
      <c r="H598" s="373">
        <f>Реагирование!T46</f>
        <v>337.03</v>
      </c>
      <c r="I598" s="404">
        <f>Реагирование!K46</f>
        <v>0</v>
      </c>
      <c r="J598" s="404">
        <f>Реагирование!I46</f>
        <v>0</v>
      </c>
      <c r="K598" s="404">
        <f>Реагирование!L46</f>
        <v>0</v>
      </c>
      <c r="L598" s="404" t="str">
        <f t="shared" si="19"/>
        <v xml:space="preserve"> </v>
      </c>
      <c r="M598" s="373">
        <f t="shared" si="20"/>
        <v>0</v>
      </c>
      <c r="N598" s="407" t="str">
        <f>Реагирование!U46</f>
        <v xml:space="preserve"> - Контролировать и оценивать эффективность процесса  реагирования на инциденты при эскалациях.</v>
      </c>
      <c r="O598" s="407"/>
      <c r="P598" s="407"/>
    </row>
    <row r="599" spans="1:16" ht="62.4">
      <c r="A599" s="270" t="s">
        <v>19</v>
      </c>
      <c r="B599" s="403" t="s">
        <v>203</v>
      </c>
      <c r="C599" s="404" t="str">
        <f>Реагирование!B47</f>
        <v>Определен порядок взаимодействия с регуляторами по инцидентам ИБ</v>
      </c>
      <c r="D599" s="404" t="str">
        <f>Реагирование!C47</f>
        <v>РЕАГ.КМНК.4</v>
      </c>
      <c r="E599" s="404">
        <f>Реагирование!D47</f>
        <v>5</v>
      </c>
      <c r="F599" s="404">
        <f>Реагирование!E47</f>
        <v>3.2</v>
      </c>
      <c r="G599" s="404">
        <f>Реагирование!F47</f>
        <v>1.6</v>
      </c>
      <c r="H599" s="373">
        <f>Реагирование!T47</f>
        <v>337.03999999999996</v>
      </c>
      <c r="I599" s="404">
        <f>Реагирование!K47</f>
        <v>1.6</v>
      </c>
      <c r="J599" s="404">
        <f>Реагирование!I47</f>
        <v>0</v>
      </c>
      <c r="K599" s="404">
        <f>Реагирование!L47</f>
        <v>1.6</v>
      </c>
      <c r="L599" s="404">
        <f t="shared" si="19"/>
        <v>1.6</v>
      </c>
      <c r="M599" s="373">
        <f t="shared" si="20"/>
        <v>0</v>
      </c>
      <c r="N599" s="407" t="str">
        <f>Реагирование!U47</f>
        <v/>
      </c>
      <c r="O599" s="407"/>
      <c r="P599" s="407"/>
    </row>
    <row r="600" spans="1:16" ht="62.4">
      <c r="A600" s="270" t="s">
        <v>19</v>
      </c>
      <c r="B600" s="403" t="s">
        <v>203</v>
      </c>
      <c r="C600" s="404" t="str">
        <f>Реагирование!B48</f>
        <v>Для значимых инцидентов подготовлены планы коммуникаций</v>
      </c>
      <c r="D600" s="404" t="str">
        <f>Реагирование!C48</f>
        <v>РЕАГ.КМНК.5</v>
      </c>
      <c r="E600" s="404">
        <f>Реагирование!D48</f>
        <v>5</v>
      </c>
      <c r="F600" s="404">
        <f>Реагирование!E48</f>
        <v>3.2</v>
      </c>
      <c r="G600" s="404">
        <f>Реагирование!F48</f>
        <v>1.6</v>
      </c>
      <c r="H600" s="373">
        <f>Реагирование!T48</f>
        <v>337.04999999999995</v>
      </c>
      <c r="I600" s="404">
        <f>Реагирование!K48</f>
        <v>1.6</v>
      </c>
      <c r="J600" s="404">
        <f>Реагирование!I48</f>
        <v>0</v>
      </c>
      <c r="K600" s="404">
        <f>Реагирование!L48</f>
        <v>0</v>
      </c>
      <c r="L600" s="404">
        <f t="shared" si="19"/>
        <v>0</v>
      </c>
      <c r="M600" s="373">
        <f t="shared" si="20"/>
        <v>1.6</v>
      </c>
      <c r="N600" s="407" t="str">
        <f>Реагирование!U48</f>
        <v xml:space="preserve"> - Актуализировать план коммуникаций значимых инцидентов не реже чем раз в 3 месяца;
 -  Анализировать эффективность каналов коммуникаций при значимых инцидентах.</v>
      </c>
      <c r="O600" s="407"/>
      <c r="P600" s="407"/>
    </row>
    <row r="601" spans="1:16" ht="93.6">
      <c r="A601" s="504" t="s">
        <v>69</v>
      </c>
      <c r="B601" s="405" t="s">
        <v>97</v>
      </c>
      <c r="C601" s="517" t="str">
        <f>'Нормативное соответствие'!B106</f>
        <v>Утвержден документ, регламентирующий  организацию, эксплуатацию и вывод из эксплуатации СКЗИ в организации, включая формы соответствующих документов</v>
      </c>
      <c r="D601" s="404" t="str">
        <f>'Нормативное соответствие'!C106</f>
        <v>НС.СКЗИ.5.9.3.10</v>
      </c>
      <c r="E601" s="404">
        <f>'Нормативное соответствие'!D106</f>
        <v>5</v>
      </c>
      <c r="F601" s="404">
        <f>'Нормативное соответствие'!E106</f>
        <v>3.2</v>
      </c>
      <c r="G601" s="404">
        <f>'Нормативное соответствие'!F106</f>
        <v>1.6</v>
      </c>
      <c r="H601" s="411">
        <f>'Нормативное соответствие'!T106</f>
        <v>337.09999999999997</v>
      </c>
      <c r="I601" s="404">
        <f>'Нормативное соответствие'!K106</f>
        <v>1.6</v>
      </c>
      <c r="J601" s="404">
        <f>'Нормативное соответствие'!I106</f>
        <v>0</v>
      </c>
      <c r="K601" s="404">
        <f>'Нормативное соответствие'!L106</f>
        <v>0</v>
      </c>
      <c r="L601" s="404">
        <f t="shared" si="19"/>
        <v>0</v>
      </c>
      <c r="M601" s="373">
        <f t="shared" si="20"/>
        <v>1.6</v>
      </c>
      <c r="N601" s="407" t="str">
        <f>'Нормативное соответствие'!U106</f>
        <v/>
      </c>
      <c r="O601" s="407"/>
      <c r="P601" s="407"/>
    </row>
    <row r="602" spans="1:16" ht="78">
      <c r="A602" s="270" t="s">
        <v>780</v>
      </c>
      <c r="B602" s="406" t="s">
        <v>17</v>
      </c>
      <c r="C602" s="408" t="str">
        <f>'Управление ИБ'!B126</f>
        <v>Определены требования к отказоустойчивости компонент</v>
      </c>
      <c r="D602" s="408" t="str">
        <f>'Управление ИБ'!C126</f>
        <v>УИБ.ОД.1</v>
      </c>
      <c r="E602" s="408">
        <f>'Управление ИБ'!D126</f>
        <v>5</v>
      </c>
      <c r="F602" s="408">
        <f>'Управление ИБ'!E126</f>
        <v>5</v>
      </c>
      <c r="G602" s="408">
        <f>'Управление ИБ'!F126</f>
        <v>0</v>
      </c>
      <c r="H602" s="401">
        <f>'Управление ИБ'!T126</f>
        <v>339.01</v>
      </c>
      <c r="I602" s="408">
        <f>'Управление ИБ'!K126</f>
        <v>0</v>
      </c>
      <c r="J602" s="408">
        <f>'Управление ИБ'!I126</f>
        <v>0</v>
      </c>
      <c r="K602" s="404">
        <f>'Управление ИБ'!L126</f>
        <v>0</v>
      </c>
      <c r="L602" s="404" t="str">
        <f t="shared" si="19"/>
        <v xml:space="preserve"> </v>
      </c>
      <c r="M602" s="373">
        <f t="shared" si="20"/>
        <v>0</v>
      </c>
      <c r="N602" s="407" t="str">
        <f>'Управление ИБ'!U126</f>
        <v xml:space="preserve">  - Регламентировать процесс обеспечения отказоустойчивости;
    - Контролировать выполнение требований к отказоустойчивости.</v>
      </c>
      <c r="O602" s="407"/>
      <c r="P602" s="407"/>
    </row>
    <row r="603" spans="1:16" ht="78">
      <c r="A603" s="270" t="s">
        <v>780</v>
      </c>
      <c r="B603" s="406" t="s">
        <v>17</v>
      </c>
      <c r="C603" s="408" t="str">
        <f>'Управление ИБ'!B127</f>
        <v>Осуществляется дублирование инфраструктуры в разных территориально разделенных ЦОД</v>
      </c>
      <c r="D603" s="408" t="str">
        <f>'Управление ИБ'!C127</f>
        <v>УИБ.ОД.2</v>
      </c>
      <c r="E603" s="408">
        <f>'Управление ИБ'!D127</f>
        <v>5</v>
      </c>
      <c r="F603" s="408">
        <f>'Управление ИБ'!E127</f>
        <v>3.2</v>
      </c>
      <c r="G603" s="408">
        <f>'Управление ИБ'!F127</f>
        <v>0</v>
      </c>
      <c r="H603" s="401">
        <f>'Управление ИБ'!T127</f>
        <v>339.02</v>
      </c>
      <c r="I603" s="408">
        <f>'Управление ИБ'!K127</f>
        <v>0</v>
      </c>
      <c r="J603" s="408">
        <f>'Управление ИБ'!I127</f>
        <v>0</v>
      </c>
      <c r="K603" s="404">
        <f>'Управление ИБ'!L127</f>
        <v>0</v>
      </c>
      <c r="L603" s="404" t="str">
        <f t="shared" si="19"/>
        <v xml:space="preserve"> </v>
      </c>
      <c r="M603" s="373">
        <f t="shared" si="20"/>
        <v>0</v>
      </c>
      <c r="N603" s="407" t="str">
        <f>'Управление ИБ'!U127</f>
        <v xml:space="preserve"> - Обеспечить дублирование инфраструктуры в разных ЦОД для всех ИС и хранилищ резервных копий;
   - Регламентировать порядок дублирования инфраструктуры в территориально разделенных ЦОД.</v>
      </c>
      <c r="O603" s="407"/>
      <c r="P603" s="407"/>
    </row>
    <row r="604" spans="1:16" ht="78">
      <c r="A604" s="270" t="s">
        <v>780</v>
      </c>
      <c r="B604" s="406" t="s">
        <v>17</v>
      </c>
      <c r="C604" s="408" t="str">
        <f>'Управление ИБ'!B128</f>
        <v>Осуществляется кластеризация компонентов Mission Critical и Busines Critical систем</v>
      </c>
      <c r="D604" s="408" t="str">
        <f>'Управление ИБ'!C128</f>
        <v>УИБ.ОД.3</v>
      </c>
      <c r="E604" s="408">
        <f>'Управление ИБ'!D128</f>
        <v>5</v>
      </c>
      <c r="F604" s="408">
        <f>'Управление ИБ'!E128</f>
        <v>5</v>
      </c>
      <c r="G604" s="408">
        <f>'Управление ИБ'!F128</f>
        <v>0</v>
      </c>
      <c r="H604" s="401">
        <f>'Управление ИБ'!T128</f>
        <v>339.03</v>
      </c>
      <c r="I604" s="408">
        <f>'Управление ИБ'!K128</f>
        <v>0</v>
      </c>
      <c r="J604" s="408">
        <f>'Управление ИБ'!I128</f>
        <v>0</v>
      </c>
      <c r="K604" s="404">
        <f>'Управление ИБ'!L128</f>
        <v>0</v>
      </c>
      <c r="L604" s="404" t="str">
        <f t="shared" si="19"/>
        <v xml:space="preserve"> </v>
      </c>
      <c r="M604" s="373">
        <f t="shared" si="20"/>
        <v>0</v>
      </c>
      <c r="N604" s="407" t="str">
        <f>'Управление ИБ'!U128</f>
        <v xml:space="preserve"> - Реализовать процесс периодического тестирования кластеризованных компонентов на отказоустойчивость.</v>
      </c>
      <c r="O604" s="407"/>
      <c r="P604" s="407"/>
    </row>
    <row r="605" spans="1:16" ht="109.2">
      <c r="A605" s="270" t="s">
        <v>780</v>
      </c>
      <c r="B605" s="406" t="s">
        <v>17</v>
      </c>
      <c r="C605" s="408" t="str">
        <f>'Управление ИБ'!B129</f>
        <v>Наличие достаточного перечня запасных частей и материалов, а также активной технической поддержки на оборудование и программное обеспечение</v>
      </c>
      <c r="D605" s="408" t="str">
        <f>'Управление ИБ'!C129</f>
        <v>УИБ.ОД.6</v>
      </c>
      <c r="E605" s="408">
        <f>'Управление ИБ'!D129</f>
        <v>5</v>
      </c>
      <c r="F605" s="408">
        <f>'Управление ИБ'!E129</f>
        <v>3.2</v>
      </c>
      <c r="G605" s="408">
        <f>'Управление ИБ'!F129</f>
        <v>0</v>
      </c>
      <c r="H605" s="401">
        <f>'Управление ИБ'!T129</f>
        <v>339.03999999999996</v>
      </c>
      <c r="I605" s="408">
        <f>'Управление ИБ'!K129</f>
        <v>0</v>
      </c>
      <c r="J605" s="408">
        <f>'Управление ИБ'!I129</f>
        <v>0</v>
      </c>
      <c r="K605" s="404">
        <f>'Управление ИБ'!L129</f>
        <v>0</v>
      </c>
      <c r="L605" s="404" t="str">
        <f t="shared" si="19"/>
        <v xml:space="preserve"> </v>
      </c>
      <c r="M605" s="373">
        <f t="shared" si="20"/>
        <v>0</v>
      </c>
      <c r="N605" s="407" t="str">
        <f>'Управление ИБ'!U129</f>
        <v xml:space="preserve"> - Определить перечень запасных частей и материалов, необходимых для обеспечения непрерывной работы информационных систем, плановой замены, развития, восстановления при авариях;
  - Закупить в требуемом объеме запасные части и материалы;
  - Заключить договоры на техническую поддержку оборудования и ПО;
  - Регламентировать процессы обеспечения запасными частями и материалами, требуемые объемы и уровни запасов с учетом критичности информационных систем.</v>
      </c>
      <c r="O605" s="407"/>
      <c r="P605" s="407"/>
    </row>
    <row r="606" spans="1:16" ht="78">
      <c r="A606" s="270" t="s">
        <v>780</v>
      </c>
      <c r="B606" s="406" t="s">
        <v>17</v>
      </c>
      <c r="C606" s="408" t="str">
        <f>'Управление ИБ'!B130</f>
        <v>Обеспечивается уровень доступности систем и средств защиты не ниже, чем уровень доступности защищаемых информационных систем</v>
      </c>
      <c r="D606" s="408" t="str">
        <f>'Управление ИБ'!C130</f>
        <v>УИБ.ОД.7</v>
      </c>
      <c r="E606" s="408">
        <f>'Управление ИБ'!D130</f>
        <v>5</v>
      </c>
      <c r="F606" s="408">
        <f>'Управление ИБ'!E130</f>
        <v>3.2</v>
      </c>
      <c r="G606" s="408">
        <f>'Управление ИБ'!F130</f>
        <v>0</v>
      </c>
      <c r="H606" s="401">
        <f>'Управление ИБ'!T130</f>
        <v>339.04999999999995</v>
      </c>
      <c r="I606" s="408">
        <f>'Управление ИБ'!K130</f>
        <v>0</v>
      </c>
      <c r="J606" s="408">
        <f>'Управление ИБ'!I130</f>
        <v>0</v>
      </c>
      <c r="K606" s="404">
        <f>'Управление ИБ'!L130</f>
        <v>0</v>
      </c>
      <c r="L606" s="404" t="str">
        <f t="shared" si="19"/>
        <v xml:space="preserve"> </v>
      </c>
      <c r="M606" s="373">
        <f t="shared" si="20"/>
        <v>0</v>
      </c>
      <c r="N606" s="407" t="str">
        <f>'Управление ИБ'!U130</f>
        <v xml:space="preserve"> - Реализовать процесс периодического тестирования средств защиты в рамках общего процесса тестирования ИС на отказоустойчивость.</v>
      </c>
      <c r="O606" s="407"/>
      <c r="P606" s="407"/>
    </row>
    <row r="607" spans="1:16" ht="78">
      <c r="A607" s="270" t="s">
        <v>780</v>
      </c>
      <c r="B607" s="403" t="s">
        <v>30</v>
      </c>
      <c r="C607" s="404" t="str">
        <f>'Управление ИБ'!B73</f>
        <v>Разработана и утверждена Политика управления рисками ИБ</v>
      </c>
      <c r="D607" s="404" t="str">
        <f>'Управление ИБ'!C73</f>
        <v>УИБ.УР.2</v>
      </c>
      <c r="E607" s="404">
        <f>'Управление ИБ'!D73</f>
        <v>5</v>
      </c>
      <c r="F607" s="404">
        <f>'Управление ИБ'!E73</f>
        <v>0</v>
      </c>
      <c r="G607" s="404">
        <f>'Управление ИБ'!F73</f>
        <v>0</v>
      </c>
      <c r="H607" s="373">
        <f>'Управление ИБ'!T73</f>
        <v>341.02</v>
      </c>
      <c r="I607" s="404">
        <f>'Управление ИБ'!K73</f>
        <v>0</v>
      </c>
      <c r="J607" s="404">
        <f>'Управление ИБ'!I73</f>
        <v>0</v>
      </c>
      <c r="K607" s="404">
        <f>'Управление ИБ'!L73</f>
        <v>0</v>
      </c>
      <c r="L607" s="404" t="str">
        <f t="shared" si="19"/>
        <v xml:space="preserve"> </v>
      </c>
      <c r="M607" s="373">
        <f t="shared" si="20"/>
        <v>0</v>
      </c>
      <c r="N607" s="407" t="str">
        <f>'Управление ИБ'!U73</f>
        <v>- Разработать или Получить в Блоке ИБ ПАО Ростелеком типовую политику  управления рисками;
- Утвердить в Обществе политику  управления рисками</v>
      </c>
      <c r="O607" s="407"/>
      <c r="P607" s="407"/>
    </row>
    <row r="608" spans="1:16" ht="78">
      <c r="A608" s="270" t="s">
        <v>780</v>
      </c>
      <c r="B608" s="403" t="s">
        <v>30</v>
      </c>
      <c r="C608" s="404" t="str">
        <f>'Управление ИБ'!B75</f>
        <v>Внедрен процесс количественной оценки рисков</v>
      </c>
      <c r="D608" s="404" t="str">
        <f>'Управление ИБ'!C75</f>
        <v>УИБ.УР.4</v>
      </c>
      <c r="E608" s="404">
        <f>'Управление ИБ'!D75</f>
        <v>4</v>
      </c>
      <c r="F608" s="404">
        <f>'Управление ИБ'!E75</f>
        <v>0</v>
      </c>
      <c r="G608" s="404">
        <f>'Управление ИБ'!F75</f>
        <v>0</v>
      </c>
      <c r="H608" s="373">
        <f>'Управление ИБ'!T75</f>
        <v>341.03999999999996</v>
      </c>
      <c r="I608" s="404">
        <f>'Управление ИБ'!K75</f>
        <v>0</v>
      </c>
      <c r="J608" s="404">
        <f>'Управление ИБ'!I75</f>
        <v>0</v>
      </c>
      <c r="K608" s="404">
        <f>'Управление ИБ'!L75</f>
        <v>0</v>
      </c>
      <c r="L608" s="404" t="str">
        <f t="shared" si="19"/>
        <v xml:space="preserve"> </v>
      </c>
      <c r="M608" s="373">
        <f t="shared" si="20"/>
        <v>0</v>
      </c>
      <c r="N608" s="407" t="str">
        <f>'Управление ИБ'!U75</f>
        <v/>
      </c>
      <c r="O608" s="407"/>
      <c r="P608" s="407"/>
    </row>
    <row r="609" spans="1:16" ht="78">
      <c r="A609" s="270" t="s">
        <v>780</v>
      </c>
      <c r="B609" s="403" t="s">
        <v>30</v>
      </c>
      <c r="C609" s="404" t="str">
        <f>'Управление ИБ'!B76</f>
        <v>Процесс оценки рисков ИБ интегрирован в общую систему управления рисками Общества</v>
      </c>
      <c r="D609" s="404" t="str">
        <f>'Управление ИБ'!C76</f>
        <v>УИБ.УР.5</v>
      </c>
      <c r="E609" s="404">
        <f>'Управление ИБ'!D76</f>
        <v>5</v>
      </c>
      <c r="F609" s="404">
        <f>'Управление ИБ'!E76</f>
        <v>0</v>
      </c>
      <c r="G609" s="404">
        <f>'Управление ИБ'!F76</f>
        <v>0</v>
      </c>
      <c r="H609" s="373">
        <f>'Управление ИБ'!T76</f>
        <v>341.04999999999995</v>
      </c>
      <c r="I609" s="404">
        <f>'Управление ИБ'!K76</f>
        <v>0</v>
      </c>
      <c r="J609" s="404">
        <f>'Управление ИБ'!I76</f>
        <v>0</v>
      </c>
      <c r="K609" s="404">
        <f>'Управление ИБ'!L76</f>
        <v>0</v>
      </c>
      <c r="L609" s="404" t="str">
        <f t="shared" si="19"/>
        <v xml:space="preserve"> </v>
      </c>
      <c r="M609" s="373">
        <f t="shared" si="20"/>
        <v>0</v>
      </c>
      <c r="N609" s="407" t="str">
        <f>'Управление ИБ'!U76</f>
        <v/>
      </c>
      <c r="O609" s="407"/>
      <c r="P609" s="407"/>
    </row>
    <row r="610" spans="1:16" ht="78">
      <c r="A610" s="270" t="s">
        <v>780</v>
      </c>
      <c r="B610" s="403" t="s">
        <v>439</v>
      </c>
      <c r="C610" s="404" t="str">
        <f>'Управление ИБ'!B190</f>
        <v>Наличие нормативного документа, регламентирующего категории конфиденциальности обрабатываемой информации</v>
      </c>
      <c r="D610" s="404" t="str">
        <f>'Управление ИБ'!C190</f>
        <v>УИБ.Д.1</v>
      </c>
      <c r="E610" s="404">
        <f>'Управление ИБ'!D190</f>
        <v>5</v>
      </c>
      <c r="F610" s="404">
        <f>'Управление ИБ'!E190</f>
        <v>5</v>
      </c>
      <c r="G610" s="404">
        <f>'Управление ИБ'!F190</f>
        <v>0</v>
      </c>
      <c r="H610" s="373">
        <f>'Управление ИБ'!T190</f>
        <v>342.01</v>
      </c>
      <c r="I610" s="404">
        <f>'Управление ИБ'!K190</f>
        <v>0</v>
      </c>
      <c r="J610" s="404">
        <f>'Управление ИБ'!I190</f>
        <v>0</v>
      </c>
      <c r="K610" s="404">
        <f>'Управление ИБ'!L190</f>
        <v>5</v>
      </c>
      <c r="L610" s="404" t="str">
        <f t="shared" si="19"/>
        <v xml:space="preserve"> </v>
      </c>
      <c r="M610" s="373">
        <f t="shared" si="20"/>
        <v>0</v>
      </c>
      <c r="N610" s="407" t="str">
        <f>'Управление ИБ'!U190</f>
        <v/>
      </c>
      <c r="O610" s="407"/>
      <c r="P610" s="407"/>
    </row>
    <row r="611" spans="1:16" ht="78">
      <c r="A611" s="270" t="s">
        <v>780</v>
      </c>
      <c r="B611" s="403" t="s">
        <v>439</v>
      </c>
      <c r="C611" s="404" t="str">
        <f>'Управление ИБ'!B191</f>
        <v>Данные на носимых устройствах хранятся в зашифрованном виде</v>
      </c>
      <c r="D611" s="404" t="str">
        <f>'Управление ИБ'!C191</f>
        <v>УИБ.Д.2</v>
      </c>
      <c r="E611" s="404">
        <f>'Управление ИБ'!D191</f>
        <v>5</v>
      </c>
      <c r="F611" s="404">
        <f>'Управление ИБ'!E191</f>
        <v>3.2</v>
      </c>
      <c r="G611" s="404">
        <f>'Управление ИБ'!F191</f>
        <v>1.6</v>
      </c>
      <c r="H611" s="373">
        <f>'Управление ИБ'!T191</f>
        <v>342.02</v>
      </c>
      <c r="I611" s="404">
        <f>'Управление ИБ'!K191</f>
        <v>1.6</v>
      </c>
      <c r="J611" s="404">
        <f>'Управление ИБ'!I191</f>
        <v>0</v>
      </c>
      <c r="K611" s="404">
        <f>'Управление ИБ'!L191</f>
        <v>0</v>
      </c>
      <c r="L611" s="404">
        <f t="shared" si="19"/>
        <v>0</v>
      </c>
      <c r="M611" s="373">
        <f t="shared" si="20"/>
        <v>1.6</v>
      </c>
      <c r="N611" s="407" t="str">
        <f>'Управление ИБ'!U191</f>
        <v xml:space="preserve"> - Приобрести и установить средства шифрования данных на носимых устройствах (ноутбуки, планшеты, телефоны): 100% устройств</v>
      </c>
      <c r="O611" s="407"/>
      <c r="P611" s="407"/>
    </row>
    <row r="612" spans="1:16" ht="78">
      <c r="A612" s="270" t="s">
        <v>780</v>
      </c>
      <c r="B612" s="403" t="s">
        <v>439</v>
      </c>
      <c r="C612" s="404" t="str">
        <f>'Управление ИБ'!B192</f>
        <v>Передаваемые между сегментами сетей данные защищены</v>
      </c>
      <c r="D612" s="404" t="str">
        <f>'Управление ИБ'!C192</f>
        <v>УИБ.Д.3</v>
      </c>
      <c r="E612" s="404">
        <f>'Управление ИБ'!D192</f>
        <v>5</v>
      </c>
      <c r="F612" s="404">
        <f>'Управление ИБ'!E192</f>
        <v>5</v>
      </c>
      <c r="G612" s="404">
        <f>'Управление ИБ'!F192</f>
        <v>1.6</v>
      </c>
      <c r="H612" s="373">
        <f>'Управление ИБ'!T192</f>
        <v>342.03</v>
      </c>
      <c r="I612" s="404">
        <f>'Управление ИБ'!K192</f>
        <v>1.6</v>
      </c>
      <c r="J612" s="404">
        <f>'Управление ИБ'!I192</f>
        <v>0</v>
      </c>
      <c r="K612" s="404">
        <f>'Управление ИБ'!L192</f>
        <v>5</v>
      </c>
      <c r="L612" s="404">
        <f t="shared" si="19"/>
        <v>5</v>
      </c>
      <c r="M612" s="373">
        <f t="shared" si="20"/>
        <v>0</v>
      </c>
      <c r="N612" s="407" t="str">
        <f>'Управление ИБ'!U192</f>
        <v/>
      </c>
      <c r="O612" s="407"/>
      <c r="P612" s="407"/>
    </row>
    <row r="613" spans="1:16" ht="78">
      <c r="A613" s="270" t="s">
        <v>780</v>
      </c>
      <c r="B613" s="403" t="s">
        <v>439</v>
      </c>
      <c r="C613" s="404" t="str">
        <f>'Управление ИБ'!B193</f>
        <v>Осуществляется контроль использования личных мобильных устройств</v>
      </c>
      <c r="D613" s="404" t="str">
        <f>'Управление ИБ'!C193</f>
        <v>УИБ.Д.4</v>
      </c>
      <c r="E613" s="404">
        <f>'Управление ИБ'!D193</f>
        <v>3.2</v>
      </c>
      <c r="F613" s="404">
        <f>'Управление ИБ'!E193</f>
        <v>1.6</v>
      </c>
      <c r="G613" s="404">
        <f>'Управление ИБ'!F193</f>
        <v>0</v>
      </c>
      <c r="H613" s="373">
        <f>'Управление ИБ'!T193</f>
        <v>342.03999999999996</v>
      </c>
      <c r="I613" s="404">
        <f>'Управление ИБ'!K193</f>
        <v>0</v>
      </c>
      <c r="J613" s="404">
        <f>'Управление ИБ'!I193</f>
        <v>0</v>
      </c>
      <c r="K613" s="404">
        <f>'Управление ИБ'!L193</f>
        <v>0</v>
      </c>
      <c r="L613" s="404" t="str">
        <f t="shared" si="19"/>
        <v xml:space="preserve"> </v>
      </c>
      <c r="M613" s="373">
        <f t="shared" si="20"/>
        <v>0</v>
      </c>
      <c r="N613" s="407" t="str">
        <f>'Управление ИБ'!U193</f>
        <v xml:space="preserve"> - Контролировать использование личных устройств при работе с критичными ИС и данными. Реализовать ограничения на доступ к критичным ИС с личных устройств.</v>
      </c>
      <c r="O613" s="407"/>
      <c r="P613" s="407"/>
    </row>
    <row r="614" spans="1:16">
      <c r="K614" s="47"/>
    </row>
    <row r="615" spans="1:16">
      <c r="K615" s="47"/>
    </row>
    <row r="616" spans="1:16">
      <c r="K616" s="47"/>
    </row>
    <row r="617" spans="1:16">
      <c r="K617" s="47"/>
    </row>
    <row r="618" spans="1:16">
      <c r="K618" s="47"/>
    </row>
    <row r="619" spans="1:16">
      <c r="K619" s="47"/>
    </row>
    <row r="620" spans="1:16">
      <c r="K620" s="47"/>
    </row>
    <row r="621" spans="1:16">
      <c r="K621" s="47"/>
    </row>
    <row r="622" spans="1:16">
      <c r="K622" s="47"/>
    </row>
    <row r="623" spans="1:16">
      <c r="K623" s="47"/>
    </row>
    <row r="624" spans="1:16">
      <c r="K624" s="47"/>
    </row>
    <row r="625" spans="11:11">
      <c r="K625" s="47"/>
    </row>
    <row r="626" spans="11:11">
      <c r="K626" s="47"/>
    </row>
    <row r="627" spans="11:11">
      <c r="K627" s="47"/>
    </row>
    <row r="628" spans="11:11">
      <c r="K628" s="47"/>
    </row>
    <row r="629" spans="11:11">
      <c r="K629" s="47"/>
    </row>
    <row r="630" spans="11:11">
      <c r="K630" s="47"/>
    </row>
    <row r="631" spans="11:11">
      <c r="K631" s="47"/>
    </row>
    <row r="632" spans="11:11">
      <c r="K632" s="47"/>
    </row>
    <row r="633" spans="11:11">
      <c r="K633" s="47"/>
    </row>
    <row r="634" spans="11:11">
      <c r="K634" s="47"/>
    </row>
    <row r="635" spans="11:11">
      <c r="K635" s="47"/>
    </row>
    <row r="636" spans="11:11">
      <c r="K636" s="47"/>
    </row>
    <row r="637" spans="11:11">
      <c r="K637" s="47"/>
    </row>
  </sheetData>
  <autoFilter ref="A2:P613" xr:uid="{00000000-0009-0000-0000-000003000000}">
    <sortState xmlns:xlrd2="http://schemas.microsoft.com/office/spreadsheetml/2017/richdata2" ref="A6:AD622">
      <sortCondition ref="H2:H622"/>
    </sortState>
  </autoFilter>
  <sortState xmlns:xlrd2="http://schemas.microsoft.com/office/spreadsheetml/2017/richdata2" ref="B2:AA908">
    <sortCondition ref="H2:H908"/>
  </sortState>
  <conditionalFormatting sqref="M3:M613">
    <cfRule type="cellIs" dxfId="53" priority="7" operator="equal">
      <formula>0</formula>
    </cfRule>
    <cfRule type="cellIs" dxfId="52" priority="8" operator="lessThan">
      <formula>0</formula>
    </cfRule>
    <cfRule type="cellIs" dxfId="51" priority="9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>
    <tabColor theme="3" tint="0.39997558519241921"/>
    <outlinePr summaryBelow="0" summaryRight="0"/>
  </sheetPr>
  <dimension ref="A1:Y193"/>
  <sheetViews>
    <sheetView topLeftCell="A49" zoomScale="70" zoomScaleNormal="70" workbookViewId="0">
      <selection activeCell="B111" sqref="B111"/>
    </sheetView>
  </sheetViews>
  <sheetFormatPr defaultColWidth="11.09765625" defaultRowHeight="15.6" outlineLevelRow="1"/>
  <cols>
    <col min="1" max="1" width="9.59765625" style="26" customWidth="1"/>
    <col min="2" max="2" width="81" style="26" customWidth="1"/>
    <col min="3" max="3" width="20.59765625" style="26" customWidth="1"/>
    <col min="4" max="4" width="9.59765625" style="509" customWidth="1"/>
    <col min="5" max="5" width="9.5" style="509" customWidth="1"/>
    <col min="6" max="6" width="12.09765625" style="509" customWidth="1"/>
    <col min="7" max="7" width="12.09765625" style="509" hidden="1" customWidth="1"/>
    <col min="8" max="8" width="11.5" style="509" hidden="1" customWidth="1"/>
    <col min="9" max="9" width="12.09765625" style="509" customWidth="1"/>
    <col min="10" max="10" width="13.69921875" style="509" customWidth="1"/>
    <col min="11" max="11" width="12" style="509" customWidth="1"/>
    <col min="12" max="12" width="12.09765625" style="509" customWidth="1"/>
    <col min="13" max="13" width="12.5" customWidth="1"/>
    <col min="14" max="14" width="15.8984375" style="26" customWidth="1"/>
    <col min="15" max="15" width="24.09765625" style="47" customWidth="1"/>
    <col min="16" max="16" width="16.09765625" style="26" customWidth="1"/>
    <col min="17" max="17" width="47.59765625" style="26" customWidth="1"/>
    <col min="18" max="18" width="10.5" style="26" bestFit="1" customWidth="1"/>
    <col min="19" max="19" width="58.09765625" style="26" customWidth="1"/>
    <col min="20" max="20" width="10.5" style="26" bestFit="1" customWidth="1"/>
    <col min="21" max="21" width="62" style="26" customWidth="1"/>
    <col min="22" max="28" width="10.5" style="26" bestFit="1" customWidth="1"/>
    <col min="29" max="29" width="11.09765625" style="26" bestFit="1"/>
    <col min="30" max="16384" width="11.09765625" style="26"/>
  </cols>
  <sheetData>
    <row r="1" spans="2:14" ht="63.6" customHeight="1">
      <c r="B1" s="27" t="s">
        <v>237</v>
      </c>
      <c r="N1" s="26">
        <f>COUNTA(N2:N6960)</f>
        <v>97</v>
      </c>
    </row>
    <row r="40" spans="1:16" ht="18" thickBot="1">
      <c r="B40" s="28"/>
      <c r="G40" s="20">
        <f>Расчет!$F$2</f>
        <v>45017</v>
      </c>
      <c r="H40" s="20">
        <f>Расчет!$H$2</f>
        <v>45444</v>
      </c>
      <c r="I40" s="20">
        <v>45657</v>
      </c>
      <c r="L40" s="29">
        <f ca="1">TODAY()</f>
        <v>46038</v>
      </c>
    </row>
    <row r="41" spans="1:16" ht="42" thickBot="1">
      <c r="B41" s="30" t="s">
        <v>21</v>
      </c>
      <c r="C41" s="31" t="s">
        <v>22</v>
      </c>
      <c r="D41" s="32" t="s">
        <v>10</v>
      </c>
      <c r="E41" s="167" t="s">
        <v>11</v>
      </c>
      <c r="F41" s="168" t="s">
        <v>12</v>
      </c>
      <c r="G41" s="510" t="s">
        <v>23</v>
      </c>
      <c r="H41" s="510" t="s">
        <v>23</v>
      </c>
      <c r="I41" s="510" t="s">
        <v>23</v>
      </c>
      <c r="J41" s="343">
        <v>2026</v>
      </c>
      <c r="K41" s="169" t="s">
        <v>638</v>
      </c>
      <c r="L41" s="33" t="s">
        <v>24</v>
      </c>
      <c r="N41" s="34"/>
      <c r="O41" s="360"/>
      <c r="P41" s="35"/>
    </row>
    <row r="42" spans="1:16">
      <c r="A42" s="164"/>
      <c r="B42" s="68" t="str">
        <f>B60</f>
        <v>Система управления ИБ</v>
      </c>
      <c r="C42" s="170" t="str">
        <f>C60</f>
        <v>СУИБ</v>
      </c>
      <c r="D42" s="140">
        <f>AVERAGE('Управление ИБ'!D61:D70)</f>
        <v>5</v>
      </c>
      <c r="E42" s="141">
        <f>AVERAGE('Управление ИБ'!E61:E70)</f>
        <v>4.6400000000000006</v>
      </c>
      <c r="F42" s="142">
        <f>AVERAGE('Управление ИБ'!F61:F70)</f>
        <v>2</v>
      </c>
      <c r="G42" s="132" t="e">
        <f>AVERAGE('Управление ИБ'!G61:G70)</f>
        <v>#DIV/0!</v>
      </c>
      <c r="H42" s="132" t="e">
        <f>AVERAGE('Управление ИБ'!H61:H70)</f>
        <v>#DIV/0!</v>
      </c>
      <c r="I42" s="132" t="e">
        <f>AVERAGE('Управление ИБ'!I61:I70)</f>
        <v>#DIV/0!</v>
      </c>
      <c r="J42" s="321" t="e">
        <f>AVERAGE('Управление ИБ'!J61:J70)</f>
        <v>#DIV/0!</v>
      </c>
      <c r="K42" s="312">
        <f>AVERAGE('Управление ИБ'!K61:K70)</f>
        <v>2</v>
      </c>
      <c r="L42" s="133">
        <f>AVERAGE('Управление ИБ'!L61:L70)</f>
        <v>3.3200000000000003</v>
      </c>
      <c r="M42" s="119"/>
      <c r="N42" s="35"/>
      <c r="O42" s="42"/>
      <c r="P42" s="35"/>
    </row>
    <row r="43" spans="1:16">
      <c r="A43" s="154"/>
      <c r="B43" s="25" t="str">
        <f>B71</f>
        <v>Управление рисками</v>
      </c>
      <c r="C43" s="80" t="s">
        <v>26</v>
      </c>
      <c r="D43" s="143">
        <f>AVERAGE('Управление ИБ'!D72:D76)</f>
        <v>4.8</v>
      </c>
      <c r="E43" s="144">
        <f>AVERAGE('Управление ИБ'!E72:E76)</f>
        <v>2</v>
      </c>
      <c r="F43" s="145">
        <f>AVERAGE('Управление ИБ'!F72:F76)</f>
        <v>1</v>
      </c>
      <c r="G43" s="146" t="e">
        <f>AVERAGE('Управление ИБ'!G72:G76)</f>
        <v>#DIV/0!</v>
      </c>
      <c r="H43" s="146" t="e">
        <f>AVERAGE('Управление ИБ'!H72:H76)</f>
        <v>#DIV/0!</v>
      </c>
      <c r="I43" s="146" t="e">
        <f>AVERAGE('Управление ИБ'!I72:I76)</f>
        <v>#DIV/0!</v>
      </c>
      <c r="J43" s="322" t="e">
        <f>AVERAGE('Управление ИБ'!J72:J76)</f>
        <v>#DIV/0!</v>
      </c>
      <c r="K43" s="313">
        <f>AVERAGE('Управление ИБ'!K72:K76)</f>
        <v>1</v>
      </c>
      <c r="L43" s="134">
        <f>AVERAGE('Управление ИБ'!L72:L76)</f>
        <v>0</v>
      </c>
      <c r="M43" s="119"/>
      <c r="N43" s="35"/>
      <c r="O43" s="42"/>
      <c r="P43" s="35"/>
    </row>
    <row r="44" spans="1:16">
      <c r="A44" s="154"/>
      <c r="B44" s="25" t="str">
        <f>B107</f>
        <v>Управление рисками в цепочке поставок</v>
      </c>
      <c r="C44" s="80" t="s">
        <v>29</v>
      </c>
      <c r="D44" s="143">
        <f>AVERAGE('Управление ИБ'!D108:D110)</f>
        <v>5</v>
      </c>
      <c r="E44" s="144">
        <f>AVERAGE('Управление ИБ'!E108:E110)</f>
        <v>3.2000000000000006</v>
      </c>
      <c r="F44" s="145">
        <f>AVERAGE('Управление ИБ'!F108:F110)</f>
        <v>1.6000000000000003</v>
      </c>
      <c r="G44" s="146" t="e">
        <f>AVERAGE('Управление ИБ'!G108:G110)</f>
        <v>#DIV/0!</v>
      </c>
      <c r="H44" s="146" t="e">
        <f>AVERAGE('Управление ИБ'!H108:H110)</f>
        <v>#DIV/0!</v>
      </c>
      <c r="I44" s="146" t="e">
        <f>AVERAGE('Управление ИБ'!I108:I110)</f>
        <v>#DIV/0!</v>
      </c>
      <c r="J44" s="322" t="e">
        <f>AVERAGE('Управление ИБ'!J108:J110)</f>
        <v>#DIV/0!</v>
      </c>
      <c r="K44" s="313">
        <f>AVERAGE('Управление ИБ'!K108:K110)</f>
        <v>1.6000000000000003</v>
      </c>
      <c r="L44" s="134">
        <f>AVERAGE('Управление ИБ'!L108:L110)</f>
        <v>0</v>
      </c>
      <c r="M44" s="119"/>
      <c r="N44" s="35"/>
      <c r="O44" s="42"/>
      <c r="P44" s="35"/>
    </row>
    <row r="45" spans="1:16">
      <c r="A45" s="154"/>
      <c r="B45" s="25" t="str">
        <f>B111</f>
        <v>Инвентаризация</v>
      </c>
      <c r="C45" s="80" t="s">
        <v>28</v>
      </c>
      <c r="D45" s="143">
        <f>AVERAGE('Управление ИБ'!D112:D124)</f>
        <v>5</v>
      </c>
      <c r="E45" s="144">
        <f>AVERAGE('Управление ИБ'!E112:E124)</f>
        <v>3.2</v>
      </c>
      <c r="F45" s="145">
        <f>AVERAGE('Управление ИБ'!F112:F124)</f>
        <v>1.2307692307692308</v>
      </c>
      <c r="G45" s="146" t="e">
        <f>AVERAGE('Управление ИБ'!G112:G124)</f>
        <v>#DIV/0!</v>
      </c>
      <c r="H45" s="146" t="e">
        <f>AVERAGE('Управление ИБ'!H112:H124)</f>
        <v>#DIV/0!</v>
      </c>
      <c r="I45" s="146" t="e">
        <f>AVERAGE('Управление ИБ'!I112:I124)</f>
        <v>#DIV/0!</v>
      </c>
      <c r="J45" s="322" t="e">
        <f>AVERAGE('Управление ИБ'!J112:J124)</f>
        <v>#DIV/0!</v>
      </c>
      <c r="K45" s="313">
        <f>AVERAGE('Управление ИБ'!K112:K124)</f>
        <v>1.2307692307692308</v>
      </c>
      <c r="L45" s="134">
        <f>AVERAGE('Управление ИБ'!L112:L124)</f>
        <v>0.24615384615384617</v>
      </c>
      <c r="M45" s="119"/>
      <c r="N45" s="35"/>
      <c r="O45" s="42"/>
      <c r="P45" s="35"/>
    </row>
    <row r="46" spans="1:16">
      <c r="A46" s="154"/>
      <c r="B46" s="25" t="str">
        <f>B101</f>
        <v>Управление активами</v>
      </c>
      <c r="C46" s="80" t="s">
        <v>27</v>
      </c>
      <c r="D46" s="143">
        <f>AVERAGE('Управление ИБ'!D102:D106)</f>
        <v>4.5999999999999996</v>
      </c>
      <c r="E46" s="144">
        <f>AVERAGE('Управление ИБ'!E102:E106)</f>
        <v>3.12</v>
      </c>
      <c r="F46" s="145">
        <f>AVERAGE('Управление ИБ'!F102:F106)</f>
        <v>0.52</v>
      </c>
      <c r="G46" s="146" t="e">
        <f>AVERAGE('Управление ИБ'!G102:G106)</f>
        <v>#DIV/0!</v>
      </c>
      <c r="H46" s="146" t="e">
        <f>AVERAGE('Управление ИБ'!H102:H106)</f>
        <v>#DIV/0!</v>
      </c>
      <c r="I46" s="146" t="e">
        <f>AVERAGE('Управление ИБ'!I102:I106)</f>
        <v>#DIV/0!</v>
      </c>
      <c r="J46" s="322" t="e">
        <f>AVERAGE('Управление ИБ'!J102:J106)</f>
        <v>#DIV/0!</v>
      </c>
      <c r="K46" s="313">
        <f>AVERAGE('Управление ИБ'!K102:K106)</f>
        <v>0.52</v>
      </c>
      <c r="L46" s="134">
        <f>AVERAGE('Управление ИБ'!L102:L106)</f>
        <v>0.84000000000000008</v>
      </c>
      <c r="M46" s="119"/>
      <c r="N46" s="35"/>
      <c r="O46" s="42"/>
      <c r="P46" s="35"/>
    </row>
    <row r="47" spans="1:16">
      <c r="A47" s="154"/>
      <c r="B47" s="25" t="str">
        <f>B168</f>
        <v xml:space="preserve">Управление доступом </v>
      </c>
      <c r="C47" s="80" t="str">
        <f>C168</f>
        <v>УД</v>
      </c>
      <c r="D47" s="143">
        <f t="shared" ref="D47:L47" si="0">AVERAGE(D169:D178)</f>
        <v>4.4599999999999991</v>
      </c>
      <c r="E47" s="144">
        <f t="shared" si="0"/>
        <v>3.2600000000000002</v>
      </c>
      <c r="F47" s="145">
        <f t="shared" si="0"/>
        <v>2.14</v>
      </c>
      <c r="G47" s="146" t="e">
        <f t="shared" si="0"/>
        <v>#DIV/0!</v>
      </c>
      <c r="H47" s="146" t="e">
        <f t="shared" si="0"/>
        <v>#DIV/0!</v>
      </c>
      <c r="I47" s="146" t="e">
        <f t="shared" si="0"/>
        <v>#DIV/0!</v>
      </c>
      <c r="J47" s="322" t="e">
        <f t="shared" si="0"/>
        <v>#DIV/0!</v>
      </c>
      <c r="K47" s="313">
        <f t="shared" si="0"/>
        <v>2.14</v>
      </c>
      <c r="L47" s="134">
        <f t="shared" si="0"/>
        <v>1.3199999999999998</v>
      </c>
      <c r="M47" s="119"/>
      <c r="N47" s="35"/>
      <c r="O47" s="42"/>
      <c r="P47" s="35"/>
    </row>
    <row r="48" spans="1:16">
      <c r="A48" s="154"/>
      <c r="B48" s="25" t="str">
        <f>B179</f>
        <v>Идентификация и аутентификация</v>
      </c>
      <c r="C48" s="80" t="str">
        <f>C179</f>
        <v>ИА</v>
      </c>
      <c r="D48" s="143">
        <f t="shared" ref="D48:L48" si="1">AVERAGE(D180:D188)</f>
        <v>5</v>
      </c>
      <c r="E48" s="144">
        <f t="shared" si="1"/>
        <v>4.6000000000000005</v>
      </c>
      <c r="F48" s="145">
        <f t="shared" si="1"/>
        <v>3.3111111111111113</v>
      </c>
      <c r="G48" s="146" t="e">
        <f t="shared" si="1"/>
        <v>#DIV/0!</v>
      </c>
      <c r="H48" s="146" t="e">
        <f t="shared" si="1"/>
        <v>#DIV/0!</v>
      </c>
      <c r="I48" s="146" t="e">
        <f>AVERAGE(I180:I188)</f>
        <v>#DIV/0!</v>
      </c>
      <c r="J48" s="322" t="e">
        <f>AVERAGE(J180:J188)</f>
        <v>#DIV/0!</v>
      </c>
      <c r="K48" s="313">
        <f t="shared" si="1"/>
        <v>3.3111111111111113</v>
      </c>
      <c r="L48" s="134">
        <f t="shared" si="1"/>
        <v>0</v>
      </c>
      <c r="M48" s="119"/>
      <c r="N48" s="35"/>
      <c r="O48" s="42"/>
      <c r="P48" s="35"/>
    </row>
    <row r="49" spans="1:25">
      <c r="A49" s="154"/>
      <c r="B49" s="25" t="str">
        <f>B189</f>
        <v>Защита данных и информации</v>
      </c>
      <c r="C49" s="80" t="str">
        <f>C189</f>
        <v>Д</v>
      </c>
      <c r="D49" s="143">
        <f t="shared" ref="D49:L49" si="2">AVERAGE(D190:D193)</f>
        <v>4.55</v>
      </c>
      <c r="E49" s="144">
        <f t="shared" si="2"/>
        <v>3.6999999999999997</v>
      </c>
      <c r="F49" s="145">
        <f t="shared" si="2"/>
        <v>0.8</v>
      </c>
      <c r="G49" s="146" t="e">
        <f t="shared" si="2"/>
        <v>#DIV/0!</v>
      </c>
      <c r="H49" s="146" t="e">
        <f t="shared" si="2"/>
        <v>#DIV/0!</v>
      </c>
      <c r="I49" s="146" t="e">
        <f>AVERAGE(I190:I193)</f>
        <v>#DIV/0!</v>
      </c>
      <c r="J49" s="322" t="e">
        <f>AVERAGE(J190:J193)</f>
        <v>#DIV/0!</v>
      </c>
      <c r="K49" s="313">
        <f t="shared" si="2"/>
        <v>0.8</v>
      </c>
      <c r="L49" s="134">
        <f t="shared" si="2"/>
        <v>2.5</v>
      </c>
      <c r="M49" s="119"/>
      <c r="N49" s="35"/>
      <c r="O49" s="42"/>
      <c r="P49" s="35"/>
    </row>
    <row r="50" spans="1:25">
      <c r="A50" s="154"/>
      <c r="B50" s="25" t="str">
        <f>B125</f>
        <v>Обеспечение доступности</v>
      </c>
      <c r="C50" s="80" t="str">
        <f>C125</f>
        <v>ОД</v>
      </c>
      <c r="D50" s="143">
        <f>AVERAGE('Управление ИБ'!D126:D130)</f>
        <v>5</v>
      </c>
      <c r="E50" s="144">
        <f>AVERAGE('Управление ИБ'!E126:E130)</f>
        <v>3.9199999999999995</v>
      </c>
      <c r="F50" s="145">
        <f>AVERAGE('Управление ИБ'!F126:F130)</f>
        <v>0</v>
      </c>
      <c r="G50" s="146" t="e">
        <f>AVERAGE('Управление ИБ'!G129:G130)</f>
        <v>#DIV/0!</v>
      </c>
      <c r="H50" s="146" t="e">
        <f>AVERAGE('Управление ИБ'!H129:H130)</f>
        <v>#DIV/0!</v>
      </c>
      <c r="I50" s="146" t="e">
        <f>AVERAGE('Управление ИБ'!I126:I130)</f>
        <v>#DIV/0!</v>
      </c>
      <c r="J50" s="322" t="e">
        <f>AVERAGE('Управление ИБ'!J126:J130)</f>
        <v>#DIV/0!</v>
      </c>
      <c r="K50" s="313">
        <f>AVERAGE('Управление ИБ'!K126:K130)</f>
        <v>0</v>
      </c>
      <c r="L50" s="134">
        <f>AVERAGE('Управление ИБ'!L126:L130)</f>
        <v>0</v>
      </c>
      <c r="M50" s="119"/>
      <c r="N50" s="35"/>
      <c r="O50" s="42"/>
      <c r="P50" s="35"/>
    </row>
    <row r="51" spans="1:25">
      <c r="A51" s="154"/>
      <c r="B51" s="25" t="str">
        <f>B146</f>
        <v>Персонал</v>
      </c>
      <c r="C51" s="80" t="str">
        <f>C146</f>
        <v>Люди</v>
      </c>
      <c r="D51" s="143">
        <f t="shared" ref="D51:L51" si="3">AVERAGE(D147:D149)</f>
        <v>5</v>
      </c>
      <c r="E51" s="144">
        <f t="shared" si="3"/>
        <v>5</v>
      </c>
      <c r="F51" s="145">
        <f t="shared" si="3"/>
        <v>5</v>
      </c>
      <c r="G51" s="146" t="e">
        <f t="shared" si="3"/>
        <v>#DIV/0!</v>
      </c>
      <c r="H51" s="146" t="e">
        <f t="shared" si="3"/>
        <v>#DIV/0!</v>
      </c>
      <c r="I51" s="146" t="e">
        <f>AVERAGE(I147:I149)</f>
        <v>#DIV/0!</v>
      </c>
      <c r="J51" s="322" t="e">
        <f>AVERAGE(J147:J149)</f>
        <v>#DIV/0!</v>
      </c>
      <c r="K51" s="313">
        <f t="shared" si="3"/>
        <v>5</v>
      </c>
      <c r="L51" s="134">
        <f t="shared" si="3"/>
        <v>0</v>
      </c>
      <c r="M51" s="119"/>
      <c r="N51" s="35"/>
      <c r="O51" s="42"/>
      <c r="P51" s="35"/>
    </row>
    <row r="52" spans="1:25">
      <c r="A52" s="154"/>
      <c r="B52" s="25" t="str">
        <f>B156</f>
        <v>Осведомленность пользователей и обучение персонала</v>
      </c>
      <c r="C52" s="80" t="str">
        <f>C156</f>
        <v>AW</v>
      </c>
      <c r="D52" s="143">
        <f t="shared" ref="D52:L52" si="4">AVERAGE(D157:D167)</f>
        <v>5</v>
      </c>
      <c r="E52" s="144">
        <f t="shared" si="4"/>
        <v>3.1999999999999997</v>
      </c>
      <c r="F52" s="145">
        <f t="shared" si="4"/>
        <v>1.5999999999999999</v>
      </c>
      <c r="G52" s="146" t="e">
        <f t="shared" si="4"/>
        <v>#DIV/0!</v>
      </c>
      <c r="H52" s="146" t="e">
        <f t="shared" si="4"/>
        <v>#DIV/0!</v>
      </c>
      <c r="I52" s="146" t="e">
        <f>AVERAGE(I157:I167)</f>
        <v>#DIV/0!</v>
      </c>
      <c r="J52" s="322" t="e">
        <f>AVERAGE(J157:J167)</f>
        <v>#DIV/0!</v>
      </c>
      <c r="K52" s="313">
        <f t="shared" si="4"/>
        <v>1.5999999999999999</v>
      </c>
      <c r="L52" s="134">
        <f t="shared" si="4"/>
        <v>0.14545454545454548</v>
      </c>
      <c r="M52" s="119"/>
      <c r="N52" s="35"/>
      <c r="O52" s="42"/>
      <c r="P52" s="35"/>
    </row>
    <row r="53" spans="1:25">
      <c r="A53" s="154"/>
      <c r="B53" s="25" t="str">
        <f>B77</f>
        <v>Процессы</v>
      </c>
      <c r="C53" s="80" t="s">
        <v>39</v>
      </c>
      <c r="D53" s="143">
        <f t="shared" ref="D53:L53" si="5">AVERAGE(D78:D100)</f>
        <v>4.0869565217391308</v>
      </c>
      <c r="E53" s="144">
        <f t="shared" si="5"/>
        <v>2.8000000000000003</v>
      </c>
      <c r="F53" s="145">
        <f t="shared" si="5"/>
        <v>0.67826086956521736</v>
      </c>
      <c r="G53" s="146">
        <f t="shared" si="5"/>
        <v>0</v>
      </c>
      <c r="H53" s="146">
        <f t="shared" si="5"/>
        <v>0</v>
      </c>
      <c r="I53" s="146">
        <f t="shared" si="5"/>
        <v>0</v>
      </c>
      <c r="J53" s="322">
        <f t="shared" si="5"/>
        <v>0</v>
      </c>
      <c r="K53" s="313">
        <f t="shared" si="5"/>
        <v>0.67826086956521736</v>
      </c>
      <c r="L53" s="134">
        <f t="shared" si="5"/>
        <v>0.2434782608695652</v>
      </c>
      <c r="M53" s="119"/>
      <c r="N53" s="35"/>
      <c r="O53" s="42"/>
      <c r="P53" s="35"/>
    </row>
    <row r="54" spans="1:25">
      <c r="A54" s="154"/>
      <c r="B54" s="25" t="str">
        <f>B131</f>
        <v>Безопасная разработка</v>
      </c>
      <c r="C54" s="80" t="str">
        <f>C131</f>
        <v>БР</v>
      </c>
      <c r="D54" s="143">
        <f>AVERAGE(D132:D145)*IF(БР="да",1,0)</f>
        <v>4.9285714285714288</v>
      </c>
      <c r="E54" s="144">
        <f>AVERAGE(E132:E145)*IF(БР="да",1,0)</f>
        <v>3.8285714285714292</v>
      </c>
      <c r="F54" s="145">
        <f>AVERAGE(F132:F145)*IF(БР="да",1,0)</f>
        <v>0.98571428571428565</v>
      </c>
      <c r="G54" s="146" t="e">
        <f t="shared" ref="G54:L54" si="6">AVERAGE(G132:G145)</f>
        <v>#DIV/0!</v>
      </c>
      <c r="H54" s="146" t="e">
        <f t="shared" si="6"/>
        <v>#DIV/0!</v>
      </c>
      <c r="I54" s="146" t="e">
        <f t="shared" si="6"/>
        <v>#DIV/0!</v>
      </c>
      <c r="J54" s="322" t="e">
        <f t="shared" si="6"/>
        <v>#DIV/0!</v>
      </c>
      <c r="K54" s="313">
        <f t="shared" si="6"/>
        <v>0.98571428571428565</v>
      </c>
      <c r="L54" s="134">
        <f t="shared" si="6"/>
        <v>0</v>
      </c>
      <c r="M54" s="119"/>
      <c r="N54" s="35"/>
      <c r="O54" s="42"/>
      <c r="P54" s="35"/>
    </row>
    <row r="55" spans="1:25" ht="16.2" thickBot="1">
      <c r="B55" s="37" t="str">
        <f>B150</f>
        <v>Физический доступ</v>
      </c>
      <c r="C55" s="160" t="str">
        <f>C150</f>
        <v>ФД</v>
      </c>
      <c r="D55" s="147">
        <f t="shared" ref="D55:L55" si="7">AVERAGE(D151:D155)</f>
        <v>5</v>
      </c>
      <c r="E55" s="148">
        <f t="shared" si="7"/>
        <v>4.6399999999999997</v>
      </c>
      <c r="F55" s="149">
        <f t="shared" si="7"/>
        <v>4.32</v>
      </c>
      <c r="G55" s="135" t="e">
        <f t="shared" si="7"/>
        <v>#DIV/0!</v>
      </c>
      <c r="H55" s="135" t="e">
        <f t="shared" si="7"/>
        <v>#DIV/0!</v>
      </c>
      <c r="I55" s="135" t="e">
        <f>AVERAGE(I151:I155)</f>
        <v>#DIV/0!</v>
      </c>
      <c r="J55" s="323" t="e">
        <f>AVERAGE(J151:J155)</f>
        <v>#DIV/0!</v>
      </c>
      <c r="K55" s="314">
        <f t="shared" si="7"/>
        <v>4.32</v>
      </c>
      <c r="L55" s="136">
        <f t="shared" si="7"/>
        <v>0</v>
      </c>
      <c r="M55" s="119"/>
      <c r="N55" s="35"/>
      <c r="O55" s="42"/>
      <c r="P55" s="35"/>
    </row>
    <row r="56" spans="1:25">
      <c r="N56" s="35"/>
      <c r="O56" s="42"/>
      <c r="P56" s="35"/>
    </row>
    <row r="57" spans="1:25">
      <c r="B57" s="35"/>
      <c r="C57" s="35"/>
      <c r="D57" s="42"/>
      <c r="E57" s="42"/>
      <c r="F57" s="42"/>
      <c r="G57" s="42"/>
      <c r="H57" s="42"/>
      <c r="I57" s="42"/>
      <c r="J57" s="80"/>
      <c r="K57" s="80"/>
      <c r="L57" s="42"/>
      <c r="N57" s="35"/>
      <c r="O57" s="42"/>
      <c r="P57" s="35"/>
    </row>
    <row r="58" spans="1:25">
      <c r="B58" s="35"/>
      <c r="C58" s="35"/>
      <c r="D58" s="42"/>
      <c r="E58" s="42"/>
      <c r="F58" s="42"/>
      <c r="G58" s="42"/>
      <c r="H58" s="42"/>
      <c r="I58" s="42"/>
      <c r="J58" s="80"/>
      <c r="K58" s="80"/>
      <c r="L58" s="42"/>
      <c r="N58" s="35"/>
      <c r="O58" s="42"/>
      <c r="P58" s="35"/>
    </row>
    <row r="59" spans="1:25" ht="34.35" customHeight="1">
      <c r="B59" s="35"/>
      <c r="C59" s="35"/>
      <c r="D59" s="42"/>
      <c r="E59" s="42"/>
      <c r="F59" s="42"/>
      <c r="G59" s="42"/>
      <c r="H59" s="42"/>
      <c r="I59" s="42"/>
      <c r="J59" s="80"/>
      <c r="K59" s="80"/>
      <c r="L59" s="42"/>
      <c r="M59" s="100"/>
      <c r="N59" s="35"/>
      <c r="O59" s="362"/>
      <c r="P59" s="366" t="s">
        <v>588</v>
      </c>
      <c r="Q59" s="367" t="s">
        <v>589</v>
      </c>
      <c r="R59" s="367"/>
      <c r="S59" s="367" t="s">
        <v>590</v>
      </c>
      <c r="T59" s="366"/>
      <c r="U59" s="367" t="s">
        <v>591</v>
      </c>
    </row>
    <row r="60" spans="1:25" ht="17.399999999999999">
      <c r="B60" s="43" t="s">
        <v>237</v>
      </c>
      <c r="C60" s="44" t="s">
        <v>264</v>
      </c>
      <c r="D60" s="44"/>
      <c r="E60" s="44"/>
      <c r="F60" s="44"/>
      <c r="G60" s="511"/>
      <c r="H60" s="44"/>
      <c r="I60" s="44"/>
      <c r="J60" s="44"/>
      <c r="K60" s="44"/>
      <c r="L60" s="44"/>
      <c r="N60" s="35"/>
      <c r="O60" s="42"/>
      <c r="P60" s="365">
        <f>VLOOKUP(B60,Приоритет!$G$9:$K$52,5,0)</f>
        <v>14</v>
      </c>
      <c r="Q60" s="368" t="s">
        <v>264</v>
      </c>
      <c r="R60" s="365">
        <f>P60+200</f>
        <v>214</v>
      </c>
      <c r="S60" s="368" t="s">
        <v>264</v>
      </c>
      <c r="T60" s="365">
        <f>P60+300</f>
        <v>314</v>
      </c>
      <c r="U60" s="368" t="s">
        <v>264</v>
      </c>
    </row>
    <row r="61" spans="1:25" ht="50.85" customHeight="1" outlineLevel="1">
      <c r="B61" s="46" t="s">
        <v>877</v>
      </c>
      <c r="C61" s="498" t="s">
        <v>265</v>
      </c>
      <c r="D61" s="39">
        <v>5</v>
      </c>
      <c r="E61" s="40">
        <v>5</v>
      </c>
      <c r="F61" s="41">
        <v>5</v>
      </c>
      <c r="G61" s="47"/>
      <c r="H61" s="47"/>
      <c r="I61" s="47"/>
      <c r="J61" s="324"/>
      <c r="K61" s="537">
        <v>5</v>
      </c>
      <c r="L61" s="47">
        <f>VALUE(LEFT(N61,3))</f>
        <v>5</v>
      </c>
      <c r="M61">
        <f t="shared" ref="M61:M70" si="8">L61-K61</f>
        <v>0</v>
      </c>
      <c r="N61" s="35" t="s">
        <v>284</v>
      </c>
      <c r="O61" s="42"/>
      <c r="P61" s="364">
        <f>P60+0.01</f>
        <v>14.01</v>
      </c>
      <c r="Q61" s="255" t="str">
        <f>IF(($L61-$F61)&gt;=0,"",
"- Разработать или Получить в Блоке ИБ ПАО Ростелеком типовую политику  ИБ;
- Утвердить в Обществе Политику ИБ")</f>
        <v/>
      </c>
      <c r="R61" s="364">
        <f>R60+0.01</f>
        <v>214.01</v>
      </c>
      <c r="S61" s="255" t="str">
        <f>IF(($L61-$E61)&gt;=0,"","")</f>
        <v/>
      </c>
      <c r="T61" s="364">
        <f>T60+0.01</f>
        <v>314.01</v>
      </c>
      <c r="U61" s="255" t="str">
        <f>IF(($L61-$D61)&gt;=0,"","")</f>
        <v/>
      </c>
    </row>
    <row r="62" spans="1:25" ht="50.85" customHeight="1" outlineLevel="1">
      <c r="B62" s="46" t="s">
        <v>747</v>
      </c>
      <c r="C62" s="498" t="s">
        <v>748</v>
      </c>
      <c r="D62" s="39">
        <v>5</v>
      </c>
      <c r="E62" s="40">
        <v>5</v>
      </c>
      <c r="F62" s="41">
        <v>5</v>
      </c>
      <c r="G62" s="47"/>
      <c r="H62" s="47"/>
      <c r="I62" s="47"/>
      <c r="J62" s="324"/>
      <c r="K62" s="537">
        <v>5</v>
      </c>
      <c r="L62" s="47">
        <f>VALUE(LEFT(N62,3))</f>
        <v>5</v>
      </c>
      <c r="M62">
        <f t="shared" si="8"/>
        <v>0</v>
      </c>
      <c r="N62" s="35" t="s">
        <v>284</v>
      </c>
      <c r="O62" s="42"/>
      <c r="P62" s="364">
        <f t="shared" ref="P62:P70" si="9">P61+0.01</f>
        <v>14.02</v>
      </c>
      <c r="Q62" s="26" t="str">
        <f>IF(($L62-$F62)&gt;=0,"","- Определить полномочия ответственного за обеспечение ИБ в Обществе."&amp;"
- Подготовить и утвердить приказ об ответственном за обеспечение ИБ в Обществе")</f>
        <v/>
      </c>
      <c r="R62" s="364">
        <f t="shared" ref="R62:R70" si="10">R61+0.01</f>
        <v>214.01999999999998</v>
      </c>
      <c r="S62" s="255"/>
      <c r="T62" s="364">
        <f t="shared" ref="T62:T70" si="11">T61+0.01</f>
        <v>314.02</v>
      </c>
      <c r="U62" s="255"/>
      <c r="W62" s="252"/>
      <c r="X62" s="249"/>
      <c r="Y62" s="249"/>
    </row>
    <row r="63" spans="1:25" ht="50.85" customHeight="1" outlineLevel="1">
      <c r="B63" s="46" t="s">
        <v>125</v>
      </c>
      <c r="C63" s="498" t="s">
        <v>749</v>
      </c>
      <c r="D63" s="39">
        <v>5</v>
      </c>
      <c r="E63" s="40">
        <v>5</v>
      </c>
      <c r="F63" s="41">
        <v>5</v>
      </c>
      <c r="G63" s="47"/>
      <c r="H63" s="47"/>
      <c r="I63" s="47"/>
      <c r="J63" s="324"/>
      <c r="K63" s="537">
        <v>5</v>
      </c>
      <c r="L63" s="47">
        <f>VALUE(LEFT(N63,3))</f>
        <v>5</v>
      </c>
      <c r="M63">
        <f t="shared" si="8"/>
        <v>0</v>
      </c>
      <c r="N63" s="35" t="s">
        <v>284</v>
      </c>
      <c r="O63" s="42"/>
      <c r="P63" s="364">
        <f t="shared" si="9"/>
        <v>14.03</v>
      </c>
      <c r="Q63" s="305" t="str">
        <f>IF(($L63-$F63)&gt;=0,"",
" -  Определить полномочия для подразделения, ответственное за ИБ (как минимум уровня отдела ИБ).
 -  Подготовить положение  о подразделении, обеспечивающим ИБ в Обществе."&amp;"
 -  Создать выделенное подразделение, ответственное за ИБ (как минимум уровня отдела ИБ):
- Утвердить приказом по орг. структуре создание подразделения ИБ."&amp;"
- Утвердить положение  о подразделении, обеспечивающим ИБ в Обществе.
 -  Распоряжением/приказом определили подразделение ИБ, как подразделение Общества, ответственное за обеспечение ИБ")</f>
        <v/>
      </c>
      <c r="R63" s="364">
        <f t="shared" si="10"/>
        <v>214.02999999999997</v>
      </c>
      <c r="S63" s="255"/>
      <c r="T63" s="364">
        <f t="shared" si="11"/>
        <v>314.02999999999997</v>
      </c>
      <c r="U63" s="255"/>
      <c r="W63" s="252"/>
      <c r="X63" s="249"/>
      <c r="Y63" s="249"/>
    </row>
    <row r="64" spans="1:25" ht="53.85" customHeight="1" outlineLevel="1">
      <c r="B64" s="46" t="s">
        <v>71</v>
      </c>
      <c r="C64" s="498" t="s">
        <v>266</v>
      </c>
      <c r="D64" s="39">
        <v>5</v>
      </c>
      <c r="E64" s="40">
        <v>5</v>
      </c>
      <c r="F64" s="41">
        <v>0</v>
      </c>
      <c r="G64" s="47"/>
      <c r="H64" s="47"/>
      <c r="I64" s="47"/>
      <c r="J64" s="324"/>
      <c r="K64" s="537">
        <v>0</v>
      </c>
      <c r="L64" s="47">
        <f t="shared" ref="L64:L70" si="12">VALUE(LEFT(N64,3))</f>
        <v>5</v>
      </c>
      <c r="M64">
        <f t="shared" si="8"/>
        <v>5</v>
      </c>
      <c r="N64" s="35" t="s">
        <v>284</v>
      </c>
      <c r="O64" s="42"/>
      <c r="P64" s="364">
        <f t="shared" si="9"/>
        <v>14.04</v>
      </c>
      <c r="Q64" s="255" t="str">
        <f>IF(($L64-$F64)&gt;=0,"",)</f>
        <v/>
      </c>
      <c r="R64" s="364">
        <f t="shared" si="10"/>
        <v>214.03999999999996</v>
      </c>
      <c r="S64" s="255" t="str">
        <f>IF(($L64-$E64)&gt;=0,"",
"- Провести анализ целей Общества в области ИБ и отразить в Политике ИБ, стратегии развития или планах развития")</f>
        <v/>
      </c>
      <c r="T64" s="364">
        <f t="shared" si="11"/>
        <v>314.03999999999996</v>
      </c>
      <c r="U64" s="255" t="str">
        <f>IF(($L64-$D64)&gt;=0,""," ")</f>
        <v/>
      </c>
    </row>
    <row r="65" spans="2:21" ht="105" customHeight="1" outlineLevel="1">
      <c r="B65" s="46" t="s">
        <v>445</v>
      </c>
      <c r="C65" s="498" t="s">
        <v>267</v>
      </c>
      <c r="D65" s="39">
        <v>5</v>
      </c>
      <c r="E65" s="40">
        <v>5</v>
      </c>
      <c r="F65" s="41">
        <v>5</v>
      </c>
      <c r="G65" s="47"/>
      <c r="H65" s="47"/>
      <c r="I65" s="47"/>
      <c r="J65" s="324"/>
      <c r="K65" s="537">
        <v>5</v>
      </c>
      <c r="L65" s="47">
        <f t="shared" si="12"/>
        <v>5</v>
      </c>
      <c r="M65">
        <f t="shared" si="8"/>
        <v>0</v>
      </c>
      <c r="N65" s="35" t="s">
        <v>284</v>
      </c>
      <c r="O65" s="42"/>
      <c r="P65" s="364">
        <f t="shared" si="9"/>
        <v>14.049999999999999</v>
      </c>
      <c r="Q65" s="255" t="str">
        <f>IF(($L65-$F65)&gt;=0,"",
"- Разработать планы развития ИБ или адаптировать типовые планы, предоставленные ПАО Ростелеком")</f>
        <v/>
      </c>
      <c r="R65" s="364">
        <f t="shared" si="10"/>
        <v>214.04999999999995</v>
      </c>
      <c r="S65" s="255" t="str">
        <f>IF(($L65-$E65)&gt;=0,"","")</f>
        <v/>
      </c>
      <c r="T65" s="364">
        <f t="shared" si="11"/>
        <v>314.04999999999995</v>
      </c>
      <c r="U65" s="255" t="str">
        <f>IF(($L65-$D65)&gt;=0,"","")</f>
        <v/>
      </c>
    </row>
    <row r="66" spans="2:21" ht="42" outlineLevel="1">
      <c r="B66" s="46" t="s">
        <v>904</v>
      </c>
      <c r="C66" s="498" t="s">
        <v>268</v>
      </c>
      <c r="D66" s="39">
        <v>5</v>
      </c>
      <c r="E66" s="40">
        <v>3.2</v>
      </c>
      <c r="F66" s="41">
        <v>0</v>
      </c>
      <c r="G66" s="47"/>
      <c r="H66" s="47"/>
      <c r="I66" s="47"/>
      <c r="J66" s="324"/>
      <c r="K66" s="537">
        <v>0</v>
      </c>
      <c r="L66" s="47">
        <f t="shared" si="12"/>
        <v>1.6</v>
      </c>
      <c r="M66">
        <f t="shared" si="8"/>
        <v>1.6</v>
      </c>
      <c r="N66" s="35" t="s">
        <v>861</v>
      </c>
      <c r="O66" s="42"/>
      <c r="P66" s="364">
        <f t="shared" si="9"/>
        <v>14.059999999999999</v>
      </c>
      <c r="Q66" s="255" t="str">
        <f t="shared" ref="Q66:Q70" si="13">IF(($L66-$F66)&gt;=0,"",)</f>
        <v/>
      </c>
      <c r="R66" s="364">
        <f t="shared" si="10"/>
        <v>214.05999999999995</v>
      </c>
      <c r="S66" s="255" t="str">
        <f>IF(($L66-$E66)&gt;=0,""," Сформировать отчет о достижении целей ИБ. Представить отчет руководству Общества")</f>
        <v xml:space="preserve"> Сформировать отчет о достижении целей ИБ. Представить отчет руководству Общества</v>
      </c>
      <c r="T66" s="364">
        <f t="shared" si="11"/>
        <v>314.05999999999995</v>
      </c>
      <c r="U66" s="255" t="str">
        <f>IF(($L66-$D66)&gt;=0,"","Организовать процесс регулярной отчетности перед руководством по достижению целей ИБ")</f>
        <v>Организовать процесс регулярной отчетности перед руководством по достижению целей ИБ</v>
      </c>
    </row>
    <row r="67" spans="2:21" ht="31.2" outlineLevel="1">
      <c r="B67" s="46" t="s">
        <v>867</v>
      </c>
      <c r="C67" s="498" t="s">
        <v>417</v>
      </c>
      <c r="D67" s="39">
        <v>5</v>
      </c>
      <c r="E67" s="40">
        <v>5</v>
      </c>
      <c r="F67" s="41">
        <v>0</v>
      </c>
      <c r="G67" s="47"/>
      <c r="H67" s="47"/>
      <c r="I67" s="47"/>
      <c r="J67" s="324"/>
      <c r="K67" s="537">
        <v>0</v>
      </c>
      <c r="L67" s="47">
        <f t="shared" si="12"/>
        <v>0</v>
      </c>
      <c r="M67">
        <f t="shared" si="8"/>
        <v>0</v>
      </c>
      <c r="N67" s="35" t="s">
        <v>283</v>
      </c>
      <c r="O67" s="42"/>
      <c r="P67" s="364">
        <f t="shared" si="9"/>
        <v>14.069999999999999</v>
      </c>
      <c r="Q67" s="255" t="str">
        <f t="shared" si="13"/>
        <v/>
      </c>
      <c r="R67" s="364">
        <f t="shared" si="10"/>
        <v>214.06999999999994</v>
      </c>
      <c r="S67" s="255" t="str">
        <f>IF(($L67-$E67)&gt;=0,""," Организовать и провести внешний аудит ИБ. Принять меры по повышению уровня ИБ по результатам аудита")</f>
        <v xml:space="preserve"> Организовать и провести внешний аудит ИБ. Принять меры по повышению уровня ИБ по результатам аудита</v>
      </c>
      <c r="T67" s="364">
        <f t="shared" si="11"/>
        <v>314.06999999999994</v>
      </c>
      <c r="U67" s="255" t="str">
        <f>IF(($L67-$D67)&gt;=0,"","Организовать процесс регулярных внешних аудитов ИБ. Определить требования к процессу внешнего аудита")</f>
        <v>Организовать процесс регулярных внешних аудитов ИБ. Определить требования к процессу внешнего аудита</v>
      </c>
    </row>
    <row r="68" spans="2:21" ht="17.399999999999999" outlineLevel="1">
      <c r="B68" s="46" t="s">
        <v>866</v>
      </c>
      <c r="C68" s="498" t="s">
        <v>418</v>
      </c>
      <c r="D68" s="39">
        <v>5</v>
      </c>
      <c r="E68" s="40">
        <v>5</v>
      </c>
      <c r="F68" s="41">
        <v>0</v>
      </c>
      <c r="G68" s="47"/>
      <c r="H68" s="47"/>
      <c r="I68" s="47"/>
      <c r="J68" s="324"/>
      <c r="K68" s="537">
        <v>0</v>
      </c>
      <c r="L68" s="47">
        <f t="shared" si="12"/>
        <v>0</v>
      </c>
      <c r="M68">
        <f t="shared" si="8"/>
        <v>0</v>
      </c>
      <c r="N68" s="35" t="s">
        <v>283</v>
      </c>
      <c r="O68" s="42"/>
      <c r="P68" s="364">
        <f t="shared" si="9"/>
        <v>14.079999999999998</v>
      </c>
      <c r="Q68" s="255" t="str">
        <f t="shared" si="13"/>
        <v/>
      </c>
      <c r="R68" s="364">
        <f t="shared" si="10"/>
        <v>214.07999999999993</v>
      </c>
      <c r="S68" s="255" t="str">
        <f>IF(($L68-$E68)&gt;=0,""," ")</f>
        <v xml:space="preserve"> </v>
      </c>
      <c r="T68" s="364">
        <f t="shared" si="11"/>
        <v>314.07999999999993</v>
      </c>
      <c r="U68" s="255" t="str">
        <f>IF(($L68-$D68)&gt;=0,"",
"")</f>
        <v/>
      </c>
    </row>
    <row r="69" spans="2:21" ht="123.6" customHeight="1" outlineLevel="1">
      <c r="B69" s="46" t="s">
        <v>909</v>
      </c>
      <c r="C69" s="498" t="s">
        <v>419</v>
      </c>
      <c r="D69" s="39">
        <v>5</v>
      </c>
      <c r="E69" s="40">
        <v>3.2</v>
      </c>
      <c r="F69" s="41">
        <v>0</v>
      </c>
      <c r="G69" s="47"/>
      <c r="H69" s="47"/>
      <c r="I69" s="47"/>
      <c r="J69" s="324"/>
      <c r="K69" s="537">
        <v>0</v>
      </c>
      <c r="L69" s="47">
        <f t="shared" si="12"/>
        <v>1.6</v>
      </c>
      <c r="M69">
        <f t="shared" si="8"/>
        <v>1.6</v>
      </c>
      <c r="N69" s="35" t="s">
        <v>257</v>
      </c>
      <c r="O69" s="42"/>
      <c r="P69" s="364">
        <f t="shared" si="9"/>
        <v>14.089999999999998</v>
      </c>
      <c r="Q69" s="255" t="str">
        <f t="shared" si="13"/>
        <v/>
      </c>
      <c r="R69" s="364">
        <f t="shared" si="10"/>
        <v>214.08999999999992</v>
      </c>
      <c r="S69" s="255" t="str">
        <f>IF(($L69-$E69)&gt;=0,"",
"- Организовать процесс создания / приобретения ИА;
  - Определить требования к процессу; 
  - Обеспечить участие подразделения ИБ в процессе;"&amp;"
  - Обеспечить формирование требований ИБ на этапе принятия решения о создании/приобретении ИА.")</f>
        <v>- Организовать процесс создания / приобретения ИА;
  - Определить требования к процессу; 
  - Обеспечить участие подразделения ИБ в процессе;
  - Обеспечить формирование требований ИБ на этапе принятия решения о создании/приобретении ИА.</v>
      </c>
      <c r="T69" s="364">
        <f t="shared" si="11"/>
        <v>314.08999999999992</v>
      </c>
      <c r="U69" s="255" t="str">
        <f>IF(($L69-$D69)&gt;=0,"",
"- Обеспечить формирование, коректировку, согласование, контроль исполнения требований ИБ на каждом этапе создания / приобретения ИА")</f>
        <v>- Обеспечить формирование, коректировку, согласование, контроль исполнения требований ИБ на каждом этапе создания / приобретения ИА</v>
      </c>
    </row>
    <row r="70" spans="2:21" ht="54.6" customHeight="1" outlineLevel="1">
      <c r="B70" s="46" t="s">
        <v>864</v>
      </c>
      <c r="C70" s="498" t="s">
        <v>420</v>
      </c>
      <c r="D70" s="39">
        <v>5</v>
      </c>
      <c r="E70" s="40">
        <v>5</v>
      </c>
      <c r="F70" s="41">
        <v>0</v>
      </c>
      <c r="G70" s="47"/>
      <c r="H70" s="47"/>
      <c r="I70" s="47"/>
      <c r="J70" s="324"/>
      <c r="K70" s="537">
        <v>0</v>
      </c>
      <c r="L70" s="47">
        <f t="shared" si="12"/>
        <v>5</v>
      </c>
      <c r="M70">
        <f t="shared" si="8"/>
        <v>5</v>
      </c>
      <c r="N70" s="35" t="s">
        <v>284</v>
      </c>
      <c r="O70" s="42"/>
      <c r="P70" s="370">
        <f t="shared" si="9"/>
        <v>14.099999999999998</v>
      </c>
      <c r="Q70" s="255" t="str">
        <f t="shared" si="13"/>
        <v/>
      </c>
      <c r="R70" s="370">
        <f t="shared" si="10"/>
        <v>214.09999999999991</v>
      </c>
      <c r="S70" s="255" t="str">
        <f>IF(($L70-$E70)&gt;=0,"",
"- Определить ответственных за мониторинг НПА и организовать процесс мониторинга;
- Организовать процесс доведения информации до всех заинтересованных подразделений. Реализовать процесс выполнения требований НПА.")</f>
        <v/>
      </c>
      <c r="T70" s="370">
        <f t="shared" si="11"/>
        <v>314.09999999999991</v>
      </c>
      <c r="U70" s="255" t="str">
        <f>IF(($L70-$D70)&gt;=0,"",
"- Определить ответственных за мониторинг НПА и организовать процесс мониторинга
- Организовать процесс доведения информации до всех заинтересованных подразделений. Реализовать процесс выполнения требований НПА.")</f>
        <v/>
      </c>
    </row>
    <row r="71" spans="2:21" ht="40.35" customHeight="1">
      <c r="B71" s="43" t="s">
        <v>30</v>
      </c>
      <c r="C71" s="44" t="s">
        <v>26</v>
      </c>
      <c r="D71" s="44"/>
      <c r="E71" s="44"/>
      <c r="F71" s="44"/>
      <c r="G71" s="511"/>
      <c r="H71" s="44"/>
      <c r="I71" s="44"/>
      <c r="J71" s="44"/>
      <c r="K71" s="44"/>
      <c r="L71" s="44"/>
      <c r="M71">
        <f>L71-K71</f>
        <v>0</v>
      </c>
      <c r="N71" s="35"/>
      <c r="O71" s="42"/>
      <c r="P71" s="365">
        <f>VLOOKUP(B71,Приоритет!$G$9:$K$52,5,0)</f>
        <v>41</v>
      </c>
      <c r="Q71" s="264" t="s">
        <v>26</v>
      </c>
      <c r="R71" s="365">
        <f>P71+200</f>
        <v>241</v>
      </c>
      <c r="S71" s="264" t="s">
        <v>26</v>
      </c>
      <c r="T71" s="365">
        <f>P71+300</f>
        <v>341</v>
      </c>
      <c r="U71" s="264" t="s">
        <v>26</v>
      </c>
    </row>
    <row r="72" spans="2:21" ht="80.099999999999994" customHeight="1" outlineLevel="1">
      <c r="B72" s="46" t="s">
        <v>868</v>
      </c>
      <c r="C72" s="498" t="s">
        <v>32</v>
      </c>
      <c r="D72" s="39">
        <v>5</v>
      </c>
      <c r="E72" s="40">
        <v>5</v>
      </c>
      <c r="F72" s="41">
        <v>5</v>
      </c>
      <c r="G72" s="47"/>
      <c r="H72" s="47"/>
      <c r="I72" s="47"/>
      <c r="J72" s="324"/>
      <c r="K72" s="537">
        <v>5</v>
      </c>
      <c r="L72" s="47">
        <f>VALUE(LEFT(N72,3))</f>
        <v>0</v>
      </c>
      <c r="M72">
        <f>L72-K72</f>
        <v>-5</v>
      </c>
      <c r="N72" s="35" t="s">
        <v>283</v>
      </c>
      <c r="O72" s="42"/>
      <c r="P72" s="364">
        <f>P71+0.01</f>
        <v>41.01</v>
      </c>
      <c r="Q72" s="255" t="str">
        <f>IF(($L72-$F72)&gt;=0,"","- Составить перечень нежелательныхх событий в ИБ. Согласовать перечень с руководством Общества и со всеми заинтересованными подразделениями. Утвердить перечень ")</f>
        <v xml:space="preserve">- Составить перечень нежелательныхх событий в ИБ. Согласовать перечень с руководством Общества и со всеми заинтересованными подразделениями. Утвердить перечень </v>
      </c>
      <c r="R72" s="364">
        <f>R71+0.01</f>
        <v>241.01</v>
      </c>
      <c r="S72" s="255" t="str">
        <f>IF(($L72-$E72)&gt;=0,"","")</f>
        <v/>
      </c>
      <c r="T72" s="364">
        <f>T71+0.01</f>
        <v>341.01</v>
      </c>
      <c r="U72" s="255" t="str">
        <f>IF(($L72-$D72)&gt;=0,"","")</f>
        <v/>
      </c>
    </row>
    <row r="73" spans="2:21" ht="72.599999999999994" customHeight="1" outlineLevel="1">
      <c r="B73" s="46" t="s">
        <v>869</v>
      </c>
      <c r="C73" s="498" t="s">
        <v>33</v>
      </c>
      <c r="D73" s="39">
        <v>5</v>
      </c>
      <c r="E73" s="40">
        <v>0</v>
      </c>
      <c r="F73" s="41">
        <v>0</v>
      </c>
      <c r="G73" s="47"/>
      <c r="H73" s="47"/>
      <c r="I73" s="47"/>
      <c r="J73" s="324"/>
      <c r="K73" s="537">
        <v>0</v>
      </c>
      <c r="L73" s="47">
        <f>VALUE(LEFT(N73,3))</f>
        <v>0</v>
      </c>
      <c r="N73" s="35" t="s">
        <v>283</v>
      </c>
      <c r="O73" s="42"/>
      <c r="P73" s="364">
        <f>P72+0.01</f>
        <v>41.019999999999996</v>
      </c>
      <c r="Q73" s="255" t="str">
        <f>IF(($L73-$F73)&gt;=0,"",)</f>
        <v/>
      </c>
      <c r="R73" s="364">
        <f>R72+0.01</f>
        <v>241.01999999999998</v>
      </c>
      <c r="S73" s="255" t="str">
        <f>IF(($L73-$E73)&gt;=0,"","")</f>
        <v/>
      </c>
      <c r="T73" s="364">
        <f>T72+0.01</f>
        <v>341.02</v>
      </c>
      <c r="U73" s="255" t="str">
        <f>IF(($L73-$D73)&gt;=0,"",
"- Разработать или Получить в Блоке ИБ ПАО Ростелеком типовую политику  управления рисками;
- Утвердить в Обществе политику  управления рисками")</f>
        <v>- Разработать или Получить в Блоке ИБ ПАО Ростелеком типовую политику  управления рисками;
- Утвердить в Обществе политику  управления рисками</v>
      </c>
    </row>
    <row r="74" spans="2:21" ht="40.35" customHeight="1" outlineLevel="1">
      <c r="B74" s="46" t="s">
        <v>451</v>
      </c>
      <c r="C74" s="498" t="s">
        <v>34</v>
      </c>
      <c r="D74" s="39">
        <v>5</v>
      </c>
      <c r="E74" s="40">
        <v>5</v>
      </c>
      <c r="F74" s="41">
        <v>0</v>
      </c>
      <c r="G74" s="47"/>
      <c r="H74" s="47"/>
      <c r="I74" s="47"/>
      <c r="J74" s="324"/>
      <c r="K74" s="537">
        <v>0</v>
      </c>
      <c r="L74" s="47">
        <f>VALUE(LEFT(N74,3))</f>
        <v>0</v>
      </c>
      <c r="N74" s="35" t="s">
        <v>283</v>
      </c>
      <c r="O74" s="42"/>
      <c r="P74" s="364">
        <f>P73+0.01</f>
        <v>41.029999999999994</v>
      </c>
      <c r="Q74" s="255" t="str">
        <f>IF(($L74-$F74)&gt;=0,"")</f>
        <v/>
      </c>
      <c r="R74" s="364">
        <f>R73+0.01</f>
        <v>241.02999999999997</v>
      </c>
      <c r="S74" s="255">
        <f>IF(($L74-$E74)&gt;=0,"- Реализовать процесс качественной оценки рисков ИБ на основе экспертной оценки",)</f>
        <v>0</v>
      </c>
      <c r="T74" s="364">
        <f>T73+0.01</f>
        <v>341.03</v>
      </c>
      <c r="U74" s="255">
        <f>IF(($L74-$D74)&gt;=0,"",)</f>
        <v>0</v>
      </c>
    </row>
    <row r="75" spans="2:21" ht="40.35" customHeight="1" outlineLevel="1">
      <c r="B75" s="46" t="s">
        <v>817</v>
      </c>
      <c r="C75" s="498" t="s">
        <v>35</v>
      </c>
      <c r="D75" s="39">
        <v>4</v>
      </c>
      <c r="E75" s="40">
        <v>0</v>
      </c>
      <c r="F75" s="41">
        <v>0</v>
      </c>
      <c r="G75" s="47"/>
      <c r="H75" s="47"/>
      <c r="I75" s="47"/>
      <c r="J75" s="324"/>
      <c r="K75" s="537">
        <v>0</v>
      </c>
      <c r="L75" s="47">
        <f>VALUE(LEFT(N75,3))</f>
        <v>0</v>
      </c>
      <c r="M75">
        <f>L75-K75</f>
        <v>0</v>
      </c>
      <c r="N75" s="237" t="s">
        <v>245</v>
      </c>
      <c r="O75" s="42"/>
      <c r="P75" s="364">
        <f>P74+0.01</f>
        <v>41.039999999999992</v>
      </c>
      <c r="Q75" s="255" t="str">
        <f>IF(($L75-$F75)&gt;=0,"",)</f>
        <v/>
      </c>
      <c r="R75" s="364">
        <f>R74+0.01</f>
        <v>241.03999999999996</v>
      </c>
      <c r="S75" s="255" t="str">
        <f>IF(($L75-$E75)&gt;=0,"","")</f>
        <v/>
      </c>
      <c r="T75" s="364">
        <f>T74+0.01</f>
        <v>341.03999999999996</v>
      </c>
      <c r="U75" s="255" t="str">
        <f>IF(($L75-$D75)&gt;=0,"","")</f>
        <v/>
      </c>
    </row>
    <row r="76" spans="2:21" ht="40.35" customHeight="1" outlineLevel="1">
      <c r="B76" s="46" t="s">
        <v>905</v>
      </c>
      <c r="C76" s="498" t="s">
        <v>37</v>
      </c>
      <c r="D76" s="39">
        <v>5</v>
      </c>
      <c r="E76" s="40">
        <v>0</v>
      </c>
      <c r="F76" s="41">
        <v>0</v>
      </c>
      <c r="G76" s="47"/>
      <c r="H76" s="47"/>
      <c r="I76" s="47"/>
      <c r="J76" s="324"/>
      <c r="K76" s="537">
        <v>0</v>
      </c>
      <c r="L76" s="47">
        <f>VALUE(LEFT(N76,3))</f>
        <v>0</v>
      </c>
      <c r="M76">
        <f>L76-K76</f>
        <v>0</v>
      </c>
      <c r="N76" s="35" t="s">
        <v>283</v>
      </c>
      <c r="O76" s="42"/>
      <c r="P76" s="364">
        <f>P75+0.01</f>
        <v>41.04999999999999</v>
      </c>
      <c r="Q76" s="255" t="str">
        <f>IF(($L76-$F76)&gt;=0,"",)</f>
        <v/>
      </c>
      <c r="R76" s="364">
        <f>R75+0.01</f>
        <v>241.04999999999995</v>
      </c>
      <c r="S76" s="255" t="str">
        <f>IF(($L76-$E76)&gt;=0,"","")</f>
        <v/>
      </c>
      <c r="T76" s="364">
        <f>T75+0.01</f>
        <v>341.04999999999995</v>
      </c>
      <c r="U76" s="255" t="str">
        <f>IF(($L76-$D76)&gt;=0,"","")</f>
        <v/>
      </c>
    </row>
    <row r="77" spans="2:21" ht="40.35" customHeight="1">
      <c r="B77" s="43" t="s">
        <v>38</v>
      </c>
      <c r="C77" s="44" t="s">
        <v>39</v>
      </c>
      <c r="D77" s="44"/>
      <c r="E77" s="44"/>
      <c r="F77" s="44"/>
      <c r="G77" s="512"/>
      <c r="H77" s="44"/>
      <c r="I77" s="44"/>
      <c r="J77" s="44"/>
      <c r="K77" s="44"/>
      <c r="L77" s="44"/>
      <c r="M77">
        <f>L77-K77</f>
        <v>0</v>
      </c>
      <c r="P77" s="365">
        <f>VLOOKUP(B77,Приоритет!$G$9:$K$52,5,0)</f>
        <v>28</v>
      </c>
      <c r="Q77" s="44" t="s">
        <v>39</v>
      </c>
      <c r="R77" s="365">
        <f>P77+200</f>
        <v>228</v>
      </c>
      <c r="S77" s="44" t="s">
        <v>39</v>
      </c>
      <c r="T77" s="365">
        <f>P77+300</f>
        <v>328</v>
      </c>
      <c r="U77" s="44" t="s">
        <v>39</v>
      </c>
    </row>
    <row r="78" spans="2:21" s="257" customFormat="1" ht="140.85" customHeight="1" outlineLevel="1">
      <c r="B78" s="487" t="str">
        <f>СЗИ!B88</f>
        <v>Внедрен процесс управления уязвимостями</v>
      </c>
      <c r="C78" s="499" t="str">
        <f>СЗИ!C88</f>
        <v>СЗИ.САЗ.3</v>
      </c>
      <c r="D78" s="488">
        <f>СЗИ!D88</f>
        <v>4</v>
      </c>
      <c r="E78" s="488">
        <f>СЗИ!E88</f>
        <v>3</v>
      </c>
      <c r="F78" s="488">
        <f>СЗИ!F88</f>
        <v>0</v>
      </c>
      <c r="G78" s="488">
        <f>СЗИ!G88</f>
        <v>0</v>
      </c>
      <c r="H78" s="488">
        <f>СЗИ!H88</f>
        <v>0</v>
      </c>
      <c r="I78" s="488">
        <f>СЗИ!I88</f>
        <v>0</v>
      </c>
      <c r="J78" s="488">
        <f>СЗИ!J88</f>
        <v>0</v>
      </c>
      <c r="K78" s="488">
        <f>СЗИ!K88</f>
        <v>0</v>
      </c>
      <c r="L78" s="488">
        <f>СЗИ!L88</f>
        <v>1</v>
      </c>
      <c r="M78" s="489"/>
      <c r="N78" s="490"/>
      <c r="O78" s="491"/>
      <c r="P78" s="364">
        <f>P77+0.01</f>
        <v>28.01</v>
      </c>
      <c r="Q78" s="485" t="str">
        <f>СЗИ!Q88</f>
        <v/>
      </c>
      <c r="R78" s="364">
        <f>R77+0.01</f>
        <v>228.01</v>
      </c>
      <c r="S78" s="485" t="str">
        <f>СЗИ!S88</f>
        <v xml:space="preserve"> - Разработать или Получить в Блоке ИБ ПАО Ростелеком типовое описание процесса управления уязвимостями;
 -  Реализовать процесс управления уязвимостями; 
 - Обеспечить устранение или митигацию всех выявленных уязвимостей;
 - Обеспечить устранение уязвимостей критичного уровня в срок не более 3 рабочих дней при их обнаружении.</v>
      </c>
      <c r="T78" s="364">
        <f>T77+0.01</f>
        <v>328.01</v>
      </c>
      <c r="U78" s="492" t="str">
        <f>СЗИ!U88</f>
        <v xml:space="preserve"> - Автоматизировать процесс управления уязвимостями. Обеспечить устранение уязвимостей критичного уровня в срок не более 24 часов, высокого уровня в срок не более 72 часов;
 - Разработать систему метрик для процесса управления уязвимостями;
 - Создать средство визуального мониторинга параметров процесса управления уязвимостями;
 - Реализовать мониторинг параметров процесса управления уязвимостями;
 - Реализовать реагирование на факты отклонения параметров процесса управления уязвимостями от определенных показателей.</v>
      </c>
    </row>
    <row r="79" spans="2:21" s="257" customFormat="1" ht="135.6" customHeight="1" outlineLevel="1">
      <c r="B79" s="487" t="str">
        <f>СЗИ!B62</f>
        <v>Внедрен процесс управления уязвимостями на периметре (CPT)</v>
      </c>
      <c r="C79" s="499" t="str">
        <f>СЗИ!C62</f>
        <v>СЗИ.CPT.3</v>
      </c>
      <c r="D79" s="488">
        <f>СЗИ!D62</f>
        <v>4</v>
      </c>
      <c r="E79" s="488">
        <f>СЗИ!E62</f>
        <v>3</v>
      </c>
      <c r="F79" s="488">
        <f>СЗИ!F62</f>
        <v>1</v>
      </c>
      <c r="G79" s="488">
        <f>СЗИ!G62</f>
        <v>0</v>
      </c>
      <c r="H79" s="488">
        <f>СЗИ!H62</f>
        <v>0</v>
      </c>
      <c r="I79" s="488">
        <f>СЗИ!I62</f>
        <v>0</v>
      </c>
      <c r="J79" s="488">
        <f>СЗИ!J62</f>
        <v>0</v>
      </c>
      <c r="K79" s="488">
        <f>СЗИ!K62</f>
        <v>1</v>
      </c>
      <c r="L79" s="488">
        <f>СЗИ!L62</f>
        <v>0</v>
      </c>
      <c r="M79" s="488"/>
      <c r="N79" s="488"/>
      <c r="O79" s="493"/>
      <c r="P79" s="364">
        <f t="shared" ref="P79:P100" si="14">P78+0.01</f>
        <v>28.020000000000003</v>
      </c>
      <c r="Q79" s="494" t="str">
        <f>СЗИ!Q62</f>
        <v xml:space="preserve"> - Разработать или Получить в Блоке ИБ ПАО Ростелеком типовое описание процесса контроля уязвимостей</v>
      </c>
      <c r="R79" s="364">
        <f t="shared" ref="R79:R100" si="15">R78+0.01</f>
        <v>228.01999999999998</v>
      </c>
      <c r="S79" s="485" t="str">
        <f>СЗИ!S62</f>
        <v xml:space="preserve"> - Реализовать в Обществе процесс управления уязвимостями на периметре. 
 - Автоматизировать процесс управления выявленными уязвимостями (учет, информирование, контроль устранения).</v>
      </c>
      <c r="T79" s="364">
        <f t="shared" ref="T79:T100" si="16">T78+0.01</f>
        <v>328.02</v>
      </c>
      <c r="U79" s="485" t="str">
        <f>СЗИ!U62</f>
        <v xml:space="preserve"> - Разработать систему метрик для процесса CPT;
 - Создать средство визуального мониторинга параметров процесса CPT;
 - Реализовать мониторинг параметров процесса CPT;
 - Реализовать реагирование на факты отклонения параметров процесса CPT</v>
      </c>
    </row>
    <row r="80" spans="2:21" s="257" customFormat="1" ht="132" customHeight="1" outlineLevel="1">
      <c r="B80" s="487" t="str">
        <f>Мониторинг!B61</f>
        <v>Процесс анализа информации о киберугрозах</v>
      </c>
      <c r="C80" s="488" t="str">
        <f>Мониторинг!C61</f>
        <v>МНТ.ПР.1</v>
      </c>
      <c r="D80" s="488">
        <f>Мониторинг!D61</f>
        <v>4</v>
      </c>
      <c r="E80" s="488">
        <f>Мониторинг!E61</f>
        <v>1</v>
      </c>
      <c r="F80" s="488">
        <f>Мониторинг!F61</f>
        <v>0</v>
      </c>
      <c r="G80" s="488">
        <f>Мониторинг!G61</f>
        <v>0</v>
      </c>
      <c r="H80" s="488">
        <f>Мониторинг!H61</f>
        <v>0</v>
      </c>
      <c r="I80" s="488">
        <f>Мониторинг!I61</f>
        <v>0</v>
      </c>
      <c r="J80" s="488">
        <f>Мониторинг!J61</f>
        <v>0</v>
      </c>
      <c r="K80" s="488">
        <f>Мониторинг!K61</f>
        <v>0</v>
      </c>
      <c r="L80" s="488">
        <f>Мониторинг!L61</f>
        <v>0</v>
      </c>
      <c r="M80" s="488"/>
      <c r="N80" s="488"/>
      <c r="O80" s="493"/>
      <c r="P80" s="364">
        <f t="shared" si="14"/>
        <v>28.030000000000005</v>
      </c>
      <c r="Q80" s="494" t="str">
        <f>Мониторинг!Q61</f>
        <v/>
      </c>
      <c r="R80" s="364">
        <f t="shared" si="15"/>
        <v>228.02999999999997</v>
      </c>
      <c r="S80" s="485" t="str">
        <f>Мониторинг!S61</f>
        <v xml:space="preserve"> - Организовать процесс анализа информации об угрозах, направлемой РТК, ФСТЭК и НКЦКИ. Выполнять проверку применимости угроз и мер защиты в Обществе. Выполнять рекомендуемые меры.</v>
      </c>
      <c r="T80" s="364">
        <f t="shared" si="16"/>
        <v>328.03</v>
      </c>
      <c r="U80" s="485" t="str">
        <f>Мониторинг!U61</f>
        <v xml:space="preserve"> - Организовать получение данных от  поставщиков информации об угрозах и из открытых источников. Реализовать процесс анализа угроз и защиты от релевантных угроз.</v>
      </c>
    </row>
    <row r="81" spans="2:22" s="257" customFormat="1" ht="159.6" customHeight="1" outlineLevel="1">
      <c r="B81" s="487" t="str">
        <f>Мониторинг!B62</f>
        <v>Процесс мониторинга событий ИБ</v>
      </c>
      <c r="C81" s="488" t="str">
        <f>Мониторинг!C62</f>
        <v>МНТ.ПР.2</v>
      </c>
      <c r="D81" s="488">
        <f>Мониторинг!D62</f>
        <v>4</v>
      </c>
      <c r="E81" s="488">
        <f>Мониторинг!E62</f>
        <v>4</v>
      </c>
      <c r="F81" s="488">
        <f>Мониторинг!F62</f>
        <v>0</v>
      </c>
      <c r="G81" s="488">
        <f>Мониторинг!G62</f>
        <v>0</v>
      </c>
      <c r="H81" s="488">
        <f>Мониторинг!H62</f>
        <v>0</v>
      </c>
      <c r="I81" s="488">
        <f>Мониторинг!I62</f>
        <v>0</v>
      </c>
      <c r="J81" s="488">
        <f>Мониторинг!J62</f>
        <v>0</v>
      </c>
      <c r="K81" s="488">
        <f>Мониторинг!K62</f>
        <v>0</v>
      </c>
      <c r="L81" s="488">
        <f>Мониторинг!L62</f>
        <v>0</v>
      </c>
      <c r="M81" s="488"/>
      <c r="N81" s="488"/>
      <c r="O81" s="493"/>
      <c r="P81" s="364">
        <f t="shared" si="14"/>
        <v>28.040000000000006</v>
      </c>
      <c r="Q81" s="494" t="str">
        <f>Мониторинг!Q62</f>
        <v/>
      </c>
      <c r="R81" s="364">
        <f t="shared" si="15"/>
        <v>228.03999999999996</v>
      </c>
      <c r="S81" s="485" t="str">
        <f>Мониторинг!S62</f>
        <v xml:space="preserve"> - Регламентировать процесс мониторинга событий ИБ, определить критерии определения и классификации инцидентов, Определить порядок инициации реагирования на инцидент.</v>
      </c>
      <c r="T81" s="364">
        <f t="shared" si="16"/>
        <v>328.03999999999996</v>
      </c>
      <c r="U81" s="485" t="str">
        <f>Мониторинг!U62</f>
        <v/>
      </c>
    </row>
    <row r="82" spans="2:22" s="257" customFormat="1" ht="150" customHeight="1" outlineLevel="1">
      <c r="B82" s="487" t="str">
        <f>Реагирование!B40</f>
        <v>Процесс категорирования инцидентов ИБ</v>
      </c>
      <c r="C82" s="488" t="str">
        <f>Реагирование!C40</f>
        <v>РЕАГ.ПЛР.2</v>
      </c>
      <c r="D82" s="488">
        <f>Реагирование!D40</f>
        <v>4</v>
      </c>
      <c r="E82" s="488">
        <f>Реагирование!E40</f>
        <v>3</v>
      </c>
      <c r="F82" s="488">
        <f>Реагирование!F40</f>
        <v>1</v>
      </c>
      <c r="G82" s="488">
        <f>Реагирование!G40</f>
        <v>0</v>
      </c>
      <c r="H82" s="488">
        <f>Реагирование!H40</f>
        <v>0</v>
      </c>
      <c r="I82" s="488">
        <f>Реагирование!I40</f>
        <v>0</v>
      </c>
      <c r="J82" s="488">
        <f>Реагирование!J40</f>
        <v>0</v>
      </c>
      <c r="K82" s="488">
        <f>Реагирование!K40</f>
        <v>1</v>
      </c>
      <c r="L82" s="488">
        <f>Реагирование!L40</f>
        <v>0</v>
      </c>
      <c r="M82" s="488"/>
      <c r="N82" s="488"/>
      <c r="O82" s="493"/>
      <c r="P82" s="364">
        <f t="shared" si="14"/>
        <v>28.050000000000008</v>
      </c>
      <c r="Q82" s="494" t="str">
        <f>Реагирование!Q40</f>
        <v xml:space="preserve"> - В Обществе неформально определить категории инцидентов ИБ</v>
      </c>
      <c r="R82" s="364">
        <f t="shared" si="15"/>
        <v>228.04999999999995</v>
      </c>
      <c r="S82" s="485" t="str">
        <f>Реагирование!S40</f>
        <v>- Формализовать критерии определения критичности инцидентов ИБ; 
- Определить мандаты на действия участников процесса;
  -  Официально сформировать ГЭР и ОКУ;
  -  Не реже 1 раза в год проводить учения в формате штабных игр.</v>
      </c>
      <c r="T82" s="364">
        <f t="shared" si="16"/>
        <v>328.04999999999995</v>
      </c>
      <c r="U82" s="485" t="str">
        <f>Реагирование!U40</f>
        <v xml:space="preserve"> - Реализовать возможность корректировки категорий инцидента ИБ в процессе реагирования</v>
      </c>
    </row>
    <row r="83" spans="2:22" s="257" customFormat="1" ht="139.35" customHeight="1" outlineLevel="1">
      <c r="B83" s="487" t="str">
        <f>Реагирование!B51</f>
        <v>Процесс расследования инцидентов</v>
      </c>
      <c r="C83" s="488" t="str">
        <f>Реагирование!C51</f>
        <v>РЕАГ.АНЛЗ.2</v>
      </c>
      <c r="D83" s="488">
        <f>Реагирование!D51</f>
        <v>4</v>
      </c>
      <c r="E83" s="488">
        <f>Реагирование!E51</f>
        <v>3</v>
      </c>
      <c r="F83" s="488">
        <f>Реагирование!F51</f>
        <v>1</v>
      </c>
      <c r="G83" s="488">
        <f>Реагирование!G51</f>
        <v>0</v>
      </c>
      <c r="H83" s="488">
        <f>Реагирование!H51</f>
        <v>0</v>
      </c>
      <c r="I83" s="488">
        <f>Реагирование!I51</f>
        <v>0</v>
      </c>
      <c r="J83" s="488">
        <f>Реагирование!J51</f>
        <v>0</v>
      </c>
      <c r="K83" s="488">
        <f>Реагирование!K51</f>
        <v>1</v>
      </c>
      <c r="L83" s="488">
        <f>Реагирование!L51</f>
        <v>1</v>
      </c>
      <c r="M83" s="488"/>
      <c r="N83" s="488"/>
      <c r="O83" s="493"/>
      <c r="P83" s="364">
        <f t="shared" si="14"/>
        <v>28.060000000000009</v>
      </c>
      <c r="Q83" s="494" t="str">
        <f>Реагирование!Q51</f>
        <v/>
      </c>
      <c r="R83" s="364">
        <f t="shared" si="15"/>
        <v>228.05999999999995</v>
      </c>
      <c r="S83" s="485" t="str">
        <f>Реагирование!S51</f>
        <v xml:space="preserve"> - Разработать и задокументировать процесс расследования инцидентов, довести до сведения заинтересованных лиц;
  - Расследование инцидентов должно проводиться с использованием средств автоматизации;
 -  Создать единую базу знаний по расследованиям. Результаты расследований и артефакты хранить в единой базе знаний.</v>
      </c>
      <c r="T83" s="364">
        <f t="shared" si="16"/>
        <v>328.05999999999995</v>
      </c>
      <c r="U83" s="485" t="str">
        <f>Реагирование!U51</f>
        <v xml:space="preserve"> - Определить метрики процесса реагирования на инциденты и  расследования;
  -  На постоянной основе проводить мониторинг процесса по утвержденным метрикам и показателям;
  -  Интегрировать процесс расследования инцидентов в единый процесс управления инцидентами ИБ</v>
      </c>
    </row>
    <row r="84" spans="2:22" s="257" customFormat="1" ht="119.1" customHeight="1" outlineLevel="1">
      <c r="B84" s="487" t="str">
        <f>Реагирование!B47</f>
        <v>Определен порядок взаимодействия с регуляторами по инцидентам ИБ</v>
      </c>
      <c r="C84" s="488" t="str">
        <f>Реагирование!C47</f>
        <v>РЕАГ.КМНК.4</v>
      </c>
      <c r="D84" s="488">
        <f>Реагирование!D47</f>
        <v>5</v>
      </c>
      <c r="E84" s="488">
        <f>Реагирование!E47</f>
        <v>3.2</v>
      </c>
      <c r="F84" s="488">
        <f>Реагирование!F47</f>
        <v>1.6</v>
      </c>
      <c r="G84" s="488">
        <f>Реагирование!G47</f>
        <v>0</v>
      </c>
      <c r="H84" s="488">
        <f>Реагирование!H47</f>
        <v>0</v>
      </c>
      <c r="I84" s="488">
        <f>Реагирование!I47</f>
        <v>0</v>
      </c>
      <c r="J84" s="488">
        <f>Реагирование!J47</f>
        <v>0</v>
      </c>
      <c r="K84" s="488">
        <f>Реагирование!K47</f>
        <v>1.6</v>
      </c>
      <c r="L84" s="488">
        <f>Реагирование!L47</f>
        <v>1.6</v>
      </c>
      <c r="M84" s="488"/>
      <c r="N84" s="488"/>
      <c r="O84" s="493"/>
      <c r="P84" s="364">
        <f t="shared" si="14"/>
        <v>28.070000000000011</v>
      </c>
      <c r="Q84" s="493" t="str">
        <f>Реагирование!Q47</f>
        <v xml:space="preserve"> - Взаимодействовать с регуляторами по инциденту ИБ в установленных законом случаях</v>
      </c>
      <c r="R84" s="364">
        <f t="shared" si="15"/>
        <v>228.06999999999994</v>
      </c>
      <c r="S84" s="493" t="str">
        <f>Реагирование!S47</f>
        <v xml:space="preserve"> - Регламентировать процесс взаимодействия с регуляторами;
  -  Определить ответственных за взаимодействие;
 -  Определить состав и объем предоставляемой информации об инцидентах.</v>
      </c>
      <c r="T84" s="364">
        <f t="shared" si="16"/>
        <v>328.06999999999994</v>
      </c>
      <c r="U84" s="493" t="str">
        <f>Реагирование!U47</f>
        <v/>
      </c>
    </row>
    <row r="85" spans="2:22" s="257" customFormat="1" ht="160.35" customHeight="1" outlineLevel="1">
      <c r="B85" s="487" t="str">
        <f>Реагирование!B39</f>
        <v>Процесс реагирования на инциденты ИБ</v>
      </c>
      <c r="C85" s="488" t="str">
        <f>Реагирование!C39</f>
        <v>РЕАГ.ПЛР.1</v>
      </c>
      <c r="D85" s="488">
        <f>Реагирование!D39</f>
        <v>4</v>
      </c>
      <c r="E85" s="488">
        <f>Реагирование!E39</f>
        <v>3</v>
      </c>
      <c r="F85" s="488">
        <f>Реагирование!F39</f>
        <v>1</v>
      </c>
      <c r="G85" s="488">
        <f>Реагирование!G39</f>
        <v>0</v>
      </c>
      <c r="H85" s="488">
        <f>Реагирование!H39</f>
        <v>0</v>
      </c>
      <c r="I85" s="488">
        <f>Реагирование!I39</f>
        <v>0</v>
      </c>
      <c r="J85" s="488">
        <f>Реагирование!J39</f>
        <v>0</v>
      </c>
      <c r="K85" s="488">
        <f>Реагирование!K39</f>
        <v>1</v>
      </c>
      <c r="L85" s="488">
        <f>Реагирование!L39</f>
        <v>0</v>
      </c>
      <c r="M85" s="487"/>
      <c r="N85" s="487"/>
      <c r="O85" s="493"/>
      <c r="P85" s="364">
        <f t="shared" si="14"/>
        <v>28.080000000000013</v>
      </c>
      <c r="Q85" s="487" t="str">
        <f>Реагирование!Q39</f>
        <v xml:space="preserve"> - Назначить ответственных за решение инцидентов ИБ, включая ответственного за коммуникации внутри и со сторонними компаниями;
  -  Составить и актуализировать список заинтересованных лиц, которые должны получить уведомление об инциденте;
  -  Для критичных инцидентов определить SLA и порядок действий по реагированию;
  -  Автоматизировать процесс реагирования на инциденты ИБ с применением не специализированных средств.</v>
      </c>
      <c r="R85" s="364">
        <f t="shared" si="15"/>
        <v>228.07999999999993</v>
      </c>
      <c r="S85" s="487" t="str">
        <f>Реагирование!S39</f>
        <v xml:space="preserve"> - Разработать или Получить в Блоке ИБ ПАО Ростелеком типовое описание процесса реагирования на инциденты ИБ (Политика, Регламенты, процедуры реагирования на инциденты ИБ);
  -  Определить ответственность за координацию процесса работы с инцидентами и документирование результатов в процессе решения инцидента;
  -  Составить список заинтересованных лиц, которые должны получить уведомление об инциденте, актуализиировать и пересматривать его не реже раза в год;
 -  Для всех инцидентов определить SLA по реагированию, механизмы обращения, минимальная информация для создания инцидента/Процедуру довести до всех работников Общества;
 -  Определить роли и обязанности, план коммуникации по поводу инцидента;
 - Составить план реагирования на инциденты, включая сценарии реагирования с привлечением юристов, специалистов по ИТ и ИБ, служб PR, HR и аналитиков;
 -  Разработать учебные сценарии по реагированию, включающие взаимодействие заинтересованных лиц и позволяющие тестировать постановку задач, процессы коммуникации и принятия решений;
 -  Разработать сценарии реагирования для разных событий безопасности: подозрительной активности, обнаруженной уязвимости, утечки информации;
 -  Для автоматизации процесса внедрить специализированное ПО: SIEM, IRP/ServiceDesk.</v>
      </c>
      <c r="T85" s="364">
        <f t="shared" si="16"/>
        <v>328.07999999999993</v>
      </c>
      <c r="U85" s="495" t="str">
        <f>Реагирование!U39</f>
        <v xml:space="preserve"> -  Разработать КПЭ по процессу реагирования на инциденты ИБ для руководства ИБ;
 -  Разработать метрики по процессу;
 -  Назначить сервис-менеджеров процесса;
 -  Создать средство визуального мониторинга параметров процесса;
 -  Реализовать мониторинг параметров процесса;
 -  Реализовать реагирование на факты отклонения параметров процесса от определенных показателей</v>
      </c>
    </row>
    <row r="86" spans="2:22" s="257" customFormat="1" ht="155.1" customHeight="1" outlineLevel="1">
      <c r="B86" s="487" t="str">
        <f>Реагирование!B53</f>
        <v>Процесс пост-анализа инцидентов</v>
      </c>
      <c r="C86" s="488" t="str">
        <f>Реагирование!C53</f>
        <v>РЕАГ.АНЛЗ.4</v>
      </c>
      <c r="D86" s="488">
        <f>Реагирование!D53</f>
        <v>4</v>
      </c>
      <c r="E86" s="488">
        <f>Реагирование!E53</f>
        <v>3</v>
      </c>
      <c r="F86" s="488">
        <f>Реагирование!F53</f>
        <v>1</v>
      </c>
      <c r="G86" s="488">
        <f>Реагирование!G53</f>
        <v>0</v>
      </c>
      <c r="H86" s="488">
        <f>Реагирование!H53</f>
        <v>0</v>
      </c>
      <c r="I86" s="488">
        <f>Реагирование!I53</f>
        <v>0</v>
      </c>
      <c r="J86" s="488">
        <f>Реагирование!J53</f>
        <v>0</v>
      </c>
      <c r="K86" s="488">
        <f>Реагирование!K53</f>
        <v>1</v>
      </c>
      <c r="L86" s="488">
        <f>Реагирование!L53</f>
        <v>1</v>
      </c>
      <c r="M86" s="488"/>
      <c r="N86" s="488"/>
      <c r="O86" s="493"/>
      <c r="P86" s="364">
        <f t="shared" si="14"/>
        <v>28.090000000000014</v>
      </c>
      <c r="Q86" s="487" t="str">
        <f>Реагирование!Q53</f>
        <v/>
      </c>
      <c r="R86" s="364">
        <f t="shared" si="15"/>
        <v>228.08999999999992</v>
      </c>
      <c r="S86" s="495" t="str">
        <f>Реагирование!S53</f>
        <v xml:space="preserve"> - Формализовать и утвердить процесс пост-анализа инцидентов ИБ;
  -  Довести процесс до заинтересованных лиц;
 -  Создать единую базу знаний инцидентов ИБ;
 - Проводить оценку и анализ инцидентов ИБ;
 - По результатам расследования инцидентов разрабатывать рекомендации по устранению выявленных уязвимостей и предотвращению аналогичных инцидентов в будущем;
 - Разрабатывать рекомендации по улучшению применяемы</v>
      </c>
      <c r="T86" s="364">
        <f t="shared" si="16"/>
        <v>328.08999999999992</v>
      </c>
      <c r="U86" s="495" t="str">
        <f>Реагирование!U53</f>
        <v xml:space="preserve"> - Обеспечить проведение пост-анализа инцидентов ИБ с применением средств автоматизации;
  -  Обеспечить контроль за выполнением рекомендаций и оценку эффективности выполненных мероприятий;
  -  На постоянной основе проводить мониторинг процесса по утвержденным метрикам и показателям;
  - Назначить ответственных за соблюдением сроков проведения утвержденных мероприятий.</v>
      </c>
    </row>
    <row r="87" spans="2:22" s="257" customFormat="1" ht="144" customHeight="1" outlineLevel="1">
      <c r="B87" s="487" t="str">
        <f>Мониторинг!B63</f>
        <v>Процесс создания решающих правил</v>
      </c>
      <c r="C87" s="488" t="str">
        <f>Мониторинг!C63</f>
        <v>МНТ.ПР.3</v>
      </c>
      <c r="D87" s="488">
        <f>Мониторинг!D63</f>
        <v>4</v>
      </c>
      <c r="E87" s="488">
        <f>Мониторинг!E63</f>
        <v>3</v>
      </c>
      <c r="F87" s="488">
        <f>Мониторинг!F63</f>
        <v>0</v>
      </c>
      <c r="G87" s="488">
        <f>Мониторинг!G63</f>
        <v>0</v>
      </c>
      <c r="H87" s="488">
        <f>Мониторинг!H63</f>
        <v>0</v>
      </c>
      <c r="I87" s="488">
        <f>Мониторинг!I63</f>
        <v>0</v>
      </c>
      <c r="J87" s="488">
        <f>Мониторинг!J63</f>
        <v>0</v>
      </c>
      <c r="K87" s="488">
        <f>Мониторинг!K63</f>
        <v>0</v>
      </c>
      <c r="L87" s="488">
        <f>Мониторинг!L63</f>
        <v>0</v>
      </c>
      <c r="M87" s="488"/>
      <c r="N87" s="488"/>
      <c r="O87" s="493"/>
      <c r="P87" s="370">
        <f t="shared" si="14"/>
        <v>28.100000000000016</v>
      </c>
      <c r="Q87" s="485" t="str">
        <f>Мониторинг!Q63</f>
        <v/>
      </c>
      <c r="R87" s="370">
        <f t="shared" si="15"/>
        <v>228.09999999999991</v>
      </c>
      <c r="S87" s="485" t="str">
        <f>Мониторинг!S63</f>
        <v xml:space="preserve"> - Получить типовые решающие правила SIEM от разработчика SIEM и из других доступных источников. Адаптировать решающие правила для применения в инфрастурктуре организации.</v>
      </c>
      <c r="T87" s="370">
        <f t="shared" si="16"/>
        <v>328.09999999999991</v>
      </c>
      <c r="U87" s="485" t="str">
        <f>Мониторинг!U63</f>
        <v xml:space="preserve"> - Организовать процесс разработки решающих правил;
 - Создать базу знаний или инструкции по разработке решающих правил;
 -  Составить план разработки решающих правил;
 -  Организовать процесс анализа журналов событий для разработки решающих правил SIEM;
 -  Применить результаты расследования инцидентов для разработки решающих правил.</v>
      </c>
    </row>
    <row r="88" spans="2:22" s="257" customFormat="1" ht="144" customHeight="1" outlineLevel="1">
      <c r="B88" s="487" t="str">
        <f>Мониторинг!B64</f>
        <v>Процесс подключения источников информации</v>
      </c>
      <c r="C88" s="488" t="str">
        <f>Мониторинг!C64</f>
        <v>МНТ.ПР.4</v>
      </c>
      <c r="D88" s="488">
        <f>Мониторинг!D64</f>
        <v>4</v>
      </c>
      <c r="E88" s="488">
        <f>Мониторинг!E64</f>
        <v>2</v>
      </c>
      <c r="F88" s="488">
        <f>Мониторинг!F64</f>
        <v>0</v>
      </c>
      <c r="G88" s="488">
        <f>Мониторинг!G64</f>
        <v>0</v>
      </c>
      <c r="H88" s="488">
        <f>Мониторинг!H64</f>
        <v>0</v>
      </c>
      <c r="I88" s="488">
        <f>Мониторинг!I64</f>
        <v>0</v>
      </c>
      <c r="J88" s="488">
        <f>Мониторинг!J64</f>
        <v>0</v>
      </c>
      <c r="K88" s="488">
        <f>Мониторинг!K64</f>
        <v>0</v>
      </c>
      <c r="L88" s="488">
        <f>Мониторинг!L64</f>
        <v>0</v>
      </c>
      <c r="M88" s="488"/>
      <c r="N88" s="488"/>
      <c r="O88" s="493"/>
      <c r="P88" s="364">
        <f t="shared" si="14"/>
        <v>28.110000000000017</v>
      </c>
      <c r="Q88" s="493" t="str">
        <f>Мониторинг!Q64</f>
        <v/>
      </c>
      <c r="R88" s="364">
        <f t="shared" si="15"/>
        <v>228.1099999999999</v>
      </c>
      <c r="S88" s="493" t="str">
        <f>Мониторинг!S64</f>
        <v xml:space="preserve"> - Провести инвентаризацию источников событий и подключить их к SIEM</v>
      </c>
      <c r="T88" s="364">
        <f t="shared" si="16"/>
        <v>328.1099999999999</v>
      </c>
      <c r="U88" s="493" t="str">
        <f>Мониторинг!U64</f>
        <v xml:space="preserve"> - Регламентировать порядок подключения источников информации к SIEM;
 -  Определить требования по обязательному подключению;
 -  Реализовать процесс подключения источников, с инвентаризацией и контролем неподключенных источников;
 - Установить SLA по подключению.</v>
      </c>
      <c r="V88" s="486"/>
    </row>
    <row r="89" spans="2:22" s="257" customFormat="1" ht="162.6" customHeight="1" outlineLevel="1">
      <c r="B89" s="487" t="str">
        <f>Мониторинг!B65</f>
        <v>Процесс контроля источников информации</v>
      </c>
      <c r="C89" s="488" t="str">
        <f>Мониторинг!C65</f>
        <v>МНТ.ПР.5</v>
      </c>
      <c r="D89" s="488">
        <f>Мониторинг!D65</f>
        <v>4</v>
      </c>
      <c r="E89" s="488">
        <f>Мониторинг!E65</f>
        <v>3</v>
      </c>
      <c r="F89" s="488">
        <f>Мониторинг!F65</f>
        <v>0</v>
      </c>
      <c r="G89" s="488">
        <f>Мониторинг!G65</f>
        <v>0</v>
      </c>
      <c r="H89" s="488">
        <f>Мониторинг!H65</f>
        <v>0</v>
      </c>
      <c r="I89" s="488">
        <f>Мониторинг!I65</f>
        <v>0</v>
      </c>
      <c r="J89" s="488">
        <f>Мониторинг!J65</f>
        <v>0</v>
      </c>
      <c r="K89" s="488">
        <f>Мониторинг!K65</f>
        <v>0</v>
      </c>
      <c r="L89" s="488">
        <f>Мониторинг!L65</f>
        <v>0</v>
      </c>
      <c r="M89" s="488"/>
      <c r="N89" s="488"/>
      <c r="O89" s="493"/>
      <c r="P89" s="364">
        <f t="shared" si="14"/>
        <v>28.120000000000019</v>
      </c>
      <c r="Q89" s="493" t="str">
        <f>Мониторинг!Q65</f>
        <v/>
      </c>
      <c r="R89" s="364">
        <f t="shared" si="15"/>
        <v>228.11999999999989</v>
      </c>
      <c r="S89" s="493" t="str">
        <f>Мониторинг!S65</f>
        <v xml:space="preserve"> - Проводить аудит ИС для выявления неподключенных к SIEM источников;
   - Проверять, что источники подключены и успешно передают события.</v>
      </c>
      <c r="T89" s="364">
        <f t="shared" si="16"/>
        <v>328.11999999999989</v>
      </c>
      <c r="U89" s="493" t="str">
        <f>Мониторинг!U65</f>
        <v xml:space="preserve"> - Регламентировать процесс контроля источников</v>
      </c>
    </row>
    <row r="90" spans="2:22" s="257" customFormat="1" ht="159" customHeight="1" outlineLevel="1">
      <c r="B90" s="487" t="str">
        <f>Мониторинг!B56</f>
        <v>Внедрен процесс управления сбоями и мониторинга работоспособности SIEM</v>
      </c>
      <c r="C90" s="488" t="str">
        <f>Мониторинг!C56</f>
        <v>МНТ.SIEM.12</v>
      </c>
      <c r="D90" s="488">
        <f>Мониторинг!D56</f>
        <v>4</v>
      </c>
      <c r="E90" s="488">
        <f>Мониторинг!E56</f>
        <v>3</v>
      </c>
      <c r="F90" s="488">
        <f>Мониторинг!F56</f>
        <v>0</v>
      </c>
      <c r="G90" s="488">
        <f>Мониторинг!G56</f>
        <v>0</v>
      </c>
      <c r="H90" s="488">
        <f>Мониторинг!H56</f>
        <v>0</v>
      </c>
      <c r="I90" s="488">
        <f>Мониторинг!I56</f>
        <v>0</v>
      </c>
      <c r="J90" s="488">
        <f>Мониторинг!J56</f>
        <v>0</v>
      </c>
      <c r="K90" s="488">
        <f>Мониторинг!K56</f>
        <v>0</v>
      </c>
      <c r="L90" s="488">
        <f>Мониторинг!L56</f>
        <v>0</v>
      </c>
      <c r="M90" s="488"/>
      <c r="N90" s="488"/>
      <c r="O90" s="493"/>
      <c r="P90" s="364">
        <f t="shared" si="14"/>
        <v>28.13000000000002</v>
      </c>
      <c r="Q90" s="485" t="str">
        <f>Мониторинг!Q56</f>
        <v/>
      </c>
      <c r="R90" s="364">
        <f t="shared" si="15"/>
        <v>228.12999999999988</v>
      </c>
      <c r="S90" s="485" t="str">
        <f>Мониторинг!S56</f>
        <v xml:space="preserve"> - Организовать контроль непрерывности мониторинга;
  -  Обеспечить восстановление мониторинга при сбоях в срок не более чем 6 часов;
  -  Обеспечить сохранность данных об инцидентах в случае сбоев;
  -  Обеспечить переключение источников событий на резервный SIEM в случае сбоев.</v>
      </c>
      <c r="T90" s="364">
        <f t="shared" si="16"/>
        <v>328.12999999999988</v>
      </c>
      <c r="U90" s="485" t="str">
        <f>Мониторинг!U56</f>
        <v xml:space="preserve"> - Приобрести лицензии SIEM, достаточные для полного покрытия мониторингом всех ИА.</v>
      </c>
    </row>
    <row r="91" spans="2:22" s="257" customFormat="1" ht="143.85" customHeight="1" outlineLevel="1">
      <c r="B91" s="487" t="s">
        <v>46</v>
      </c>
      <c r="C91" s="488" t="str">
        <f>Реагирование!C46</f>
        <v>РЕАГ.КМНК.3</v>
      </c>
      <c r="D91" s="488">
        <f>Реагирование!D46</f>
        <v>5</v>
      </c>
      <c r="E91" s="488">
        <f>Реагирование!E46</f>
        <v>3.2</v>
      </c>
      <c r="F91" s="488">
        <f>Реагирование!F46</f>
        <v>0</v>
      </c>
      <c r="G91" s="488">
        <f>Реагирование!G46</f>
        <v>0</v>
      </c>
      <c r="H91" s="488">
        <f>Реагирование!H46</f>
        <v>0</v>
      </c>
      <c r="I91" s="488">
        <f>Реагирование!I46</f>
        <v>0</v>
      </c>
      <c r="J91" s="488">
        <f>Реагирование!J46</f>
        <v>0</v>
      </c>
      <c r="K91" s="488">
        <f>Реагирование!K46</f>
        <v>0</v>
      </c>
      <c r="L91" s="488">
        <f>Реагирование!L46</f>
        <v>0</v>
      </c>
      <c r="M91" s="488"/>
      <c r="N91" s="488"/>
      <c r="O91" s="493"/>
      <c r="P91" s="364">
        <f t="shared" si="14"/>
        <v>28.140000000000022</v>
      </c>
      <c r="Q91" s="485" t="str">
        <f>Реагирование!Q46</f>
        <v/>
      </c>
      <c r="R91" s="364">
        <f t="shared" si="15"/>
        <v>228.13999999999987</v>
      </c>
      <c r="S91" s="485" t="str">
        <f>Реагирование!S46</f>
        <v xml:space="preserve"> - Определить критерии и порядок эскалации инцидентов;
  -  Определить маршруты эскалации;
  - Регламентировать процесс эскалации.</v>
      </c>
      <c r="T91" s="364">
        <f t="shared" si="16"/>
        <v>328.13999999999987</v>
      </c>
      <c r="U91" s="485" t="str">
        <f>Реагирование!U46</f>
        <v xml:space="preserve"> - Контролировать и оценивать эффективность процесса  реагирования на инциденты при эскалациях.</v>
      </c>
    </row>
    <row r="92" spans="2:22" s="257" customFormat="1" ht="135" customHeight="1" outlineLevel="1">
      <c r="B92" s="487" t="s">
        <v>47</v>
      </c>
      <c r="C92" s="488" t="str">
        <f>Реагирование!C67</f>
        <v>РЕАГ.PB.5.9.3.12</v>
      </c>
      <c r="D92" s="488">
        <f>Реагирование!D67</f>
        <v>4</v>
      </c>
      <c r="E92" s="488">
        <f>Реагирование!E67</f>
        <v>3</v>
      </c>
      <c r="F92" s="488">
        <f>Реагирование!F67</f>
        <v>0</v>
      </c>
      <c r="G92" s="488">
        <f>Реагирование!G67</f>
        <v>0</v>
      </c>
      <c r="H92" s="488">
        <f>Реагирование!H67</f>
        <v>0</v>
      </c>
      <c r="I92" s="488">
        <f>Реагирование!I67</f>
        <v>0</v>
      </c>
      <c r="J92" s="488">
        <f>Реагирование!J67</f>
        <v>0</v>
      </c>
      <c r="K92" s="488">
        <f>Реагирование!K67</f>
        <v>0</v>
      </c>
      <c r="L92" s="488">
        <f>Реагирование!L67</f>
        <v>0</v>
      </c>
      <c r="M92" s="488"/>
      <c r="N92" s="488"/>
      <c r="O92" s="496"/>
      <c r="P92" s="364">
        <f t="shared" si="14"/>
        <v>28.150000000000023</v>
      </c>
      <c r="Q92" s="485" t="str">
        <f>Реагирование!Q67</f>
        <v/>
      </c>
      <c r="R92" s="364">
        <f t="shared" si="15"/>
        <v>228.14999999999986</v>
      </c>
      <c r="S92" s="485" t="str">
        <f>Реагирование!S67</f>
        <v xml:space="preserve"> - Разработать систему отчетности по выполнению плейбуков;
  - Разработать систему метрик для оценки процесса;  
  - Создать средства контроля и отчетности по рагированию на инциденты;
   - Реализовать мониторинг параметров процесса;
   - Реализовать реагирование на факты отклонения параметров процесса от определенных показателей.</v>
      </c>
      <c r="T92" s="364">
        <f t="shared" si="16"/>
        <v>328.14999999999986</v>
      </c>
      <c r="U92" s="485" t="str">
        <f>Реагирование!U67</f>
        <v/>
      </c>
    </row>
    <row r="93" spans="2:22" s="257" customFormat="1" ht="98.1" customHeight="1" outlineLevel="1">
      <c r="B93" s="487" t="s">
        <v>294</v>
      </c>
      <c r="C93" s="488" t="str">
        <f>'Управление ИБ'!C75</f>
        <v>УИБ.УР.4</v>
      </c>
      <c r="D93" s="488">
        <f>'Управление ИБ'!D75</f>
        <v>4</v>
      </c>
      <c r="E93" s="488">
        <f>'Управление ИБ'!E75</f>
        <v>0</v>
      </c>
      <c r="F93" s="488">
        <f>'Управление ИБ'!F75</f>
        <v>0</v>
      </c>
      <c r="G93" s="488">
        <f>'Управление ИБ'!G75</f>
        <v>0</v>
      </c>
      <c r="H93" s="488">
        <f>'Управление ИБ'!H75</f>
        <v>0</v>
      </c>
      <c r="I93" s="488">
        <f>'Управление ИБ'!I75</f>
        <v>0</v>
      </c>
      <c r="J93" s="488">
        <f>'Управление ИБ'!J75</f>
        <v>0</v>
      </c>
      <c r="K93" s="488">
        <f>'Управление ИБ'!K75</f>
        <v>0</v>
      </c>
      <c r="L93" s="488">
        <f>'Управление ИБ'!L75</f>
        <v>0</v>
      </c>
      <c r="M93" s="488"/>
      <c r="N93" s="488"/>
      <c r="O93" s="488"/>
      <c r="P93" s="364">
        <f t="shared" si="14"/>
        <v>28.160000000000025</v>
      </c>
      <c r="Q93" s="485" t="str">
        <f>Q75</f>
        <v/>
      </c>
      <c r="R93" s="364">
        <f t="shared" si="15"/>
        <v>228.15999999999985</v>
      </c>
      <c r="S93" s="485" t="str">
        <f>S75</f>
        <v/>
      </c>
      <c r="T93" s="364">
        <f t="shared" si="16"/>
        <v>328.15999999999985</v>
      </c>
      <c r="U93" s="485" t="str">
        <f>U75</f>
        <v/>
      </c>
    </row>
    <row r="94" spans="2:22" s="257" customFormat="1" ht="156.6" customHeight="1" outlineLevel="1">
      <c r="B94" s="487" t="str">
        <f>'Управление ИБ'!B106</f>
        <v>Внедрен процесс контроля изменений конфигурации</v>
      </c>
      <c r="C94" s="488" t="str">
        <f>'Управление ИБ'!C106</f>
        <v>УИБ.УА.5</v>
      </c>
      <c r="D94" s="488">
        <f>'Управление ИБ'!D106</f>
        <v>4</v>
      </c>
      <c r="E94" s="488">
        <f>'Управление ИБ'!E106</f>
        <v>3</v>
      </c>
      <c r="F94" s="488">
        <f>'Управление ИБ'!F106</f>
        <v>0</v>
      </c>
      <c r="G94" s="488">
        <f>'Управление ИБ'!G106</f>
        <v>0</v>
      </c>
      <c r="H94" s="488">
        <f>'Управление ИБ'!H106</f>
        <v>0</v>
      </c>
      <c r="I94" s="488">
        <f>'Управление ИБ'!I106</f>
        <v>0</v>
      </c>
      <c r="J94" s="488">
        <f>'Управление ИБ'!J106</f>
        <v>0</v>
      </c>
      <c r="K94" s="488">
        <f>'Управление ИБ'!K106</f>
        <v>0</v>
      </c>
      <c r="L94" s="488">
        <f>'Управление ИБ'!L106</f>
        <v>0</v>
      </c>
      <c r="M94" s="488"/>
      <c r="N94" s="488"/>
      <c r="O94" s="488"/>
      <c r="P94" s="364">
        <f t="shared" si="14"/>
        <v>28.170000000000027</v>
      </c>
      <c r="Q94" s="485" t="str">
        <f>Q106</f>
        <v/>
      </c>
      <c r="R94" s="364">
        <f t="shared" si="15"/>
        <v>228.16999999999985</v>
      </c>
      <c r="S94" s="485" t="str">
        <f>S106</f>
        <v xml:space="preserve"> - Контролировать соответствие сетевых взаимодействий документации, применение и неизменность безопасных конфигураций не реже чем раз в 1 год.</v>
      </c>
      <c r="T94" s="364">
        <f t="shared" si="16"/>
        <v>328.16999999999985</v>
      </c>
      <c r="U94" s="485" t="str">
        <f>U106</f>
        <v xml:space="preserve"> - Автоматизировать контроль и проверять неизменнность конфигураций на регулярной основе;
 -  Отслеживать события изменения конфигурации.</v>
      </c>
    </row>
    <row r="95" spans="2:22" s="257" customFormat="1" ht="80.099999999999994" customHeight="1" outlineLevel="1">
      <c r="B95" s="487" t="str">
        <f>B103</f>
        <v>Внедрен процесс инвентаризации и категорирования информационных активов</v>
      </c>
      <c r="C95" s="488" t="str">
        <f>C103</f>
        <v>УИБ.УА.2</v>
      </c>
      <c r="D95" s="488">
        <f t="shared" ref="D95:L95" si="17">D103</f>
        <v>4</v>
      </c>
      <c r="E95" s="488">
        <f t="shared" si="17"/>
        <v>3</v>
      </c>
      <c r="F95" s="488">
        <f t="shared" si="17"/>
        <v>1</v>
      </c>
      <c r="G95" s="488">
        <f t="shared" si="17"/>
        <v>0</v>
      </c>
      <c r="H95" s="488">
        <f t="shared" si="17"/>
        <v>0</v>
      </c>
      <c r="I95" s="488">
        <f t="shared" si="17"/>
        <v>0</v>
      </c>
      <c r="J95" s="488">
        <f t="shared" si="17"/>
        <v>0</v>
      </c>
      <c r="K95" s="488">
        <f t="shared" ref="K95" si="18">K103</f>
        <v>1</v>
      </c>
      <c r="L95" s="488">
        <f t="shared" si="17"/>
        <v>1</v>
      </c>
      <c r="M95" s="488"/>
      <c r="N95" s="488"/>
      <c r="O95" s="488"/>
      <c r="P95" s="364">
        <f t="shared" si="14"/>
        <v>28.180000000000028</v>
      </c>
      <c r="Q95" s="485" t="str">
        <f>Q103</f>
        <v/>
      </c>
      <c r="R95" s="364">
        <f t="shared" si="15"/>
        <v>228.17999999999984</v>
      </c>
      <c r="S95" s="485" t="str">
        <f>S103</f>
        <v xml:space="preserve"> - Провести категорирование всех ИА;
  - Реализовать процесс обеспечения требований ИБ в соответствии с категорией.</v>
      </c>
      <c r="T95" s="364">
        <f t="shared" si="16"/>
        <v>328.17999999999984</v>
      </c>
      <c r="U95" s="485" t="str">
        <f>U103</f>
        <v xml:space="preserve"> - Обеспечить категорирование всех вновь сосздаваемых ИА и периодический пересмотр данных о категорировании.</v>
      </c>
    </row>
    <row r="96" spans="2:22" s="257" customFormat="1" ht="126" customHeight="1" outlineLevel="1">
      <c r="B96" s="487" t="s">
        <v>810</v>
      </c>
      <c r="C96" s="488" t="str">
        <f>C135</f>
        <v>УИБ.БР.5.9.4</v>
      </c>
      <c r="D96" s="488">
        <f t="shared" ref="D96:L96" si="19">D135</f>
        <v>4</v>
      </c>
      <c r="E96" s="488">
        <f t="shared" si="19"/>
        <v>3</v>
      </c>
      <c r="F96" s="488">
        <f t="shared" si="19"/>
        <v>1</v>
      </c>
      <c r="G96" s="488">
        <f t="shared" si="19"/>
        <v>0</v>
      </c>
      <c r="H96" s="488">
        <f t="shared" si="19"/>
        <v>0</v>
      </c>
      <c r="I96" s="488">
        <f t="shared" si="19"/>
        <v>0</v>
      </c>
      <c r="J96" s="488">
        <f t="shared" si="19"/>
        <v>0</v>
      </c>
      <c r="K96" s="488">
        <f t="shared" ref="K96" si="20">K135</f>
        <v>1</v>
      </c>
      <c r="L96" s="488">
        <f t="shared" si="19"/>
        <v>0</v>
      </c>
      <c r="M96" s="488"/>
      <c r="N96" s="488"/>
      <c r="O96" s="493"/>
      <c r="P96" s="364">
        <f t="shared" si="14"/>
        <v>28.19000000000003</v>
      </c>
      <c r="Q96" s="485" t="str">
        <f>Q135</f>
        <v>Для систем Mission Critical определить порядок  тестирования ПО.</v>
      </c>
      <c r="R96" s="364">
        <f t="shared" si="15"/>
        <v>228.18999999999983</v>
      </c>
      <c r="S96" s="485" t="str">
        <f>S135</f>
        <v>1. Для всех систем формализовать:
-регламент проведения динамического анализа исходного кода ПО;
-регламент функционального тестирования; 
-регламент нефункционального тестирования.
2.Автоматизировать процесс тестирование ПО;
3.Мониторить процессы тестирования ПО в CI/CD-конвейере.</v>
      </c>
      <c r="T96" s="364">
        <f t="shared" si="16"/>
        <v>328.18999999999983</v>
      </c>
      <c r="U96" s="485" t="str">
        <f>U135</f>
        <v>Качество процесса отслеживать с помощью метрик.</v>
      </c>
    </row>
    <row r="97" spans="2:21" s="257" customFormat="1" ht="135" customHeight="1" outlineLevel="1">
      <c r="B97" s="487" t="str">
        <f>СЗИ!B51</f>
        <v>Процесс контроля работоспособности САВЗ</v>
      </c>
      <c r="C97" s="488" t="str">
        <f>СЗИ!C51</f>
        <v>СЗИ.ВПО.6</v>
      </c>
      <c r="D97" s="488">
        <f>СЗИ!D51</f>
        <v>4</v>
      </c>
      <c r="E97" s="488">
        <f>СЗИ!E51</f>
        <v>3</v>
      </c>
      <c r="F97" s="488">
        <f>СЗИ!F51</f>
        <v>2</v>
      </c>
      <c r="G97" s="488">
        <f>СЗИ!G51</f>
        <v>0</v>
      </c>
      <c r="H97" s="488">
        <f>СЗИ!H51</f>
        <v>0</v>
      </c>
      <c r="I97" s="488">
        <f>СЗИ!I51</f>
        <v>0</v>
      </c>
      <c r="J97" s="488">
        <f>СЗИ!J51</f>
        <v>0</v>
      </c>
      <c r="K97" s="488">
        <f>СЗИ!K51</f>
        <v>2</v>
      </c>
      <c r="L97" s="488">
        <f>СЗИ!L51</f>
        <v>0</v>
      </c>
      <c r="M97" s="488"/>
      <c r="N97" s="488"/>
      <c r="O97" s="493"/>
      <c r="P97" s="370">
        <f t="shared" si="14"/>
        <v>28.200000000000031</v>
      </c>
      <c r="Q97" s="485" t="str">
        <f>СЗИ!Q51</f>
        <v>- Разработать или Получить в Блоке ИБ ПАО Ростелеком типовое описание процесса контроля рабоспособности средств АВЗ
_x000D_- Утвердить в Обществе ВНД, описывающий процесс контроля рабоспособности средств АВЗ</v>
      </c>
      <c r="R97" s="364">
        <f t="shared" si="15"/>
        <v>228.19999999999982</v>
      </c>
      <c r="S97" s="485" t="str">
        <f>СЗИ!S51</f>
        <v>- Реализовать в Обществе процесс контроля рабоспособности средств АВЗ</v>
      </c>
      <c r="T97" s="364">
        <f t="shared" si="16"/>
        <v>328.19999999999982</v>
      </c>
      <c r="U97" s="485" t="str">
        <f>СЗИ!U51</f>
        <v>- Разработать систему метрик для процесса контроля рабоспособности средств АВЗ
_x000D_- Создать средство визуального мониторинга параметров процесса контроля работоспособности средств АВЗ 
_x000D_- Реализовать мониторинг параметров процесса контроля работоспособности средств АВЗ
_x000D_- Реализовать реагирование на факты отклонения параметров процесса контроля работоспособности средств АВЗ от определенных показателей</v>
      </c>
    </row>
    <row r="98" spans="2:21" s="257" customFormat="1" ht="153.6" customHeight="1" outlineLevel="1">
      <c r="B98" s="487" t="str">
        <f>СЗИ!B52</f>
        <v>Процесс обновления антивирусных средств</v>
      </c>
      <c r="C98" s="488" t="str">
        <f>СЗИ!C52</f>
        <v>СЗИ.ВПО.7</v>
      </c>
      <c r="D98" s="488">
        <f>СЗИ!D52</f>
        <v>4</v>
      </c>
      <c r="E98" s="488">
        <f>СЗИ!E52</f>
        <v>3</v>
      </c>
      <c r="F98" s="488">
        <f>СЗИ!F52</f>
        <v>2</v>
      </c>
      <c r="G98" s="488">
        <f>СЗИ!G52</f>
        <v>0</v>
      </c>
      <c r="H98" s="488">
        <f>СЗИ!H52</f>
        <v>0</v>
      </c>
      <c r="I98" s="488">
        <f>СЗИ!I52</f>
        <v>0</v>
      </c>
      <c r="J98" s="488">
        <f>СЗИ!J52</f>
        <v>0</v>
      </c>
      <c r="K98" s="488">
        <f>СЗИ!K52</f>
        <v>2</v>
      </c>
      <c r="L98" s="488">
        <f>СЗИ!L52</f>
        <v>0</v>
      </c>
      <c r="M98" s="488"/>
      <c r="N98" s="488"/>
      <c r="O98" s="493"/>
      <c r="P98" s="364">
        <f t="shared" si="14"/>
        <v>28.210000000000033</v>
      </c>
      <c r="Q98" s="485" t="str">
        <f>СЗИ!Q52</f>
        <v>- Разработать или Получить в Блоке ИБ ПАО Ростелеком типовое описание процесса обновления средств АВЗ
_x000D_- Утвердить в Обществе ВНД, описывающий процесс обновления средств АВЗ</v>
      </c>
      <c r="R98" s="364">
        <f t="shared" si="15"/>
        <v>228.20999999999981</v>
      </c>
      <c r="S98" s="485" t="str">
        <f>СЗИ!S52</f>
        <v>- Реализовать в Обществе процесс обновления средств АВЗ</v>
      </c>
      <c r="T98" s="364">
        <f t="shared" si="16"/>
        <v>328.20999999999981</v>
      </c>
      <c r="U98" s="485" t="str">
        <f>СЗИ!U52</f>
        <v>- Разработать систему метрик для процесса обновления средств АВЗ
_x000D_- Создать средство визуального мониторинга параметров процесса обновления средств АВЗ 
_x000D_- Реализовать мониторинг параметров процесса обновления средств АВЗ
_x000D_- Реализовать реагирование на факты отклонения параметров процесса обновления средств АВЗ от определенных показателей</v>
      </c>
    </row>
    <row r="99" spans="2:21" s="257" customFormat="1" ht="153.6" customHeight="1" outlineLevel="1">
      <c r="B99" s="487" t="str">
        <f>СЗИ!B53</f>
        <v>Процесс реагирования на события САВЗ</v>
      </c>
      <c r="C99" s="488" t="str">
        <f>СЗИ!C53</f>
        <v>СЗИ.ВПО.8</v>
      </c>
      <c r="D99" s="488">
        <f>СЗИ!D53</f>
        <v>4</v>
      </c>
      <c r="E99" s="488">
        <f>СЗИ!E53</f>
        <v>3</v>
      </c>
      <c r="F99" s="488">
        <f>СЗИ!F53</f>
        <v>2</v>
      </c>
      <c r="G99" s="488">
        <f>СЗИ!G53</f>
        <v>0</v>
      </c>
      <c r="H99" s="488">
        <f>СЗИ!H53</f>
        <v>0</v>
      </c>
      <c r="I99" s="488">
        <f>СЗИ!I53</f>
        <v>0</v>
      </c>
      <c r="J99" s="488">
        <f>СЗИ!J53</f>
        <v>0</v>
      </c>
      <c r="K99" s="488">
        <f>СЗИ!K53</f>
        <v>2</v>
      </c>
      <c r="L99" s="488">
        <f>СЗИ!L53</f>
        <v>0</v>
      </c>
      <c r="M99" s="488"/>
      <c r="N99" s="488"/>
      <c r="O99" s="493"/>
      <c r="P99" s="364">
        <f t="shared" si="14"/>
        <v>28.220000000000034</v>
      </c>
      <c r="Q99" s="490" t="str">
        <f>СЗИ!Q53</f>
        <v>- Разработать или Получить в Блоке ИБ ПАО Ростелеком типовое описание процесса реагирования на события средств АВЗ
_x000D_- Утвердить в Обществе ВНД, описывающий процесс реагирования на события средств АВЗ</v>
      </c>
      <c r="R99" s="364">
        <f t="shared" si="15"/>
        <v>228.2199999999998</v>
      </c>
      <c r="S99" s="490" t="str">
        <f>СЗИ!S53</f>
        <v>- Реализовать в Обществе процесс реагирования на события  средств АВЗ</v>
      </c>
      <c r="T99" s="364">
        <f t="shared" si="16"/>
        <v>328.2199999999998</v>
      </c>
      <c r="U99" s="490" t="str">
        <f>СЗИ!U53</f>
        <v>- Разработать систему метрик для процесса реагирования на события  средств АВЗ
_x000D_- Создать средство визуального мониторинга параметров процесса реагирования на события  средств АВЗ 
_x000D_- Реализовать мониторинг параметров процесса реагирования на события  средств АВЗ
_x000D_- Реализовать реагирование на факты отклонения параметров процесса реагирования на события средств АВЗ от определенных показателей</v>
      </c>
    </row>
    <row r="100" spans="2:21" s="257" customFormat="1" ht="68.099999999999994" customHeight="1" outlineLevel="1">
      <c r="B100" s="487" t="s">
        <v>811</v>
      </c>
      <c r="C100" s="488" t="str">
        <f>СЗИ!C103</f>
        <v>СЗИ.WAF.2</v>
      </c>
      <c r="D100" s="488">
        <f>СЗИ!D103</f>
        <v>4</v>
      </c>
      <c r="E100" s="488">
        <f>СЗИ!E103</f>
        <v>3</v>
      </c>
      <c r="F100" s="488">
        <f>СЗИ!F103</f>
        <v>1</v>
      </c>
      <c r="G100" s="488">
        <f>СЗИ!G103</f>
        <v>0</v>
      </c>
      <c r="H100" s="488">
        <f>СЗИ!H103</f>
        <v>0</v>
      </c>
      <c r="I100" s="488">
        <f>СЗИ!I103</f>
        <v>0</v>
      </c>
      <c r="J100" s="488">
        <f>СЗИ!J103</f>
        <v>0</v>
      </c>
      <c r="K100" s="488">
        <f>СЗИ!K103</f>
        <v>1</v>
      </c>
      <c r="L100" s="488">
        <f>СЗИ!L103</f>
        <v>0</v>
      </c>
      <c r="M100" s="488"/>
      <c r="N100" s="488"/>
      <c r="O100" s="488"/>
      <c r="P100" s="364">
        <f t="shared" si="14"/>
        <v>28.230000000000036</v>
      </c>
      <c r="Q100" s="485">
        <f>СЗИ!Q103</f>
        <v>0</v>
      </c>
      <c r="R100" s="364">
        <f t="shared" si="15"/>
        <v>228.22999999999979</v>
      </c>
      <c r="S100" s="485">
        <f>СЗИ!S103</f>
        <v>0</v>
      </c>
      <c r="T100" s="364">
        <f t="shared" si="16"/>
        <v>328.22999999999979</v>
      </c>
      <c r="U100" s="485" t="str">
        <f>СЗИ!U103</f>
        <v xml:space="preserve"> - Разработать или Получить в Блоке ИБ ПАО Ростелеком типовое описание процесса публикации сервиса в интернете;
 - Утвердить в Обществе ВНД, описывающий процесс публикации сервиса в интернете;
 - Реализовать процесс проверки и согласования до публикации сервиса в интернете;
 -  Обеспечить контроль защищенности и отсутствия уязвимостей до публикации.</v>
      </c>
    </row>
    <row r="101" spans="2:21" ht="40.35" customHeight="1">
      <c r="B101" s="43" t="s">
        <v>48</v>
      </c>
      <c r="C101" s="44" t="s">
        <v>27</v>
      </c>
      <c r="D101" s="44"/>
      <c r="E101" s="44"/>
      <c r="F101" s="44"/>
      <c r="G101" s="512"/>
      <c r="H101" s="44"/>
      <c r="I101" s="44"/>
      <c r="J101" s="44"/>
      <c r="K101" s="44"/>
      <c r="L101" s="44"/>
      <c r="N101" s="35"/>
      <c r="O101" s="42"/>
      <c r="P101" s="365">
        <f>VLOOKUP(B101,Приоритет!$G$9:$K$48,5,0)</f>
        <v>29</v>
      </c>
      <c r="Q101" s="44" t="s">
        <v>27</v>
      </c>
      <c r="R101" s="365">
        <f>P101+200</f>
        <v>229</v>
      </c>
      <c r="S101" s="44" t="s">
        <v>27</v>
      </c>
      <c r="T101" s="365">
        <f>P101+300</f>
        <v>329</v>
      </c>
      <c r="U101" s="44" t="s">
        <v>27</v>
      </c>
    </row>
    <row r="102" spans="2:21" ht="40.35" customHeight="1" outlineLevel="1">
      <c r="B102" s="46" t="s">
        <v>871</v>
      </c>
      <c r="C102" s="498" t="s">
        <v>49</v>
      </c>
      <c r="D102" s="39">
        <v>5</v>
      </c>
      <c r="E102" s="40">
        <v>3.2</v>
      </c>
      <c r="F102" s="41">
        <v>1.6</v>
      </c>
      <c r="G102" s="47"/>
      <c r="H102" s="47"/>
      <c r="I102" s="47"/>
      <c r="J102" s="324"/>
      <c r="K102" s="537">
        <v>1.6</v>
      </c>
      <c r="L102" s="47">
        <f t="shared" ref="L102:L157" si="21">VALUE(LEFT(N102,3))</f>
        <v>1.6</v>
      </c>
      <c r="M102">
        <f>L102-K102</f>
        <v>0</v>
      </c>
      <c r="N102" s="35" t="s">
        <v>257</v>
      </c>
      <c r="O102" s="42"/>
      <c r="P102" s="364">
        <f>P101+0.01</f>
        <v>29.01</v>
      </c>
      <c r="Q102" s="255" t="str">
        <f>IF(($L102-$F102)&gt;=0,"",
" - Выполнить инвентаризацию ИС и информационных ресурсов. Установить принадлежность ресурсов к ИС")</f>
        <v/>
      </c>
      <c r="R102" s="364">
        <f>R101+0.01</f>
        <v>229.01</v>
      </c>
      <c r="S102" s="255" t="str">
        <f>IF(($L102-$E102)&gt;=0,""," - Автоматизировать учет ИС и информационных ресурсов и сформировать единую базу данных.")</f>
        <v xml:space="preserve"> - Автоматизировать учет ИС и информационных ресурсов и сформировать единую базу данных.</v>
      </c>
      <c r="T102" s="364">
        <f>T101+0.01</f>
        <v>329.01</v>
      </c>
      <c r="U102" s="255" t="str">
        <f>IF(($L102-$D102)&gt;=0,"",
" - Обеспечить непрерывный учет и актуальность данных об ИС и их ресурсах.")</f>
        <v xml:space="preserve"> - Обеспечить непрерывный учет и актуальность данных об ИС и их ресурсах.</v>
      </c>
    </row>
    <row r="103" spans="2:21" ht="112.2" customHeight="1" outlineLevel="1">
      <c r="B103" s="46" t="s">
        <v>870</v>
      </c>
      <c r="C103" s="498" t="s">
        <v>50</v>
      </c>
      <c r="D103" s="39">
        <v>4</v>
      </c>
      <c r="E103" s="40">
        <v>3</v>
      </c>
      <c r="F103" s="41">
        <v>1</v>
      </c>
      <c r="G103" s="47"/>
      <c r="H103" s="47"/>
      <c r="I103" s="47"/>
      <c r="J103" s="324"/>
      <c r="K103" s="537">
        <v>1</v>
      </c>
      <c r="L103" s="47">
        <f t="shared" si="21"/>
        <v>1</v>
      </c>
      <c r="M103">
        <f>L103-K103</f>
        <v>0</v>
      </c>
      <c r="N103" s="237" t="s">
        <v>273</v>
      </c>
      <c r="O103" s="42"/>
      <c r="P103" s="364">
        <f>P102+0.01</f>
        <v>29.020000000000003</v>
      </c>
      <c r="Q103" s="255" t="str">
        <f>IF(($L103-$F103)&gt;=0,"",
" - Установить критерии  категорирования ИА на основании законодательства и внутренних требований;
   - Реализовать процесс категорирования;
   - Сформировать требования к обеспечению ИБ на основе категорий ИА")</f>
        <v/>
      </c>
      <c r="R103" s="364">
        <f>R102+0.01</f>
        <v>229.01999999999998</v>
      </c>
      <c r="S103" s="255" t="str">
        <f>IF(($L103-$E103)&gt;=0,"",
" - Провести категорирование всех ИА;
  - Реализовать процесс обеспечения требований ИБ в соответствии с категорией.")</f>
        <v xml:space="preserve"> - Провести категорирование всех ИА;
  - Реализовать процесс обеспечения требований ИБ в соответствии с категорией.</v>
      </c>
      <c r="T103" s="364">
        <f>T102+0.01</f>
        <v>329.02</v>
      </c>
      <c r="U103" s="255" t="str">
        <f>IF(($L103-$D103)&gt;=0,"",
" - Обеспечить категорирование всех вновь сосздаваемых ИА и периодический пересмотр данных о категорировании.")</f>
        <v xml:space="preserve"> - Обеспечить категорирование всех вновь сосздаваемых ИА и периодический пересмотр данных о категорировании.</v>
      </c>
    </row>
    <row r="104" spans="2:21" ht="125.85" customHeight="1" outlineLevel="1">
      <c r="B104" s="46" t="s">
        <v>51</v>
      </c>
      <c r="C104" s="498" t="s">
        <v>52</v>
      </c>
      <c r="D104" s="39">
        <v>5</v>
      </c>
      <c r="E104" s="40">
        <v>3.2</v>
      </c>
      <c r="F104" s="41">
        <v>0</v>
      </c>
      <c r="G104" s="47"/>
      <c r="H104" s="47"/>
      <c r="I104" s="47"/>
      <c r="J104" s="324"/>
      <c r="K104" s="537">
        <v>0</v>
      </c>
      <c r="L104" s="336">
        <f t="shared" si="21"/>
        <v>1.6</v>
      </c>
      <c r="M104">
        <f t="shared" ref="M104:M106" si="22">L104-K104</f>
        <v>1.6</v>
      </c>
      <c r="N104" s="35" t="s">
        <v>257</v>
      </c>
      <c r="O104" s="42"/>
      <c r="P104" s="364">
        <f>P103+0.01</f>
        <v>29.030000000000005</v>
      </c>
      <c r="Q104" s="255" t="str">
        <f>IF(($L104-$F104)&gt;=0,"",)</f>
        <v/>
      </c>
      <c r="R104" s="364">
        <f>R103+0.01</f>
        <v>229.02999999999997</v>
      </c>
      <c r="S104" s="255" t="str">
        <f>IF(($L104-$E104)&gt;=0,"",
" - Регламентировать порядок описания сетевых взаимодействий;"&amp;"
  - Документировать перечень разрешенных сетевых взаимодействий для компонентов инфраструктуры и не менее чем для 30% ИС;"&amp;"
   - По результатам документирования привести в соответствие правила межсетевых экранов.")</f>
        <v xml:space="preserve"> - Регламентировать порядок описания сетевых взаимодействий;
  - Документировать перечень разрешенных сетевых взаимодействий для компонентов инфраструктуры и не менее чем для 30% ИС;
   - По результатам документирования привести в соответствие правила межсетевых экранов.</v>
      </c>
      <c r="T104" s="364">
        <f>T103+0.01</f>
        <v>329.03</v>
      </c>
      <c r="U104" s="255" t="str">
        <f>IF(($L104-$D104)&gt;=0,"",
" - Документировать перечень разрешенных сетевых взаимодействий для всех ИС;"&amp;"
  - Документировать конфигурацию сети (состав сетевых сегментов, сетевые маршруты, правила межсетевых экранов);"&amp;"
  - Регламентировать и реализовать процесс  согласования и изменения конфигурации сети.")</f>
        <v xml:space="preserve"> - Документировать перечень разрешенных сетевых взаимодействий для всех ИС;
  - Документировать конфигурацию сети (состав сетевых сегментов, сетевые маршруты, правила межсетевых экранов);
  - Регламентировать и реализовать процесс  согласования и изменения конфигурации сети.</v>
      </c>
    </row>
    <row r="105" spans="2:21" ht="87.6" customHeight="1" outlineLevel="1">
      <c r="B105" s="46" t="s">
        <v>995</v>
      </c>
      <c r="C105" s="498" t="s">
        <v>53</v>
      </c>
      <c r="D105" s="39">
        <v>5</v>
      </c>
      <c r="E105" s="40">
        <v>3.2</v>
      </c>
      <c r="F105" s="41">
        <v>0</v>
      </c>
      <c r="G105" s="47"/>
      <c r="H105" s="47"/>
      <c r="I105" s="47"/>
      <c r="J105" s="324"/>
      <c r="K105" s="537">
        <v>0</v>
      </c>
      <c r="L105" s="336">
        <f t="shared" si="21"/>
        <v>0</v>
      </c>
      <c r="M105">
        <f t="shared" si="22"/>
        <v>0</v>
      </c>
      <c r="N105" s="35" t="s">
        <v>256</v>
      </c>
      <c r="O105" s="42"/>
      <c r="P105" s="364">
        <f>P104+0.01</f>
        <v>29.040000000000006</v>
      </c>
      <c r="Q105" s="255" t="str">
        <f>IF(($L105-$F105)&gt;=0,"",)</f>
        <v/>
      </c>
      <c r="R105" s="364">
        <f>R104+0.01</f>
        <v>229.03999999999996</v>
      </c>
      <c r="S105" s="255" t="str">
        <f>IF(($L105-$E105)&gt;=0,"",
" - Разработать или Получить в Блоке ИБ ПАО Ростелеком типовые защищенные конфигурации;"&amp;"
   - Обеспечить применение безопасных конфигураций на не менее чем 50% хостов.")</f>
        <v xml:space="preserve"> - Разработать или Получить в Блоке ИБ ПАО Ростелеком типовые защищенные конфигурации;
   - Обеспечить применение безопасных конфигураций на не менее чем 50% хостов.</v>
      </c>
      <c r="T105" s="364">
        <f>T104+0.01</f>
        <v>329.03999999999996</v>
      </c>
      <c r="U105" s="255" t="str">
        <f>IF(($L105-$D105)&gt;=0,"",
" - Обеспечить применение безопасных конфигураций на 100% хостов;
  - Разработать безопасные конфигурации для видов ПО, применяемых в Обществе.")</f>
        <v xml:space="preserve"> - Обеспечить применение безопасных конфигураций на 100% хостов;
  - Разработать безопасные конфигурации для видов ПО, применяемых в Обществе.</v>
      </c>
    </row>
    <row r="106" spans="2:21" ht="74.849999999999994" customHeight="1" outlineLevel="1">
      <c r="B106" s="46" t="s">
        <v>910</v>
      </c>
      <c r="C106" s="498" t="s">
        <v>54</v>
      </c>
      <c r="D106" s="39">
        <v>4</v>
      </c>
      <c r="E106" s="40">
        <v>3</v>
      </c>
      <c r="F106" s="41">
        <v>0</v>
      </c>
      <c r="G106" s="47"/>
      <c r="H106" s="47"/>
      <c r="I106" s="47"/>
      <c r="J106" s="324"/>
      <c r="K106" s="537">
        <v>0</v>
      </c>
      <c r="L106" s="336">
        <f t="shared" si="21"/>
        <v>0</v>
      </c>
      <c r="M106">
        <f t="shared" si="22"/>
        <v>0</v>
      </c>
      <c r="N106" s="237" t="s">
        <v>245</v>
      </c>
      <c r="O106" s="42"/>
      <c r="P106" s="364">
        <f>P105+0.01</f>
        <v>29.050000000000008</v>
      </c>
      <c r="Q106" s="47" t="str">
        <f>IF(($L106-$F106)&gt;=0,"",)</f>
        <v/>
      </c>
      <c r="R106" s="364">
        <f>R105+0.01</f>
        <v>229.04999999999995</v>
      </c>
      <c r="S106" s="255" t="str">
        <f>IF(($L106-$E106)&gt;=0,"",
" - Контролировать соответствие сетевых взаимодействий документации, применение и неизменность безопасных конфигураций не реже чем раз в 1 год.")</f>
        <v xml:space="preserve"> - Контролировать соответствие сетевых взаимодействий документации, применение и неизменность безопасных конфигураций не реже чем раз в 1 год.</v>
      </c>
      <c r="T106" s="364">
        <f>T105+0.01</f>
        <v>329.04999999999995</v>
      </c>
      <c r="U106" s="255" t="str">
        <f>IF(($L106-$D106)&gt;=0,"",
" - Автоматизировать контроль и проверять неизменнность конфигураций на регулярной основе;
 -  Отслеживать события изменения конфигурации.")</f>
        <v xml:space="preserve"> - Автоматизировать контроль и проверять неизменнность конфигураций на регулярной основе;
 -  Отслеживать события изменения конфигурации.</v>
      </c>
    </row>
    <row r="107" spans="2:21" ht="40.35" customHeight="1">
      <c r="B107" s="43" t="s">
        <v>55</v>
      </c>
      <c r="C107" s="44" t="s">
        <v>29</v>
      </c>
      <c r="D107" s="44"/>
      <c r="E107" s="44"/>
      <c r="F107" s="44"/>
      <c r="G107" s="512"/>
      <c r="H107" s="44"/>
      <c r="I107" s="44"/>
      <c r="J107" s="44"/>
      <c r="K107" s="44"/>
      <c r="L107" s="44"/>
      <c r="N107" s="35"/>
      <c r="O107" s="42"/>
      <c r="P107" s="365">
        <f>VLOOKUP(B107,Приоритет!$G$9:$K$48,5,0)</f>
        <v>35</v>
      </c>
      <c r="Q107" s="44" t="s">
        <v>29</v>
      </c>
      <c r="R107" s="365">
        <f>P107+200</f>
        <v>235</v>
      </c>
      <c r="S107" s="44" t="s">
        <v>29</v>
      </c>
      <c r="T107" s="365">
        <f>P107+300</f>
        <v>335</v>
      </c>
      <c r="U107" s="44" t="s">
        <v>29</v>
      </c>
    </row>
    <row r="108" spans="2:21" ht="89.4" customHeight="1" outlineLevel="1">
      <c r="B108" s="46" t="s">
        <v>872</v>
      </c>
      <c r="C108" s="498" t="s">
        <v>56</v>
      </c>
      <c r="D108" s="39">
        <v>5</v>
      </c>
      <c r="E108" s="40">
        <v>3.2</v>
      </c>
      <c r="F108" s="41">
        <v>1.6</v>
      </c>
      <c r="G108" s="47"/>
      <c r="H108" s="47"/>
      <c r="I108" s="47"/>
      <c r="J108" s="325"/>
      <c r="K108" s="537">
        <v>1.6</v>
      </c>
      <c r="L108" s="47">
        <f t="shared" si="21"/>
        <v>0</v>
      </c>
      <c r="M108">
        <f t="shared" ref="M108:M131" si="23">L108-K108</f>
        <v>-1.6</v>
      </c>
      <c r="N108" s="35" t="s">
        <v>256</v>
      </c>
      <c r="O108" s="42"/>
      <c r="P108" s="364">
        <f>P107+0.01</f>
        <v>35.01</v>
      </c>
      <c r="Q108" s="263" t="str">
        <f>IF(($L108-$F108)&gt;=0,"",
"- Определить типовые требования по  обеспечнию ИБ к разработчикам ИС, поставщикам, сервис-провайдерам;
 -  Включить подразделение ИБ в согласование договоров.")</f>
        <v>- Определить типовые требования по  обеспечнию ИБ к разработчикам ИС, поставщикам, сервис-провайдерам;
 -  Включить подразделение ИБ в согласование договоров.</v>
      </c>
      <c r="R108" s="364">
        <f>R107+0.01</f>
        <v>235.01</v>
      </c>
      <c r="S108" s="255">
        <f>IF(($L108-$E108)&gt;=0,"",)</f>
        <v>0</v>
      </c>
      <c r="T108" s="364">
        <f>T107+0.01</f>
        <v>335.01</v>
      </c>
      <c r="U108" s="255" t="str">
        <f>IF(($L108-$D108)&gt;=0,"",
"")</f>
        <v/>
      </c>
    </row>
    <row r="109" spans="2:21" ht="99.6" customHeight="1" outlineLevel="1">
      <c r="B109" s="46" t="s">
        <v>818</v>
      </c>
      <c r="C109" s="498" t="s">
        <v>57</v>
      </c>
      <c r="D109" s="39">
        <v>5</v>
      </c>
      <c r="E109" s="40">
        <v>3.2</v>
      </c>
      <c r="F109" s="41">
        <v>1.6</v>
      </c>
      <c r="G109" s="47"/>
      <c r="H109" s="47"/>
      <c r="I109" s="47"/>
      <c r="J109" s="325"/>
      <c r="K109" s="537">
        <v>1.6</v>
      </c>
      <c r="L109" s="47">
        <f t="shared" si="21"/>
        <v>0</v>
      </c>
      <c r="M109">
        <f t="shared" si="23"/>
        <v>-1.6</v>
      </c>
      <c r="N109" s="35" t="s">
        <v>256</v>
      </c>
      <c r="O109" s="42"/>
      <c r="P109" s="364">
        <f>P108+0.01</f>
        <v>35.019999999999996</v>
      </c>
      <c r="Q109" s="263" t="str">
        <f>IF(($L109-$F109)&gt;=0,"",
" - Сформировать или получить в ПАО Ростелеком типовые требования к контрагентам по принятию мер информационной безопасности;"&amp;"
  - Обеспечить включение в договоры требований и ответственности контрагента за их неисполнение. ")</f>
        <v xml:space="preserve"> - Сформировать или получить в ПАО Ростелеком типовые требования к контрагентам по принятию мер информационной безопасности;
  - Обеспечить включение в договоры требований и ответственности контрагента за их неисполнение. </v>
      </c>
      <c r="R109" s="364">
        <f>R108+0.01</f>
        <v>235.01999999999998</v>
      </c>
      <c r="S109" s="255" t="str">
        <f>IF(($L109-$E109)&gt;=0,"",
" - Составить перечень подрядчиков, чья деятельность может влиять на Общество;
   - Включить в договоры требования к услугам в части обеспечения ИБ.")</f>
        <v xml:space="preserve"> - Составить перечень подрядчиков, чья деятельность может влиять на Общество;
   - Включить в договоры требования к услугам в части обеспечения ИБ.</v>
      </c>
      <c r="T109" s="364">
        <f>T108+0.01</f>
        <v>335.02</v>
      </c>
      <c r="U109" s="255" t="str">
        <f>IF(($L109-$D109)&gt;=0,"",
" - Вести мониторинг работы подрядчиков и контролировать соблюдение мер ИБ.")</f>
        <v xml:space="preserve"> - Вести мониторинг работы подрядчиков и контролировать соблюдение мер ИБ.</v>
      </c>
    </row>
    <row r="110" spans="2:21" ht="69.75" customHeight="1" outlineLevel="1">
      <c r="B110" s="46" t="s">
        <v>58</v>
      </c>
      <c r="C110" s="498" t="s">
        <v>59</v>
      </c>
      <c r="D110" s="39">
        <v>5</v>
      </c>
      <c r="E110" s="40">
        <v>3.2</v>
      </c>
      <c r="F110" s="41">
        <v>1.6</v>
      </c>
      <c r="G110" s="47"/>
      <c r="H110" s="47"/>
      <c r="I110" s="47"/>
      <c r="J110" s="325"/>
      <c r="K110" s="537">
        <v>1.6</v>
      </c>
      <c r="L110" s="47">
        <f t="shared" si="21"/>
        <v>0</v>
      </c>
      <c r="M110">
        <f t="shared" si="23"/>
        <v>-1.6</v>
      </c>
      <c r="N110" s="35" t="s">
        <v>256</v>
      </c>
      <c r="O110" s="42"/>
      <c r="P110" s="364">
        <f>P109+0.01</f>
        <v>35.029999999999994</v>
      </c>
      <c r="Q110" s="263">
        <f>IF(($L110-$F110)&gt;=0,"",)</f>
        <v>0</v>
      </c>
      <c r="R110" s="364">
        <f>R109+0.01</f>
        <v>235.02999999999997</v>
      </c>
      <c r="S110" s="255" t="str">
        <f>IF(($L110-$E110)&gt;=0,"",
" - Получить от подрядчиков подтверждение соблюдения мер ИБ (отчеты о внутреннем и внешнем аудите)")</f>
        <v xml:space="preserve"> - Получить от подрядчиков подтверждение соблюдения мер ИБ (отчеты о внутреннем и внешнем аудите)</v>
      </c>
      <c r="T110" s="364">
        <f>T109+0.01</f>
        <v>335.03</v>
      </c>
      <c r="U110" s="255" t="str">
        <f>IF(($L110-$D110)&gt;=0,"",
" - Регулярно запрашивать у подрядчиков отчеты о пройденных аудитах.")</f>
        <v xml:space="preserve"> - Регулярно запрашивать у подрядчиков отчеты о пройденных аудитах.</v>
      </c>
    </row>
    <row r="111" spans="2:21" ht="37.35" customHeight="1">
      <c r="B111" s="43" t="s">
        <v>16</v>
      </c>
      <c r="C111" s="44" t="s">
        <v>28</v>
      </c>
      <c r="D111" s="44"/>
      <c r="E111" s="44"/>
      <c r="F111" s="44"/>
      <c r="G111" s="512"/>
      <c r="H111" s="44"/>
      <c r="I111" s="44"/>
      <c r="J111" s="44"/>
      <c r="K111" s="44"/>
      <c r="L111" s="44"/>
      <c r="P111" s="365">
        <f>VLOOKUP(B111,Приоритет!$G$9:$K$48,5,0)</f>
        <v>15</v>
      </c>
      <c r="Q111" s="44" t="s">
        <v>28</v>
      </c>
      <c r="R111" s="365">
        <f>P111+200</f>
        <v>215</v>
      </c>
      <c r="S111" s="44" t="s">
        <v>28</v>
      </c>
      <c r="T111" s="365">
        <f>P111+300</f>
        <v>315</v>
      </c>
      <c r="U111" s="44" t="s">
        <v>28</v>
      </c>
    </row>
    <row r="112" spans="2:21" ht="145.5" customHeight="1" outlineLevel="1">
      <c r="B112" s="256" t="s">
        <v>911</v>
      </c>
      <c r="C112" s="498" t="s">
        <v>60</v>
      </c>
      <c r="D112" s="39">
        <v>5</v>
      </c>
      <c r="E112" s="40">
        <v>3.2</v>
      </c>
      <c r="F112" s="41">
        <v>1.6</v>
      </c>
      <c r="G112" s="47"/>
      <c r="H112" s="47"/>
      <c r="I112" s="47"/>
      <c r="J112" s="324"/>
      <c r="K112" s="537">
        <v>1.6</v>
      </c>
      <c r="L112" s="336">
        <f t="shared" si="21"/>
        <v>1.6</v>
      </c>
      <c r="M112" s="371">
        <f t="shared" si="23"/>
        <v>0</v>
      </c>
      <c r="N112" s="35" t="s">
        <v>257</v>
      </c>
      <c r="P112" s="364">
        <f>P111+0.01</f>
        <v>15.01</v>
      </c>
      <c r="Q112" s="276" t="str">
        <f>IF(($L112-$F112)&gt;=0,"",
" - Разработать и поддерживать детальный реестр эксплуатируемых АРМ и серверов;"&amp;"
  - Записи реестра должны содержать сетевой адрес (если он статический), аппаратный адрес, имя машины, ее владельца, подразделение и разрешение на подключение к сети;"&amp;"
 - Реестр должен пересматриваться и обновляться не реже одного раза в полугодие.")</f>
        <v/>
      </c>
      <c r="R112" s="364">
        <f>R111+0.01</f>
        <v>215.01</v>
      </c>
      <c r="S112" s="255" t="str">
        <f>IF(($L112-$E112)&gt;=0,"",
" - Реестр должен формироваться на основании результатов автоматизированной инвентаризации не реже одного раза в месяц;"&amp;"
   - Должна проводиться проверка актуальности данных реестра и полноты учета;
   - Количество не учтенных в реестре устройств не должно превышать 5%.")</f>
        <v xml:space="preserve"> - Реестр должен формироваться на основании результатов автоматизированной инвентаризации не реже одного раза в месяц;
   - Должна проводиться проверка актуальности данных реестра и полноты учета;
   - Количество не учтенных в реестре устройств не должно превышать 5%.</v>
      </c>
      <c r="T112" s="364">
        <f>T111+0.01</f>
        <v>315.01</v>
      </c>
      <c r="U112" s="255" t="str">
        <f>IF(($L112-$D112)&gt;=0,"",
" - Разработать и поддерживать реестр эксплуатируемых АРМ,  серверов, коммутационного оборудования, перефирийных устройств, машинных носителей информации;"&amp;"
  - В реестр должны быть внесены все устройства, которые регулярно подключаются к корпоративной сетевой инфраструктуре физически, удаленно или виртуально, даже если они не контролируются организацией;"&amp;"
  - На всех DHCP-серверах вести журналы для обновления реестра/ Данные в реестре обновлять раз в неделю или чаще;"&amp;"
  - При выявлении неучтенных устройств отключать обеспечить их вывод из эксплуатации.")</f>
        <v xml:space="preserve"> - Разработать и поддерживать реестр эксплуатируемых АРМ,  серверов, коммутационного оборудования, перефирийных устройств, машинных носителей информации;
  - В реестр должны быть внесены все устройства, которые регулярно подключаются к корпоративной сетевой инфраструктуре физически, удаленно или виртуально, даже если они не контролируются организацией;
  - На всех DHCP-серверах вести журналы для обновления реестра/ Данные в реестре обновлять раз в неделю или чаще;
  - При выявлении неучтенных устройств отключать обеспечить их вывод из эксплуатации.</v>
      </c>
    </row>
    <row r="113" spans="2:21" ht="101.25" customHeight="1" outlineLevel="1">
      <c r="B113" s="46" t="s">
        <v>912</v>
      </c>
      <c r="C113" s="498" t="s">
        <v>61</v>
      </c>
      <c r="D113" s="39">
        <v>5</v>
      </c>
      <c r="E113" s="40">
        <v>3.2</v>
      </c>
      <c r="F113" s="41">
        <v>1.6</v>
      </c>
      <c r="G113" s="47"/>
      <c r="H113" s="47"/>
      <c r="I113" s="47"/>
      <c r="J113" s="324"/>
      <c r="K113" s="537">
        <v>1.6</v>
      </c>
      <c r="L113" s="336">
        <f t="shared" si="21"/>
        <v>0</v>
      </c>
      <c r="M113" s="371">
        <f t="shared" ref="M113:M124" si="24">L113-K113</f>
        <v>-1.6</v>
      </c>
      <c r="N113" s="35" t="s">
        <v>256</v>
      </c>
      <c r="P113" s="364">
        <f t="shared" ref="P113:P124" si="25">P112+0.01</f>
        <v>15.02</v>
      </c>
      <c r="Q113" s="276" t="str">
        <f>IF(($L113-$F113)&gt;=0,"",
" - Разработать и поддерживать реестр используемого ПО:
 - Реестр должен содержать название ПО, разработчика, дату установки/начала использования и бизнес-задачу ПО;
 - При необходимости указаны версия, механизм развертывания и дата вывода из эксплуатации;"&amp;"  
  - Для программ с веб- и мобильным доступом должны быть указаны их URL, магазин приложений;"&amp;"
 - Реестр должен пересматриваться и обновляться не реже одного раза в полугодие;
 - Для ведения учета имеющегося и используемого ПО применять средства автоматизации. ")</f>
        <v xml:space="preserve"> - Разработать и поддерживать реестр используемого ПО:
 - Реестр должен содержать название ПО, разработчика, дату установки/начала использования и бизнес-задачу ПО;
 - При необходимости указаны версия, механизм развертывания и дата вывода из эксплуатации;  
  - Для программ с веб- и мобильным доступом должны быть указаны их URL, магазин приложений;
 - Реестр должен пересматриваться и обновляться не реже одного раза в полугодие;
 - Для ведения учета имеющегося и используемого ПО применять средства автоматизации. </v>
      </c>
      <c r="R113" s="364">
        <f t="shared" ref="R113:R124" si="26">R112+0.01</f>
        <v>215.01999999999998</v>
      </c>
      <c r="S113" s="255" t="str">
        <f>IF(($L113-$E113)&gt;=0,"",
"- Проверять, что авторизованное программное обеспечение из реестра поддерживается вендором:
 - В реестре авторизованного ПО должны содержаться только программы, которые поддерживаются производителем;"&amp;" 
 - Если ПО не поддерживается, но все еще используется, для него необходимо предусмотреть компенсирующие меры при выявлении уязвимостей;"&amp;"
 - Наличие поддержки от вендора должно проверяться для всего ПО не реже одного раза в год. ")</f>
        <v xml:space="preserve">- Проверять, что авторизованное программное обеспечение из реестра поддерживается вендором:
 - В реестре авторизованного ПО должны содержаться только программы, которые поддерживаются производителем; 
 - Если ПО не поддерживается, но все еще используется, для него необходимо предусмотреть компенсирующие меры при выявлении уязвимостей;
 - Наличие поддержки от вендора должно проверяться для всего ПО не реже одного раза в год. </v>
      </c>
      <c r="T113" s="364">
        <f t="shared" ref="T113:T124" si="27">T112+0.01</f>
        <v>315.02</v>
      </c>
      <c r="U113" s="255" t="str">
        <f>IF(($L113-$D113)&gt;=0,"",
" - Проверять, что всё используемое ПО включено в реестр, при выявлении неучтенного ПО обеспечивать его удаление;
  - Автоматизировать процесс проверки использования неучтенного ПО.")</f>
        <v xml:space="preserve"> - Проверять, что всё используемое ПО включено в реестр, при выявлении неучтенного ПО обеспечивать его удаление;
  - Автоматизировать процесс проверки использования неучтенного ПО.</v>
      </c>
    </row>
    <row r="114" spans="2:21" ht="122.25" customHeight="1" outlineLevel="1">
      <c r="B114" s="46" t="s">
        <v>913</v>
      </c>
      <c r="C114" s="498" t="s">
        <v>62</v>
      </c>
      <c r="D114" s="39">
        <v>5</v>
      </c>
      <c r="E114" s="40">
        <v>3.2</v>
      </c>
      <c r="F114" s="41">
        <v>1.6</v>
      </c>
      <c r="G114" s="47"/>
      <c r="H114" s="47"/>
      <c r="I114" s="47"/>
      <c r="J114" s="324"/>
      <c r="K114" s="537">
        <v>1.6</v>
      </c>
      <c r="L114" s="47">
        <f t="shared" si="21"/>
        <v>1.6</v>
      </c>
      <c r="M114">
        <f t="shared" si="24"/>
        <v>0</v>
      </c>
      <c r="N114" s="35" t="s">
        <v>257</v>
      </c>
      <c r="P114" s="364">
        <f t="shared" si="25"/>
        <v>15.03</v>
      </c>
      <c r="Q114" s="276" t="str">
        <f>IF(($L114-$F114)&gt;=0,"",
" - Разработать или Получить в Блоке ИБ ПАО Ростелеком типовое описание процесса управления учетными записями.
 - Внедрить централизованное управление учетными записями: для централизации должна использоваться служба каталогов или служба идентификации;"&amp;"
Создать и поддерживать реестр учетных записей:
 - Реестр должен включать учетные данные рядовых пользователей и администраторов;"&amp;" 
 - Реестр должен содержать имя, фамилию, подразделение, дату создания/закрытия учетной записи;"&amp;"
 - Проверка учетных записей должна осуществляться  не реже одного раза в квартал. Учетные записи уволенных работников должны быть заблокированы.")</f>
        <v/>
      </c>
      <c r="R114" s="364">
        <f t="shared" si="26"/>
        <v>215.02999999999997</v>
      </c>
      <c r="S114" s="255" t="str">
        <f>IF(($L114-$E114)&gt;=0,"",
" - Реализовать автоматическую блокировку доменных учетных запией уволенных работников/ Интегрировать доменную службу каталогов с кадровой системой;"&amp;"
 - Создать и поддерживать реестр служебных учетных записей:
Для каждой служебной записи должно быть указано подразделение-владелец, цели учетной записи и дата пересмотра;"&amp;"
Создать и поддерживать реестр локальных учетных записей;
Внедрить централизованное управление учетными записями для сетевого оборудования.")</f>
        <v xml:space="preserve"> - Реализовать автоматическую блокировку доменных учетных запией уволенных работников/ Интегрировать доменную службу каталогов с кадровой системой;
 - Создать и поддерживать реестр служебных учетных записей:
Для каждой служебной записи должно быть указано подразделение-владелец, цели учетной записи и дата пересмотра;
Создать и поддерживать реестр локальных учетных записей;
Внедрить централизованное управление учетными записями для сетевого оборудования.</v>
      </c>
      <c r="T114" s="364">
        <f t="shared" si="27"/>
        <v>315.02999999999997</v>
      </c>
      <c r="U114" s="255" t="str">
        <f>IF(($L114-$D114)&gt;=0,"",
" - Регламентировать процесс аудита учетных записей;
 - Контролировать выполнение аудита учетных записей;
 - Определить метрики процесса аудита, отслеживать результаты;"&amp;"
 - Обеспечить аудит 100% учетных записей во всех системах, включая локальные. ")</f>
        <v xml:space="preserve"> - Регламентировать процесс аудита учетных записей;
 - Контролировать выполнение аудита учетных записей;
 - Определить метрики процесса аудита, отслеживать результаты;
 - Обеспечить аудит 100% учетных записей во всех системах, включая локальные. </v>
      </c>
    </row>
    <row r="115" spans="2:21" ht="161.1" customHeight="1" outlineLevel="1">
      <c r="B115" s="256" t="s">
        <v>459</v>
      </c>
      <c r="C115" s="498" t="s">
        <v>297</v>
      </c>
      <c r="D115" s="39">
        <v>5</v>
      </c>
      <c r="E115" s="40">
        <v>3.2</v>
      </c>
      <c r="F115" s="41">
        <v>1.6</v>
      </c>
      <c r="G115" s="47"/>
      <c r="H115" s="47"/>
      <c r="I115" s="47"/>
      <c r="J115" s="324"/>
      <c r="K115" s="537">
        <v>1.6</v>
      </c>
      <c r="L115" s="47">
        <f t="shared" si="21"/>
        <v>0</v>
      </c>
      <c r="M115">
        <f t="shared" si="24"/>
        <v>-1.6</v>
      </c>
      <c r="N115" s="35" t="s">
        <v>256</v>
      </c>
      <c r="O115" s="42"/>
      <c r="P115" s="364">
        <f t="shared" si="25"/>
        <v>15.04</v>
      </c>
      <c r="Q115" s="276" t="str">
        <f>IF(($L115-$F115)&gt;=0,"",
" - Реализовать процесс авторизации ПО до начала его применения в Обществе;
   - Разработать и поддерживать реестр разрешенного и запрещенного ПО:"&amp;"
  v Реестр должен содержать название ПО, разработчика, дату установки/начала использования и бизнес-задачу ПО. При необходимости должны быть указаны версия, механизм развертывания и дата вывода из эксплуатации;"&amp;"
 - Для программ с веб- и мобильным доступом должны быть указаны их URL, магазин приложений;"&amp;"
 - Реестр должен пересматриваться и обновляться не реже одного раза в полугодие")</f>
        <v xml:space="preserve"> - Реализовать процесс авторизации ПО до начала его применения в Обществе;
   - Разработать и поддерживать реестр разрешенного и запрещенного ПО:
  v Реестр должен содержать название ПО, разработчика, дату установки/начала использования и бизнес-задачу ПО. При необходимости должны быть указаны версия, механизм развертывания и дата вывода из эксплуатации;
 - Для программ с веб- и мобильным доступом должны быть указаны их URL, магазин приложений;
 - Реестр должен пересматриваться и обновляться не реже одного раза в полугодие</v>
      </c>
      <c r="R115" s="364">
        <f t="shared" si="26"/>
        <v>215.03999999999996</v>
      </c>
      <c r="S115" s="255" t="str">
        <f>IF(($L115-$E115)&gt;=0,"",
" - Использовать белые списки авторизованного ПО для АРМ пользователей. Проводить проверку ПО, установленного на АРМ;"&amp;"
   - Проверять, что всё используемое ПО включено в реестр, при выявлении неучтенного ПО обеспечивать его удаление/Автоматизировать процесс проверки. ")</f>
        <v xml:space="preserve"> - Использовать белые списки авторизованного ПО для АРМ пользователей. Проводить проверку ПО, установленного на АРМ;
   - Проверять, что всё используемое ПО включено в реестр, при выявлении неучтенного ПО обеспечивать его удаление/Автоматизировать процесс проверки. </v>
      </c>
      <c r="T115" s="364">
        <f t="shared" si="27"/>
        <v>315.03999999999996</v>
      </c>
      <c r="U115" s="255" t="str">
        <f>IF(($L115-$D115)&gt;=0,"",
" - Использовать белые списки авторизованного ПО для информационных систем;
 - Реализовать процесс авторизации состава ПО на этапе проектирования ИС;"&amp;"
  - Реализовать процесс контроля состава ПО ИС.")</f>
        <v xml:space="preserve"> - Использовать белые списки авторизованного ПО для информационных систем;
 - Реализовать процесс авторизации состава ПО на этапе проектирования ИС;
  - Реализовать процесс контроля состава ПО ИС.</v>
      </c>
    </row>
    <row r="116" spans="2:21" ht="141.6" customHeight="1" outlineLevel="1">
      <c r="B116" s="256" t="s">
        <v>454</v>
      </c>
      <c r="C116" s="498" t="s">
        <v>298</v>
      </c>
      <c r="D116" s="39">
        <v>5</v>
      </c>
      <c r="E116" s="40">
        <v>3.2</v>
      </c>
      <c r="F116" s="41">
        <v>1.6</v>
      </c>
      <c r="G116" s="47"/>
      <c r="H116" s="47"/>
      <c r="I116" s="47"/>
      <c r="J116" s="324"/>
      <c r="K116" s="537">
        <v>1.6</v>
      </c>
      <c r="L116" s="336">
        <f t="shared" si="21"/>
        <v>0</v>
      </c>
      <c r="M116">
        <f t="shared" si="24"/>
        <v>-1.6</v>
      </c>
      <c r="N116" s="35" t="s">
        <v>256</v>
      </c>
      <c r="P116" s="364">
        <f t="shared" si="25"/>
        <v>15.049999999999999</v>
      </c>
      <c r="Q116" s="276" t="str">
        <f>IF(($L116-$F116)&gt;=0,"",
" - Разработать и поддерживать  реестр адресных пространств (IP);
   - Реестр должен пересматриваться и обновляться не реже одного раза в полугодие")</f>
        <v xml:space="preserve"> - Разработать и поддерживать  реестр адресных пространств (IP);
   - Реестр должен пересматриваться и обновляться не реже одного раза в полугодие</v>
      </c>
      <c r="R116" s="364">
        <f t="shared" si="26"/>
        <v>215.04999999999995</v>
      </c>
      <c r="S116" s="255" t="str">
        <f>IF(($L116-$E116)&gt;=0,"",
" - Регламентировать порядок учета управления IP-адресным пространством.")</f>
        <v xml:space="preserve"> - Регламентировать порядок учета управления IP-адресным пространством.</v>
      </c>
      <c r="T116" s="364">
        <f t="shared" si="27"/>
        <v>315.04999999999995</v>
      </c>
      <c r="U116" s="255" t="str">
        <f>IF(($L116-$D116)&gt;=0,"",
"- Применять средства автоматизации для централизованного учета и управления IP-адресным пространством.")</f>
        <v>- Применять средства автоматизации для централизованного учета и управления IP-адресным пространством.</v>
      </c>
    </row>
    <row r="117" spans="2:21" ht="106.35" customHeight="1" outlineLevel="1">
      <c r="B117" s="256" t="s">
        <v>914</v>
      </c>
      <c r="C117" s="498" t="s">
        <v>299</v>
      </c>
      <c r="D117" s="39">
        <v>5</v>
      </c>
      <c r="E117" s="40">
        <v>3.2</v>
      </c>
      <c r="F117" s="41">
        <v>1.6</v>
      </c>
      <c r="G117" s="47"/>
      <c r="H117" s="47"/>
      <c r="I117" s="47"/>
      <c r="J117" s="324"/>
      <c r="K117" s="537">
        <v>1.6</v>
      </c>
      <c r="L117" s="336">
        <f t="shared" si="21"/>
        <v>0</v>
      </c>
      <c r="M117">
        <f t="shared" si="24"/>
        <v>-1.6</v>
      </c>
      <c r="N117" s="35" t="s">
        <v>256</v>
      </c>
      <c r="P117" s="364">
        <f t="shared" si="25"/>
        <v>15.059999999999999</v>
      </c>
      <c r="Q117" s="276" t="str">
        <f>IF(($L117-$F117)&gt;=0,"",
" - Разработать и поддерживать  реестр информационных систем;
   - Реестр должен пересматриваться и обновляться не реже одного раза в полугодие")</f>
        <v xml:space="preserve"> - Разработать и поддерживать  реестр информационных систем;
   - Реестр должен пересматриваться и обновляться не реже одного раза в полугодие</v>
      </c>
      <c r="R117" s="364">
        <f t="shared" si="26"/>
        <v>215.05999999999995</v>
      </c>
      <c r="S117" s="255" t="str">
        <f>IF(($L117-$E117)&gt;=0,"",
" - Порядок ввода в экплуатацию, учета и вывода из эксплуатации информационных систем определить внутренними нормативными документами.")</f>
        <v xml:space="preserve"> - Порядок ввода в экплуатацию, учета и вывода из эксплуатации информационных систем определить внутренними нормативными документами.</v>
      </c>
      <c r="T117" s="364">
        <f t="shared" si="27"/>
        <v>315.05999999999995</v>
      </c>
      <c r="U117" s="255" t="str">
        <f>IF(($L117-$D117)&gt;=0,"",
" - Применять средства автоматизации для учета созданных, используемых, эксплуатируемых и выведенных из эксплуатации информационных систем, Вести учет состава и компонентов ИС.")</f>
        <v xml:space="preserve"> - Применять средства автоматизации для учета созданных, используемых, эксплуатируемых и выведенных из эксплуатации информационных систем, Вести учет состава и компонентов ИС.</v>
      </c>
    </row>
    <row r="118" spans="2:21" ht="86.85" customHeight="1" outlineLevel="1">
      <c r="B118" s="256" t="s">
        <v>915</v>
      </c>
      <c r="C118" s="498" t="s">
        <v>456</v>
      </c>
      <c r="D118" s="39">
        <v>5</v>
      </c>
      <c r="E118" s="40">
        <v>3.2</v>
      </c>
      <c r="F118" s="41">
        <v>3.2</v>
      </c>
      <c r="G118" s="47"/>
      <c r="H118" s="47"/>
      <c r="I118" s="47"/>
      <c r="J118" s="324"/>
      <c r="K118" s="537">
        <v>3.2</v>
      </c>
      <c r="L118" s="47">
        <f t="shared" si="21"/>
        <v>0</v>
      </c>
      <c r="M118">
        <f t="shared" si="24"/>
        <v>-3.2</v>
      </c>
      <c r="N118" s="35" t="s">
        <v>256</v>
      </c>
      <c r="O118" s="42"/>
      <c r="P118" s="364">
        <f t="shared" si="25"/>
        <v>15.069999999999999</v>
      </c>
      <c r="Q118" s="276" t="str">
        <f>IF(($L118-$F118)&gt;=0,"",
" - Разработать и поддерживать  реестр информационных систем и доменов, опубликованных на внешнем периметре;"&amp;"
  - Реестр должен пересматриваться и обновляться не реже одного раза в полугодие")</f>
        <v xml:space="preserve"> - Разработать и поддерживать  реестр информационных систем и доменов, опубликованных на внешнем периметре;
  - Реестр должен пересматриваться и обновляться не реже одного раза в полугодие</v>
      </c>
      <c r="R118" s="364">
        <f t="shared" si="26"/>
        <v>215.06999999999994</v>
      </c>
      <c r="S118" s="255">
        <f>IF(($L118-$E118)&gt;=0,"",)</f>
        <v>0</v>
      </c>
      <c r="T118" s="364">
        <f t="shared" si="27"/>
        <v>315.06999999999994</v>
      </c>
      <c r="U118" s="255" t="str">
        <f>IF(($L118-$D118)&gt;=0,"",
" - Для учета применять средства автоматизации;
  - Для актуализации реестра использовать инструменты активного/пассивного обнаружения активов.")</f>
        <v xml:space="preserve"> - Для учета применять средства автоматизации;
  - Для актуализации реестра использовать инструменты активного/пассивного обнаружения активов.</v>
      </c>
    </row>
    <row r="119" spans="2:21" ht="77.099999999999994" customHeight="1" outlineLevel="1">
      <c r="B119" s="46" t="s">
        <v>819</v>
      </c>
      <c r="C119" s="498" t="s">
        <v>457</v>
      </c>
      <c r="D119" s="39">
        <v>5</v>
      </c>
      <c r="E119" s="40">
        <v>3.2</v>
      </c>
      <c r="F119" s="41">
        <v>3.2</v>
      </c>
      <c r="G119" s="47"/>
      <c r="H119" s="47"/>
      <c r="I119" s="47"/>
      <c r="J119" s="324"/>
      <c r="K119" s="537">
        <v>3.2</v>
      </c>
      <c r="L119" s="47">
        <f t="shared" si="21"/>
        <v>0</v>
      </c>
      <c r="M119">
        <f t="shared" si="24"/>
        <v>-3.2</v>
      </c>
      <c r="N119" s="35" t="s">
        <v>256</v>
      </c>
      <c r="O119" s="42"/>
      <c r="P119" s="364">
        <f t="shared" si="25"/>
        <v>15.079999999999998</v>
      </c>
      <c r="Q119" s="276">
        <f t="shared" ref="Q119" si="28">IF(($L119-$F119)&gt;=0,"",)</f>
        <v>0</v>
      </c>
      <c r="R119" s="364">
        <f t="shared" si="26"/>
        <v>215.07999999999993</v>
      </c>
      <c r="S119" s="255">
        <f>IF(($L119-$E119)&gt;=0,"",)</f>
        <v>0</v>
      </c>
      <c r="T119" s="364">
        <f t="shared" si="27"/>
        <v>315.07999999999993</v>
      </c>
      <c r="U119" s="255" t="str">
        <f>IF(($L119-$D119)&gt;=0,"",
" - Издать внутренние приказы по закреплению ответственных за каждым информационным активом;"&amp;"
   - Проводить периодическую сверку. Определить функции и обязанности ответственных.")</f>
        <v xml:space="preserve"> - Издать внутренние приказы по закреплению ответственных за каждым информационным активом;
   - Проводить периодическую сверку. Определить функции и обязанности ответственных.</v>
      </c>
    </row>
    <row r="120" spans="2:21" ht="68.849999999999994" customHeight="1" outlineLevel="1">
      <c r="B120" s="46" t="s">
        <v>296</v>
      </c>
      <c r="C120" s="498" t="s">
        <v>458</v>
      </c>
      <c r="D120" s="39">
        <v>5</v>
      </c>
      <c r="E120" s="40">
        <v>3.2</v>
      </c>
      <c r="F120" s="41">
        <v>0</v>
      </c>
      <c r="G120" s="47"/>
      <c r="H120" s="47"/>
      <c r="I120" s="47"/>
      <c r="J120" s="324"/>
      <c r="K120" s="537">
        <v>0</v>
      </c>
      <c r="L120" s="47">
        <f t="shared" si="21"/>
        <v>0</v>
      </c>
      <c r="M120">
        <f t="shared" si="24"/>
        <v>0</v>
      </c>
      <c r="N120" s="35" t="s">
        <v>256</v>
      </c>
      <c r="P120" s="364">
        <f t="shared" si="25"/>
        <v>15.089999999999998</v>
      </c>
      <c r="Q120" s="276" t="str">
        <f t="shared" ref="Q120:Q124" si="29">IF(($L120-$F120)&gt;=0,"",)</f>
        <v/>
      </c>
      <c r="R120" s="364">
        <f t="shared" si="26"/>
        <v>215.08999999999992</v>
      </c>
      <c r="S120" s="255" t="str">
        <f>IF(($L120-$E120)&gt;=0,"",
" - Применять для каждого вида активов  локальные базы данных, информационные ресурсы  для хранения инвентаризационных данных")</f>
        <v xml:space="preserve"> - Применять для каждого вида активов  локальные базы данных, информационные ресурсы  для хранения инвентаризационных данных</v>
      </c>
      <c r="T120" s="364">
        <f t="shared" si="27"/>
        <v>315.08999999999992</v>
      </c>
      <c r="U120" s="255" t="str">
        <f>IF(($L120-$D120)&gt;=0,"",
"Применять для хранения и управления инвентаризационными данными автоматизированную систему учета активов класса CMDB (Configuration Management Database)")</f>
        <v>Применять для хранения и управления инвентаризационными данными автоматизированную систему учета активов класса CMDB (Configuration Management Database)</v>
      </c>
    </row>
    <row r="121" spans="2:21" ht="84" customHeight="1" outlineLevel="1">
      <c r="B121" s="46" t="s">
        <v>301</v>
      </c>
      <c r="C121" s="498" t="s">
        <v>460</v>
      </c>
      <c r="D121" s="39">
        <v>5</v>
      </c>
      <c r="E121" s="40">
        <v>3.2</v>
      </c>
      <c r="F121" s="41">
        <v>0</v>
      </c>
      <c r="G121" s="47"/>
      <c r="H121" s="47"/>
      <c r="I121" s="47"/>
      <c r="J121" s="324"/>
      <c r="K121" s="537">
        <v>0</v>
      </c>
      <c r="L121" s="336">
        <f t="shared" si="21"/>
        <v>0</v>
      </c>
      <c r="M121">
        <f t="shared" si="24"/>
        <v>0</v>
      </c>
      <c r="N121" s="35" t="s">
        <v>283</v>
      </c>
      <c r="P121" s="370">
        <f t="shared" si="25"/>
        <v>15.099999999999998</v>
      </c>
      <c r="Q121" s="276" t="str">
        <f t="shared" si="29"/>
        <v/>
      </c>
      <c r="R121" s="370">
        <f t="shared" si="26"/>
        <v>215.09999999999991</v>
      </c>
      <c r="S121" s="255" t="str">
        <f>IF(($L121-$E121)&gt;=0,"",
" -  Для обнаружения новых активов применять инструменты для активного обнаружения;"&amp;"
   - Обнаружение подключенных к сети устройств запускается по расписанию не реже одного раза в день.")</f>
        <v xml:space="preserve"> -  Для обнаружения новых активов применять инструменты для активного обнаружения;
   - Обнаружение подключенных к сети устройств запускается по расписанию не реже одного раза в день.</v>
      </c>
      <c r="T121" s="370">
        <f t="shared" si="27"/>
        <v>315.09999999999991</v>
      </c>
      <c r="U121" s="255" t="str">
        <f>IF(($L121-$D121)&gt;=0,"",
" - Для обнаружения новых активов применять инструменты для пассивного обнаружения устройств;"&amp;"
  - Результаты сканирования используются для обновления реестра устройств не реже одного раза в неделю;
  - Выполнять авторизацию каждого выявленного актива. ")</f>
        <v xml:space="preserve"> - Для обнаружения новых активов применять инструменты для пассивного обнаружения устройств;
  - Результаты сканирования используются для обновления реестра устройств не реже одного раза в неделю;
  - Выполнять авторизацию каждого выявленного актива. </v>
      </c>
    </row>
    <row r="122" spans="2:21" ht="46.8" outlineLevel="1">
      <c r="B122" s="46" t="s">
        <v>820</v>
      </c>
      <c r="C122" s="498" t="s">
        <v>461</v>
      </c>
      <c r="D122" s="39">
        <v>5</v>
      </c>
      <c r="E122" s="40">
        <v>3.2</v>
      </c>
      <c r="F122" s="41">
        <v>0</v>
      </c>
      <c r="G122" s="47"/>
      <c r="H122" s="47"/>
      <c r="I122" s="47"/>
      <c r="J122" s="324"/>
      <c r="K122" s="537">
        <v>0</v>
      </c>
      <c r="L122" s="47">
        <f t="shared" si="21"/>
        <v>0</v>
      </c>
      <c r="M122">
        <f t="shared" si="24"/>
        <v>0</v>
      </c>
      <c r="N122" s="35" t="s">
        <v>256</v>
      </c>
      <c r="P122" s="364">
        <f t="shared" si="25"/>
        <v>15.109999999999998</v>
      </c>
      <c r="Q122" s="276" t="str">
        <f t="shared" si="29"/>
        <v/>
      </c>
      <c r="R122" s="364">
        <f t="shared" si="26"/>
        <v>215.1099999999999</v>
      </c>
      <c r="S122" s="255" t="str">
        <f>IF(($L122-$E122)&gt;=0,"",
" - Обеспечить актуализацию инвентаризационных реестров по результатам сканирования в автоматизированном режиме (возможно в ручном режиме)")</f>
        <v xml:space="preserve"> - Обеспечить актуализацию инвентаризационных реестров по результатам сканирования в автоматизированном режиме (возможно в ручном режиме)</v>
      </c>
      <c r="T122" s="364">
        <f t="shared" si="27"/>
        <v>315.1099999999999</v>
      </c>
      <c r="U122" s="255" t="str">
        <f>IF(($L122-$D122)&gt;=0,"",
" - Интегрировать инструменты анализа защищенности и СРТ  с автоматизированной системой учета активов.")</f>
        <v xml:space="preserve"> - Интегрировать инструменты анализа защищенности и СРТ  с автоматизированной системой учета активов.</v>
      </c>
    </row>
    <row r="123" spans="2:21" ht="65.099999999999994" customHeight="1" outlineLevel="1">
      <c r="B123" s="256" t="s">
        <v>295</v>
      </c>
      <c r="C123" s="498" t="s">
        <v>462</v>
      </c>
      <c r="D123" s="39">
        <v>5</v>
      </c>
      <c r="E123" s="40">
        <v>3.2</v>
      </c>
      <c r="F123" s="41">
        <v>0</v>
      </c>
      <c r="G123" s="47"/>
      <c r="H123" s="47"/>
      <c r="I123" s="47"/>
      <c r="J123" s="324"/>
      <c r="K123" s="537">
        <v>0</v>
      </c>
      <c r="L123" s="336">
        <f t="shared" si="21"/>
        <v>0</v>
      </c>
      <c r="M123">
        <f t="shared" si="24"/>
        <v>0</v>
      </c>
      <c r="N123" s="35" t="s">
        <v>256</v>
      </c>
      <c r="P123" s="364">
        <f t="shared" si="25"/>
        <v>15.119999999999997</v>
      </c>
      <c r="Q123" s="276" t="str">
        <f t="shared" si="29"/>
        <v/>
      </c>
      <c r="R123" s="364">
        <f t="shared" si="26"/>
        <v>215.11999999999989</v>
      </c>
      <c r="S123" s="255" t="str">
        <f>IF(($L123-$E123)&gt;=0,"",
" - Разработать и внедрить процесс контроля фактического состава созданных, используемых и (или) эксплуатируемых информационных активов и их корректного размещения в сегментах вычислительных сетей")</f>
        <v xml:space="preserve"> - Разработать и внедрить процесс контроля фактического состава созданных, используемых и (или) эксплуатируемых информационных активов и их корректного размещения в сегментах вычислительных сетей</v>
      </c>
      <c r="T123" s="364">
        <f t="shared" si="27"/>
        <v>315.11999999999989</v>
      </c>
      <c r="U123" s="255" t="str">
        <f>IF(($L123-$D123)&gt;=0,"",
" - Процесс контроля осуществляется с применением средств автоматизации")</f>
        <v xml:space="preserve"> - Процесс контроля осуществляется с применением средств автоматизации</v>
      </c>
    </row>
    <row r="124" spans="2:21" ht="159" customHeight="1" outlineLevel="1">
      <c r="B124" s="256" t="s">
        <v>455</v>
      </c>
      <c r="C124" s="498" t="s">
        <v>523</v>
      </c>
      <c r="D124" s="39">
        <v>5</v>
      </c>
      <c r="E124" s="40">
        <v>3.2</v>
      </c>
      <c r="F124" s="41">
        <v>0</v>
      </c>
      <c r="G124" s="47"/>
      <c r="H124" s="47"/>
      <c r="I124" s="47"/>
      <c r="J124" s="324"/>
      <c r="K124" s="537">
        <v>0</v>
      </c>
      <c r="L124" s="336">
        <f t="shared" si="21"/>
        <v>0</v>
      </c>
      <c r="M124">
        <f t="shared" si="24"/>
        <v>0</v>
      </c>
      <c r="N124" s="35" t="s">
        <v>256</v>
      </c>
      <c r="P124" s="364">
        <f t="shared" si="25"/>
        <v>15.129999999999997</v>
      </c>
      <c r="Q124" s="276" t="str">
        <f t="shared" si="29"/>
        <v/>
      </c>
      <c r="R124" s="364">
        <f t="shared" si="26"/>
        <v>215.12999999999988</v>
      </c>
      <c r="S124" s="255" t="str">
        <f>IF(($L124-$E124)&gt;=0,"",
" - Определить порядок ввода в экплуатацию, учета и вывода из эксплуатации информационных систем  внутренними нормативными документами;"&amp;"
  - В указанных документах должны быть описаны процедуры разработки, ведения, актуализации, хранения проектной, рабочей, эксплуатационной документации на информационные системы;"&amp;"
  - Проектную, рабочую, эксплуатационную и иную документацию на информационные системы необходимо хранить в локальных базах данных")</f>
        <v xml:space="preserve"> - Определить порядок ввода в экплуатацию, учета и вывода из эксплуатации информационных систем  внутренними нормативными документами;
  - В указанных документах должны быть описаны процедуры разработки, ведения, актуализации, хранения проектной, рабочей, эксплуатационной документации на информационные системы;
  - Проектную, рабочую, эксплуатационную и иную документацию на информационные системы необходимо хранить в локальных базах данных</v>
      </c>
      <c r="T124" s="364">
        <f t="shared" si="27"/>
        <v>315.12999999999988</v>
      </c>
      <c r="U124" s="255" t="str">
        <f>IF(($L124-$D124)&gt;=0,"",
" - Сведения и артефакты о проектной, рабочей, эксплуатационной документации на информационные системы необходимо хранить и актуализировать в единой автоматизированной системе учета")</f>
        <v xml:space="preserve"> - Сведения и артефакты о проектной, рабочей, эксплуатационной документации на информационные системы необходимо хранить и актуализировать в единой автоматизированной системе учета</v>
      </c>
    </row>
    <row r="125" spans="2:21" ht="46.5" customHeight="1">
      <c r="B125" s="43" t="s">
        <v>17</v>
      </c>
      <c r="C125" s="44" t="s">
        <v>63</v>
      </c>
      <c r="D125" s="44"/>
      <c r="E125" s="44"/>
      <c r="F125" s="44"/>
      <c r="G125" s="512"/>
      <c r="H125" s="44"/>
      <c r="I125" s="44"/>
      <c r="J125" s="44"/>
      <c r="K125" s="44"/>
      <c r="L125" s="44"/>
      <c r="M125">
        <f t="shared" si="23"/>
        <v>0</v>
      </c>
      <c r="P125" s="365">
        <f>VLOOKUP(B125,Приоритет!$G$9:$K$48,5,0)</f>
        <v>39</v>
      </c>
      <c r="Q125" s="44" t="s">
        <v>63</v>
      </c>
      <c r="R125" s="365">
        <f>P125+200</f>
        <v>239</v>
      </c>
      <c r="S125" s="44" t="s">
        <v>63</v>
      </c>
      <c r="T125" s="365">
        <f>P125+300</f>
        <v>339</v>
      </c>
      <c r="U125" s="44" t="s">
        <v>63</v>
      </c>
    </row>
    <row r="126" spans="2:21" ht="140.85" customHeight="1" outlineLevel="1">
      <c r="B126" s="46" t="s">
        <v>36</v>
      </c>
      <c r="C126" s="498" t="s">
        <v>64</v>
      </c>
      <c r="D126" s="39">
        <v>5</v>
      </c>
      <c r="E126" s="40">
        <v>5</v>
      </c>
      <c r="F126" s="41">
        <v>0</v>
      </c>
      <c r="G126" s="47"/>
      <c r="H126" s="47"/>
      <c r="I126" s="47"/>
      <c r="J126" s="324"/>
      <c r="K126" s="537">
        <v>0</v>
      </c>
      <c r="L126" s="47">
        <f t="shared" ref="L126:L130" si="30">VALUE(LEFT(N126,3))</f>
        <v>0</v>
      </c>
      <c r="M126">
        <f>L126-K126</f>
        <v>0</v>
      </c>
      <c r="N126" s="35" t="s">
        <v>283</v>
      </c>
      <c r="P126" s="364">
        <f>P125+0.01</f>
        <v>39.01</v>
      </c>
      <c r="Q126" s="265" t="str">
        <f>IF(($L126-$F126)&gt;=0,"",
" - Определить критерии для определения критичности ИС;"&amp;"
   - Определить требования к обеспечению отказоустойчивости в соответствии с критичностью ИС;
   - Провести анализ ИС, выделить наиболее критичные с точки зрения непрерывности, определить требования по отказоустойчивости для данных ИС;"&amp;"
   - Выполнить требования к отказоустойчивости.")</f>
        <v/>
      </c>
      <c r="R126" s="364">
        <f>R125+0.01</f>
        <v>239.01</v>
      </c>
      <c r="S126" s="249" t="str">
        <f>IF(($L126-$E126)&gt;=0,"",
" - Провести анализ всех ИС и определить требования к отказоустойчивости для каждой;"&amp;"
   - Определить требования к характеристикам отказоустойчивости, дублированию, резервированию всех программных"&amp;" и аппаратных компонентов ИС, обеспечивающих систем, внешних сервисов, облачных провайдеров, каналов связи, ЦОД;
   - Обеспечить реализацию требований.")</f>
        <v xml:space="preserve"> - Провести анализ всех ИС и определить требования к отказоустойчивости для каждой;
   - Определить требования к характеристикам отказоустойчивости, дублированию, резервированию всех программных и аппаратных компонентов ИС, обеспечивающих систем, внешних сервисов, облачных провайдеров, каналов связи, ЦОД;
   - Обеспечить реализацию требований.</v>
      </c>
      <c r="T126" s="364">
        <f>T125+0.01</f>
        <v>339.01</v>
      </c>
      <c r="U126" s="249" t="str">
        <f>IF(($L126-$D126)&gt;=0,"",
"  - Регламентировать процесс обеспечения отказоустойчивости;
    - Контролировать выполнение требований к отказоустойчивости.")</f>
        <v xml:space="preserve">  - Регламентировать процесс обеспечения отказоустойчивости;
    - Контролировать выполнение требований к отказоустойчивости.</v>
      </c>
    </row>
    <row r="127" spans="2:21" ht="81.75" customHeight="1" outlineLevel="1">
      <c r="B127" s="46" t="s">
        <v>826</v>
      </c>
      <c r="C127" s="498" t="s">
        <v>66</v>
      </c>
      <c r="D127" s="39">
        <v>5</v>
      </c>
      <c r="E127" s="40">
        <v>3.2</v>
      </c>
      <c r="F127" s="41">
        <v>0</v>
      </c>
      <c r="G127" s="47"/>
      <c r="H127" s="42"/>
      <c r="I127" s="47"/>
      <c r="J127" s="324"/>
      <c r="K127" s="537">
        <v>0</v>
      </c>
      <c r="L127" s="47">
        <f t="shared" si="30"/>
        <v>0</v>
      </c>
      <c r="M127">
        <f>L127-K127</f>
        <v>0</v>
      </c>
      <c r="N127" s="35" t="s">
        <v>283</v>
      </c>
      <c r="P127" s="364">
        <f>P126+0.01</f>
        <v>39.019999999999996</v>
      </c>
      <c r="Q127" s="265" t="str">
        <f>IF(($L127-$F127)&gt;=0,"",)</f>
        <v/>
      </c>
      <c r="R127" s="364">
        <f>R126+0.01</f>
        <v>239.01999999999998</v>
      </c>
      <c r="S127" s="249" t="str">
        <f>IF(($L127-$E127)&gt;=0,"",
" - Обеспечить дублирование инфраструктуры в разных ЦОД для критичных ИС.")</f>
        <v xml:space="preserve"> - Обеспечить дублирование инфраструктуры в разных ЦОД для критичных ИС.</v>
      </c>
      <c r="T127" s="364">
        <f>T126+0.01</f>
        <v>339.02</v>
      </c>
      <c r="U127" s="249" t="str">
        <f>IF(($L127-$D127)&gt;=0,"",
" - Обеспечить дублирование инфраструктуры в разных ЦОД для всех ИС и хранилищ резервных копий;"&amp;"
   - Регламентировать порядок дублирования инфраструктуры в территориально разделенных ЦОД.")</f>
        <v xml:space="preserve"> - Обеспечить дублирование инфраструктуры в разных ЦОД для всех ИС и хранилищ резервных копий;
   - Регламентировать порядок дублирования инфраструктуры в территориально разделенных ЦОД.</v>
      </c>
    </row>
    <row r="128" spans="2:21" ht="81.599999999999994" customHeight="1" outlineLevel="1">
      <c r="B128" s="46" t="s">
        <v>827</v>
      </c>
      <c r="C128" s="498" t="s">
        <v>67</v>
      </c>
      <c r="D128" s="39">
        <v>5</v>
      </c>
      <c r="E128" s="40">
        <v>5</v>
      </c>
      <c r="F128" s="41">
        <v>0</v>
      </c>
      <c r="G128" s="47"/>
      <c r="H128" s="42"/>
      <c r="I128" s="47"/>
      <c r="J128" s="324"/>
      <c r="K128" s="537">
        <v>0</v>
      </c>
      <c r="L128" s="47">
        <f t="shared" si="30"/>
        <v>0</v>
      </c>
      <c r="M128">
        <f t="shared" ref="M128:M145" si="31">L128-K128</f>
        <v>0</v>
      </c>
      <c r="N128" s="35" t="s">
        <v>283</v>
      </c>
      <c r="P128" s="364">
        <f>P127+0.01</f>
        <v>39.029999999999994</v>
      </c>
      <c r="Q128" s="276" t="str">
        <f>IF(($L128-$F128)&gt;=0,"",
" - Обеспечить кластеризацию критичных компонентов ИС и инфрастурктуры")</f>
        <v/>
      </c>
      <c r="R128" s="364">
        <f>R127+0.01</f>
        <v>239.02999999999997</v>
      </c>
      <c r="S128" s="249" t="str">
        <f>IF(($L128-$E128)&gt;=0,"",
" - Определить требования к кластеризации компонентов ИС;
  - Обеспечить кластеризацию критичных ИС;"&amp;"
  - Реализовать мониторинг состояния кластеров;
  - Обеспечить отказоустойчивость кластеров при сбоях")</f>
        <v xml:space="preserve"> - Определить требования к кластеризации компонентов ИС;
  - Обеспечить кластеризацию критичных ИС;
  - Реализовать мониторинг состояния кластеров;
  - Обеспечить отказоустойчивость кластеров при сбоях</v>
      </c>
      <c r="T128" s="364">
        <f>T127+0.01</f>
        <v>339.03</v>
      </c>
      <c r="U128" s="249" t="str">
        <f>IF(($L128-$D128)&gt;=0,"",
" - Реализовать процесс периодического тестирования кластеризованных компонентов на отказоустойчивость.")</f>
        <v xml:space="preserve"> - Реализовать процесс периодического тестирования кластеризованных компонентов на отказоустойчивость.</v>
      </c>
    </row>
    <row r="129" spans="2:21" ht="125.85" customHeight="1" outlineLevel="1">
      <c r="B129" s="46" t="s">
        <v>916</v>
      </c>
      <c r="C129" s="498" t="s">
        <v>828</v>
      </c>
      <c r="D129" s="39">
        <v>5</v>
      </c>
      <c r="E129" s="40">
        <v>3.2</v>
      </c>
      <c r="F129" s="41">
        <v>0</v>
      </c>
      <c r="G129" s="47"/>
      <c r="H129" s="42"/>
      <c r="I129" s="47"/>
      <c r="J129" s="324"/>
      <c r="K129" s="537">
        <v>0</v>
      </c>
      <c r="L129" s="336">
        <f t="shared" si="30"/>
        <v>0</v>
      </c>
      <c r="M129">
        <f t="shared" si="31"/>
        <v>0</v>
      </c>
      <c r="N129" s="35" t="s">
        <v>283</v>
      </c>
      <c r="O129" s="480"/>
      <c r="P129" s="364">
        <f>P128+0.01</f>
        <v>39.039999999999992</v>
      </c>
      <c r="Q129" s="276" t="str">
        <f>IF(($L129-$F129)&gt;=0,"",)</f>
        <v/>
      </c>
      <c r="R129" s="364">
        <f>R128+0.01</f>
        <v>239.03999999999996</v>
      </c>
      <c r="S129" s="249" t="str">
        <f>IF(($L129-$E129)&gt;=0,"",
" - Определить перечень запасных частей и материалов, необходимых для обеспечения непрерывной работы информационных систем и проведения аварийно-восстановительных работ;"&amp;"
   - Закупить в требуемом объеме запасные части и материалы. ")</f>
        <v xml:space="preserve"> - Определить перечень запасных частей и материалов, необходимых для обеспечения непрерывной работы информационных систем и проведения аварийно-восстановительных работ;
   - Закупить в требуемом объеме запасные части и материалы. </v>
      </c>
      <c r="T129" s="364">
        <f>T128+0.01</f>
        <v>339.03999999999996</v>
      </c>
      <c r="U129" s="249" t="str">
        <f>IF(($L129-$D129)&gt;=0,"",
" - Определить перечень запасных частей и материалов, необходимых для обеспечения непрерывной работы информационных систем, плановой замены, развития, восстановления при авариях;"&amp;"
  - Закупить в требуемом объеме запасные части и материалы;
  - Заключить договоры на техническую поддержку оборудования и ПО;"&amp;"
  - Регламентировать процессы обеспечения запасными частями и материалами, требуемые объемы и уровни запасов с учетом критичности информационных систем.")</f>
        <v xml:space="preserve"> - Определить перечень запасных частей и материалов, необходимых для обеспечения непрерывной работы информационных систем, плановой замены, развития, восстановления при авариях;
  - Закупить в требуемом объеме запасные части и материалы;
  - Заключить договоры на техническую поддержку оборудования и ПО;
  - Регламентировать процессы обеспечения запасными частями и материалами, требуемые объемы и уровни запасов с учетом критичности информационных систем.</v>
      </c>
    </row>
    <row r="130" spans="2:21" ht="93.6" customHeight="1" outlineLevel="1">
      <c r="B130" s="46" t="s">
        <v>68</v>
      </c>
      <c r="C130" s="498" t="s">
        <v>829</v>
      </c>
      <c r="D130" s="39">
        <v>5</v>
      </c>
      <c r="E130" s="40">
        <v>3.2</v>
      </c>
      <c r="F130" s="41">
        <v>0</v>
      </c>
      <c r="G130" s="47"/>
      <c r="H130" s="42"/>
      <c r="I130" s="47"/>
      <c r="J130" s="324"/>
      <c r="K130" s="537">
        <v>0</v>
      </c>
      <c r="L130" s="47">
        <f t="shared" si="30"/>
        <v>0</v>
      </c>
      <c r="M130">
        <f t="shared" si="31"/>
        <v>0</v>
      </c>
      <c r="N130" s="35" t="s">
        <v>256</v>
      </c>
      <c r="P130" s="364">
        <f>P129+0.01</f>
        <v>39.04999999999999</v>
      </c>
      <c r="Q130" s="276" t="str">
        <f>IF(($L130-$F130)&gt;=0,"",
" - Определить требования к уровню доступности средств защиты и обеспечить его выполнение;"&amp;"
   - Обеспечить уровень доступности средств защиты не ниже чем уровень доступности защищаемых ИС")</f>
        <v/>
      </c>
      <c r="R130" s="364">
        <f>R129+0.01</f>
        <v>239.04999999999995</v>
      </c>
      <c r="S130" s="249" t="str">
        <f>IF(($L130-$E130)&gt;=0,"",
" - Определить требования к уровню доступности средств защиты и обеспечить его выполнение;"&amp;"
   - Обеспечить уровень доступности средств защиты не ниже чем уровень доступности защищаемых ИС;"&amp;" 
- Обеспечить доступность средств защиты при авариях и сбоях ИС;
  - Обеспечить  применение компенсирующих мер защиты при сбоях и авариях средств защиты.")</f>
        <v xml:space="preserve"> - Определить требования к уровню доступности средств защиты и обеспечить его выполнение;
   - Обеспечить уровень доступности средств защиты не ниже чем уровень доступности защищаемых ИС; 
- Обеспечить доступность средств защиты при авариях и сбоях ИС;
  - Обеспечить  применение компенсирующих мер защиты при сбоях и авариях средств защиты.</v>
      </c>
      <c r="T130" s="364">
        <f>T129+0.01</f>
        <v>339.04999999999995</v>
      </c>
      <c r="U130" s="249" t="str">
        <f>IF(($L130-$D130)&gt;=0,"",
" - Реализовать процесс периодического тестирования средств защиты в рамках общего процесса тестирования ИС на отказоустойчивость.")</f>
        <v xml:space="preserve"> - Реализовать процесс периодического тестирования средств защиты в рамках общего процесса тестирования ИС на отказоустойчивость.</v>
      </c>
    </row>
    <row r="131" spans="2:21" ht="17.399999999999999">
      <c r="B131" s="43" t="s">
        <v>290</v>
      </c>
      <c r="C131" s="44" t="s">
        <v>291</v>
      </c>
      <c r="D131" s="44"/>
      <c r="E131" s="44"/>
      <c r="F131" s="44"/>
      <c r="G131" s="512"/>
      <c r="H131" s="44"/>
      <c r="I131" s="44"/>
      <c r="J131" s="44"/>
      <c r="K131" s="44"/>
      <c r="L131" s="44"/>
      <c r="M131">
        <f t="shared" si="23"/>
        <v>0</v>
      </c>
      <c r="P131" s="365">
        <f>VLOOKUP(B131,Приоритет!$G$9:$K$48,5,0)</f>
        <v>33</v>
      </c>
      <c r="Q131" s="44" t="s">
        <v>291</v>
      </c>
      <c r="R131" s="365">
        <f>P131+200</f>
        <v>233</v>
      </c>
      <c r="S131" s="44" t="s">
        <v>291</v>
      </c>
      <c r="T131" s="365">
        <f>P131+300</f>
        <v>333</v>
      </c>
      <c r="U131" s="44" t="str">
        <f>IF(($L131-$D131)&gt;=0,"",
"Реализовать процесс периодического тестирования средств защиты в рамках общего процесса тестирования ИС на отказоустойчивость.")</f>
        <v/>
      </c>
    </row>
    <row r="132" spans="2:21" ht="101.1" customHeight="1" outlineLevel="1">
      <c r="B132" s="46" t="s">
        <v>639</v>
      </c>
      <c r="C132" s="498" t="s">
        <v>890</v>
      </c>
      <c r="D132" s="39">
        <f>5*IF(БР="да",1,0)</f>
        <v>5</v>
      </c>
      <c r="E132" s="40">
        <f>5*IF(БР="да",1,0)</f>
        <v>5</v>
      </c>
      <c r="F132" s="41">
        <v>0</v>
      </c>
      <c r="G132" s="47"/>
      <c r="H132" s="47"/>
      <c r="I132" s="47"/>
      <c r="J132" s="324"/>
      <c r="K132" s="537">
        <v>0</v>
      </c>
      <c r="L132" s="336">
        <f t="shared" ref="L132:L142" si="32">VALUE(LEFT(N132,3))</f>
        <v>0</v>
      </c>
      <c r="M132">
        <f t="shared" si="31"/>
        <v>0</v>
      </c>
      <c r="N132" s="35" t="s">
        <v>283</v>
      </c>
      <c r="O132" s="363"/>
      <c r="P132" s="364">
        <f>P131+0.01</f>
        <v>33.01</v>
      </c>
      <c r="Q132" s="451" t="str">
        <f>IF(($L132-$F132)&gt;=0,"",
" ")</f>
        <v/>
      </c>
      <c r="R132" s="364">
        <f>R131+0.01</f>
        <v>233.01</v>
      </c>
      <c r="S132" s="249" t="str">
        <f>IF(($L132-$E132)&gt;=0,"",
" Определить и официально назначить ответственного сотрудника за безопасную разработку ПО;")</f>
        <v xml:space="preserve"> Определить и официально назначить ответственного сотрудника за безопасную разработку ПО;</v>
      </c>
      <c r="T132" s="364">
        <f>T131+0.01</f>
        <v>333.01</v>
      </c>
      <c r="U132" s="249">
        <f>IF(($L132-$D132)&gt;=0,"",)</f>
        <v>0</v>
      </c>
    </row>
    <row r="133" spans="2:21" s="66" customFormat="1" ht="82.35" customHeight="1" outlineLevel="1">
      <c r="B133" s="46" t="s">
        <v>640</v>
      </c>
      <c r="C133" s="498" t="s">
        <v>891</v>
      </c>
      <c r="D133" s="39">
        <f>5*IF(БР="да",1,0)</f>
        <v>5</v>
      </c>
      <c r="E133" s="40">
        <f>3.2*IF(БР="да",1,0)</f>
        <v>3.2</v>
      </c>
      <c r="F133" s="41">
        <f>1.6*IF(БР="да",1,0)</f>
        <v>1.6</v>
      </c>
      <c r="G133" s="42"/>
      <c r="H133" s="47"/>
      <c r="I133" s="47"/>
      <c r="J133" s="324"/>
      <c r="K133" s="537">
        <f>1.6*IF(БР="да",1,0)</f>
        <v>1.6</v>
      </c>
      <c r="L133" s="336">
        <f t="shared" si="32"/>
        <v>0</v>
      </c>
      <c r="M133">
        <f t="shared" si="31"/>
        <v>-1.6</v>
      </c>
      <c r="N133" s="237" t="s">
        <v>822</v>
      </c>
      <c r="O133" s="363"/>
      <c r="P133" s="364">
        <f t="shared" ref="P133:P145" si="33">P132+0.01</f>
        <v>33.019999999999996</v>
      </c>
      <c r="Q133" s="451" t="str">
        <f>IF(($L133-$F133)&gt;=0,"",
" Для систем Mission Critical определить:
-требования безопасности ПО; 
-типовой набор требований безопасности ПО.")</f>
        <v xml:space="preserve"> Для систем Mission Critical определить:
-требования безопасности ПО; 
-типовой набор требований безопасности ПО.</v>
      </c>
      <c r="R133" s="364">
        <f t="shared" ref="R133:R145" si="34">R132+0.01</f>
        <v>233.01999999999998</v>
      </c>
      <c r="S133" s="249" t="str">
        <f>IF(($L133-$E133)&gt;=0,"",
" 1. Для систем Business Critical формализовать:
-требования безопасности ПО; 
-типовой набор требований безопасности ПО.
2.Автоматизировать процесс предоставления, получения и выполнения требований безопасности ПО;")</f>
        <v xml:space="preserve"> 1. Для систем Business Critical формализовать:
-требования безопасности ПО; 
-типовой набор требований безопасности ПО.
2.Автоматизировать процесс предоставления, получения и выполнения требований безопасности ПО;</v>
      </c>
      <c r="T133" s="364">
        <f t="shared" ref="T133:T145" si="35">T132+0.01</f>
        <v>333.02</v>
      </c>
      <c r="U133" s="249" t="str">
        <f>IF(($L133-$D133)&gt;=0,"",
" Для всех систем формализовать:
-требования безопасности ПО; 
-типовой набор требований безопасности ПО.")</f>
        <v xml:space="preserve"> Для всех систем формализовать:
-требования безопасности ПО; 
-типовой набор требований безопасности ПО.</v>
      </c>
    </row>
    <row r="134" spans="2:21" ht="140.1" customHeight="1" outlineLevel="1">
      <c r="B134" s="46" t="s">
        <v>641</v>
      </c>
      <c r="C134" s="498" t="s">
        <v>892</v>
      </c>
      <c r="D134" s="39">
        <f>5*IF(БР="да",1,0)</f>
        <v>5</v>
      </c>
      <c r="E134" s="40">
        <f>5*IF(БР="да",1,0)</f>
        <v>5</v>
      </c>
      <c r="F134" s="41">
        <v>0</v>
      </c>
      <c r="G134" s="47"/>
      <c r="H134" s="47"/>
      <c r="I134" s="47"/>
      <c r="J134" s="324"/>
      <c r="K134" s="537">
        <v>0</v>
      </c>
      <c r="L134" s="47">
        <f t="shared" si="32"/>
        <v>0</v>
      </c>
      <c r="M134">
        <f t="shared" si="31"/>
        <v>0</v>
      </c>
      <c r="N134" s="35" t="s">
        <v>283</v>
      </c>
      <c r="O134" s="363"/>
      <c r="P134" s="364">
        <f t="shared" si="33"/>
        <v>33.029999999999994</v>
      </c>
      <c r="Q134" s="451" t="str">
        <f>IF(($L134-$F134)&gt;=0,"","")</f>
        <v/>
      </c>
      <c r="R134" s="364">
        <f t="shared" si="34"/>
        <v>233.02999999999997</v>
      </c>
      <c r="S134" s="249" t="str">
        <f>IF(($L134-$E134)&gt;=0,""," Разработать и утвердить Порядок фиксации замечаний по безопасности и последующего исправления багов")</f>
        <v xml:space="preserve"> Разработать и утвердить Порядок фиксации замечаний по безопасности и последующего исправления багов</v>
      </c>
      <c r="T134" s="364">
        <f t="shared" si="35"/>
        <v>333.03</v>
      </c>
      <c r="U134" s="249" t="str">
        <f>IF(($L134-$D134)&gt;=0,"","")</f>
        <v/>
      </c>
    </row>
    <row r="135" spans="2:21" ht="80.099999999999994" customHeight="1" outlineLevel="1">
      <c r="B135" s="46" t="s">
        <v>960</v>
      </c>
      <c r="C135" s="498" t="s">
        <v>893</v>
      </c>
      <c r="D135" s="39">
        <f>4*IF(БР="да",1,0)</f>
        <v>4</v>
      </c>
      <c r="E135" s="40">
        <f>3*IF(БР="да",1,0)</f>
        <v>3</v>
      </c>
      <c r="F135" s="41">
        <f>1*IF(БР="да",1,0)</f>
        <v>1</v>
      </c>
      <c r="G135" s="47"/>
      <c r="H135" s="47"/>
      <c r="I135" s="47"/>
      <c r="J135" s="324"/>
      <c r="K135" s="537">
        <f>1*IF(БР="да",1,0)</f>
        <v>1</v>
      </c>
      <c r="L135" s="47">
        <f t="shared" si="32"/>
        <v>0</v>
      </c>
      <c r="M135">
        <f t="shared" si="31"/>
        <v>-1</v>
      </c>
      <c r="N135" s="237" t="s">
        <v>245</v>
      </c>
      <c r="O135" s="363"/>
      <c r="P135" s="364">
        <f t="shared" si="33"/>
        <v>33.039999999999992</v>
      </c>
      <c r="Q135" s="276" t="str">
        <f>IF(($L135-$F135)&gt;=0,"",
"Для систем Mission Critical определить порядок  тестирования ПО.")</f>
        <v>Для систем Mission Critical определить порядок  тестирования ПО.</v>
      </c>
      <c r="R135" s="364">
        <f t="shared" si="34"/>
        <v>233.03999999999996</v>
      </c>
      <c r="S135" s="249" t="str">
        <f>IF(($L135-$E135)&gt;=0,"",
"1. Для всех систем формализовать:
-регламент проведения динамического анализа исходного кода ПО;
-регламент функционального тестирования;"&amp;" 
-регламент нефункционального тестирования.
2.Автоматизировать процесс тестирование ПО;
3.Мониторить процессы тестирования ПО в CI/CD-конвейере.")</f>
        <v>1. Для всех систем формализовать:
-регламент проведения динамического анализа исходного кода ПО;
-регламент функционального тестирования; 
-регламент нефункционального тестирования.
2.Автоматизировать процесс тестирование ПО;
3.Мониторить процессы тестирования ПО в CI/CD-конвейере.</v>
      </c>
      <c r="T135" s="364">
        <f t="shared" si="35"/>
        <v>333.03999999999996</v>
      </c>
      <c r="U135" s="249" t="str">
        <f>IF(($L135-$D135)&gt;=0,"","Качество процесса отслеживать с помощью метрик.")</f>
        <v>Качество процесса отслеживать с помощью метрик.</v>
      </c>
    </row>
    <row r="136" spans="2:21" ht="93" customHeight="1" outlineLevel="1">
      <c r="B136" s="46" t="s">
        <v>961</v>
      </c>
      <c r="C136" s="498" t="s">
        <v>894</v>
      </c>
      <c r="D136" s="39">
        <f t="shared" ref="D136:D145" si="36">5*IF(БР="да",1,0)</f>
        <v>5</v>
      </c>
      <c r="E136" s="40">
        <f>3.2*IF(БР="да",1,0)</f>
        <v>3.2</v>
      </c>
      <c r="F136" s="41">
        <f>1.6*IF(БР="да",1,0)</f>
        <v>1.6</v>
      </c>
      <c r="G136" s="47"/>
      <c r="H136" s="47"/>
      <c r="I136" s="47"/>
      <c r="J136" s="324"/>
      <c r="K136" s="537">
        <f>1.6*IF(БР="да",1,0)</f>
        <v>1.6</v>
      </c>
      <c r="L136" s="47">
        <f t="shared" si="32"/>
        <v>0</v>
      </c>
      <c r="M136">
        <f t="shared" si="31"/>
        <v>-1.6</v>
      </c>
      <c r="N136" s="237" t="s">
        <v>822</v>
      </c>
      <c r="O136" s="363"/>
      <c r="P136" s="364">
        <f t="shared" si="33"/>
        <v>33.04999999999999</v>
      </c>
      <c r="Q136" s="276" t="str">
        <f>IF(($L136-$F136)&gt;=0,"",
" Для систем Mission Critical определить:
-порядок приемки ПО перед его запуском в продуктивной среде;
- порядок передачи ПО в продуктивную среду;
-состав и содержание эксплуатационных документов на ПО.")</f>
        <v xml:space="preserve"> Для систем Mission Critical определить:
-порядок приемки ПО перед его запуском в продуктивной среде;
- порядок передачи ПО в продуктивную среду;
-состав и содержание эксплуатационных документов на ПО.</v>
      </c>
      <c r="R136" s="364">
        <f t="shared" si="34"/>
        <v>233.04999999999995</v>
      </c>
      <c r="S136" s="249" t="str">
        <f>IF(($L136-$E136)&gt;=0,"",
"Для систем Mission и Business Critical формализовать:
- порядок приемки ПО перед его запуском в продуктивной среде;
- порядок передачи ПО в продуктивную среду;
- состав и содержание эксплуатационных документов на ПО. ")</f>
        <v xml:space="preserve">Для систем Mission и Business Critical формализовать:
- порядок приемки ПО перед его запуском в продуктивной среде;
- порядок передачи ПО в продуктивную среду;
- состав и содержание эксплуатационных документов на ПО. </v>
      </c>
      <c r="T136" s="364">
        <f t="shared" si="35"/>
        <v>333.04999999999995</v>
      </c>
      <c r="U136" s="249" t="str">
        <f>IF(($L136-$D136)&gt;=0,"",
"Для всех систем формализовать:
- порядок приемки ПО перед его запуском в продуктивной среде;
- порядок передачи ПО в продуктивную среду;
- состав и содержание эксплуатационных документов на ПО.")</f>
        <v>Для всех систем формализовать:
- порядок приемки ПО перед его запуском в продуктивной среде;
- порядок передачи ПО в продуктивную среду;
- состав и содержание эксплуатационных документов на ПО.</v>
      </c>
    </row>
    <row r="137" spans="2:21" ht="108.6" customHeight="1" outlineLevel="1">
      <c r="B137" s="46" t="s">
        <v>962</v>
      </c>
      <c r="C137" s="498" t="s">
        <v>895</v>
      </c>
      <c r="D137" s="39">
        <f t="shared" si="36"/>
        <v>5</v>
      </c>
      <c r="E137" s="40">
        <f>3.2*IF(БР="да",1,0)</f>
        <v>3.2</v>
      </c>
      <c r="F137" s="41">
        <f>1.6*IF(БР="да",1,0)</f>
        <v>1.6</v>
      </c>
      <c r="G137" s="47"/>
      <c r="H137" s="47"/>
      <c r="I137" s="47"/>
      <c r="J137" s="324"/>
      <c r="K137" s="537">
        <f>1.6*IF(БР="да",1,0)</f>
        <v>1.6</v>
      </c>
      <c r="L137" s="47">
        <f t="shared" si="32"/>
        <v>0</v>
      </c>
      <c r="M137">
        <f t="shared" si="31"/>
        <v>-1.6</v>
      </c>
      <c r="N137" s="237" t="s">
        <v>822</v>
      </c>
      <c r="O137" s="363"/>
      <c r="P137" s="364">
        <f t="shared" si="33"/>
        <v>33.059999999999988</v>
      </c>
      <c r="Q137" s="276" t="str">
        <f>IF(($L137-$F137)&gt;=0,"", "Для систем Mission Critical определить:
- ответственных за техническую поддержку пользователей ПО;"&amp;"
- порядок информирования пользователей об обновлениях ПО,обнаруженных уязвимостях и окончании технической поддержки
- ответственных за поиск уязвимостей ПО и их устранение.")</f>
        <v>Для систем Mission Critical определить:
- ответственных за техническую поддержку пользователей ПО;
- порядок информирования пользователей об обновлениях ПО,обнаруженных уязвимостях и окончании технической поддержки
- ответственных за поиск уязвимостей ПО и их устранение.</v>
      </c>
      <c r="R137" s="364">
        <f t="shared" si="34"/>
        <v>233.05999999999995</v>
      </c>
      <c r="S137" s="249" t="str">
        <f>IF(($L137-$E137)&gt;=0,"",
"Для систем Business Critical. :
- назначить ответственных за техническую поддержку пользователей ПО;"&amp;"
- формализовать порядок информирования пользователей об обновлениях ПО, обнаруженных уязвимостях и окончании технической поддержки;
- назначить о ответственных за поиск уязвимостей ПО и их устранение. ")</f>
        <v xml:space="preserve">Для систем Business Critical. :
- назначить ответственных за техническую поддержку пользователей ПО;
- формализовать порядок информирования пользователей об обновлениях ПО, обнаруженных уязвимостях и окончании технической поддержки;
- назначить о ответственных за поиск уязвимостей ПО и их устранение. </v>
      </c>
      <c r="T137" s="364">
        <f t="shared" si="35"/>
        <v>333.05999999999995</v>
      </c>
      <c r="U137" s="249" t="str">
        <f>IF(($L137-$D137)&gt;=0,"","Для всех систем:
- назначить ответственных за техническую поддержку пользователей ПО;"&amp;"
- формализовать порядок информирования пользователей об обновлениях ПО,обнаруженных уязвимостях и окончании технической поддержки
- назначить о ответственных за поиск уязвимостей ПО и их устранение. ")</f>
        <v xml:space="preserve">Для всех систем:
- назначить ответственных за техническую поддержку пользователей ПО;
- формализовать порядок информирования пользователей об обновлениях ПО,обнаруженных уязвимостях и окончании технической поддержки
- назначить о ответственных за поиск уязвимостей ПО и их устранение. </v>
      </c>
    </row>
    <row r="138" spans="2:21" ht="63" customHeight="1" outlineLevel="1">
      <c r="B138" s="46" t="s">
        <v>600</v>
      </c>
      <c r="C138" s="498" t="s">
        <v>896</v>
      </c>
      <c r="D138" s="39">
        <f t="shared" si="36"/>
        <v>5</v>
      </c>
      <c r="E138" s="40">
        <f>5*IF(БР="да",1,0)</f>
        <v>5</v>
      </c>
      <c r="F138" s="41">
        <v>0</v>
      </c>
      <c r="G138" s="47"/>
      <c r="H138" s="47"/>
      <c r="I138" s="47"/>
      <c r="J138" s="324"/>
      <c r="K138" s="537">
        <v>0</v>
      </c>
      <c r="L138" s="47">
        <f t="shared" si="32"/>
        <v>0</v>
      </c>
      <c r="M138">
        <f t="shared" si="31"/>
        <v>0</v>
      </c>
      <c r="N138" s="35" t="s">
        <v>283</v>
      </c>
      <c r="O138" s="363"/>
      <c r="P138" s="364">
        <f t="shared" si="33"/>
        <v>33.069999999999986</v>
      </c>
      <c r="Q138" s="276" t="str">
        <f>IF(($L138-$F138)&gt;=0,"", "" )</f>
        <v/>
      </c>
      <c r="R138" s="364">
        <f t="shared" si="34"/>
        <v>233.06999999999994</v>
      </c>
      <c r="S138" s="249" t="str">
        <f>IF(($L138-$E138)&gt;1.6,"","- Провести инвентаризацию всех используемых модулей и служб в текущей инфраструктуре;
- Определить критерии оценки модулей и служб (наличие сертификаций, регулярные обновления, отзывы сообщества); "&amp;"
- Разработать реестр проверенных модулей и служб, с указанием источника и даты проверки;"&amp;
" - Обеспечить использование модулей и служб, внесенных в реестр;
- Настроить автоматические обновления для всех используемых модулей и служб")</f>
        <v>- Провести инвентаризацию всех используемых модулей и служб в текущей инфраструктуре;
- Определить критерии оценки модулей и служб (наличие сертификаций, регулярные обновления, отзывы сообщества); 
- Разработать реестр проверенных модулей и служб, с указанием источника и даты проверки; - Обеспечить использование модулей и служб, внесенных в реестр;
- Настроить автоматические обновления для всех используемых модулей и служб</v>
      </c>
      <c r="T138" s="364">
        <f t="shared" si="35"/>
        <v>333.06999999999994</v>
      </c>
      <c r="U138" s="249" t="str">
        <f t="shared" ref="U138" si="37">IF(($L138-$D138)&gt;=0,"","")</f>
        <v/>
      </c>
    </row>
    <row r="139" spans="2:21" ht="87.6" customHeight="1" outlineLevel="1">
      <c r="B139" s="46" t="s">
        <v>963</v>
      </c>
      <c r="C139" s="498" t="s">
        <v>897</v>
      </c>
      <c r="D139" s="39">
        <f t="shared" si="36"/>
        <v>5</v>
      </c>
      <c r="E139" s="40">
        <f>3.2*IF(БР="да",1,0)</f>
        <v>3.2</v>
      </c>
      <c r="F139" s="41">
        <f>1.6*IF(БР="да",1,0)</f>
        <v>1.6</v>
      </c>
      <c r="G139" s="47"/>
      <c r="H139" s="47"/>
      <c r="I139" s="47"/>
      <c r="J139" s="324"/>
      <c r="K139" s="537">
        <f>1.6*IF(БР="да",1,0)</f>
        <v>1.6</v>
      </c>
      <c r="L139" s="47">
        <f t="shared" si="32"/>
        <v>0</v>
      </c>
      <c r="M139">
        <f t="shared" si="31"/>
        <v>-1.6</v>
      </c>
      <c r="N139" s="237" t="s">
        <v>822</v>
      </c>
      <c r="O139" s="363"/>
      <c r="P139" s="364">
        <f t="shared" si="33"/>
        <v>33.079999999999984</v>
      </c>
      <c r="Q139" s="276" t="str">
        <f>IF(($L139-$F139)&gt;=0,"","Определить порядок повышения и поддержания на должном уровне компетенций разработчиков в области безопасности ПО; ")</f>
        <v xml:space="preserve">Определить порядок повышения и поддержания на должном уровне компетенций разработчиков в области безопасности ПО; </v>
      </c>
      <c r="R139" s="364">
        <f t="shared" si="34"/>
        <v>233.07999999999993</v>
      </c>
      <c r="S139" s="249" t="str">
        <f>IF(($L139-$E139)&gt;=0,"",
" 1. Формализовать:
- порядок повышения и поддержания на должном уровне компетенций разработчиков в области безопасности ПО;
- программу и план обучения в области безопасности ПО; "&amp;"
2. Автоматизировать процесс обучения;
3. Мониторить процесс обучения.")</f>
        <v xml:space="preserve"> 1. Формализовать:
- порядок повышения и поддержания на должном уровне компетенций разработчиков в области безопасности ПО;
- программу и план обучения в области безопасности ПО; 
2. Автоматизировать процесс обучения;
3. Мониторить процесс обучения.</v>
      </c>
      <c r="T139" s="364">
        <f t="shared" si="35"/>
        <v>333.07999999999993</v>
      </c>
      <c r="U139" s="249" t="str">
        <f>IF(($L139-$D139)&gt;=0,"","Качество процесса отслеживать с помощью метрик")</f>
        <v>Качество процесса отслеживать с помощью метрик</v>
      </c>
    </row>
    <row r="140" spans="2:21" ht="68.099999999999994" customHeight="1" outlineLevel="1">
      <c r="B140" s="46" t="s">
        <v>917</v>
      </c>
      <c r="C140" s="498" t="s">
        <v>898</v>
      </c>
      <c r="D140" s="39">
        <f t="shared" si="36"/>
        <v>5</v>
      </c>
      <c r="E140" s="40">
        <f>3.2*IF(БР="да",1,0)</f>
        <v>3.2</v>
      </c>
      <c r="F140" s="41">
        <f>1.6*IF(БР="да",1,0)</f>
        <v>1.6</v>
      </c>
      <c r="G140" s="47"/>
      <c r="H140" s="47"/>
      <c r="I140" s="47"/>
      <c r="J140" s="324"/>
      <c r="K140" s="537">
        <f>1.6*IF(БР="да",1,0)</f>
        <v>1.6</v>
      </c>
      <c r="L140" s="47">
        <f t="shared" si="32"/>
        <v>0</v>
      </c>
      <c r="M140">
        <f t="shared" si="31"/>
        <v>-1.6</v>
      </c>
      <c r="N140" s="237" t="s">
        <v>822</v>
      </c>
      <c r="O140" s="363"/>
      <c r="P140" s="364">
        <f t="shared" si="33"/>
        <v>33.089999999999982</v>
      </c>
      <c r="Q140" s="276" t="str">
        <f>IF(($L140-$F140)&gt;=0,"","1.Разработать и утвердить документы:
лицензионный договор;
акт приема-передачи.
2.Вести отчетность по анализу кода ПО, полученного через цепочки поставок, на предмет внедрения вредоносного программного обеспечения для систем Mission Critical.")</f>
        <v>1.Разработать и утвердить документы:
лицензионный договор;
акт приема-передачи.
2.Вести отчетность по анализу кода ПО, полученного через цепочки поставок, на предмет внедрения вредоносного программного обеспечения для систем Mission Critical.</v>
      </c>
      <c r="R140" s="364">
        <f t="shared" si="34"/>
        <v>233.08999999999992</v>
      </c>
      <c r="S140" s="249" t="str">
        <f>IF(($L140-$E140)&gt;=0,"",
" Мероприятия на КБ1 + 
1.Вести отчетность по анализу кода ПО, полученного через цепочки поставок, на предмет внедрения вредоносного программного обеспечения для систем Business  Critical."&amp;"
2. Автоматизировать контроль безопасности ПО для систем Business  Critical.")</f>
        <v xml:space="preserve"> Мероприятия на КБ1 + 
1.Вести отчетность по анализу кода ПО, полученного через цепочки поставок, на предмет внедрения вредоносного программного обеспечения для систем Business  Critical.
2. Автоматизировать контроль безопасности ПО для систем Business  Critical.</v>
      </c>
      <c r="T140" s="364">
        <f t="shared" si="35"/>
        <v>333.08999999999992</v>
      </c>
      <c r="U140" s="249" t="str">
        <f>IF(($L140-$D140)&gt;=0,"","1. Вести отчетность по анализу кода ПО, полученного через цепочки поставок, на предмет внедрения вредоносного программного обеспечения для всех систем ;
2. Автоматизировать контроль безопасности ПО для всех систем;")</f>
        <v>1. Вести отчетность по анализу кода ПО, полученного через цепочки поставок, на предмет внедрения вредоносного программного обеспечения для всех систем ;
2. Автоматизировать контроль безопасности ПО для всех систем;</v>
      </c>
    </row>
    <row r="141" spans="2:21" ht="60.6" customHeight="1" outlineLevel="1">
      <c r="B141" s="46" t="s">
        <v>642</v>
      </c>
      <c r="C141" s="498" t="s">
        <v>899</v>
      </c>
      <c r="D141" s="39">
        <f t="shared" si="36"/>
        <v>5</v>
      </c>
      <c r="E141" s="40">
        <f>3.2*IF(БР="да",1,0)</f>
        <v>3.2</v>
      </c>
      <c r="F141" s="41">
        <f>1.6*IF(БР="да",1,0)</f>
        <v>1.6</v>
      </c>
      <c r="G141" s="47"/>
      <c r="H141" s="47"/>
      <c r="I141" s="47"/>
      <c r="J141" s="324"/>
      <c r="K141" s="537">
        <f>1.6*IF(БР="да",1,0)</f>
        <v>1.6</v>
      </c>
      <c r="L141" s="47">
        <f t="shared" si="32"/>
        <v>0</v>
      </c>
      <c r="M141">
        <f t="shared" si="31"/>
        <v>-1.6</v>
      </c>
      <c r="N141" s="35" t="s">
        <v>283</v>
      </c>
      <c r="O141" s="363"/>
      <c r="P141" s="370">
        <f t="shared" si="33"/>
        <v>33.09999999999998</v>
      </c>
      <c r="Q141" s="276" t="str">
        <f>IF(($L141-$F141)&gt;=0,"", "1.Задокументировать порядок формирования списка доверенных компонентов, критерии доверия и правила использования. 
2.Создать реестр одобренных компонентов ПО;")</f>
        <v>1.Задокументировать порядок формирования списка доверенных компонентов, критерии доверия и правила использования. 
2.Создать реестр одобренных компонентов ПО;</v>
      </c>
      <c r="R141" s="370">
        <f t="shared" si="34"/>
        <v>233.09999999999991</v>
      </c>
      <c r="S141" s="249" t="str">
        <f>IF(($L141-$E141)&gt;=0,"",
" -Мероприятия для КБ1 +
1. Автоматизировать поиск узявимостей в реестре одобренных компонентов ПО;
2. Автоматизировать процесс отслеживания обновления ПО и информации об уязвимостях.")</f>
        <v xml:space="preserve"> -Мероприятия для КБ1 +
1. Автоматизировать поиск узявимостей в реестре одобренных компонентов ПО;
2. Автоматизировать процесс отслеживания обновления ПО и информации об уязвимостях.</v>
      </c>
      <c r="T141" s="370">
        <f t="shared" si="35"/>
        <v>333.09999999999991</v>
      </c>
      <c r="U141" s="249" t="str">
        <f>IF(($L141-$D141)&gt;=0,"","1.Мониторить процесс  поиска узявимостей в реестре одобренных компонентов ПО;
2.Отслеживать с помощью метрик процесс обновления ПО и информации об уязвимостях не реже одного раза в месяц.")</f>
        <v>1.Мониторить процесс  поиска узявимостей в реестре одобренных компонентов ПО;
2.Отслеживать с помощью метрик процесс обновления ПО и информации об уязвимостях не реже одного раза в месяц.</v>
      </c>
    </row>
    <row r="142" spans="2:21" ht="65.849999999999994" customHeight="1" outlineLevel="1">
      <c r="B142" s="46" t="s">
        <v>643</v>
      </c>
      <c r="C142" s="498" t="s">
        <v>900</v>
      </c>
      <c r="D142" s="39">
        <f t="shared" si="36"/>
        <v>5</v>
      </c>
      <c r="E142" s="40">
        <f>3.2*IF(БР="да",1,0)</f>
        <v>3.2</v>
      </c>
      <c r="F142" s="41">
        <f>1.6*IF(БР="да",1,0)</f>
        <v>1.6</v>
      </c>
      <c r="G142" s="47"/>
      <c r="H142" s="47"/>
      <c r="I142" s="47"/>
      <c r="J142" s="324"/>
      <c r="K142" s="537">
        <f>1.6*IF(БР="да",1,0)</f>
        <v>1.6</v>
      </c>
      <c r="L142" s="47">
        <f t="shared" si="32"/>
        <v>0</v>
      </c>
      <c r="M142">
        <f t="shared" si="31"/>
        <v>-1.6</v>
      </c>
      <c r="N142" s="35" t="s">
        <v>283</v>
      </c>
      <c r="O142" s="363"/>
      <c r="P142" s="364">
        <f t="shared" si="33"/>
        <v>33.109999999999978</v>
      </c>
      <c r="Q142" s="276" t="str">
        <f>IF(($L142-$F142)&gt;=0,"", "1.Определить порядок скачивания компонентов ПО из проверенных источников;
2.Определить критериии доверия к компонентам ПО.")</f>
        <v>1.Определить порядок скачивания компонентов ПО из проверенных источников;
2.Определить критериии доверия к компонентам ПО.</v>
      </c>
      <c r="R142" s="364">
        <f t="shared" si="34"/>
        <v>233.1099999999999</v>
      </c>
      <c r="S142" s="249" t="str">
        <f>IF(($L142-$E142)&gt;=0,"",
" -Автоматизировать в Реестре проверку компонентов на уязвимости и угрозы безопасности. 
- Получать  компоненты ПО только из доверенных источников.")</f>
        <v xml:space="preserve"> -Автоматизировать в Реестре проверку компонентов на уязвимости и угрозы безопасности. 
- Получать  компоненты ПО только из доверенных источников.</v>
      </c>
      <c r="T142" s="364">
        <f t="shared" si="35"/>
        <v>333.1099999999999</v>
      </c>
      <c r="U142" s="249" t="str">
        <f>IF(($L142-$D142)&gt;=0,"","
Отслеживать с помощью метрик процесс проверки компонентов на уязвимости и угрозы безопасности.")</f>
        <v xml:space="preserve">
Отслеживать с помощью метрик процесс проверки компонентов на уязвимости и угрозы безопасности.</v>
      </c>
    </row>
    <row r="143" spans="2:21" ht="47.1" customHeight="1" outlineLevel="1">
      <c r="B143" s="46" t="s">
        <v>831</v>
      </c>
      <c r="C143" s="498" t="s">
        <v>901</v>
      </c>
      <c r="D143" s="39">
        <f t="shared" si="36"/>
        <v>5</v>
      </c>
      <c r="E143" s="40">
        <f>3.2*IF(БР="да",1,0)</f>
        <v>3.2</v>
      </c>
      <c r="F143" s="41">
        <f>1.6*IF(БР="да",1,0)</f>
        <v>1.6</v>
      </c>
      <c r="G143" s="47"/>
      <c r="H143" s="47"/>
      <c r="I143" s="47"/>
      <c r="J143" s="324"/>
      <c r="K143" s="537">
        <f>1.6*IF(БР="да",1,0)</f>
        <v>1.6</v>
      </c>
      <c r="L143" s="47">
        <f t="shared" si="21"/>
        <v>0</v>
      </c>
      <c r="M143">
        <f t="shared" si="31"/>
        <v>-1.6</v>
      </c>
      <c r="N143" s="35" t="s">
        <v>283</v>
      </c>
      <c r="O143" s="363"/>
      <c r="P143" s="364">
        <f t="shared" si="33"/>
        <v>33.119999999999976</v>
      </c>
      <c r="Q143" s="276" t="str">
        <f>IF(($L143-$F143)&gt;=0,"",
"Для систем Mission Critical  определить механизмы безопасности системного уровня для обеспечения безопасности критичных компонентов ПО")</f>
        <v>Для систем Mission Critical  определить механизмы безопасности системного уровня для обеспечения безопасности критичных компонентов ПО</v>
      </c>
      <c r="R143" s="364">
        <f t="shared" si="34"/>
        <v>233.11999999999989</v>
      </c>
      <c r="S143" s="249" t="str">
        <f>IF(($L143-$E143)&gt;=0,"",
" 1. Для систем Business Critical формализовать механизмы безопасности системного уровня для обеспечения безопасности критичных компонентов ПО.
2. Настроить использование механизмов безопасности системного уровня лучшим практикам.")</f>
        <v xml:space="preserve"> 1. Для систем Business Critical формализовать механизмы безопасности системного уровня для обеспечения безопасности критичных компонентов ПО.
2. Настроить использование механизмов безопасности системного уровня лучшим практикам.</v>
      </c>
      <c r="T143" s="364">
        <f t="shared" si="35"/>
        <v>333.11999999999989</v>
      </c>
      <c r="U143" s="249" t="str">
        <f>IF(($L143-$D143)&gt;=0,"",
" Для всех систем формализовать механизмы безопасности системного уровня для обеспечения безопасности критичных компонентов ПО.")</f>
        <v xml:space="preserve"> Для всех систем формализовать механизмы безопасности системного уровня для обеспечения безопасности критичных компонентов ПО.</v>
      </c>
    </row>
    <row r="144" spans="2:21" ht="48" customHeight="1" outlineLevel="1">
      <c r="B144" s="46" t="s">
        <v>830</v>
      </c>
      <c r="C144" s="498" t="s">
        <v>902</v>
      </c>
      <c r="D144" s="39">
        <f t="shared" si="36"/>
        <v>5</v>
      </c>
      <c r="E144" s="40">
        <f>5*IF(БР="да",1,0)</f>
        <v>5</v>
      </c>
      <c r="F144" s="277">
        <v>0</v>
      </c>
      <c r="G144" s="47"/>
      <c r="H144" s="47"/>
      <c r="I144" s="47"/>
      <c r="J144" s="324"/>
      <c r="K144" s="538">
        <v>0</v>
      </c>
      <c r="L144" s="47">
        <f t="shared" si="21"/>
        <v>0</v>
      </c>
      <c r="M144">
        <f t="shared" si="31"/>
        <v>0</v>
      </c>
      <c r="N144" s="35" t="s">
        <v>283</v>
      </c>
      <c r="O144" s="363"/>
      <c r="P144" s="364">
        <f t="shared" si="33"/>
        <v>33.129999999999974</v>
      </c>
      <c r="Q144" s="276" t="str">
        <f>IF(($L144-$F144)&gt;=0,"",)</f>
        <v/>
      </c>
      <c r="R144" s="364">
        <f t="shared" si="34"/>
        <v>233.12999999999988</v>
      </c>
      <c r="S144" s="249" t="str">
        <f>IF(($L144-$E144)&gt;=0,"","1.Внедрить систему обнаружения уязвимостей:
2.Формализовать SLA ;
3.Формализовать уровни критичности используемых библиотек для всех систем ;
4.Формализовать метрики отслеживаемости для всех систем.")</f>
        <v>1.Внедрить систему обнаружения уязвимостей:
2.Формализовать SLA ;
3.Формализовать уровни критичности используемых библиотек для всех систем ;
4.Формализовать метрики отслеживаемости для всех систем.</v>
      </c>
      <c r="T144" s="364">
        <f t="shared" si="35"/>
        <v>333.12999999999988</v>
      </c>
      <c r="U144" s="249" t="str">
        <f>IF(($L144-$D144)&gt;=0,"",
" ")</f>
        <v xml:space="preserve"> </v>
      </c>
    </row>
    <row r="145" spans="2:21" ht="50.85" customHeight="1" outlineLevel="1">
      <c r="B145" s="532" t="s">
        <v>599</v>
      </c>
      <c r="C145" s="498" t="s">
        <v>903</v>
      </c>
      <c r="D145" s="39">
        <f t="shared" si="36"/>
        <v>5</v>
      </c>
      <c r="E145" s="40">
        <f>5*IF(БР="да",1,0)</f>
        <v>5</v>
      </c>
      <c r="F145" s="277">
        <v>0</v>
      </c>
      <c r="G145" s="47"/>
      <c r="H145" s="47"/>
      <c r="I145" s="47"/>
      <c r="J145" s="324"/>
      <c r="K145" s="538">
        <v>0</v>
      </c>
      <c r="L145" s="47">
        <f t="shared" si="21"/>
        <v>0</v>
      </c>
      <c r="M145">
        <f t="shared" si="31"/>
        <v>0</v>
      </c>
      <c r="N145" s="35" t="s">
        <v>283</v>
      </c>
      <c r="O145" s="363"/>
      <c r="P145" s="364">
        <f t="shared" si="33"/>
        <v>33.139999999999972</v>
      </c>
      <c r="Q145" s="276" t="str">
        <f>IF(($L145-$F145)&gt;=0,"",)</f>
        <v/>
      </c>
      <c r="R145" s="364">
        <f t="shared" si="34"/>
        <v>233.13999999999987</v>
      </c>
      <c r="S145" s="249" t="str">
        <f>IF(($L145-$E145)&gt;=0,"","1.Формализовать критерии оценки замечаний; 
2.Формализовать порядок приоритезации замечаний в зависимости от уровня критичности.")</f>
        <v>1.Формализовать критерии оценки замечаний; 
2.Формализовать порядок приоритезации замечаний в зависимости от уровня критичности.</v>
      </c>
      <c r="T145" s="364">
        <f t="shared" si="35"/>
        <v>333.13999999999987</v>
      </c>
      <c r="U145" s="249" t="str">
        <f>IF(($L145-$D145)&gt;=0,"",
"")</f>
        <v/>
      </c>
    </row>
    <row r="146" spans="2:21" ht="17.399999999999999">
      <c r="B146" s="43" t="s">
        <v>320</v>
      </c>
      <c r="C146" s="44" t="s">
        <v>319</v>
      </c>
      <c r="D146" s="44"/>
      <c r="E146" s="44"/>
      <c r="F146" s="44"/>
      <c r="G146" s="512"/>
      <c r="H146" s="44"/>
      <c r="I146" s="44"/>
      <c r="J146" s="44"/>
      <c r="K146" s="44"/>
      <c r="L146" s="44"/>
      <c r="P146" s="365">
        <f>VLOOKUP(B146,Приоритет!$G$9:$K$48,5,0)</f>
        <v>38</v>
      </c>
      <c r="Q146" s="44" t="s">
        <v>320</v>
      </c>
      <c r="R146" s="365">
        <f>P146+200</f>
        <v>238</v>
      </c>
      <c r="S146" s="44" t="s">
        <v>320</v>
      </c>
      <c r="T146" s="365">
        <f>P146+300</f>
        <v>338</v>
      </c>
      <c r="U146" s="44" t="s">
        <v>320</v>
      </c>
    </row>
    <row r="147" spans="2:21" ht="165.6" customHeight="1" outlineLevel="1">
      <c r="B147" s="46" t="s">
        <v>832</v>
      </c>
      <c r="C147" s="498" t="s">
        <v>321</v>
      </c>
      <c r="D147" s="39">
        <v>5</v>
      </c>
      <c r="E147" s="40">
        <v>5</v>
      </c>
      <c r="F147" s="41">
        <v>5</v>
      </c>
      <c r="G147" s="47"/>
      <c r="H147" s="42"/>
      <c r="I147" s="47"/>
      <c r="J147" s="324"/>
      <c r="K147" s="537">
        <v>5</v>
      </c>
      <c r="L147" s="47">
        <f t="shared" si="21"/>
        <v>0</v>
      </c>
      <c r="M147">
        <f t="shared" ref="M147:M179" si="38">L147-K147</f>
        <v>-5</v>
      </c>
      <c r="N147" s="35" t="s">
        <v>283</v>
      </c>
      <c r="P147" s="364">
        <f>P146+0.01</f>
        <v>38.01</v>
      </c>
      <c r="Q147" s="249" t="str">
        <f>IF(($L147-$F147)&gt;=0,"",
" - Проанализировать анкеты, собираемые от кандидатов со стороны HR и/или службы безопасности, на предмет законности и неизбыточности собираемых данных и проводимых дополнительных проверок;"&amp;"
В случае выявления их избыточности провести работу по корректировке и/или сбору дополнительных согласий на обработку данных сведений от кандидата;"&amp;"
- Закрепить в ВНД процедуры проверки кандидатов, с отсылками на законные основания для их проведения;
- Проводить регулярную актуализацию ВНД с отслеживанием изменений правовых норм")</f>
        <v xml:space="preserve"> - Проанализировать анкеты, собираемые от кандидатов со стороны HR и/или службы безопасности, на предмет законности и неизбыточности собираемых данных и проводимых дополнительных проверок;
В случае выявления их избыточности провести работу по корректировке и/или сбору дополнительных согласий на обработку данных сведений от кандидата;
- Закрепить в ВНД процедуры проверки кандидатов, с отсылками на законные основания для их проведения;
- Проводить регулярную актуализацию ВНД с отслеживанием изменений правовых норм</v>
      </c>
      <c r="R147" s="364">
        <f>R146+0.01</f>
        <v>238.01</v>
      </c>
      <c r="S147" s="249">
        <f>IF(($L147-$E147)&gt;=0,"",)</f>
        <v>0</v>
      </c>
      <c r="T147" s="364">
        <f>T146+0.01</f>
        <v>338.01</v>
      </c>
      <c r="U147" s="249">
        <f>IF(($L147-$D147)&gt;=0,"",)</f>
        <v>0</v>
      </c>
    </row>
    <row r="148" spans="2:21" ht="207" customHeight="1" outlineLevel="1">
      <c r="B148" s="46" t="s">
        <v>873</v>
      </c>
      <c r="C148" s="498" t="s">
        <v>322</v>
      </c>
      <c r="D148" s="39">
        <v>5</v>
      </c>
      <c r="E148" s="40">
        <v>5</v>
      </c>
      <c r="F148" s="41">
        <v>5</v>
      </c>
      <c r="G148" s="47"/>
      <c r="H148" s="42"/>
      <c r="I148" s="47"/>
      <c r="J148" s="324"/>
      <c r="K148" s="537">
        <v>5</v>
      </c>
      <c r="L148" s="47">
        <f t="shared" si="21"/>
        <v>0</v>
      </c>
      <c r="M148">
        <f t="shared" si="38"/>
        <v>-5</v>
      </c>
      <c r="N148" s="35" t="s">
        <v>283</v>
      </c>
      <c r="P148" s="364">
        <f>P147+0.01</f>
        <v>38.019999999999996</v>
      </c>
      <c r="Q148" s="249" t="str">
        <f>IF(($L148-$F148)&gt;=0,"",
" - Разработать или актуализировать форму соглашения о конфиденциальности работников;"&amp;"
  - Разработать или актуализировать форму соглашения о конфиденциальности для договоров с третьими лицами;"&amp;"
  - Сверить с существующим перечнем конфиденциальной информации организации, убедиться, что все виды информации учтены;"&amp;"
   - Закрепить в ВНД формы соглашений о конфиденциальности и процедуры их сбора и хранения;"&amp;"
   - Проводить регулярную актуализацию ВНД с отслеживанием изменений правовых норм;"&amp;"
   - Разработать и довести до сведения персонала процесс для принятия мер к тем сотрудникам и иным заинтересованным сторонам, которые допустили нарушение требований информационной безопасности.")</f>
        <v xml:space="preserve"> - Разработать или актуализировать форму соглашения о конфиденциальности работников;
  - Разработать или актуализировать форму соглашения о конфиденциальности для договоров с третьими лицами;
  - Сверить с существующим перечнем конфиденциальной информации организации, убедиться, что все виды информации учтены;
   - Закрепить в ВНД формы соглашений о конфиденциальности и процедуры их сбора и хранения;
   - Проводить регулярную актуализацию ВНД с отслеживанием изменений правовых норм;
   - Разработать и довести до сведения персонала процесс для принятия мер к тем сотрудникам и иным заинтересованным сторонам, которые допустили нарушение требований информационной безопасности.</v>
      </c>
      <c r="R148" s="364">
        <f>R147+0.01</f>
        <v>238.01999999999998</v>
      </c>
      <c r="S148" s="249">
        <f>IF(($L148-$E148)&gt;=0,"",)</f>
        <v>0</v>
      </c>
      <c r="T148" s="364">
        <f>T147+0.01</f>
        <v>338.02</v>
      </c>
      <c r="U148" s="249">
        <f>IF(($L148-$D148)&gt;=0,"",)</f>
        <v>0</v>
      </c>
    </row>
    <row r="149" spans="2:21" ht="184.35" customHeight="1" outlineLevel="1">
      <c r="B149" s="46" t="s">
        <v>233</v>
      </c>
      <c r="C149" s="498" t="s">
        <v>323</v>
      </c>
      <c r="D149" s="39">
        <v>5</v>
      </c>
      <c r="E149" s="40">
        <v>5</v>
      </c>
      <c r="F149" s="41">
        <v>5</v>
      </c>
      <c r="G149" s="47"/>
      <c r="H149" s="42"/>
      <c r="I149" s="47"/>
      <c r="J149" s="324"/>
      <c r="K149" s="537">
        <v>5</v>
      </c>
      <c r="L149" s="47">
        <f t="shared" si="21"/>
        <v>0</v>
      </c>
      <c r="M149">
        <f t="shared" si="38"/>
        <v>-5</v>
      </c>
      <c r="N149" s="35" t="s">
        <v>283</v>
      </c>
      <c r="P149" s="364">
        <f>P148+0.01</f>
        <v>38.029999999999994</v>
      </c>
      <c r="Q149" s="249" t="str">
        <f>IF(($L149-$F149)&gt;=0,"",
" - Разработать или актуализировать форму соглашения о конфиденциальности, включив требование о неразглашении в течение зафиксированного"&amp;" срока после прекращения отношений (трудовых или договорных), сдаче всех имеющихся на руках носителей конфиденциальной информации;"&amp;"
 - Закрепить в ВНД формы соглашений о конфиденциальности и процедуры их сбора и хранения;"&amp;"
 - Проводить регулярную актуализацию ВНД с отслеживанием изменений правовых норм")</f>
        <v xml:space="preserve"> - Разработать или актуализировать форму соглашения о конфиденциальности, включив требование о неразглашении в течение зафиксированного срока после прекращения отношений (трудовых или договорных), сдаче всех имеющихся на руках носителей конфиденциальной информации;
 - Закрепить в ВНД формы соглашений о конфиденциальности и процедуры их сбора и хранения;
 - Проводить регулярную актуализацию ВНД с отслеживанием изменений правовых норм</v>
      </c>
      <c r="R149" s="364">
        <f>R148+0.01</f>
        <v>238.02999999999997</v>
      </c>
      <c r="S149" s="249">
        <f>IF(($L149-$E149)&gt;=0,"",)</f>
        <v>0</v>
      </c>
      <c r="T149" s="364">
        <f>T148+0.01</f>
        <v>338.03</v>
      </c>
      <c r="U149" s="249">
        <f>IF(($L149-$D149)&gt;=0,"",)</f>
        <v>0</v>
      </c>
    </row>
    <row r="150" spans="2:21" ht="17.399999999999999">
      <c r="B150" s="43" t="s">
        <v>328</v>
      </c>
      <c r="C150" s="44" t="s">
        <v>324</v>
      </c>
      <c r="D150" s="44"/>
      <c r="E150" s="44"/>
      <c r="F150" s="44"/>
      <c r="G150" s="44"/>
      <c r="H150" s="512"/>
      <c r="I150" s="44"/>
      <c r="J150" s="44"/>
      <c r="K150" s="44"/>
      <c r="L150" s="44"/>
      <c r="N150" s="42"/>
      <c r="P150" s="365">
        <f>VLOOKUP(B150,Приоритет!$G$9:$K$48,5,0)</f>
        <v>34</v>
      </c>
      <c r="Q150" s="44" t="s">
        <v>324</v>
      </c>
      <c r="R150" s="365">
        <f>P150+200</f>
        <v>234</v>
      </c>
      <c r="S150" s="44" t="s">
        <v>324</v>
      </c>
      <c r="T150" s="365">
        <f>P150+300</f>
        <v>334</v>
      </c>
      <c r="U150" s="44" t="s">
        <v>324</v>
      </c>
    </row>
    <row r="151" spans="2:21" ht="170.1" customHeight="1" outlineLevel="1">
      <c r="B151" s="46" t="s">
        <v>833</v>
      </c>
      <c r="C151" s="498" t="s">
        <v>325</v>
      </c>
      <c r="D151" s="39">
        <v>5</v>
      </c>
      <c r="E151" s="40">
        <v>5</v>
      </c>
      <c r="F151" s="41">
        <v>5</v>
      </c>
      <c r="G151" s="47"/>
      <c r="H151" s="42"/>
      <c r="I151" s="47"/>
      <c r="J151" s="324"/>
      <c r="K151" s="537">
        <v>5</v>
      </c>
      <c r="L151" s="47">
        <f t="shared" si="21"/>
        <v>0</v>
      </c>
      <c r="M151">
        <f>L151-K151</f>
        <v>-5</v>
      </c>
      <c r="N151" s="35" t="s">
        <v>283</v>
      </c>
      <c r="P151" s="364">
        <f>P150+0.01</f>
        <v>34.01</v>
      </c>
      <c r="Q151" s="249" t="str">
        <f>IF(($L151-$F151)&gt;=0,"",
" - Организовать охрану офисов, помещений и оборудования;
   - Определить порядок доступа персонала и посетителей в здания  и помещения;"&amp;"
   - Оборудовать помещения техническими средствами охраны;"&amp;"
   - Разработать и утвердить ВНД, устанавливающий порядок обеспечения физической безопасности для офисов, помещений и оборудования, в т.ч. Инструкции по доступу в офисы;"&amp;"
   - Определить порядок работы с конфиденциальными документами (хранение, учет, доступ);
   - Работники должны быть ознакомлены с ВНД.")</f>
        <v xml:space="preserve"> - Организовать охрану офисов, помещений и оборудования;
   - Определить порядок доступа персонала и посетителей в здания  и помещения;
   - Оборудовать помещения техническими средствами охраны;
   - Разработать и утвердить ВНД, устанавливающий порядок обеспечения физической безопасности для офисов, помещений и оборудования, в т.ч. Инструкции по доступу в офисы;
   - Определить порядок работы с конфиденциальными документами (хранение, учет, доступ);
   - Работники должны быть ознакомлены с ВНД.</v>
      </c>
      <c r="R151" s="364">
        <f>R150+0.01</f>
        <v>234.01</v>
      </c>
      <c r="S151" s="249">
        <f>IF(($L151-$E151)&gt;=0,"",)</f>
        <v>0</v>
      </c>
      <c r="T151" s="364">
        <f>T150+0.01</f>
        <v>334.01</v>
      </c>
      <c r="U151" s="249">
        <f>IF(($L151-$D151)&gt;=0,"",)</f>
        <v>0</v>
      </c>
    </row>
    <row r="152" spans="2:21" ht="117" customHeight="1" outlineLevel="1">
      <c r="B152" s="46" t="s">
        <v>918</v>
      </c>
      <c r="C152" s="498" t="s">
        <v>326</v>
      </c>
      <c r="D152" s="39">
        <v>5</v>
      </c>
      <c r="E152" s="40">
        <v>5</v>
      </c>
      <c r="F152" s="41">
        <v>5</v>
      </c>
      <c r="G152" s="47"/>
      <c r="H152" s="42"/>
      <c r="I152" s="47"/>
      <c r="J152" s="324"/>
      <c r="K152" s="537">
        <v>5</v>
      </c>
      <c r="L152" s="47">
        <f t="shared" si="21"/>
        <v>0</v>
      </c>
      <c r="M152">
        <f t="shared" si="38"/>
        <v>-5</v>
      </c>
      <c r="N152" s="35" t="s">
        <v>283</v>
      </c>
      <c r="P152" s="364">
        <f>P151+0.01</f>
        <v>34.019999999999996</v>
      </c>
      <c r="Q152" s="249" t="str">
        <f>IF(($L152-$F152)&gt;=0,"",
" - Оборудовать СКУД серверные помещения и другие помещения, не предназначенные для свободного доступа посетителей;"&amp;" 
   - Определить порядок доступа к серверному и сетевому оборудованию;"&amp;"
   - Регламентировать использование СКУД в Обществе;
   - Легитимизировать применение СКУД (биометрия, персональные данные);"&amp;"
   - Проводить проверки с целью исключения некорректной работы СКУД.")</f>
        <v xml:space="preserve"> - Оборудовать СКУД серверные помещения и другие помещения, не предназначенные для свободного доступа посетителей; 
   - Определить порядок доступа к серверному и сетевому оборудованию;
   - Регламентировать использование СКУД в Обществе;
   - Легитимизировать применение СКУД (биометрия, персональные данные);
   - Проводить проверки с целью исключения некорректной работы СКУД.</v>
      </c>
      <c r="R152" s="364">
        <f>R151+0.01</f>
        <v>234.01999999999998</v>
      </c>
      <c r="S152" s="249">
        <f>IF(($L152-$E152)&gt;=0,"",)</f>
        <v>0</v>
      </c>
      <c r="T152" s="364">
        <f>T151+0.01</f>
        <v>334.02</v>
      </c>
      <c r="U152" s="249">
        <f>IF(($L152-$D152)&gt;=0,"",)</f>
        <v>0</v>
      </c>
    </row>
    <row r="153" spans="2:21" ht="117" customHeight="1" outlineLevel="1">
      <c r="B153" s="46" t="s">
        <v>874</v>
      </c>
      <c r="C153" s="498" t="s">
        <v>327</v>
      </c>
      <c r="D153" s="39">
        <v>5</v>
      </c>
      <c r="E153" s="40">
        <v>5</v>
      </c>
      <c r="F153" s="41">
        <v>5</v>
      </c>
      <c r="G153" s="47"/>
      <c r="H153" s="42"/>
      <c r="I153" s="47"/>
      <c r="J153" s="324"/>
      <c r="K153" s="537">
        <v>5</v>
      </c>
      <c r="L153" s="336">
        <f t="shared" si="21"/>
        <v>0</v>
      </c>
      <c r="M153" s="6">
        <f t="shared" si="38"/>
        <v>-5</v>
      </c>
      <c r="N153" s="35" t="s">
        <v>283</v>
      </c>
      <c r="O153" s="363"/>
      <c r="P153" s="364">
        <f>P152+0.01</f>
        <v>34.029999999999994</v>
      </c>
      <c r="Q153" s="249" t="str">
        <f>IF(($L153-$F153)&gt;=0,"",
" - Разработать и утвердить процедуру размещения активов, находящихся вне террритории Общества, зафиксировав требование обязательной защиты таких активов;"&amp;" 
  - Контроль заключаемых договоров по продаже/модернизации, сдачи в аренду/субаренду объектов недвижимости на соблюдение требований ИБ;
  - Проведение выборочных проверок по факту обеспечения активов.")</f>
        <v xml:space="preserve"> - Разработать и утвердить процедуру размещения активов, находящихся вне террритории Общества, зафиксировав требование обязательной защиты таких активов; 
  - Контроль заключаемых договоров по продаже/модернизации, сдачи в аренду/субаренду объектов недвижимости на соблюдение требований ИБ;
  - Проведение выборочных проверок по факту обеспечения активов.</v>
      </c>
      <c r="R153" s="364">
        <f>R152+0.01</f>
        <v>234.02999999999997</v>
      </c>
      <c r="S153" s="249" t="str">
        <f>IF(($L153-$E153)&gt;=0,"","")</f>
        <v/>
      </c>
      <c r="T153" s="364">
        <f>T152+0.01</f>
        <v>334.03</v>
      </c>
      <c r="U153" s="249" t="str">
        <f>IF(($L153-$D153)&gt;=0,"","")</f>
        <v/>
      </c>
    </row>
    <row r="154" spans="2:21" ht="173.85" customHeight="1" outlineLevel="1">
      <c r="B154" s="46" t="s">
        <v>875</v>
      </c>
      <c r="C154" s="498" t="s">
        <v>482</v>
      </c>
      <c r="D154" s="39">
        <v>5</v>
      </c>
      <c r="E154" s="40">
        <v>3.2</v>
      </c>
      <c r="F154" s="41">
        <v>1.6</v>
      </c>
      <c r="G154" s="47"/>
      <c r="H154" s="42"/>
      <c r="I154" s="47"/>
      <c r="J154" s="324"/>
      <c r="K154" s="537">
        <v>1.6</v>
      </c>
      <c r="L154" s="47">
        <f t="shared" si="21"/>
        <v>0</v>
      </c>
      <c r="M154">
        <f t="shared" si="38"/>
        <v>-1.6</v>
      </c>
      <c r="N154" s="35" t="s">
        <v>283</v>
      </c>
      <c r="P154" s="364">
        <f>P153+0.01</f>
        <v>34.039999999999992</v>
      </c>
      <c r="Q154" s="249" t="str">
        <f>IF(($L154-$F154)&gt;=0,"",
" - Определить требования к процессу управления устройствами хранения информации;"&amp;"
   - Регламентировать процесс защиты машинных носителей информации на всем протяжении их жизненного цикла;"&amp;"
   - Ознакомить работников с установленными правилами и процедурами")</f>
        <v xml:space="preserve"> - Определить требования к процессу управления устройствами хранения информации;
   - Регламентировать процесс защиты машинных носителей информации на всем протяжении их жизненного цикла;
   - Ознакомить работников с установленными правилами и процедурами</v>
      </c>
      <c r="R154" s="364">
        <f>R153+0.01</f>
        <v>234.03999999999996</v>
      </c>
      <c r="S154" s="249" t="str">
        <f>IF(($L154-$E154)&gt;=0,"",
" - Реализовать в Обществе процесс управления устройствами хранения информации;"&amp;"
   - Проводить регулярные проверки реального соблюдения регламента обращения с машинными носителями;"&amp;"
   - Разработать процедуры резервного копирования, архивирования и восстановления данных на основе ценности"&amp;" информации, классификации данных, точек восстановления и времени восстановления")</f>
        <v xml:space="preserve"> - Реализовать в Обществе процесс управления устройствами хранения информации;
   - Проводить регулярные проверки реального соблюдения регламента обращения с машинными носителями;
   - Разработать процедуры резервного копирования, архивирования и восстановления данных на основе ценности информации, классификации данных, точек восстановления и времени восстановления</v>
      </c>
      <c r="T154" s="364">
        <f>T153+0.01</f>
        <v>334.03999999999996</v>
      </c>
      <c r="U154" s="249" t="str">
        <f>IF(($L154-$D154)&gt;=0,"",
" - Контролировать и оценивать процесс управления устройствами хранения информации;"&amp;"
   - Обеспечить планирование, внедрение и оптимизацию технологий и процессов, используемых для"&amp;" хранения данных, в т.ч. с применением сетевых устройств хранения данных;"&amp;"
   - Проводить регулярный контроль емкости, производительности, доступность и другие операционных показателей применяемых устройств"&amp;" хранения информации и их достаточность для обеспечения бизнес-процессов Общества")</f>
        <v xml:space="preserve"> - Контролировать и оценивать процесс управления устройствами хранения информации;
   - Обеспечить планирование, внедрение и оптимизацию технологий и процессов, используемых для хранения данных, в т.ч. с применением сетевых устройств хранения данных;
   - Проводить регулярный контроль емкости, производительности, доступность и другие операционных показателей применяемых устройств хранения информации и их достаточность для обеспечения бизнес-процессов Общества</v>
      </c>
    </row>
    <row r="155" spans="2:21" ht="140.1" customHeight="1" outlineLevel="1">
      <c r="B155" s="46" t="s">
        <v>834</v>
      </c>
      <c r="C155" s="498" t="s">
        <v>483</v>
      </c>
      <c r="D155" s="39">
        <v>5</v>
      </c>
      <c r="E155" s="40">
        <v>5</v>
      </c>
      <c r="F155" s="41">
        <v>5</v>
      </c>
      <c r="G155" s="47"/>
      <c r="H155" s="42"/>
      <c r="I155" s="47"/>
      <c r="J155" s="324"/>
      <c r="K155" s="537">
        <v>5</v>
      </c>
      <c r="L155" s="336">
        <f t="shared" si="21"/>
        <v>0</v>
      </c>
      <c r="M155" s="371">
        <f t="shared" si="38"/>
        <v>-5</v>
      </c>
      <c r="N155" s="35" t="s">
        <v>283</v>
      </c>
      <c r="O155" s="363"/>
      <c r="P155" s="364">
        <f>P154+0.01</f>
        <v>34.04999999999999</v>
      </c>
      <c r="Q155" s="249" t="str">
        <f>IF(($L155-$F155)&gt;=0,"",
" - Реализовать в Обществе процесс удаления данных при утилизации накопителей информации;"&amp;"
   - Регламентировать процедуры уничтожения/стирания информации на машинных носителях, а также контроля уничтожения /стирания информации;"&amp;"
   - Проводить регулярные проверки реального соблюдения регламента, фактов уничтожения информации с носителей при их передаче третьим лицам (на ремонт, утилизацию и т.д.).")</f>
        <v xml:space="preserve"> - Реализовать в Обществе процесс удаления данных при утилизации накопителей информации;
   - Регламентировать процедуры уничтожения/стирания информации на машинных носителях, а также контроля уничтожения /стирания информации;
   - Проводить регулярные проверки реального соблюдения регламента, фактов уничтожения информации с носителей при их передаче третьим лицам (на ремонт, утилизацию и т.д.).</v>
      </c>
      <c r="R155" s="364">
        <f>R154+0.01</f>
        <v>234.04999999999995</v>
      </c>
      <c r="S155" s="249" t="str">
        <f>IF(($L155-$E155)&gt;=0,"","")</f>
        <v/>
      </c>
      <c r="T155" s="364">
        <f>T154+0.01</f>
        <v>334.04999999999995</v>
      </c>
      <c r="U155" s="249" t="str">
        <f>IF(($L155-$D155)&gt;=0,"","")</f>
        <v/>
      </c>
    </row>
    <row r="156" spans="2:21" ht="27.6">
      <c r="B156" s="43" t="s">
        <v>421</v>
      </c>
      <c r="C156" s="44" t="s">
        <v>425</v>
      </c>
      <c r="D156" s="44"/>
      <c r="E156" s="44"/>
      <c r="F156" s="44"/>
      <c r="G156" s="44"/>
      <c r="H156" s="512"/>
      <c r="I156" s="44"/>
      <c r="J156" s="44"/>
      <c r="K156" s="44"/>
      <c r="L156" s="44"/>
      <c r="M156">
        <f t="shared" si="38"/>
        <v>0</v>
      </c>
      <c r="P156" s="365">
        <f>VLOOKUP(B156,Приоритет!$G$9:$K$48,5,0)</f>
        <v>31</v>
      </c>
      <c r="Q156" s="43" t="s">
        <v>421</v>
      </c>
      <c r="R156" s="365">
        <f>P156+200</f>
        <v>231</v>
      </c>
      <c r="S156" s="43" t="s">
        <v>421</v>
      </c>
      <c r="T156" s="365">
        <f>P156+300</f>
        <v>331</v>
      </c>
      <c r="U156" s="43" t="s">
        <v>421</v>
      </c>
    </row>
    <row r="157" spans="2:21" ht="92.1" customHeight="1" outlineLevel="1">
      <c r="B157" s="46" t="s">
        <v>836</v>
      </c>
      <c r="C157" s="498" t="s">
        <v>427</v>
      </c>
      <c r="D157" s="39">
        <v>5</v>
      </c>
      <c r="E157" s="40">
        <v>3.2</v>
      </c>
      <c r="F157" s="41">
        <v>1.6</v>
      </c>
      <c r="G157" s="47"/>
      <c r="H157" s="42"/>
      <c r="I157" s="47"/>
      <c r="J157" s="324"/>
      <c r="K157" s="537">
        <v>1.6</v>
      </c>
      <c r="L157" s="47">
        <f t="shared" si="21"/>
        <v>0</v>
      </c>
      <c r="M157">
        <f t="shared" si="38"/>
        <v>-1.6</v>
      </c>
      <c r="N157" s="35" t="s">
        <v>256</v>
      </c>
      <c r="P157" s="364">
        <f>P156+0.01</f>
        <v>31.01</v>
      </c>
      <c r="Q157" s="249" t="str">
        <f>IF(($L157-$F157)&gt;=0,"",
" - Проводить профессиональное обучение и повышение квалификации работников ИБ по запросу")</f>
        <v xml:space="preserve"> - Проводить профессиональное обучение и повышение квалификации работников ИБ по запросу</v>
      </c>
      <c r="R157" s="364">
        <f>R156+0.01</f>
        <v>231.01</v>
      </c>
      <c r="S157" s="249" t="str">
        <f>IF(($L157-$E157)&gt;=0,"",
" - Проводить профессиональное обучение и повышение квалификации работников ИБ на основе плана, сформированного в предыдущем году по заявкам от работников")</f>
        <v xml:space="preserve"> - Проводить профессиональное обучение и повышение квалификации работников ИБ на основе плана, сформированного в предыдущем году по заявкам от работников</v>
      </c>
      <c r="T157" s="364">
        <f>T156+0.01</f>
        <v>331.01</v>
      </c>
      <c r="U157" s="249" t="str">
        <f>IF(($L157-$D157)&gt;=0,"",
" - Проводить плановое профессиональное обучение и повышение квалификации работников ИБ на основе плана, сформированного в предыдущем году по заявкам от работников с учетом потребностей подразделений в зависимости от выполняемых подразделением задач")</f>
        <v xml:space="preserve"> - Проводить плановое профессиональное обучение и повышение квалификации работников ИБ на основе плана, сформированного в предыдущем году по заявкам от работников с учетом потребностей подразделений в зависимости от выполняемых подразделением задач</v>
      </c>
    </row>
    <row r="158" spans="2:21" ht="50.1" customHeight="1" outlineLevel="1">
      <c r="B158" s="46" t="s">
        <v>876</v>
      </c>
      <c r="C158" s="498" t="s">
        <v>428</v>
      </c>
      <c r="D158" s="39">
        <v>5</v>
      </c>
      <c r="E158" s="40">
        <v>3.2</v>
      </c>
      <c r="F158" s="41">
        <v>1.6</v>
      </c>
      <c r="G158" s="47"/>
      <c r="H158" s="42"/>
      <c r="I158" s="47"/>
      <c r="J158" s="324"/>
      <c r="K158" s="537">
        <v>1.6</v>
      </c>
      <c r="L158" s="47">
        <f t="shared" ref="L158:L167" si="39">VALUE(LEFT(N158,3))</f>
        <v>0</v>
      </c>
      <c r="M158">
        <f t="shared" si="38"/>
        <v>-1.6</v>
      </c>
      <c r="N158" s="35" t="s">
        <v>283</v>
      </c>
      <c r="P158" s="364">
        <f t="shared" ref="P158:P167" si="40">P157+0.01</f>
        <v>31.020000000000003</v>
      </c>
      <c r="Q158" s="249" t="str">
        <f>IF(($L158-$F158)&gt;=0,"",
" - Проводить на регулярной основе провокационные фишинговые рассылки для всех сотрудников Общества")</f>
        <v xml:space="preserve"> - Проводить на регулярной основе провокационные фишинговые рассылки для всех сотрудников Общества</v>
      </c>
      <c r="R158" s="364">
        <f t="shared" ref="R158:R167" si="41">R157+0.01</f>
        <v>231.01999999999998</v>
      </c>
      <c r="S158" s="249" t="str">
        <f>IF(($L158-$E158)&gt;=0,"",
" - Проводить на регулярной основе провокационные фишинговые рассылки для всех сотрудников Общества с дальнейшим обучением и отработкой ошибок")</f>
        <v xml:space="preserve"> - Проводить на регулярной основе провокационные фишинговые рассылки для всех сотрудников Общества с дальнейшим обучением и отработкой ошибок</v>
      </c>
      <c r="T158" s="364">
        <f t="shared" ref="T158:T167" si="42">T157+0.01</f>
        <v>331.02</v>
      </c>
      <c r="U158" s="249" t="str">
        <f>IF(($L158-$D158)&gt;=0,"",
" - Проводить на регулярной основе провокационные фишинговые рассылки для всех сотрудников Общества с дальнейшим обучением, отработкой ошибок и корректирокой сценариев рассылок в зависимости от полученных резульатов, отслежвать динамику")</f>
        <v xml:space="preserve"> - Проводить на регулярной основе провокационные фишинговые рассылки для всех сотрудников Общества с дальнейшим обучением, отработкой ошибок и корректирокой сценариев рассылок в зависимости от полученных резульатов, отслежвать динамику</v>
      </c>
    </row>
    <row r="159" spans="2:21" ht="48" customHeight="1" outlineLevel="1">
      <c r="B159" s="46" t="s">
        <v>835</v>
      </c>
      <c r="C159" s="498" t="s">
        <v>429</v>
      </c>
      <c r="D159" s="39">
        <v>5</v>
      </c>
      <c r="E159" s="40">
        <v>3.2</v>
      </c>
      <c r="F159" s="41">
        <v>1.6</v>
      </c>
      <c r="G159" s="47"/>
      <c r="H159" s="42"/>
      <c r="I159" s="47"/>
      <c r="J159" s="324"/>
      <c r="K159" s="537">
        <v>1.6</v>
      </c>
      <c r="L159" s="47">
        <f t="shared" si="39"/>
        <v>0</v>
      </c>
      <c r="M159">
        <f t="shared" si="38"/>
        <v>-1.6</v>
      </c>
      <c r="N159" s="35" t="s">
        <v>283</v>
      </c>
      <c r="P159" s="364">
        <f t="shared" si="40"/>
        <v>31.030000000000005</v>
      </c>
      <c r="Q159" s="249" t="str">
        <f>IF(($L159-$F159)&gt;=0,"",
" - Проводить инструктаж по ИБ при приеме на работу и повторять раз в год или в случае обновления/актуализации учебных материалов")</f>
        <v xml:space="preserve"> - Проводить инструктаж по ИБ при приеме на работу и повторять раз в год или в случае обновления/актуализации учебных материалов</v>
      </c>
      <c r="R159" s="364">
        <f t="shared" si="41"/>
        <v>231.02999999999997</v>
      </c>
      <c r="S159" s="249" t="str">
        <f>IF(($L159-$E159)&gt;=0,"",
" - Максимально автоматизировать процесс назначения и отслеживания обучения при помощи образовательной платформы")</f>
        <v xml:space="preserve"> - Максимально автоматизировать процесс назначения и отслеживания обучения при помощи образовательной платформы</v>
      </c>
      <c r="T159" s="364">
        <f t="shared" si="42"/>
        <v>331.03</v>
      </c>
      <c r="U159" s="249" t="str">
        <f>IF(($L159-$D159)&gt;=0,"",
" - Отслеживать динамику и качество обучения")</f>
        <v xml:space="preserve"> - Отслеживать динамику и качество обучения</v>
      </c>
    </row>
    <row r="160" spans="2:21" ht="47.1" customHeight="1" outlineLevel="1">
      <c r="B160" s="46" t="s">
        <v>423</v>
      </c>
      <c r="C160" s="498" t="s">
        <v>430</v>
      </c>
      <c r="D160" s="39">
        <v>5</v>
      </c>
      <c r="E160" s="40">
        <v>3.2</v>
      </c>
      <c r="F160" s="41">
        <v>1.6</v>
      </c>
      <c r="G160" s="47"/>
      <c r="H160" s="42"/>
      <c r="I160" s="47"/>
      <c r="J160" s="324"/>
      <c r="K160" s="537">
        <v>1.6</v>
      </c>
      <c r="L160" s="47">
        <f t="shared" si="39"/>
        <v>0</v>
      </c>
      <c r="M160">
        <f t="shared" si="38"/>
        <v>-1.6</v>
      </c>
      <c r="N160" s="35" t="s">
        <v>283</v>
      </c>
      <c r="P160" s="364">
        <f t="shared" si="40"/>
        <v>31.040000000000006</v>
      </c>
      <c r="Q160" s="249" t="str">
        <f>IF(($L160-$F160)&gt;=0,"",
" - Раз в год пересматривать учебные материалы и при необходимости актуализировать")</f>
        <v xml:space="preserve"> - Раз в год пересматривать учебные материалы и при необходимости актуализировать</v>
      </c>
      <c r="R160" s="364">
        <f t="shared" si="41"/>
        <v>231.03999999999996</v>
      </c>
      <c r="S160" s="249" t="str">
        <f>IF(($L160-$E160)&gt;=0,"",
" - Раз в год пересматривать учебные материалы и при необходимости актуализировать")</f>
        <v xml:space="preserve"> - Раз в год пересматривать учебные материалы и при необходимости актуализировать</v>
      </c>
      <c r="T160" s="364">
        <f t="shared" si="42"/>
        <v>331.03999999999996</v>
      </c>
      <c r="U160" s="249" t="str">
        <f>IF(($L160-$D160)&gt;=0,"",
" - Раз в год пересматривать учебные материалы и при необходимости актуализировать")</f>
        <v xml:space="preserve"> - Раз в год пересматривать учебные материалы и при необходимости актуализировать</v>
      </c>
    </row>
    <row r="161" spans="2:21" ht="71.849999999999994" customHeight="1" outlineLevel="1">
      <c r="B161" s="46" t="s">
        <v>424</v>
      </c>
      <c r="C161" s="498" t="s">
        <v>426</v>
      </c>
      <c r="D161" s="39">
        <v>5</v>
      </c>
      <c r="E161" s="40">
        <v>3.2</v>
      </c>
      <c r="F161" s="41">
        <v>1.6</v>
      </c>
      <c r="G161" s="47"/>
      <c r="H161" s="42"/>
      <c r="I161" s="47"/>
      <c r="J161" s="324"/>
      <c r="K161" s="537">
        <v>1.6</v>
      </c>
      <c r="L161" s="47">
        <f t="shared" si="39"/>
        <v>0</v>
      </c>
      <c r="M161">
        <f t="shared" si="38"/>
        <v>-1.6</v>
      </c>
      <c r="N161" s="35" t="s">
        <v>283</v>
      </c>
      <c r="P161" s="364">
        <f t="shared" si="40"/>
        <v>31.050000000000008</v>
      </c>
      <c r="Q161" s="249" t="str">
        <f>IF(($L161-$F161)&gt;=0,"",
" - Разработать образовательный курс о распознавании атаки с использованием социальной инженерии. Разместить его в общем доступе для самостоятельного изучения сотрудниками без возможности отслеживания прогресса обучения")</f>
        <v xml:space="preserve"> - Разработать образовательный курс о распознавании атаки с использованием социальной инженерии. Разместить его в общем доступе для самостоятельного изучения сотрудниками без возможности отслеживания прогресса обучения</v>
      </c>
      <c r="R161" s="364">
        <f t="shared" si="41"/>
        <v>231.04999999999995</v>
      </c>
      <c r="S161" s="249" t="str">
        <f t="shared" ref="S161:S166" si="43">IF(($L161-$E161)&gt;=0,"",
" - Разместить образовательный курс на образовательной платформе с возможностью отслеживания прогесса обучения.")</f>
        <v xml:space="preserve"> - Разместить образовательный курс на образовательной платформе с возможностью отслеживания прогесса обучения.</v>
      </c>
      <c r="T161" s="364">
        <f t="shared" si="42"/>
        <v>331.04999999999995</v>
      </c>
      <c r="U161" s="249" t="str">
        <f t="shared" ref="U161:U166" si="44">IF(($L161-$D161)&gt;=0,"",
" - Осуществлять регулярный мониторинг и отслеживание динамики обучения. Выработать показатели эффективности обучения")</f>
        <v xml:space="preserve"> - Осуществлять регулярный мониторинг и отслеживание динамики обучения. Выработать показатели эффективности обучения</v>
      </c>
    </row>
    <row r="162" spans="2:21" ht="74.099999999999994" customHeight="1" outlineLevel="1">
      <c r="B162" s="46" t="s">
        <v>234</v>
      </c>
      <c r="C162" s="498" t="s">
        <v>431</v>
      </c>
      <c r="D162" s="39">
        <v>5</v>
      </c>
      <c r="E162" s="40">
        <v>3.2</v>
      </c>
      <c r="F162" s="41">
        <v>1.6</v>
      </c>
      <c r="G162" s="47"/>
      <c r="H162" s="42"/>
      <c r="I162" s="47"/>
      <c r="J162" s="324"/>
      <c r="K162" s="537">
        <v>1.6</v>
      </c>
      <c r="L162" s="47">
        <f t="shared" si="39"/>
        <v>0</v>
      </c>
      <c r="M162">
        <f t="shared" si="38"/>
        <v>-1.6</v>
      </c>
      <c r="N162" s="35" t="s">
        <v>283</v>
      </c>
      <c r="P162" s="364">
        <f t="shared" si="40"/>
        <v>31.060000000000009</v>
      </c>
      <c r="Q162" s="249" t="str">
        <f>IF(($L162-$F162)&gt;=0,"",
" - Разработать образовательный курс по теме многофакторной аутентификации, создании сильных паролей и управлении учетными записями. Разместить его в общем доступе для самостоятельного изучения сотрудниками без возможности отслеживания прогресса обучения")</f>
        <v xml:space="preserve"> - Разработать образовательный курс по теме многофакторной аутентификации, создании сильных паролей и управлении учетными записями. Разместить его в общем доступе для самостоятельного изучения сотрудниками без возможности отслеживания прогресса обучения</v>
      </c>
      <c r="R162" s="364">
        <f t="shared" si="41"/>
        <v>231.05999999999995</v>
      </c>
      <c r="S162" s="249" t="str">
        <f t="shared" si="43"/>
        <v xml:space="preserve"> - Разместить образовательный курс на образовательной платформе с возможностью отслеживания прогесса обучения.</v>
      </c>
      <c r="T162" s="364">
        <f t="shared" si="42"/>
        <v>331.05999999999995</v>
      </c>
      <c r="U162" s="249" t="str">
        <f t="shared" si="44"/>
        <v xml:space="preserve"> - Осуществлять регулярный мониторинг и отслеживание динамики обучения. Выработать показатели эффективности обучения</v>
      </c>
    </row>
    <row r="163" spans="2:21" ht="88.35" customHeight="1" outlineLevel="1">
      <c r="B163" s="46" t="s">
        <v>235</v>
      </c>
      <c r="C163" s="498" t="s">
        <v>432</v>
      </c>
      <c r="D163" s="39">
        <v>5</v>
      </c>
      <c r="E163" s="40">
        <v>3.2</v>
      </c>
      <c r="F163" s="41">
        <v>1.6</v>
      </c>
      <c r="G163" s="47"/>
      <c r="H163" s="42"/>
      <c r="I163" s="47"/>
      <c r="J163" s="324"/>
      <c r="K163" s="537">
        <v>1.6</v>
      </c>
      <c r="L163" s="47">
        <f t="shared" si="39"/>
        <v>0</v>
      </c>
      <c r="M163">
        <f t="shared" si="38"/>
        <v>-1.6</v>
      </c>
      <c r="N163" s="35" t="s">
        <v>283</v>
      </c>
      <c r="P163" s="364">
        <f t="shared" si="40"/>
        <v>31.070000000000011</v>
      </c>
      <c r="Q163" s="249" t="str">
        <f>IF(($L163-$F163)&gt;=0,"",
" - Разработать образовательный курс о необходимости блокировать рабочие станции, стирать информацию с флипчартов и виртуальных досок после совещаний"&amp;" и хранить данные в защищенном месте. Разместить его в общем доступе для самостоятельного изучения сотрудниками без возможности отслеживания прогресса обучения")</f>
        <v xml:space="preserve"> - Разработать образовательный курс о необходимости блокировать рабочие станции, стирать информацию с флипчартов и виртуальных досок после совещаний и хранить данные в защищенном месте. Разместить его в общем доступе для самостоятельного изучения сотрудниками без возможности отслеживания прогресса обучения</v>
      </c>
      <c r="R163" s="364">
        <f t="shared" si="41"/>
        <v>231.06999999999994</v>
      </c>
      <c r="S163" s="249" t="str">
        <f t="shared" si="43"/>
        <v xml:space="preserve"> - Разместить образовательный курс на образовательной платформе с возможностью отслеживания прогесса обучения.</v>
      </c>
      <c r="T163" s="364">
        <f t="shared" si="42"/>
        <v>331.06999999999994</v>
      </c>
      <c r="U163" s="249" t="str">
        <f t="shared" si="44"/>
        <v xml:space="preserve"> - Осуществлять регулярный мониторинг и отслеживание динамики обучения. Выработать показатели эффективности обучения</v>
      </c>
    </row>
    <row r="164" spans="2:21" ht="79.349999999999994" customHeight="1" outlineLevel="1">
      <c r="B164" s="46" t="s">
        <v>236</v>
      </c>
      <c r="C164" s="498" t="s">
        <v>433</v>
      </c>
      <c r="D164" s="39">
        <v>5</v>
      </c>
      <c r="E164" s="40">
        <v>3.2</v>
      </c>
      <c r="F164" s="41">
        <v>1.6</v>
      </c>
      <c r="G164" s="47"/>
      <c r="H164" s="42"/>
      <c r="I164" s="47"/>
      <c r="J164" s="324"/>
      <c r="K164" s="537">
        <v>1.6</v>
      </c>
      <c r="L164" s="47">
        <f t="shared" si="39"/>
        <v>0</v>
      </c>
      <c r="M164">
        <f t="shared" si="38"/>
        <v>-1.6</v>
      </c>
      <c r="N164" s="35" t="s">
        <v>283</v>
      </c>
      <c r="P164" s="364">
        <f t="shared" si="40"/>
        <v>31.080000000000013</v>
      </c>
      <c r="Q164" s="249" t="str">
        <f>IF(($L164-$F164)&gt;=0,"",
" - Разработать образовательный курс по теме ошибочной отправки и публикации конфиденциальных данных, потери рабочих устройств и съемных носителей."&amp;"Разместить его в общем доступе для самостоятельного изучения сотрудниками без возможности отслеживания прогресса обучения")</f>
        <v xml:space="preserve"> - Разработать образовательный курс по теме ошибочной отправки и публикации конфиденциальных данных, потери рабочих устройств и съемных носителей.Разместить его в общем доступе для самостоятельного изучения сотрудниками без возможности отслеживания прогресса обучения</v>
      </c>
      <c r="R164" s="364">
        <f t="shared" si="41"/>
        <v>231.07999999999993</v>
      </c>
      <c r="S164" s="249" t="str">
        <f t="shared" si="43"/>
        <v xml:space="preserve"> - Разместить образовательный курс на образовательной платформе с возможностью отслеживания прогесса обучения.</v>
      </c>
      <c r="T164" s="364">
        <f t="shared" si="42"/>
        <v>331.07999999999993</v>
      </c>
      <c r="U164" s="249" t="str">
        <f t="shared" si="44"/>
        <v xml:space="preserve"> - Осуществлять регулярный мониторинг и отслеживание динамики обучения. Выработать показатели эффективности обучения</v>
      </c>
    </row>
    <row r="165" spans="2:21" ht="66.599999999999994" customHeight="1" outlineLevel="1">
      <c r="B165" s="46" t="s">
        <v>479</v>
      </c>
      <c r="C165" s="498" t="s">
        <v>434</v>
      </c>
      <c r="D165" s="39">
        <v>5</v>
      </c>
      <c r="E165" s="40">
        <v>3.2</v>
      </c>
      <c r="F165" s="41">
        <v>1.6</v>
      </c>
      <c r="G165" s="47"/>
      <c r="H165" s="42"/>
      <c r="I165" s="47"/>
      <c r="J165" s="324"/>
      <c r="K165" s="537">
        <v>1.6</v>
      </c>
      <c r="L165" s="47">
        <f t="shared" si="39"/>
        <v>0</v>
      </c>
      <c r="M165">
        <f t="shared" si="38"/>
        <v>-1.6</v>
      </c>
      <c r="N165" s="35" t="s">
        <v>283</v>
      </c>
      <c r="P165" s="364">
        <f t="shared" si="40"/>
        <v>31.090000000000014</v>
      </c>
      <c r="Q165" s="249" t="str">
        <f>IF(($L165-$F165)&gt;=0,"",
" - Разработать образовательный курс о том, как распознавать инциденты безопасности и сообщать о них. Разместить его в общем доступе для самостоятельного изучения сотрудниками без возможности отслеживания прогресса обучения")</f>
        <v xml:space="preserve"> - Разработать образовательный курс о том, как распознавать инциденты безопасности и сообщать о них. Разместить его в общем доступе для самостоятельного изучения сотрудниками без возможности отслеживания прогресса обучения</v>
      </c>
      <c r="R165" s="364">
        <f t="shared" si="41"/>
        <v>231.08999999999992</v>
      </c>
      <c r="S165" s="249" t="str">
        <f t="shared" si="43"/>
        <v xml:space="preserve"> - Разместить образовательный курс на образовательной платформе с возможностью отслеживания прогесса обучения.</v>
      </c>
      <c r="T165" s="364">
        <f t="shared" si="42"/>
        <v>331.08999999999992</v>
      </c>
      <c r="U165" s="249" t="str">
        <f t="shared" si="44"/>
        <v xml:space="preserve"> - Осуществлять регулярный мониторинг и отслеживание динамики обучения. Выработать показатели эффективности обучения</v>
      </c>
    </row>
    <row r="166" spans="2:21" ht="75.599999999999994" customHeight="1" outlineLevel="1">
      <c r="B166" s="46" t="s">
        <v>480</v>
      </c>
      <c r="C166" s="498" t="s">
        <v>435</v>
      </c>
      <c r="D166" s="39">
        <v>5</v>
      </c>
      <c r="E166" s="40">
        <v>3.2</v>
      </c>
      <c r="F166" s="41">
        <v>1.6</v>
      </c>
      <c r="G166" s="47"/>
      <c r="H166" s="42"/>
      <c r="I166" s="47"/>
      <c r="J166" s="324"/>
      <c r="K166" s="537">
        <v>1.6</v>
      </c>
      <c r="L166" s="336">
        <f t="shared" si="39"/>
        <v>0</v>
      </c>
      <c r="M166" s="371">
        <f>L166-K166</f>
        <v>-1.6</v>
      </c>
      <c r="N166" s="35" t="s">
        <v>283</v>
      </c>
      <c r="O166" s="363"/>
      <c r="P166" s="370">
        <f t="shared" si="40"/>
        <v>31.100000000000016</v>
      </c>
      <c r="Q166" s="249" t="str">
        <f>IF(($L166-$F166)&gt;=0,"",
" - Разработать образовательный курс для привелигированных пользователей о приемах безопасной работы. Разместить его в общем доступе для самостоятельного изучения сотрудниками без возможности отслеживания прогресса обучения")</f>
        <v xml:space="preserve"> - Разработать образовательный курс для привелигированных пользователей о приемах безопасной работы. Разместить его в общем доступе для самостоятельного изучения сотрудниками без возможности отслеживания прогресса обучения</v>
      </c>
      <c r="R166" s="370">
        <f t="shared" si="41"/>
        <v>231.09999999999991</v>
      </c>
      <c r="S166" s="249" t="str">
        <f t="shared" si="43"/>
        <v xml:space="preserve"> - Разместить образовательный курс на образовательной платформе с возможностью отслеживания прогесса обучения.</v>
      </c>
      <c r="T166" s="370">
        <f t="shared" si="42"/>
        <v>331.09999999999991</v>
      </c>
      <c r="U166" s="249" t="str">
        <f t="shared" si="44"/>
        <v xml:space="preserve"> - Осуществлять регулярный мониторинг и отслеживание динамики обучения. Выработать показатели эффективности обучения</v>
      </c>
    </row>
    <row r="167" spans="2:21" ht="84" customHeight="1" outlineLevel="1">
      <c r="B167" s="46" t="s">
        <v>837</v>
      </c>
      <c r="C167" s="498" t="s">
        <v>436</v>
      </c>
      <c r="D167" s="39">
        <v>5</v>
      </c>
      <c r="E167" s="40">
        <v>3.2</v>
      </c>
      <c r="F167" s="41">
        <v>1.6</v>
      </c>
      <c r="G167" s="47"/>
      <c r="H167" s="42"/>
      <c r="I167" s="47"/>
      <c r="J167" s="324"/>
      <c r="K167" s="537">
        <v>1.6</v>
      </c>
      <c r="L167" s="47">
        <f t="shared" si="39"/>
        <v>1.6</v>
      </c>
      <c r="M167">
        <f t="shared" si="38"/>
        <v>0</v>
      </c>
      <c r="N167" s="35" t="s">
        <v>285</v>
      </c>
      <c r="P167" s="364">
        <f t="shared" si="40"/>
        <v>31.110000000000017</v>
      </c>
      <c r="Q167" s="249" t="str">
        <f>IF(($L167-$F167)&gt;=0,"",
" - Обеспечить рабочие места сотрудников запирающимися ящиками")</f>
        <v/>
      </c>
      <c r="R167" s="364">
        <f t="shared" si="41"/>
        <v>231.1099999999999</v>
      </c>
      <c r="S167" s="249" t="str">
        <f>IF(($L167-$E167)&gt;=0,"",
" - Разработать материалы для регулярного напоминания сотрудникам соблюдения правил выполнение правил чистого стола для бумажных документов, переносных устройств хранения информации и правил чистого экрана для устройств обработки информации.")</f>
        <v xml:space="preserve"> - Разработать материалы для регулярного напоминания сотрудникам соблюдения правил выполнение правил чистого стола для бумажных документов, переносных устройств хранения информации и правил чистого экрана для устройств обработки информации.</v>
      </c>
      <c r="T167" s="364">
        <f t="shared" si="42"/>
        <v>331.1099999999999</v>
      </c>
      <c r="U167" s="249" t="str">
        <f>IF(($L167-$D167)&gt;=0,"",
" - Проводить регулярные рейды для оценки соблюдения правил чистого стола и чистого экрана.")</f>
        <v xml:space="preserve"> - Проводить регулярные рейды для оценки соблюдения правил чистого стола и чистого экрана.</v>
      </c>
    </row>
    <row r="168" spans="2:21" s="66" customFormat="1" ht="17.399999999999999">
      <c r="B168" s="43" t="s">
        <v>182</v>
      </c>
      <c r="C168" s="44" t="s">
        <v>441</v>
      </c>
      <c r="D168" s="71"/>
      <c r="E168" s="71"/>
      <c r="F168" s="71"/>
      <c r="G168" s="513"/>
      <c r="H168" s="71"/>
      <c r="I168" s="71"/>
      <c r="J168" s="71"/>
      <c r="K168" s="44"/>
      <c r="L168" s="71"/>
      <c r="M168"/>
      <c r="N168" s="237"/>
      <c r="O168" s="78"/>
      <c r="P168" s="365">
        <f>VLOOKUP(B168,Приоритет!$G$9:$K$48,5,0)</f>
        <v>16</v>
      </c>
      <c r="Q168" s="44" t="s">
        <v>441</v>
      </c>
      <c r="R168" s="365">
        <f>P168+200</f>
        <v>216</v>
      </c>
      <c r="S168" s="44" t="s">
        <v>441</v>
      </c>
      <c r="T168" s="365">
        <f>P168+300</f>
        <v>316</v>
      </c>
      <c r="U168" s="44" t="s">
        <v>441</v>
      </c>
    </row>
    <row r="169" spans="2:21" s="66" customFormat="1" ht="117" customHeight="1" outlineLevel="1">
      <c r="B169" s="46" t="s">
        <v>466</v>
      </c>
      <c r="C169" s="78" t="s">
        <v>601</v>
      </c>
      <c r="D169" s="39">
        <v>3.2</v>
      </c>
      <c r="E169" s="40">
        <v>1.6</v>
      </c>
      <c r="F169" s="41">
        <v>0</v>
      </c>
      <c r="G169" s="42"/>
      <c r="H169" s="42"/>
      <c r="I169" s="47"/>
      <c r="J169" s="325"/>
      <c r="K169" s="537">
        <v>0</v>
      </c>
      <c r="L169" s="47">
        <f t="shared" ref="L169:L178" si="45">VALUE(LEFT(N169,3))</f>
        <v>0</v>
      </c>
      <c r="M169">
        <f t="shared" si="38"/>
        <v>0</v>
      </c>
      <c r="N169" s="237" t="s">
        <v>255</v>
      </c>
      <c r="O169" s="78"/>
      <c r="P169" s="364">
        <f>P168+0.01</f>
        <v>16.010000000000002</v>
      </c>
      <c r="Q169" s="249" t="str">
        <f>IF(($L169-$F169)&gt;=0,"",)</f>
        <v/>
      </c>
      <c r="R169" s="364">
        <f>R168+0.01</f>
        <v>216.01</v>
      </c>
      <c r="S169" s="249" t="str">
        <f>IF(($L169-$E169)&gt;=0,"",
" - Разработать или Получить в Блоке ИБ ПАО Ростелеком типовое описание процесса управления доступом;
  - Утвердить в Обществе ВНД, описывающий процесс управления доступом.")</f>
        <v xml:space="preserve"> - Разработать или Получить в Блоке ИБ ПАО Ростелеком типовое описание процесса управления доступом;
  - Утвердить в Обществе ВНД, описывающий процесс управления доступом.</v>
      </c>
      <c r="T169" s="364">
        <f>T168+0.01</f>
        <v>316.01</v>
      </c>
      <c r="U169" s="249" t="str">
        <f>IF(($L169-$D169)&gt;=0,"",
" - Разработать регламенты, описывающие процессы отзыва прав доступа, аудита прав доступа, порядок формирования и изменения ролевых моделей.")</f>
        <v xml:space="preserve"> - Разработать регламенты, описывающие процессы отзыва прав доступа, аудита прав доступа, порядок формирования и изменения ролевых моделей.</v>
      </c>
    </row>
    <row r="170" spans="2:21" s="66" customFormat="1" ht="143.85" customHeight="1" outlineLevel="1">
      <c r="B170" s="46" t="s">
        <v>469</v>
      </c>
      <c r="C170" s="78" t="s">
        <v>602</v>
      </c>
      <c r="D170" s="39">
        <v>5</v>
      </c>
      <c r="E170" s="40">
        <v>3.2</v>
      </c>
      <c r="F170" s="41">
        <v>1.6</v>
      </c>
      <c r="G170" s="42"/>
      <c r="H170" s="42"/>
      <c r="I170" s="47"/>
      <c r="J170" s="325"/>
      <c r="K170" s="537">
        <v>1.6</v>
      </c>
      <c r="L170" s="336">
        <f t="shared" si="45"/>
        <v>0</v>
      </c>
      <c r="M170" s="371">
        <f>L170-K170</f>
        <v>-1.6</v>
      </c>
      <c r="N170" s="237" t="s">
        <v>256</v>
      </c>
      <c r="O170" s="78"/>
      <c r="P170" s="364">
        <f t="shared" ref="P170:P177" si="46">P169+0.01</f>
        <v>16.020000000000003</v>
      </c>
      <c r="Q170" s="249" t="str">
        <f>IF(($L170-$F170)&gt;=0,"",
" - Определить порядок формирования ролевых моделей;
  - Разработать ролевые модели для информационных систем и согласовать с подразделением ИБ. ")</f>
        <v xml:space="preserve"> - Определить порядок формирования ролевых моделей;
  - Разработать ролевые модели для информационных систем и согласовать с подразделением ИБ. </v>
      </c>
      <c r="R170" s="364">
        <f t="shared" ref="R170:R178" si="47">R169+0.01</f>
        <v>216.01999999999998</v>
      </c>
      <c r="S170" s="249" t="str">
        <f>IF(($L170-$E170)&gt;=0,"",
" - Для наиболее важных ИС провести аудит прав доступа в ИС и назначить всем пользователям роли в соответствии с ролевой моделью.")</f>
        <v xml:space="preserve"> - Для наиболее важных ИС провести аудит прав доступа в ИС и назначить всем пользователям роли в соответствии с ролевой моделью.</v>
      </c>
      <c r="T170" s="364">
        <f t="shared" ref="T170:T178" si="48">T169+0.01</f>
        <v>316.02</v>
      </c>
      <c r="U170" s="249" t="str">
        <f>IF(($L170-$D170)&gt;=0,"",
" - Для всех ИС провести аудит прав доступа в ИС и назначить всем пользователям роли в соответствии с ролевой моделью;"&amp;"
  - Реализовать процесс определения ролей, совмещение явялется конфликтом разделения полномочий/Вести учет таких ролей;
  - Реализовать процесс назначения ролей с учетом исключения SoD-конфликтов")</f>
        <v xml:space="preserve"> - Для всех ИС провести аудит прав доступа в ИС и назначить всем пользователям роли в соответствии с ролевой моделью;
  - Реализовать процесс определения ролей, совмещение явялется конфликтом разделения полномочий/Вести учет таких ролей;
  - Реализовать процесс назначения ролей с учетом исключения SoD-конфликтов</v>
      </c>
    </row>
    <row r="171" spans="2:21" s="66" customFormat="1" ht="74.099999999999994" customHeight="1" outlineLevel="1">
      <c r="B171" s="46" t="s">
        <v>919</v>
      </c>
      <c r="C171" s="78" t="s">
        <v>603</v>
      </c>
      <c r="D171" s="39">
        <v>5</v>
      </c>
      <c r="E171" s="40">
        <v>3.2</v>
      </c>
      <c r="F171" s="41">
        <v>1.6</v>
      </c>
      <c r="G171" s="42"/>
      <c r="H171" s="42"/>
      <c r="I171" s="47"/>
      <c r="J171" s="325"/>
      <c r="K171" s="537">
        <v>1.6</v>
      </c>
      <c r="L171" s="47">
        <f t="shared" si="45"/>
        <v>0</v>
      </c>
      <c r="M171">
        <f>L171-K171</f>
        <v>-1.6</v>
      </c>
      <c r="N171" s="35" t="s">
        <v>256</v>
      </c>
      <c r="O171" s="78"/>
      <c r="P171" s="364">
        <f t="shared" si="46"/>
        <v>16.030000000000005</v>
      </c>
      <c r="Q171" s="249" t="str">
        <f>IF(($L171-$F171)&gt;=0,"",
" - Регламентировать процесс согласования прав доступа для ИС, находящихся в промышленной эксплуатации;
   - Включить подразделение ИБ в цепочку согласования. ")</f>
        <v xml:space="preserve"> - Регламентировать процесс согласования прав доступа для ИС, находящихся в промышленной эксплуатации;
   - Включить подразделение ИБ в цепочку согласования. </v>
      </c>
      <c r="R171" s="364">
        <f t="shared" si="47"/>
        <v>216.02999999999997</v>
      </c>
      <c r="S171" s="249" t="str">
        <f>IF(($L171-$E171)&gt;=0,"",
" - Реализовать автоматизированное согласование заявок на доступ;
  - Обеспечить обязательное участие подразделения ИБ в процессе согласования")</f>
        <v xml:space="preserve"> - Реализовать автоматизированное согласование заявок на доступ;
  - Обеспечить обязательное участие подразделения ИБ в процессе согласования</v>
      </c>
      <c r="T171" s="364">
        <f t="shared" si="48"/>
        <v>316.02999999999997</v>
      </c>
      <c r="U171" s="249" t="str">
        <f>IF(($L171-$D171)&gt;=0,"",
" - Реализовать процесс согласование доступа для административных учетных записей, создаваемых владельцем ИС.")</f>
        <v xml:space="preserve"> - Реализовать процесс согласование доступа для административных учетных записей, создаваемых владельцем ИС.</v>
      </c>
    </row>
    <row r="172" spans="2:21" s="66" customFormat="1" ht="90" customHeight="1" outlineLevel="1">
      <c r="B172" s="46" t="s">
        <v>440</v>
      </c>
      <c r="C172" s="78" t="s">
        <v>604</v>
      </c>
      <c r="D172" s="39">
        <v>3.2</v>
      </c>
      <c r="E172" s="40">
        <v>1.6</v>
      </c>
      <c r="F172" s="41">
        <v>0</v>
      </c>
      <c r="G172" s="42"/>
      <c r="H172" s="42"/>
      <c r="I172" s="47"/>
      <c r="J172" s="325"/>
      <c r="K172" s="537">
        <v>0</v>
      </c>
      <c r="L172" s="47">
        <f t="shared" si="45"/>
        <v>0</v>
      </c>
      <c r="M172">
        <f t="shared" si="38"/>
        <v>0</v>
      </c>
      <c r="N172" s="237" t="s">
        <v>256</v>
      </c>
      <c r="O172" s="78"/>
      <c r="P172" s="364">
        <f t="shared" si="46"/>
        <v>16.040000000000006</v>
      </c>
      <c r="Q172" s="249" t="str">
        <f>IF(($L172-$F172)&gt;=0,"",)</f>
        <v/>
      </c>
      <c r="R172" s="364">
        <f t="shared" si="47"/>
        <v>216.03999999999996</v>
      </c>
      <c r="S172" s="249" t="str">
        <f>IF(($L172-$E172)&gt;=0,"",
" - Реализовать автоматическое создание учетной записи для нового работника и назначение базовых прав на основе данных из систем кадрового учета")</f>
        <v xml:space="preserve"> - Реализовать автоматическое создание учетной записи для нового работника и назначение базовых прав на основе данных из систем кадрового учета</v>
      </c>
      <c r="T172" s="364">
        <f t="shared" si="48"/>
        <v>316.03999999999996</v>
      </c>
      <c r="U172" s="249" t="str">
        <f>IF(($L172-$D172)&gt;=0,"",
" - Реализовать автоматическое назначение прав в соответствии с должностью при приеме на работу или смене должности.")</f>
        <v xml:space="preserve"> - Реализовать автоматическое назначение прав в соответствии с должностью при приеме на работу или смене должности.</v>
      </c>
    </row>
    <row r="173" spans="2:21" s="66" customFormat="1" ht="107.85" customHeight="1" outlineLevel="1">
      <c r="B173" s="46" t="s">
        <v>841</v>
      </c>
      <c r="C173" s="78" t="s">
        <v>605</v>
      </c>
      <c r="D173" s="39">
        <v>3.2</v>
      </c>
      <c r="E173" s="40">
        <v>1.6</v>
      </c>
      <c r="F173" s="41">
        <v>0</v>
      </c>
      <c r="G173" s="42"/>
      <c r="H173" s="42"/>
      <c r="I173" s="47"/>
      <c r="J173" s="325"/>
      <c r="K173" s="537">
        <v>0</v>
      </c>
      <c r="L173" s="47">
        <f t="shared" si="45"/>
        <v>0</v>
      </c>
      <c r="M173">
        <f t="shared" si="38"/>
        <v>0</v>
      </c>
      <c r="N173" s="237" t="s">
        <v>256</v>
      </c>
      <c r="O173" s="78"/>
      <c r="P173" s="364">
        <f t="shared" si="46"/>
        <v>16.050000000000008</v>
      </c>
      <c r="Q173" s="249" t="str">
        <f>IF(($L173-$F173)&gt;=0,"",)</f>
        <v/>
      </c>
      <c r="R173" s="364">
        <f t="shared" si="47"/>
        <v>216.04999999999995</v>
      </c>
      <c r="S173" s="249" t="str">
        <f>IF(($L173-$E173)&gt;=0,"",
" - Реализовать автоматическую блокировку всех учетных записей работника при увольнении работника на основе данных из систем кадрового учета;"&amp;"
   - Реализовать автоматическую блокировку всех учетных записей контрагентов при истечении срока действия или прекращении договора.")</f>
        <v xml:space="preserve"> - Реализовать автоматическую блокировку всех учетных записей работника при увольнении работника на основе данных из систем кадрового учета;
   - Реализовать автоматическую блокировку всех учетных записей контрагентов при истечении срока действия или прекращении договора.</v>
      </c>
      <c r="T173" s="364">
        <f t="shared" si="48"/>
        <v>316.04999999999995</v>
      </c>
      <c r="U173" s="249" t="str">
        <f>IF(($L173-$D173)&gt;=0,"",
" - Реализовать автоматический отзыв прав доступа при увольнении работника на основе данных из систем кадрового учета.")</f>
        <v xml:space="preserve"> - Реализовать автоматический отзыв прав доступа при увольнении работника на основе данных из систем кадрового учета.</v>
      </c>
    </row>
    <row r="174" spans="2:21" s="66" customFormat="1" ht="81.599999999999994" customHeight="1" outlineLevel="1">
      <c r="B174" s="46" t="s">
        <v>840</v>
      </c>
      <c r="C174" s="78" t="s">
        <v>606</v>
      </c>
      <c r="D174" s="39">
        <v>5</v>
      </c>
      <c r="E174" s="40">
        <v>3.2</v>
      </c>
      <c r="F174" s="41">
        <v>1.6</v>
      </c>
      <c r="G174" s="42"/>
      <c r="H174" s="42"/>
      <c r="I174" s="47"/>
      <c r="J174" s="325"/>
      <c r="K174" s="537">
        <v>1.6</v>
      </c>
      <c r="L174" s="336">
        <f t="shared" si="45"/>
        <v>1.6</v>
      </c>
      <c r="M174">
        <f t="shared" si="38"/>
        <v>0</v>
      </c>
      <c r="N174" s="237" t="s">
        <v>257</v>
      </c>
      <c r="O174" s="78"/>
      <c r="P174" s="364">
        <f t="shared" si="46"/>
        <v>16.060000000000009</v>
      </c>
      <c r="Q174" s="249" t="str">
        <f>IF(($L174-$F174)&gt;=0,"",
" - Реализовать процесс регулярного аудита административных учетных записей и других привилегированных учетных записей;
  - Обеспечить проведение аудита не реже чем раз в 1 год.")</f>
        <v/>
      </c>
      <c r="R174" s="364">
        <f t="shared" si="47"/>
        <v>216.05999999999995</v>
      </c>
      <c r="S174" s="249" t="str">
        <f>IF(($L174-$E174)&gt;=0,"",
" - Реализовать процесс регулярного аудита всех учетных записей для критичных ИС;
  - Обеспечить проведение аудита не реже чем раз в 6 месяцев")</f>
        <v xml:space="preserve"> - Реализовать процесс регулярного аудита всех учетных записей для критичных ИС;
  - Обеспечить проведение аудита не реже чем раз в 6 месяцев</v>
      </c>
      <c r="T174" s="364">
        <f t="shared" si="48"/>
        <v>316.05999999999995</v>
      </c>
      <c r="U174" s="249" t="str">
        <f>IF(($L174-$D174)&gt;=0,"",
" - Реализовать процесс регулярного аудита всех учетных записей для всех ИС. Обеспечить проведение аудита не реже чем раз в 6 месяцев.")</f>
        <v xml:space="preserve"> - Реализовать процесс регулярного аудита всех учетных записей для всех ИС. Обеспечить проведение аудита не реже чем раз в 6 месяцев.</v>
      </c>
    </row>
    <row r="175" spans="2:21" s="66" customFormat="1" ht="93.6" customHeight="1" outlineLevel="1">
      <c r="B175" s="46" t="s">
        <v>839</v>
      </c>
      <c r="C175" s="78" t="s">
        <v>607</v>
      </c>
      <c r="D175" s="39">
        <v>5</v>
      </c>
      <c r="E175" s="40">
        <v>5</v>
      </c>
      <c r="F175" s="41">
        <v>5</v>
      </c>
      <c r="G175" s="42"/>
      <c r="H175" s="42"/>
      <c r="I175" s="47"/>
      <c r="J175" s="325"/>
      <c r="K175" s="537">
        <v>5</v>
      </c>
      <c r="L175" s="336">
        <f t="shared" si="45"/>
        <v>0</v>
      </c>
      <c r="M175" s="371">
        <f t="shared" si="38"/>
        <v>-5</v>
      </c>
      <c r="N175" s="237" t="s">
        <v>256</v>
      </c>
      <c r="O175" s="78"/>
      <c r="P175" s="364">
        <f t="shared" si="46"/>
        <v>16.070000000000011</v>
      </c>
      <c r="Q175" s="249" t="str">
        <f>IF(($L175-$F175)&gt;=0,"",
" - Создать для администраторов ИС раздельные учетные записи - привилегированная УЗ для задач администрирования и непривилегированная УЗ для других задач;"&amp;"
   - Запретить использовать административную учетную запись не по назначению.")</f>
        <v xml:space="preserve"> - Создать для администраторов ИС раздельные учетные записи - привилегированная УЗ для задач администрирования и непривилегированная УЗ для других задач;
   - Запретить использовать административную учетную запись не по назначению.</v>
      </c>
      <c r="R175" s="364">
        <f t="shared" si="47"/>
        <v>216.06999999999994</v>
      </c>
      <c r="S175" s="249" t="str">
        <f>IF(($L175-$E175)&gt;=0,"","")</f>
        <v/>
      </c>
      <c r="T175" s="364">
        <f t="shared" si="48"/>
        <v>316.06999999999994</v>
      </c>
      <c r="U175" s="249" t="str">
        <f>IF(($L175-$D175)&gt;=0,"","")</f>
        <v/>
      </c>
    </row>
    <row r="176" spans="2:21" s="66" customFormat="1" ht="74.849999999999994" customHeight="1" outlineLevel="1">
      <c r="B176" s="46" t="s">
        <v>183</v>
      </c>
      <c r="C176" s="78" t="s">
        <v>608</v>
      </c>
      <c r="D176" s="39">
        <v>5</v>
      </c>
      <c r="E176" s="40">
        <v>5</v>
      </c>
      <c r="F176" s="41">
        <v>5</v>
      </c>
      <c r="G176" s="42"/>
      <c r="H176" s="42"/>
      <c r="I176" s="47"/>
      <c r="J176" s="325"/>
      <c r="K176" s="537">
        <v>5</v>
      </c>
      <c r="L176" s="336">
        <f t="shared" si="45"/>
        <v>5</v>
      </c>
      <c r="M176" s="371">
        <f t="shared" si="38"/>
        <v>0</v>
      </c>
      <c r="N176" s="237" t="s">
        <v>259</v>
      </c>
      <c r="O176" s="78"/>
      <c r="P176" s="364">
        <f t="shared" si="46"/>
        <v>16.080000000000013</v>
      </c>
      <c r="Q176" s="249" t="str">
        <f>IF(($L176-$F176)&gt;=0,"",
" - Разработать процедуру быстрой блокировки учетной записи и отзыва прав при инцидентах информационной безопасности;
  - Довести до исполнителей порядок выполнения процедуры/Протестировать выполнение.")</f>
        <v/>
      </c>
      <c r="R176" s="364">
        <f t="shared" si="47"/>
        <v>216.07999999999993</v>
      </c>
      <c r="S176" s="249" t="str">
        <f>IF(($L176-$E176)&gt;=0,"","")</f>
        <v/>
      </c>
      <c r="T176" s="364">
        <f t="shared" si="48"/>
        <v>316.07999999999993</v>
      </c>
      <c r="U176" s="249" t="str">
        <f>IF(($L176-$D176)&gt;=0,"","")</f>
        <v/>
      </c>
    </row>
    <row r="177" spans="2:21" s="66" customFormat="1" ht="83.1" customHeight="1" outlineLevel="1">
      <c r="B177" s="46" t="s">
        <v>184</v>
      </c>
      <c r="C177" s="78" t="s">
        <v>609</v>
      </c>
      <c r="D177" s="39">
        <v>5</v>
      </c>
      <c r="E177" s="40">
        <v>5</v>
      </c>
      <c r="F177" s="41">
        <v>5</v>
      </c>
      <c r="G177" s="42"/>
      <c r="H177" s="42"/>
      <c r="I177" s="47"/>
      <c r="J177" s="325"/>
      <c r="K177" s="537">
        <v>5</v>
      </c>
      <c r="L177" s="336">
        <f t="shared" si="45"/>
        <v>5</v>
      </c>
      <c r="M177" s="371">
        <f>L177-K177</f>
        <v>0</v>
      </c>
      <c r="N177" s="237" t="s">
        <v>259</v>
      </c>
      <c r="O177" s="78"/>
      <c r="P177" s="364">
        <f t="shared" si="46"/>
        <v>16.090000000000014</v>
      </c>
      <c r="Q177" s="249" t="str">
        <f>IF(($L177-$F177)&gt;=0,"","")</f>
        <v/>
      </c>
      <c r="R177" s="364">
        <f t="shared" si="47"/>
        <v>216.08999999999992</v>
      </c>
      <c r="S177" s="249" t="str">
        <f>IF(($L177-$E177)&gt;=0,"","")</f>
        <v/>
      </c>
      <c r="T177" s="364">
        <f t="shared" si="48"/>
        <v>316.08999999999992</v>
      </c>
      <c r="U177" s="249" t="str">
        <f>IF(($L177-$D177)&gt;=0,"","")</f>
        <v/>
      </c>
    </row>
    <row r="178" spans="2:21" s="66" customFormat="1" ht="127.35" customHeight="1" outlineLevel="1">
      <c r="B178" s="46" t="s">
        <v>838</v>
      </c>
      <c r="C178" s="78" t="s">
        <v>610</v>
      </c>
      <c r="D178" s="39">
        <v>5</v>
      </c>
      <c r="E178" s="40">
        <v>3.2</v>
      </c>
      <c r="F178" s="41">
        <v>1.6</v>
      </c>
      <c r="G178" s="42"/>
      <c r="H178" s="42"/>
      <c r="I178" s="47"/>
      <c r="J178" s="325"/>
      <c r="K178" s="537">
        <v>1.6</v>
      </c>
      <c r="L178" s="336">
        <f t="shared" si="45"/>
        <v>1.6</v>
      </c>
      <c r="M178" s="371">
        <f t="shared" si="38"/>
        <v>0</v>
      </c>
      <c r="N178" s="237" t="s">
        <v>257</v>
      </c>
      <c r="O178" s="78"/>
      <c r="P178" s="370">
        <f>P177+0.01</f>
        <v>16.100000000000016</v>
      </c>
      <c r="Q178" s="249" t="str">
        <f>IF(($L178-$F178)&gt;=0,"",
" - Разработать или Получить в Блоке ИБ ПАО Ростелеком перечень сетевых протоколов и портов, используемых при взаимодействии с сетью интернет;"&amp;"
  - Ограничить использование небезопасных протоколов;
  - Реализовать процесс согласования при организации взаимодействия ИС с сетью интернет;"&amp;"
  - Обеспечить учет всех ИС, взаимодействующих с интернетом;"&amp;"
  - Обеспечить блокировку доступа в интернет всех неучтенных ИС.")</f>
        <v/>
      </c>
      <c r="R178" s="370">
        <f t="shared" si="47"/>
        <v>216.09999999999991</v>
      </c>
      <c r="S178" s="249" t="str">
        <f>IF(($L178-$E178)&gt;=0,"",
" - Обеспечить выполнение требований к сетевым протоколам при проектировании и  создании ИС;
  - Обеспечить сетевое взаимодействие только по безопасным протоколам для всех новых ИС;"&amp;"
  - Для существующих ИС, не соответствующих требованиям, реализовать дополнительные меры защиты или ограничить взаимодействие с интернетом.")</f>
        <v xml:space="preserve"> - Обеспечить выполнение требований к сетевым протоколам при проектировании и  создании ИС;
  - Обеспечить сетевое взаимодействие только по безопасным протоколам для всех новых ИС;
  - Для существующих ИС, не соответствующих требованиям, реализовать дополнительные меры защиты или ограничить взаимодействие с интернетом.</v>
      </c>
      <c r="T178" s="370">
        <f t="shared" si="48"/>
        <v>316.09999999999991</v>
      </c>
      <c r="U178" s="249" t="str">
        <f>IF(($L178-$D178)&gt;=0,"",
" - Обеспечить взаимодействие с интернетом только по безопасным протоколам для всех существующих ИС.")</f>
        <v xml:space="preserve"> - Обеспечить взаимодействие с интернетом только по безопасным протоколам для всех существующих ИС.</v>
      </c>
    </row>
    <row r="179" spans="2:21" s="66" customFormat="1" ht="60.75" customHeight="1">
      <c r="B179" s="70" t="s">
        <v>193</v>
      </c>
      <c r="C179" s="180" t="s">
        <v>194</v>
      </c>
      <c r="D179" s="71"/>
      <c r="E179" s="71"/>
      <c r="F179" s="71"/>
      <c r="G179" s="513"/>
      <c r="H179" s="71"/>
      <c r="I179" s="71"/>
      <c r="J179" s="71"/>
      <c r="K179" s="71"/>
      <c r="L179" s="71"/>
      <c r="M179">
        <f t="shared" si="38"/>
        <v>0</v>
      </c>
      <c r="N179" s="237"/>
      <c r="O179" s="78"/>
      <c r="P179" s="365">
        <f>VLOOKUP(B179,Приоритет!$G$9:$K$48,5,0)</f>
        <v>17</v>
      </c>
      <c r="Q179" s="180" t="s">
        <v>194</v>
      </c>
      <c r="R179" s="365">
        <f>P179+200</f>
        <v>217</v>
      </c>
      <c r="S179" s="180" t="s">
        <v>194</v>
      </c>
      <c r="T179" s="365">
        <f>P179+300</f>
        <v>317</v>
      </c>
      <c r="U179" s="180" t="s">
        <v>194</v>
      </c>
    </row>
    <row r="180" spans="2:21" s="66" customFormat="1" ht="84.75" customHeight="1" outlineLevel="1">
      <c r="B180" s="46" t="s">
        <v>842</v>
      </c>
      <c r="C180" s="78" t="s">
        <v>611</v>
      </c>
      <c r="D180" s="39">
        <v>5</v>
      </c>
      <c r="E180" s="40">
        <v>5</v>
      </c>
      <c r="F180" s="41">
        <v>5</v>
      </c>
      <c r="G180" s="73"/>
      <c r="H180" s="73"/>
      <c r="I180" s="47"/>
      <c r="J180" s="325"/>
      <c r="K180" s="537">
        <v>5</v>
      </c>
      <c r="L180" s="47">
        <f t="shared" ref="L180:L188" si="49">VALUE(LEFT(N180,3))</f>
        <v>0</v>
      </c>
      <c r="M180">
        <f t="shared" ref="M180:M188" si="50">L180-K180</f>
        <v>-5</v>
      </c>
      <c r="N180" s="237" t="s">
        <v>283</v>
      </c>
      <c r="O180" s="78"/>
      <c r="P180" s="364">
        <f>P179+0.01</f>
        <v>17.010000000000002</v>
      </c>
      <c r="Q180" s="248" t="str">
        <f>IF(($L180-$F180)&gt;=0,"",
" - Получить в Блоке ИБ ПАО Ростелеком требования парольной политики и применить во всех ИС парольные политики, соответствуюещие требованиям.")</f>
        <v xml:space="preserve"> - Получить в Блоке ИБ ПАО Ростелеком требования парольной политики и применить во всех ИС парольные политики, соответствуюещие требованиям.</v>
      </c>
      <c r="R180" s="364">
        <f>R179+0.01</f>
        <v>217.01</v>
      </c>
      <c r="S180" s="249">
        <f>IF(($L180-$E180)&gt;=0,"",)</f>
        <v>0</v>
      </c>
      <c r="T180" s="364">
        <f>T179+0.01</f>
        <v>317.01</v>
      </c>
      <c r="U180" s="249">
        <f>IF(($L180-$D180)&gt;=0,"",)</f>
        <v>0</v>
      </c>
    </row>
    <row r="181" spans="2:21" s="66" customFormat="1" ht="84.75" customHeight="1" outlineLevel="1">
      <c r="B181" s="46" t="s">
        <v>474</v>
      </c>
      <c r="C181" s="78" t="s">
        <v>612</v>
      </c>
      <c r="D181" s="39">
        <v>5</v>
      </c>
      <c r="E181" s="40">
        <v>5</v>
      </c>
      <c r="F181" s="41">
        <v>3.2</v>
      </c>
      <c r="G181" s="73"/>
      <c r="H181" s="73"/>
      <c r="I181" s="47"/>
      <c r="J181" s="325"/>
      <c r="K181" s="537">
        <v>3.2</v>
      </c>
      <c r="L181" s="336">
        <f t="shared" si="49"/>
        <v>0</v>
      </c>
      <c r="M181" s="371">
        <f t="shared" si="50"/>
        <v>-3.2</v>
      </c>
      <c r="N181" s="237" t="s">
        <v>256</v>
      </c>
      <c r="O181" s="78"/>
      <c r="P181" s="364">
        <f t="shared" ref="P181:P188" si="51">P180+0.01</f>
        <v>17.020000000000003</v>
      </c>
      <c r="Q181" s="248" t="str">
        <f>IF(($L181-$F181)&gt;=0,"",
" - Реализовать процесс создания уникальных персонифицированных учетных записей для пользователей;"&amp;"
  - Определить требования к наименованию учетных записей;
  - Определить требования к назначению и использованию учетных записей (пользовательские, привилегированные, технологические)")</f>
        <v xml:space="preserve"> - Реализовать процесс создания уникальных персонифицированных учетных записей для пользователей;
  - Определить требования к наименованию учетных записей;
  - Определить требования к назначению и использованию учетных записей (пользовательские, привилегированные, технологические)</v>
      </c>
      <c r="R181" s="364">
        <f t="shared" ref="R181:R188" si="52">R180+0.01</f>
        <v>217.01999999999998</v>
      </c>
      <c r="S181" s="249" t="str">
        <f>IF(($L181-$E181)&gt;=0,"",
" - Реализовать запрет на использование общих учетных записей и встроенных ('по умолчанию') учетных записей.")</f>
        <v xml:space="preserve"> - Реализовать запрет на использование общих учетных записей и встроенных ('по умолчанию') учетных записей.</v>
      </c>
      <c r="T181" s="364">
        <f t="shared" ref="T181:T188" si="53">T180+0.01</f>
        <v>317.02</v>
      </c>
      <c r="U181" s="249" t="str">
        <f>IF(($L181-$D181)&gt;=0,"","")</f>
        <v/>
      </c>
    </row>
    <row r="182" spans="2:21" s="66" customFormat="1" ht="84.75" customHeight="1" outlineLevel="1">
      <c r="B182" s="46" t="s">
        <v>475</v>
      </c>
      <c r="C182" s="78" t="s">
        <v>613</v>
      </c>
      <c r="D182" s="39">
        <v>5</v>
      </c>
      <c r="E182" s="40">
        <v>5</v>
      </c>
      <c r="F182" s="41">
        <v>5</v>
      </c>
      <c r="G182" s="73"/>
      <c r="H182" s="73"/>
      <c r="I182" s="47"/>
      <c r="J182" s="325"/>
      <c r="K182" s="537">
        <v>5</v>
      </c>
      <c r="L182" s="47">
        <f t="shared" si="49"/>
        <v>0</v>
      </c>
      <c r="M182">
        <f t="shared" si="50"/>
        <v>-5</v>
      </c>
      <c r="N182" s="237" t="s">
        <v>283</v>
      </c>
      <c r="O182" s="78"/>
      <c r="P182" s="364">
        <f t="shared" si="51"/>
        <v>17.030000000000005</v>
      </c>
      <c r="Q182" s="248" t="str">
        <f>IF(($L182-$F182)&gt;=0,"",
" - Обеспечить применение технологических учетных записей для всех программных сервисов;
  - Установить запрет на запуск сервисов с использованием учетных записей пользователей.")</f>
        <v xml:space="preserve"> - Обеспечить применение технологических учетных записей для всех программных сервисов;
  - Установить запрет на запуск сервисов с использованием учетных записей пользователей.</v>
      </c>
      <c r="R182" s="364">
        <f t="shared" si="52"/>
        <v>217.02999999999997</v>
      </c>
      <c r="S182" s="249">
        <f>IF(($L182-$E182)&gt;=0,"",)</f>
        <v>0</v>
      </c>
      <c r="T182" s="364">
        <f t="shared" si="53"/>
        <v>317.02999999999997</v>
      </c>
      <c r="U182" s="249">
        <f>IF(($L182-$D182)&gt;=0,"",)</f>
        <v>0</v>
      </c>
    </row>
    <row r="183" spans="2:21" s="66" customFormat="1" ht="84.75" customHeight="1" outlineLevel="1">
      <c r="B183" s="46" t="s">
        <v>472</v>
      </c>
      <c r="C183" s="78" t="s">
        <v>614</v>
      </c>
      <c r="D183" s="39">
        <v>5</v>
      </c>
      <c r="E183" s="40">
        <v>5</v>
      </c>
      <c r="F183" s="41">
        <v>5</v>
      </c>
      <c r="G183" s="73"/>
      <c r="H183" s="73"/>
      <c r="I183" s="47"/>
      <c r="J183" s="325"/>
      <c r="K183" s="537">
        <v>5</v>
      </c>
      <c r="L183" s="336">
        <f t="shared" si="49"/>
        <v>0</v>
      </c>
      <c r="M183" s="371">
        <f t="shared" si="50"/>
        <v>-5</v>
      </c>
      <c r="N183" s="237" t="s">
        <v>256</v>
      </c>
      <c r="O183" s="78"/>
      <c r="P183" s="364">
        <f t="shared" si="51"/>
        <v>17.040000000000006</v>
      </c>
      <c r="Q183" s="248" t="str">
        <f>IF(($L183-$F183)&gt;=0,"",
" - Выполнить блокировку или смену пароля для всех встроенных учетных записей во всех ИС и устройствах, учетных записей без паролей;"&amp;" 
  - Обеспечить выполнение аутентификации при доступе во всех ИС;
  - Вывести из эксплуатации все ИС, не требующие аутентификации (кроме общедоступных веб-сайтов)")</f>
        <v xml:space="preserve"> - Выполнить блокировку или смену пароля для всех встроенных учетных записей во всех ИС и устройствах, учетных записей без паролей; 
  - Обеспечить выполнение аутентификации при доступе во всех ИС;
  - Вывести из эксплуатации все ИС, не требующие аутентификации (кроме общедоступных веб-сайтов)</v>
      </c>
      <c r="R183" s="364">
        <f t="shared" si="52"/>
        <v>217.03999999999996</v>
      </c>
      <c r="S183" s="249" t="str">
        <f>IF(($L183-$E183)&gt;=0,"","")</f>
        <v/>
      </c>
      <c r="T183" s="364">
        <f t="shared" si="53"/>
        <v>317.03999999999996</v>
      </c>
      <c r="U183" s="249" t="str">
        <f>IF(($L183-$D183)&gt;=0,"","")</f>
        <v/>
      </c>
    </row>
    <row r="184" spans="2:21" s="66" customFormat="1" ht="84.75" customHeight="1" outlineLevel="1">
      <c r="B184" s="46" t="s">
        <v>843</v>
      </c>
      <c r="C184" s="78" t="s">
        <v>615</v>
      </c>
      <c r="D184" s="39">
        <v>5</v>
      </c>
      <c r="E184" s="40">
        <v>3.2</v>
      </c>
      <c r="F184" s="41">
        <v>0</v>
      </c>
      <c r="G184" s="73"/>
      <c r="H184" s="73"/>
      <c r="I184" s="47"/>
      <c r="J184" s="325"/>
      <c r="K184" s="537">
        <v>0</v>
      </c>
      <c r="L184" s="47">
        <f t="shared" si="49"/>
        <v>0</v>
      </c>
      <c r="M184">
        <f>L184-K184</f>
        <v>0</v>
      </c>
      <c r="N184" s="237" t="s">
        <v>256</v>
      </c>
      <c r="O184" s="78"/>
      <c r="P184" s="364">
        <f t="shared" si="51"/>
        <v>17.050000000000008</v>
      </c>
      <c r="Q184" s="248" t="str">
        <f>IF(($L184-$F184)&gt;=0,"",)</f>
        <v/>
      </c>
      <c r="R184" s="364">
        <f t="shared" si="52"/>
        <v>217.04999999999995</v>
      </c>
      <c r="S184" s="249" t="str">
        <f>IF(($L184-$E184)&gt;=0,"",
" - Рализовать применение технологии LAPS не менее чем на 80% АРМ.")</f>
        <v xml:space="preserve"> - Рализовать применение технологии LAPS не менее чем на 80% АРМ.</v>
      </c>
      <c r="T184" s="364">
        <f t="shared" si="53"/>
        <v>317.04999999999995</v>
      </c>
      <c r="U184" s="249" t="str">
        <f>IF(($L184-$D184)&gt;=0,"",
" - Рализовать применение технологии LAPS на 100% АРМ.")</f>
        <v xml:space="preserve"> - Рализовать применение технологии LAPS на 100% АРМ.</v>
      </c>
    </row>
    <row r="185" spans="2:21" s="66" customFormat="1" ht="68.25" customHeight="1" outlineLevel="1">
      <c r="B185" s="46" t="s">
        <v>844</v>
      </c>
      <c r="C185" s="78" t="s">
        <v>616</v>
      </c>
      <c r="D185" s="39">
        <v>5</v>
      </c>
      <c r="E185" s="40">
        <v>5</v>
      </c>
      <c r="F185" s="41">
        <v>5</v>
      </c>
      <c r="G185" s="73"/>
      <c r="H185" s="73"/>
      <c r="I185" s="47"/>
      <c r="J185" s="325"/>
      <c r="K185" s="537">
        <v>5</v>
      </c>
      <c r="L185" s="47">
        <f t="shared" si="49"/>
        <v>0</v>
      </c>
      <c r="M185">
        <f t="shared" si="50"/>
        <v>-5</v>
      </c>
      <c r="N185" s="237" t="s">
        <v>283</v>
      </c>
      <c r="O185" s="78"/>
      <c r="P185" s="364">
        <f t="shared" si="51"/>
        <v>17.060000000000009</v>
      </c>
      <c r="Q185" s="248" t="str">
        <f>IF(($L185-$F185)&gt;=0,"",
" - Во всех ИС применить политики пароля для противодействия атакам подбора")</f>
        <v xml:space="preserve"> - Во всех ИС применить политики пароля для противодействия атакам подбора</v>
      </c>
      <c r="R185" s="364">
        <f t="shared" si="52"/>
        <v>217.05999999999995</v>
      </c>
      <c r="S185" s="249">
        <f>IF(($L185-$E185)&gt;=0,"",)</f>
        <v>0</v>
      </c>
      <c r="T185" s="364">
        <f t="shared" si="53"/>
        <v>317.05999999999995</v>
      </c>
      <c r="U185" s="249">
        <f>IF(($L185-$D185)&gt;=0,"",)</f>
        <v>0</v>
      </c>
    </row>
    <row r="186" spans="2:21" s="66" customFormat="1" ht="73.5" customHeight="1" outlineLevel="1">
      <c r="B186" s="46" t="s">
        <v>195</v>
      </c>
      <c r="C186" s="78" t="s">
        <v>617</v>
      </c>
      <c r="D186" s="39">
        <v>5</v>
      </c>
      <c r="E186" s="40">
        <v>5</v>
      </c>
      <c r="F186" s="41">
        <v>5</v>
      </c>
      <c r="G186" s="73"/>
      <c r="H186" s="73"/>
      <c r="I186" s="47"/>
      <c r="J186" s="325"/>
      <c r="K186" s="537">
        <v>5</v>
      </c>
      <c r="L186" s="47">
        <f t="shared" si="49"/>
        <v>0</v>
      </c>
      <c r="M186">
        <f t="shared" si="50"/>
        <v>-5</v>
      </c>
      <c r="N186" s="237" t="s">
        <v>283</v>
      </c>
      <c r="O186" s="78"/>
      <c r="P186" s="364">
        <f t="shared" si="51"/>
        <v>17.070000000000011</v>
      </c>
      <c r="Q186" s="248">
        <f>IF(($L186-$F186)&gt;=0,"",)</f>
        <v>0</v>
      </c>
      <c r="R186" s="364">
        <f t="shared" si="52"/>
        <v>217.06999999999994</v>
      </c>
      <c r="S186" s="249">
        <f>IF(($L186-$E186)&gt;=0,"",)</f>
        <v>0</v>
      </c>
      <c r="T186" s="364">
        <f t="shared" si="53"/>
        <v>317.06999999999994</v>
      </c>
      <c r="U186" s="249">
        <f>IF(($L186-$D186)&gt;=0,"",)</f>
        <v>0</v>
      </c>
    </row>
    <row r="187" spans="2:21" s="66" customFormat="1" ht="60" customHeight="1" outlineLevel="1">
      <c r="B187" s="46" t="s">
        <v>473</v>
      </c>
      <c r="C187" s="78" t="s">
        <v>618</v>
      </c>
      <c r="D187" s="39">
        <v>5</v>
      </c>
      <c r="E187" s="40">
        <v>5</v>
      </c>
      <c r="F187" s="41">
        <v>1.6</v>
      </c>
      <c r="G187" s="73"/>
      <c r="H187" s="73"/>
      <c r="I187" s="47"/>
      <c r="J187" s="325"/>
      <c r="K187" s="537">
        <v>1.6</v>
      </c>
      <c r="L187" s="336">
        <f t="shared" si="49"/>
        <v>0</v>
      </c>
      <c r="M187" s="371">
        <f t="shared" si="50"/>
        <v>-1.6</v>
      </c>
      <c r="N187" s="237" t="s">
        <v>256</v>
      </c>
      <c r="O187" s="78"/>
      <c r="P187" s="364">
        <f t="shared" si="51"/>
        <v>17.080000000000013</v>
      </c>
      <c r="Q187" s="248" t="str">
        <f>IF(($L187-$F187)&gt;=0,"",
" - Внести в ВНД Общества  запрет на пересылку паролей пользователями в открытом виде;"&amp;"
  - Определить порядок защищенной передачи паролей пользователями.")</f>
        <v xml:space="preserve"> - Внести в ВНД Общества  запрет на пересылку паролей пользователями в открытом виде;
  - Определить порядок защищенной передачи паролей пользователями.</v>
      </c>
      <c r="R187" s="364">
        <f t="shared" si="52"/>
        <v>217.07999999999993</v>
      </c>
      <c r="S187" s="249" t="str">
        <f>IF(($L187-$E187)&gt;=0,"",
" - Во всех ИС реализовать механизмы аутентификации обеспечивающие передачу паролей только в защищенном виде.")</f>
        <v xml:space="preserve"> - Во всех ИС реализовать механизмы аутентификации обеспечивающие передачу паролей только в защищенном виде.</v>
      </c>
      <c r="T187" s="364">
        <f t="shared" si="53"/>
        <v>317.07999999999993</v>
      </c>
      <c r="U187" s="249" t="str">
        <f>IF(($L187-$D187)&gt;=0,"","")</f>
        <v/>
      </c>
    </row>
    <row r="188" spans="2:21" s="66" customFormat="1" ht="47.25" customHeight="1" outlineLevel="1">
      <c r="B188" s="256" t="s">
        <v>920</v>
      </c>
      <c r="C188" s="78" t="s">
        <v>619</v>
      </c>
      <c r="D188" s="39">
        <v>5</v>
      </c>
      <c r="E188" s="40">
        <v>3.2</v>
      </c>
      <c r="F188" s="41">
        <v>0</v>
      </c>
      <c r="G188" s="47"/>
      <c r="H188" s="47"/>
      <c r="I188" s="47"/>
      <c r="J188" s="325"/>
      <c r="K188" s="537">
        <v>0</v>
      </c>
      <c r="L188" s="336">
        <f t="shared" si="49"/>
        <v>0</v>
      </c>
      <c r="M188" s="371">
        <f t="shared" si="50"/>
        <v>0</v>
      </c>
      <c r="N188" s="35" t="s">
        <v>256</v>
      </c>
      <c r="O188" s="78"/>
      <c r="P188" s="364">
        <f t="shared" si="51"/>
        <v>17.090000000000014</v>
      </c>
      <c r="Q188" s="248" t="str">
        <f>IF(($L188-$F188)&gt;=0,"",)</f>
        <v/>
      </c>
      <c r="R188" s="364">
        <f t="shared" si="52"/>
        <v>217.08999999999992</v>
      </c>
      <c r="S188" s="249" t="str">
        <f>IF(($L188-$E188)&gt;=0,"",
" - Приобрести и внедрить средства защищенного хранения паролей. Обеспечить применение администраторами: 100%, пользователями не менее 50%.")</f>
        <v xml:space="preserve"> - Приобрести и внедрить средства защищенного хранения паролей. Обеспечить применение администраторами: 100%, пользователями не менее 50%.</v>
      </c>
      <c r="T188" s="364">
        <f t="shared" si="53"/>
        <v>317.08999999999992</v>
      </c>
      <c r="U188" s="249" t="str">
        <f>IF(($L188-$D188)&gt;=0,"",
" - Обеспечить применение средства хранения аутентификационных данных всеми пользователями.")</f>
        <v xml:space="preserve"> - Обеспечить применение средства хранения аутентификационных данных всеми пользователями.</v>
      </c>
    </row>
    <row r="189" spans="2:21" s="66" customFormat="1" ht="28.35" customHeight="1">
      <c r="B189" s="70" t="s">
        <v>439</v>
      </c>
      <c r="C189" s="500" t="s">
        <v>185</v>
      </c>
      <c r="D189" s="71"/>
      <c r="E189" s="71"/>
      <c r="F189" s="71"/>
      <c r="G189" s="513"/>
      <c r="H189" s="71"/>
      <c r="I189" s="71"/>
      <c r="J189" s="71"/>
      <c r="K189" s="71"/>
      <c r="L189" s="71"/>
      <c r="M189">
        <f>L189-K189</f>
        <v>0</v>
      </c>
      <c r="N189" s="237"/>
      <c r="O189" s="78"/>
      <c r="P189" s="365">
        <f>VLOOKUP(B189,Приоритет!$G$9:$K$52,5,0)</f>
        <v>42</v>
      </c>
      <c r="Q189" s="44" t="s">
        <v>439</v>
      </c>
      <c r="R189" s="365">
        <f>P189+200</f>
        <v>242</v>
      </c>
      <c r="S189" s="44" t="s">
        <v>439</v>
      </c>
      <c r="T189" s="365">
        <f>P189+300</f>
        <v>342</v>
      </c>
      <c r="U189" s="44" t="s">
        <v>439</v>
      </c>
    </row>
    <row r="190" spans="2:21" s="66" customFormat="1" ht="86.85" customHeight="1" outlineLevel="1">
      <c r="B190" s="46" t="s">
        <v>921</v>
      </c>
      <c r="C190" s="78" t="s">
        <v>620</v>
      </c>
      <c r="D190" s="36">
        <v>5</v>
      </c>
      <c r="E190" s="40">
        <v>5</v>
      </c>
      <c r="F190" s="41">
        <v>0</v>
      </c>
      <c r="G190" s="73"/>
      <c r="H190" s="73"/>
      <c r="I190" s="47"/>
      <c r="J190" s="325"/>
      <c r="K190" s="537">
        <v>0</v>
      </c>
      <c r="L190" s="336">
        <f>VALUE(LEFT(N190,3))</f>
        <v>5</v>
      </c>
      <c r="M190" s="371">
        <f>L190-K190</f>
        <v>5</v>
      </c>
      <c r="N190" s="237" t="s">
        <v>284</v>
      </c>
      <c r="O190" s="78"/>
      <c r="P190" s="364">
        <f>P189+0.01</f>
        <v>42.01</v>
      </c>
      <c r="Q190" s="248" t="str">
        <f>IF(($L190-$F190)&gt;=0,"",)</f>
        <v/>
      </c>
      <c r="R190" s="364">
        <f>R189+0.01</f>
        <v>242.01</v>
      </c>
      <c r="S190" s="249" t="str">
        <f>IF(($L190-$E190)&gt;=0,"",
" - Разработать или Получить в Блоке ИБ ПАО Ростелеком типовой ВНД, регламентирующий категории конфиденциальности и порядок их присвоения;"&amp;" 
  - Утвердить в Обществе ВНД, регламентирующий категории конфиденциальности и порядок их присвоения.")</f>
        <v/>
      </c>
      <c r="T190" s="364">
        <f>T189+0.01</f>
        <v>342.01</v>
      </c>
      <c r="U190" s="249" t="str">
        <f>IF(($L190-$D190)&gt;=0,"","")</f>
        <v/>
      </c>
    </row>
    <row r="191" spans="2:21" s="66" customFormat="1" ht="62.85" customHeight="1" outlineLevel="1">
      <c r="B191" s="46" t="s">
        <v>186</v>
      </c>
      <c r="C191" s="78" t="s">
        <v>621</v>
      </c>
      <c r="D191" s="36">
        <v>5</v>
      </c>
      <c r="E191" s="40">
        <v>3.2</v>
      </c>
      <c r="F191" s="41">
        <v>1.6</v>
      </c>
      <c r="G191" s="73"/>
      <c r="H191" s="73"/>
      <c r="I191" s="47"/>
      <c r="J191" s="325"/>
      <c r="K191" s="537">
        <v>1.6</v>
      </c>
      <c r="L191" s="336">
        <f>VALUE(LEFT(N191,3))</f>
        <v>0</v>
      </c>
      <c r="M191" s="371">
        <f>L191-K191</f>
        <v>-1.6</v>
      </c>
      <c r="N191" s="237" t="s">
        <v>256</v>
      </c>
      <c r="O191" s="78"/>
      <c r="P191" s="364">
        <f>P190+0.01</f>
        <v>42.019999999999996</v>
      </c>
      <c r="Q191" s="248" t="str">
        <f>IF(($L191-$F191)&gt;=0,"",
" - Приобрести и установить средства шифрования данных на носимых устройствах (ноутбуки, планшеты, телефоны): не менее чем на 25% устройств")</f>
        <v xml:space="preserve"> - Приобрести и установить средства шифрования данных на носимых устройствах (ноутбуки, планшеты, телефоны): не менее чем на 25% устройств</v>
      </c>
      <c r="R191" s="364">
        <f>R190+0.01</f>
        <v>242.01999999999998</v>
      </c>
      <c r="S191" s="249" t="str">
        <f>IF(($L191-$E191)&gt;=0,"",
" - Приобрести и установить средства шифрования данных на носимых устройствах (ноутбуки, планшеты, телефоны): не менее чем на 60% устройств.")</f>
        <v xml:space="preserve"> - Приобрести и установить средства шифрования данных на носимых устройствах (ноутбуки, планшеты, телефоны): не менее чем на 60% устройств.</v>
      </c>
      <c r="T191" s="364">
        <f>T190+0.01</f>
        <v>342.02</v>
      </c>
      <c r="U191" s="249" t="str">
        <f>IF(($L191-$D191)&gt;=0,"",
" - Приобрести и установить средства шифрования данных на носимых устройствах (ноутбуки, планшеты, телефоны): 100% устройств")</f>
        <v xml:space="preserve"> - Приобрести и установить средства шифрования данных на носимых устройствах (ноутбуки, планшеты, телефоны): 100% устройств</v>
      </c>
    </row>
    <row r="192" spans="2:21" s="66" customFormat="1" ht="28.35" customHeight="1" outlineLevel="1">
      <c r="B192" s="46" t="s">
        <v>845</v>
      </c>
      <c r="C192" s="78" t="s">
        <v>622</v>
      </c>
      <c r="D192" s="36">
        <v>5</v>
      </c>
      <c r="E192" s="40">
        <v>5</v>
      </c>
      <c r="F192" s="41">
        <v>1.6</v>
      </c>
      <c r="G192" s="73"/>
      <c r="H192" s="73"/>
      <c r="I192" s="47"/>
      <c r="J192" s="325"/>
      <c r="K192" s="537">
        <v>1.6</v>
      </c>
      <c r="L192" s="336">
        <f>VALUE(LEFT(N192,3))</f>
        <v>5</v>
      </c>
      <c r="M192">
        <f>L192-K192</f>
        <v>3.4</v>
      </c>
      <c r="N192" s="237" t="s">
        <v>259</v>
      </c>
      <c r="O192" s="78"/>
      <c r="P192" s="364">
        <f>P191+0.01</f>
        <v>42.029999999999994</v>
      </c>
      <c r="Q192" s="266" t="str">
        <f>IF(($L192-$F192)&gt;=0,"",
"- см. СЗИ.СКЗИ.1 и СЗИ.RA-VPN.2")</f>
        <v/>
      </c>
      <c r="R192" s="364">
        <f>R191+0.01</f>
        <v>242.02999999999997</v>
      </c>
      <c r="S192" s="268" t="str">
        <f>IF(($L192-$E192)&gt;=0,"",
"- см. СЗИ.СКЗИ.1 и СЗИ.RA-VPN.2")</f>
        <v/>
      </c>
      <c r="T192" s="364">
        <f>T191+0.01</f>
        <v>342.03</v>
      </c>
      <c r="U192" s="249" t="str">
        <f>IF(($L192-$D192)&gt;=0,"","")</f>
        <v/>
      </c>
    </row>
    <row r="193" spans="2:21" s="66" customFormat="1" ht="66" customHeight="1" outlineLevel="1">
      <c r="B193" s="46" t="s">
        <v>477</v>
      </c>
      <c r="C193" s="78" t="s">
        <v>623</v>
      </c>
      <c r="D193" s="36">
        <v>3.2</v>
      </c>
      <c r="E193" s="40">
        <v>1.6</v>
      </c>
      <c r="F193" s="41">
        <v>0</v>
      </c>
      <c r="G193" s="73"/>
      <c r="H193" s="73"/>
      <c r="I193" s="47"/>
      <c r="J193" s="325"/>
      <c r="K193" s="537">
        <v>0</v>
      </c>
      <c r="L193" s="336">
        <f>VALUE(LEFT(N193,3))</f>
        <v>0</v>
      </c>
      <c r="M193" s="371">
        <f>L193-K193</f>
        <v>0</v>
      </c>
      <c r="N193" s="237" t="s">
        <v>256</v>
      </c>
      <c r="O193" s="78"/>
      <c r="P193" s="364">
        <f>P192+0.01</f>
        <v>42.039999999999992</v>
      </c>
      <c r="Q193" s="267" t="str">
        <f>IF(($L193-$F193)&gt;=0,"",)</f>
        <v/>
      </c>
      <c r="R193" s="364">
        <f>R192+0.01</f>
        <v>242.03999999999996</v>
      </c>
      <c r="S193" s="249" t="str">
        <f>IF(($L193-$E193)&gt;=0,"",
" - Определить порядок использования личных устройств, разрешения их использования, меры безопасности и ограничения.")</f>
        <v xml:space="preserve"> - Определить порядок использования личных устройств, разрешения их использования, меры безопасности и ограничения.</v>
      </c>
      <c r="T193" s="364">
        <f>T192+0.01</f>
        <v>342.03999999999996</v>
      </c>
      <c r="U193" s="249" t="str">
        <f>IF(($L193-$D193)&gt;=0,"",
" - Контролировать использование личных устройств при работе с критичными ИС и данными. Реализовать ограничения на доступ к критичным ИС с личных устройств.")</f>
        <v xml:space="preserve"> - Контролировать использование личных устройств при работе с критичными ИС и данными. Реализовать ограничения на доступ к критичным ИС с личных устройств.</v>
      </c>
    </row>
  </sheetData>
  <autoFilter ref="A59:P193" xr:uid="{00000000-0009-0000-0000-000004000000}"/>
  <conditionalFormatting sqref="M1:M78">
    <cfRule type="cellIs" dxfId="50" priority="19" operator="greaterThan">
      <formula>0</formula>
    </cfRule>
    <cfRule type="cellIs" dxfId="49" priority="20" operator="equal">
      <formula>0</formula>
    </cfRule>
    <cfRule type="cellIs" dxfId="48" priority="21" operator="lessThan">
      <formula>0</formula>
    </cfRule>
  </conditionalFormatting>
  <conditionalFormatting sqref="M101:M1048576">
    <cfRule type="cellIs" dxfId="47" priority="1" operator="greaterThan">
      <formula>0</formula>
    </cfRule>
    <cfRule type="cellIs" dxfId="46" priority="2" operator="equal">
      <formula>0</formula>
    </cfRule>
    <cfRule type="cellIs" dxfId="45" priority="3" operator="lessThan">
      <formula>0</formula>
    </cfRule>
  </conditionalFormatting>
  <conditionalFormatting sqref="O59">
    <cfRule type="cellIs" dxfId="44" priority="60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P71:T71 P77:T77 P107:T107 P111:U111 P125:R125 T125:U125 P131:R131 P146:U146 P150:U150 P156:U156 P168:U168 P179:U179 P189:U189 T131 Q102:Q106 S102:S106 S108 Q112 S112 Q180:Q182 S180:S188 U181:U188 Q190:Q193 S190:S193 U191:U193 Q169:Q175 S169:U175 Q159:U161 Q151:U151 R147:U147 S78:U78 Q78 Q79:Q95 S100 Q97:Q100 R155:U155 R153:U153 Q110 S110 Q120:Q121 S120:S121 Q123:Q124 S123:S125 Q144:Q145 R157:U157 Q176:Q177 S176:S178 U176:U178 Q184:Q186 R152:U152 Q149:U149 R148:U148 Q154:T154 R158 T158 Q188 Q114 S114:S118 Q118 Q116 Q164:U167 R162:U162 R163:U163" formula="1"/>
    <ignoredError sqref="G50:H50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400-000000000000}">
          <x14:formula1>
            <xm:f>'Условные сокращения'!$I$11:$I$14</xm:f>
          </x14:formula1>
          <xm:sqref>N158:N167 N121 N141:N144 N129 N154:N155</xm:sqref>
        </x14:dataValidation>
        <x14:dataValidation type="list" allowBlank="1" showInputMessage="1" showErrorMessage="1" xr:uid="{00000000-0002-0000-0400-000001000000}">
          <x14:formula1>
            <xm:f>'Условные сокращения'!$N$3:$N$8</xm:f>
          </x14:formula1>
          <xm:sqref>N78 N106 N103 N75 N135</xm:sqref>
        </x14:dataValidation>
        <x14:dataValidation type="list" allowBlank="1" showInputMessage="1" showErrorMessage="1" xr:uid="{00000000-0002-0000-0400-000002000000}">
          <x14:formula1>
            <xm:f>'Условные сокращения'!$M$11:$M$12</xm:f>
          </x14:formula1>
          <xm:sqref>N147:N149 N76 N190 N70 N72:N74 N126:N128 N132 N134 N138 N145 N151:N153 N180 N182 N185:N186 N61:N65 N67:N68</xm:sqref>
        </x14:dataValidation>
        <x14:dataValidation type="list" allowBlank="1" showInputMessage="1" showErrorMessage="1" xr:uid="{00000000-0002-0000-0400-000003000000}">
          <x14:formula1>
            <xm:f>'Условные сокращения'!$B$27:$B$30</xm:f>
          </x14:formula1>
          <xm:sqref>N122:N124 N187:N188 N157 N170:N178 N102 N104:N105 N108:N110 N112:N120 N69 N130 N181 N183:N184 N191:N193</xm:sqref>
        </x14:dataValidation>
        <x14:dataValidation type="list" allowBlank="1" showInputMessage="1" showErrorMessage="1" xr:uid="{00000000-0002-0000-0400-000004000000}">
          <x14:formula1>
            <xm:f>'Условные сокращения'!$B$19:$B$22</xm:f>
          </x14:formula1>
          <xm:sqref>N169</xm:sqref>
        </x14:dataValidation>
        <x14:dataValidation type="list" allowBlank="1" showInputMessage="1" showErrorMessage="1" xr:uid="{00000000-0002-0000-0400-000005000000}">
          <x14:formula1>
            <xm:f>'Условные сокращения'!$B$48:$B$51</xm:f>
          </x14:formula1>
          <xm:sqref>N133 N136:N137 N139:N140</xm:sqref>
        </x14:dataValidation>
        <x14:dataValidation type="list" allowBlank="1" showInputMessage="1" showErrorMessage="1" xr:uid="{00000000-0002-0000-0400-000006000000}">
          <x14:formula1>
            <xm:f>'Условные сокращения'!$L$48:$L$51</xm:f>
          </x14:formula1>
          <xm:sqref>N66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>
    <tabColor theme="3" tint="0.39997558519241921"/>
    <outlinePr summaryBelow="0" summaryRight="0"/>
  </sheetPr>
  <dimension ref="A1:V113"/>
  <sheetViews>
    <sheetView topLeftCell="A37" zoomScale="55" zoomScaleNormal="55" workbookViewId="0">
      <selection activeCell="B96" sqref="B96"/>
    </sheetView>
  </sheetViews>
  <sheetFormatPr defaultColWidth="11.09765625" defaultRowHeight="15.6" outlineLevelRow="2"/>
  <cols>
    <col min="1" max="1" width="10.09765625" style="26" customWidth="1"/>
    <col min="2" max="2" width="64.8984375" style="26" customWidth="1"/>
    <col min="3" max="3" width="20.59765625" style="26" customWidth="1"/>
    <col min="4" max="4" width="15.09765625" style="26" customWidth="1"/>
    <col min="5" max="5" width="14.59765625" style="26" customWidth="1"/>
    <col min="6" max="6" width="14.09765625" style="26" customWidth="1"/>
    <col min="7" max="7" width="16" style="26" hidden="1" customWidth="1"/>
    <col min="8" max="8" width="19.5" style="26" hidden="1" customWidth="1"/>
    <col min="9" max="9" width="17.09765625" style="26" customWidth="1"/>
    <col min="10" max="11" width="13.5" style="26" customWidth="1"/>
    <col min="12" max="12" width="16.09765625" style="26" customWidth="1"/>
    <col min="13" max="13" width="11.09765625" customWidth="1"/>
    <col min="14" max="14" width="18.59765625" style="26" customWidth="1"/>
    <col min="15" max="15" width="23.59765625" style="26" customWidth="1"/>
    <col min="16" max="16" width="18" style="26" customWidth="1"/>
    <col min="17" max="17" width="71" style="26" customWidth="1"/>
    <col min="18" max="18" width="11.5" style="26" customWidth="1"/>
    <col min="19" max="19" width="40.59765625" style="26" customWidth="1"/>
    <col min="20" max="20" width="19.09765625" style="26" customWidth="1"/>
    <col min="21" max="21" width="27.59765625" style="26" customWidth="1"/>
    <col min="22" max="22" width="15.59765625" style="26" customWidth="1"/>
    <col min="23" max="31" width="10.5" style="26" bestFit="1" customWidth="1"/>
    <col min="32" max="32" width="11.09765625" style="26" bestFit="1"/>
    <col min="33" max="16384" width="11.09765625" style="26"/>
  </cols>
  <sheetData>
    <row r="1" spans="2:14" ht="63.6" customHeight="1">
      <c r="B1" s="51" t="s">
        <v>69</v>
      </c>
      <c r="N1" s="26">
        <f>COUNTA(N2:N6987)</f>
        <v>54</v>
      </c>
    </row>
    <row r="40" spans="2:21" ht="18" thickBot="1">
      <c r="B40" s="28"/>
      <c r="G40" s="20">
        <f>Расчет!$F$2</f>
        <v>45017</v>
      </c>
      <c r="H40" s="20">
        <f>Расчет!$H$2</f>
        <v>45444</v>
      </c>
      <c r="I40" s="20" t="s">
        <v>731</v>
      </c>
      <c r="L40" s="29">
        <f ca="1">TODAY()</f>
        <v>46038</v>
      </c>
    </row>
    <row r="41" spans="2:21" ht="42" thickBot="1">
      <c r="B41" s="30" t="s">
        <v>21</v>
      </c>
      <c r="C41" s="31" t="s">
        <v>22</v>
      </c>
      <c r="D41" s="52" t="s">
        <v>10</v>
      </c>
      <c r="E41" s="53" t="s">
        <v>11</v>
      </c>
      <c r="F41" s="54" t="s">
        <v>12</v>
      </c>
      <c r="G41" s="55" t="s">
        <v>23</v>
      </c>
      <c r="H41" s="287" t="s">
        <v>23</v>
      </c>
      <c r="I41" s="287" t="s">
        <v>23</v>
      </c>
      <c r="J41" s="169">
        <v>2026</v>
      </c>
      <c r="K41" s="169" t="s">
        <v>638</v>
      </c>
      <c r="L41" s="33" t="s">
        <v>24</v>
      </c>
      <c r="N41" s="34"/>
      <c r="O41" s="34"/>
      <c r="P41" s="35"/>
    </row>
    <row r="42" spans="2:21">
      <c r="B42" s="25" t="str">
        <f>B49</f>
        <v>Персональные данные</v>
      </c>
      <c r="C42" s="25" t="str">
        <f>C49</f>
        <v>ПР</v>
      </c>
      <c r="D42" s="56">
        <f>AVERAGE('Нормативное соответствие'!D50:D73)</f>
        <v>5</v>
      </c>
      <c r="E42" s="57">
        <f>AVERAGE('Нормативное соответствие'!E50:E73)</f>
        <v>5</v>
      </c>
      <c r="F42" s="58">
        <f>AVERAGE('Нормативное соответствие'!F50:F73)</f>
        <v>5</v>
      </c>
      <c r="G42" s="59" t="e">
        <f>AVERAGE(G50:G73)</f>
        <v>#DIV/0!</v>
      </c>
      <c r="H42" s="59" t="e">
        <f>AVERAGE(H50:H73)</f>
        <v>#DIV/0!</v>
      </c>
      <c r="I42" s="59" t="e">
        <f>AVERAGE(I50:I73)</f>
        <v>#DIV/0!</v>
      </c>
      <c r="J42" s="326" t="e">
        <f>AVERAGE('Нормативное соответствие'!J50:J73)</f>
        <v>#DIV/0!</v>
      </c>
      <c r="K42" s="59">
        <f>AVERAGE('Нормативное соответствие'!K50:K73)</f>
        <v>5</v>
      </c>
      <c r="L42" s="59">
        <f>AVERAGE('Нормативное соответствие'!L50:L73)</f>
        <v>0.20833333333333334</v>
      </c>
      <c r="M42" s="119"/>
      <c r="N42" s="35"/>
      <c r="O42" s="35"/>
      <c r="P42" s="35"/>
    </row>
    <row r="43" spans="2:21">
      <c r="B43" s="25" t="str">
        <f>B74</f>
        <v>КИИ</v>
      </c>
      <c r="C43" s="25" t="str">
        <f>C74</f>
        <v>КИИ</v>
      </c>
      <c r="D43" s="56">
        <f>AVERAGE('Нормативное соответствие'!D75:D87)*IF(КИИ="да",1,0)</f>
        <v>0</v>
      </c>
      <c r="E43" s="57">
        <f>AVERAGE('Нормативное соответствие'!E75:E87)*IF(КИИ="да",1,0)</f>
        <v>0</v>
      </c>
      <c r="F43" s="58">
        <f>AVERAGE('Нормативное соответствие'!F75:F87)*IF(КИИ="да",1,0)</f>
        <v>0</v>
      </c>
      <c r="G43" s="59" t="e">
        <f>AVERAGE('Нормативное соответствие'!G75:G87)</f>
        <v>#DIV/0!</v>
      </c>
      <c r="H43" s="59" t="e">
        <f>AVERAGE('Нормативное соответствие'!H75:H87)</f>
        <v>#DIV/0!</v>
      </c>
      <c r="I43" s="59" t="e">
        <f>AVERAGE('Нормативное соответствие'!I75:I87)</f>
        <v>#DIV/0!</v>
      </c>
      <c r="J43" s="326" t="e">
        <f>AVERAGE('Нормативное соответствие'!J75:J87)</f>
        <v>#DIV/0!</v>
      </c>
      <c r="K43" s="59">
        <f>AVERAGE('Нормативное соответствие'!K75:K87)</f>
        <v>0</v>
      </c>
      <c r="L43" s="59">
        <f>AVERAGE('Нормативное соответствие'!L75:L87)</f>
        <v>0</v>
      </c>
      <c r="M43" s="119"/>
      <c r="N43" s="35"/>
      <c r="O43" s="35"/>
      <c r="P43" s="35"/>
    </row>
    <row r="44" spans="2:21">
      <c r="B44" s="25" t="str">
        <f>B90</f>
        <v>Коммерческая тайна</v>
      </c>
      <c r="C44" s="25" t="str">
        <f>C90</f>
        <v>КТ</v>
      </c>
      <c r="D44" s="56">
        <f>AVERAGE('Нормативное соответствие'!D91:D95)*IF(КТ="да",1,0)</f>
        <v>5</v>
      </c>
      <c r="E44" s="57">
        <f>AVERAGE('Нормативное соответствие'!E91:E95)*IF(КТ="да",1,0)</f>
        <v>5</v>
      </c>
      <c r="F44" s="58">
        <f>AVERAGE('Нормативное соответствие'!F91:F95)*IF(КТ="да",1,0)</f>
        <v>5</v>
      </c>
      <c r="G44" s="59" t="e">
        <f>AVERAGE('Нормативное соответствие'!G91:G95)</f>
        <v>#DIV/0!</v>
      </c>
      <c r="H44" s="59" t="e">
        <f>AVERAGE('Нормативное соответствие'!H91:H95)</f>
        <v>#DIV/0!</v>
      </c>
      <c r="I44" s="59" t="e">
        <f>AVERAGE('Нормативное соответствие'!I91:I95)</f>
        <v>#DIV/0!</v>
      </c>
      <c r="J44" s="326" t="e">
        <f>AVERAGE('Нормативное соответствие'!J91:J95)</f>
        <v>#DIV/0!</v>
      </c>
      <c r="K44" s="59">
        <f>AVERAGE('Нормативное соответствие'!K91:K95)</f>
        <v>5</v>
      </c>
      <c r="L44" s="59">
        <f>AVERAGE('Нормативное соответствие'!L91:L95)</f>
        <v>1</v>
      </c>
      <c r="M44" s="119"/>
      <c r="N44" s="35"/>
      <c r="O44" s="35"/>
      <c r="P44" s="35"/>
    </row>
    <row r="45" spans="2:21">
      <c r="B45" s="25" t="str">
        <f>B96</f>
        <v>Средства криптографической защиты информации (СКЗИ ГОСТ)</v>
      </c>
      <c r="C45" s="25" t="str">
        <f>C96</f>
        <v>СКЗИ</v>
      </c>
      <c r="D45" s="56">
        <f>AVERAGE('Нормативное соответствие'!D97:D106)*IF(СКЗИ="да",1,0)</f>
        <v>5</v>
      </c>
      <c r="E45" s="57">
        <f>AVERAGE('Нормативное соответствие'!E97:E106)*IF(СКЗИ="да",1,0)</f>
        <v>4.82</v>
      </c>
      <c r="F45" s="58">
        <f>AVERAGE('Нормативное соответствие'!F97:F106)*IF(СКЗИ="да",1,0)</f>
        <v>4.66</v>
      </c>
      <c r="G45" s="59" t="e">
        <f t="shared" ref="G45:L45" si="0">AVERAGE(G97:G106)</f>
        <v>#DIV/0!</v>
      </c>
      <c r="H45" s="59" t="e">
        <f t="shared" si="0"/>
        <v>#DIV/0!</v>
      </c>
      <c r="I45" s="59" t="e">
        <f t="shared" si="0"/>
        <v>#DIV/0!</v>
      </c>
      <c r="J45" s="326" t="e">
        <f>AVERAGE(J97:J106)</f>
        <v>#DIV/0!</v>
      </c>
      <c r="K45" s="59">
        <f t="shared" si="0"/>
        <v>4.66</v>
      </c>
      <c r="L45" s="59">
        <f t="shared" si="0"/>
        <v>0</v>
      </c>
      <c r="M45" s="119"/>
      <c r="N45" s="35"/>
      <c r="O45" s="35"/>
      <c r="P45" s="35"/>
    </row>
    <row r="46" spans="2:21" ht="16.2" thickBot="1">
      <c r="B46" s="37" t="str">
        <f>B107</f>
        <v>250 указ</v>
      </c>
      <c r="C46" s="530">
        <f>C107</f>
        <v>250</v>
      </c>
      <c r="D46" s="60">
        <f>AVERAGE('Нормативное соответствие'!D108:D113)*IF(КИИ="да",1,0)</f>
        <v>0</v>
      </c>
      <c r="E46" s="61">
        <f>AVERAGE('Нормативное соответствие'!E108:E113)*IF(КИИ="да",1,0)</f>
        <v>0</v>
      </c>
      <c r="F46" s="62">
        <f>AVERAGE('Нормативное соответствие'!F108:F113)*IF(КИИ="да",1,0)</f>
        <v>0</v>
      </c>
      <c r="G46" s="63" t="e">
        <f>AVERAGE('Нормативное соответствие'!G108:G113)</f>
        <v>#DIV/0!</v>
      </c>
      <c r="H46" s="63" t="e">
        <f>AVERAGE('Нормативное соответствие'!H108:H113)</f>
        <v>#DIV/0!</v>
      </c>
      <c r="I46" s="63" t="e">
        <f>AVERAGE('Нормативное соответствие'!I108:I113)</f>
        <v>#DIV/0!</v>
      </c>
      <c r="J46" s="327" t="e">
        <f>AVERAGE('Нормативное соответствие'!J108:J113)</f>
        <v>#DIV/0!</v>
      </c>
      <c r="K46" s="63">
        <f>AVERAGE('Нормативное соответствие'!K108:K113)</f>
        <v>0.43402777777777785</v>
      </c>
      <c r="L46" s="63">
        <f>AVERAGE('Нормативное соответствие'!L108:L113)</f>
        <v>0.48611111111111116</v>
      </c>
      <c r="M46" s="119"/>
      <c r="N46" s="35"/>
      <c r="O46" s="35"/>
      <c r="P46" s="35"/>
    </row>
    <row r="47" spans="2:21">
      <c r="B47" s="35"/>
      <c r="C47" s="35"/>
      <c r="D47" s="143"/>
      <c r="E47" s="144"/>
      <c r="F47" s="145"/>
      <c r="G47" s="146"/>
      <c r="H47" s="146"/>
      <c r="I47" s="146"/>
      <c r="J47" s="146"/>
      <c r="K47" s="146"/>
      <c r="L47" s="146"/>
      <c r="M47" s="119"/>
      <c r="N47" s="35"/>
      <c r="O47" s="35"/>
      <c r="P47" s="35"/>
    </row>
    <row r="48" spans="2:21" ht="32.1" customHeight="1">
      <c r="B48" s="35"/>
      <c r="C48" s="35"/>
      <c r="D48" s="42"/>
      <c r="E48" s="42"/>
      <c r="F48" s="42"/>
      <c r="G48" s="42"/>
      <c r="H48" s="35"/>
      <c r="I48" s="35"/>
      <c r="J48" s="35"/>
      <c r="K48" s="35"/>
      <c r="L48" s="35"/>
      <c r="M48" s="100" t="s">
        <v>444</v>
      </c>
      <c r="N48" s="35"/>
      <c r="O48" s="361"/>
      <c r="P48" s="366" t="s">
        <v>588</v>
      </c>
      <c r="Q48" s="366" t="s">
        <v>589</v>
      </c>
      <c r="R48" s="367" t="s">
        <v>588</v>
      </c>
      <c r="S48" s="367" t="s">
        <v>590</v>
      </c>
      <c r="T48" s="367" t="s">
        <v>588</v>
      </c>
      <c r="U48" s="366" t="s">
        <v>591</v>
      </c>
    </row>
    <row r="49" spans="2:22" ht="40.35" customHeight="1">
      <c r="B49" s="43" t="s">
        <v>72</v>
      </c>
      <c r="C49" s="44" t="s">
        <v>39</v>
      </c>
      <c r="D49" s="44"/>
      <c r="E49" s="44"/>
      <c r="F49" s="44"/>
      <c r="G49" s="50"/>
      <c r="H49" s="44"/>
      <c r="I49" s="44"/>
      <c r="J49" s="44"/>
      <c r="K49" s="44"/>
      <c r="L49" s="44"/>
      <c r="M49" s="44"/>
      <c r="N49" s="44"/>
      <c r="O49" s="44"/>
      <c r="P49" s="366">
        <f>VLOOKUP(B49,Приоритет!$G$9:$K$52,5,0)</f>
        <v>26</v>
      </c>
      <c r="Q49" s="44" t="s">
        <v>596</v>
      </c>
      <c r="R49" s="44">
        <f>P49+200</f>
        <v>226</v>
      </c>
      <c r="S49" s="44" t="s">
        <v>596</v>
      </c>
      <c r="T49" s="44">
        <f>P49+300</f>
        <v>326</v>
      </c>
      <c r="U49" s="44" t="s">
        <v>596</v>
      </c>
      <c r="V49" s="285"/>
    </row>
    <row r="50" spans="2:22" ht="129" customHeight="1" outlineLevel="2">
      <c r="B50" s="46" t="s">
        <v>773</v>
      </c>
      <c r="C50" s="46" t="s">
        <v>784</v>
      </c>
      <c r="D50" s="39">
        <v>5</v>
      </c>
      <c r="E50" s="40">
        <v>5</v>
      </c>
      <c r="F50" s="41">
        <v>5</v>
      </c>
      <c r="G50" s="47"/>
      <c r="H50" s="47"/>
      <c r="I50" s="47"/>
      <c r="J50" s="324"/>
      <c r="K50" s="41">
        <v>5</v>
      </c>
      <c r="L50" s="47">
        <f t="shared" ref="L50:L73" si="1">VALUE(LEFT(N50,3))</f>
        <v>5</v>
      </c>
      <c r="M50">
        <f t="shared" ref="M50:M100" si="2">L50-K50</f>
        <v>0</v>
      </c>
      <c r="N50" s="66" t="s">
        <v>284</v>
      </c>
      <c r="O50" s="35"/>
      <c r="P50" s="364">
        <f>P49+0.01</f>
        <v>26.01</v>
      </c>
      <c r="Q50" s="304" t="str">
        <f>IF(($L50-$F50)&gt;=0,"",
" -  Разработать и утвердить Политику по обработке персональных данных в Обществе 
   -  Обеспечить регулярную проверку актуальности Политики по обработке персональных данных в Обществе и её соответствия действующим нормам законодательства")</f>
        <v/>
      </c>
      <c r="R50" s="364">
        <f>R49+0.01</f>
        <v>226.01</v>
      </c>
      <c r="S50" s="249" t="str">
        <f>IF(($L50-$E50)&gt;=0,"","")</f>
        <v/>
      </c>
      <c r="T50" s="364">
        <f>T49+0.01</f>
        <v>326.01</v>
      </c>
      <c r="U50" s="249" t="str">
        <f>IF(($L50-$D50)&gt;=0,"","")</f>
        <v/>
      </c>
    </row>
    <row r="51" spans="2:22" ht="80.099999999999994" customHeight="1" outlineLevel="2">
      <c r="B51" s="46" t="s">
        <v>865</v>
      </c>
      <c r="C51" s="46" t="s">
        <v>785</v>
      </c>
      <c r="D51" s="39">
        <v>5</v>
      </c>
      <c r="E51" s="40">
        <v>5</v>
      </c>
      <c r="F51" s="41">
        <v>5</v>
      </c>
      <c r="G51" s="47"/>
      <c r="H51" s="47"/>
      <c r="I51" s="47"/>
      <c r="J51" s="324"/>
      <c r="K51" s="41">
        <v>5</v>
      </c>
      <c r="L51" s="47">
        <f t="shared" si="1"/>
        <v>0</v>
      </c>
      <c r="M51">
        <f t="shared" si="2"/>
        <v>-5</v>
      </c>
      <c r="N51" s="66" t="s">
        <v>283</v>
      </c>
      <c r="O51" s="35"/>
      <c r="P51" s="364">
        <f t="shared" ref="P51:P73" si="3">P50+0.01</f>
        <v>26.020000000000003</v>
      </c>
      <c r="Q51" s="304" t="str">
        <f>IF(($L51-$F51)&gt;=0,"",
"  -  Разместить Политику по обработке персональных данных в Организации (или выписку из неё) на веб-сайте Организации;
    -  Разместить печатную версию Политики по обработке персональных данных в Организации в общедоступной части офиса Организации;"&amp;"
    -  Обеспечить ознакомление всех работников Организации с Политикой по обработке персональных"&amp;" данных в Организации (с возможностью подтверждения такого ознакомления - посредством системы электронного документооборота или под роспись на бумажном носителе")</f>
        <v xml:space="preserve">  -  Разместить Политику по обработке персональных данных в Организации (или выписку из неё) на веб-сайте Организации;
    -  Разместить печатную версию Политики по обработке персональных данных в Организации в общедоступной части офиса Организации;
    -  Обеспечить ознакомление всех работников Организации с Политикой по обработке персональных данных в Организации (с возможностью подтверждения такого ознакомления - посредством системы электронного документооборота или под роспись на бумажном носителе</v>
      </c>
      <c r="R51" s="364">
        <f t="shared" ref="R51:R73" si="4">R50+0.01</f>
        <v>226.01999999999998</v>
      </c>
      <c r="S51" s="249" t="str">
        <f t="shared" ref="S51:S73" si="5">IF(($L51-$E51)&gt;=0,"","")</f>
        <v/>
      </c>
      <c r="T51" s="364">
        <f t="shared" ref="T51:T73" si="6">T50+0.01</f>
        <v>326.02</v>
      </c>
      <c r="U51" s="249" t="str">
        <f t="shared" ref="U51:U73" si="7">IF(($L51-$D51)&gt;=0,"","")</f>
        <v/>
      </c>
    </row>
    <row r="52" spans="2:22" s="257" customFormat="1" ht="55.65" customHeight="1" outlineLevel="2">
      <c r="B52" s="46" t="s">
        <v>782</v>
      </c>
      <c r="C52" s="46" t="s">
        <v>786</v>
      </c>
      <c r="D52" s="39">
        <v>5</v>
      </c>
      <c r="E52" s="40">
        <v>5</v>
      </c>
      <c r="F52" s="41">
        <v>5</v>
      </c>
      <c r="G52" s="47"/>
      <c r="H52" s="47"/>
      <c r="I52" s="47"/>
      <c r="J52" s="324"/>
      <c r="K52" s="41">
        <v>5</v>
      </c>
      <c r="L52" s="47">
        <f>VALUE(LEFT(N52,3))</f>
        <v>0</v>
      </c>
      <c r="M52">
        <f>L52-K52</f>
        <v>-5</v>
      </c>
      <c r="N52" s="66" t="s">
        <v>283</v>
      </c>
      <c r="O52" s="35"/>
      <c r="P52" s="364">
        <f t="shared" si="3"/>
        <v>26.030000000000005</v>
      </c>
      <c r="Q52" s="304" t="str">
        <f>IF(($L52-$F52)&gt;=0,"",
"  -  Разработать и утвердить Приказ о назначении лица, ответственного за организацию обработки персональных данных.")</f>
        <v xml:space="preserve">  -  Разработать и утвердить Приказ о назначении лица, ответственного за организацию обработки персональных данных.</v>
      </c>
      <c r="R52" s="364">
        <f t="shared" si="4"/>
        <v>226.02999999999997</v>
      </c>
      <c r="S52" s="249" t="str">
        <f>IF(($L52-$E52)&gt;=0,"","")</f>
        <v/>
      </c>
      <c r="T52" s="364">
        <f t="shared" si="6"/>
        <v>326.02999999999997</v>
      </c>
      <c r="U52" s="249" t="str">
        <f>IF(($L52-$D52)&gt;=0,"","")</f>
        <v/>
      </c>
      <c r="V52" s="26"/>
    </row>
    <row r="53" spans="2:22" ht="68.400000000000006" customHeight="1" outlineLevel="2">
      <c r="B53" s="46" t="s">
        <v>761</v>
      </c>
      <c r="C53" s="46" t="s">
        <v>787</v>
      </c>
      <c r="D53" s="39">
        <v>5</v>
      </c>
      <c r="E53" s="40">
        <v>5</v>
      </c>
      <c r="F53" s="41">
        <v>5</v>
      </c>
      <c r="G53" s="47"/>
      <c r="H53" s="47"/>
      <c r="I53" s="47"/>
      <c r="J53" s="324"/>
      <c r="K53" s="41">
        <v>5</v>
      </c>
      <c r="L53" s="47">
        <f t="shared" si="1"/>
        <v>0</v>
      </c>
      <c r="M53">
        <f t="shared" si="2"/>
        <v>-5</v>
      </c>
      <c r="N53" s="66" t="s">
        <v>283</v>
      </c>
      <c r="O53" s="35"/>
      <c r="P53" s="364">
        <f t="shared" si="3"/>
        <v>26.040000000000006</v>
      </c>
      <c r="Q53" s="304" t="str">
        <f>IF(($L53-$F53)&gt;=0,"",
" - Разработать и направить в Роскомнадзор Уведомление об обработке персональных данных")</f>
        <v xml:space="preserve"> - Разработать и направить в Роскомнадзор Уведомление об обработке персональных данных</v>
      </c>
      <c r="R53" s="364">
        <f t="shared" si="4"/>
        <v>226.03999999999996</v>
      </c>
      <c r="S53" s="249" t="str">
        <f t="shared" si="5"/>
        <v/>
      </c>
      <c r="T53" s="364">
        <f t="shared" si="6"/>
        <v>326.03999999999996</v>
      </c>
      <c r="U53" s="249" t="str">
        <f t="shared" si="7"/>
        <v/>
      </c>
    </row>
    <row r="54" spans="2:22" ht="137.1" customHeight="1" outlineLevel="2">
      <c r="B54" s="46" t="s">
        <v>922</v>
      </c>
      <c r="C54" s="46" t="s">
        <v>788</v>
      </c>
      <c r="D54" s="39">
        <v>5</v>
      </c>
      <c r="E54" s="40">
        <v>5</v>
      </c>
      <c r="F54" s="41">
        <v>5</v>
      </c>
      <c r="G54" s="47"/>
      <c r="H54" s="47"/>
      <c r="I54" s="47"/>
      <c r="J54" s="324"/>
      <c r="K54" s="41">
        <v>5</v>
      </c>
      <c r="L54" s="47">
        <f t="shared" si="1"/>
        <v>0</v>
      </c>
      <c r="M54">
        <f t="shared" si="2"/>
        <v>-5</v>
      </c>
      <c r="N54" s="66" t="s">
        <v>283</v>
      </c>
      <c r="O54" s="35"/>
      <c r="P54" s="364">
        <f t="shared" si="3"/>
        <v>26.050000000000008</v>
      </c>
      <c r="Q54" s="304" t="str">
        <f>IF(($L54-$F54)&gt;=0,"",
" -  Провести процедуру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организации;"&amp;"
  -  В случае выявления необходимости, актуализировать и направить повторно Уведомление в Роскомнадзор;"&amp;"
  -  Запланировать регулярный процесс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 и подачи актуальных сведений в Роскомнадзор")</f>
        <v xml:space="preserve"> -  Провести процедуру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организации;
  -  В случае выявления необходимости, актуализировать и направить повторно Уведомление в Роскомнадзор;
  -  Запланировать регулярный процесс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 и подачи актуальных сведений в Роскомнадзор</v>
      </c>
      <c r="R54" s="364">
        <f t="shared" si="4"/>
        <v>226.04999999999995</v>
      </c>
      <c r="S54" s="249" t="str">
        <f t="shared" si="5"/>
        <v/>
      </c>
      <c r="T54" s="364">
        <f t="shared" si="6"/>
        <v>326.04999999999995</v>
      </c>
      <c r="U54" s="249" t="str">
        <f t="shared" si="7"/>
        <v/>
      </c>
    </row>
    <row r="55" spans="2:22" ht="107.4" customHeight="1" outlineLevel="2">
      <c r="B55" s="46" t="s">
        <v>762</v>
      </c>
      <c r="C55" s="46" t="s">
        <v>789</v>
      </c>
      <c r="D55" s="39">
        <v>5</v>
      </c>
      <c r="E55" s="40">
        <v>5</v>
      </c>
      <c r="F55" s="41">
        <v>5</v>
      </c>
      <c r="G55" s="47"/>
      <c r="H55" s="47"/>
      <c r="I55" s="47"/>
      <c r="J55" s="324"/>
      <c r="K55" s="41">
        <v>5</v>
      </c>
      <c r="L55" s="47">
        <f t="shared" si="1"/>
        <v>0</v>
      </c>
      <c r="M55">
        <f t="shared" si="2"/>
        <v>-5</v>
      </c>
      <c r="N55" s="66" t="s">
        <v>256</v>
      </c>
      <c r="O55" s="35"/>
      <c r="P55" s="364">
        <f t="shared" si="3"/>
        <v>26.060000000000009</v>
      </c>
      <c r="Q55" s="304" t="str">
        <f>IF(($L55-$F55)&gt;=0,"",
" - Провести процедуру определения оснований для обработки персональных данных для каждой заявленной в ВНД организации цели их обработки;"&amp;"
   -  Разработать формы Согласия на обработку персональных данных от субъекта персональных данных для всех случаев (целей) обработки персональных данных в организации, для которых отсутствует иное законное основание;"&amp;"
   -  Обеспечить сбор Согласий на обработку персональных данных от субъектов персональных данных согласно разработанным формам;"&amp;"
   - Разработать процесс учета и хранения Согласий на обработку персональных данных от субъектов персональных данных для всех случаев (целей) обработки персональных данных в организации")</f>
        <v xml:space="preserve"> - Провести процедуру определения оснований для обработки персональных данных для каждой заявленной в ВНД организации цели их обработки;
   -  Разработать формы Согласия на обработку персональных данных от субъекта персональных данных для всех случаев (целей) обработки персональных данных в организации, для которых отсутствует иное законное основание;
   -  Обеспечить сбор Согласий на обработку персональных данных от субъектов персональных данных согласно разработанным формам;
   - Разработать процесс учета и хранения Согласий на обработку персональных данных от субъектов персональных данных для всех случаев (целей) обработки персональных данных в организации</v>
      </c>
      <c r="R55" s="364">
        <f t="shared" si="4"/>
        <v>226.05999999999995</v>
      </c>
      <c r="S55" s="249" t="str">
        <f t="shared" si="5"/>
        <v/>
      </c>
      <c r="T55" s="364">
        <f t="shared" si="6"/>
        <v>326.05999999999995</v>
      </c>
      <c r="U55" s="249" t="str">
        <f t="shared" si="7"/>
        <v/>
      </c>
    </row>
    <row r="56" spans="2:22" ht="233.1" customHeight="1" outlineLevel="2">
      <c r="B56" s="46" t="s">
        <v>783</v>
      </c>
      <c r="C56" s="46" t="s">
        <v>790</v>
      </c>
      <c r="D56" s="39">
        <v>5</v>
      </c>
      <c r="E56" s="40">
        <v>5</v>
      </c>
      <c r="F56" s="41">
        <v>5</v>
      </c>
      <c r="G56" s="47"/>
      <c r="H56" s="47"/>
      <c r="I56" s="47"/>
      <c r="J56" s="324"/>
      <c r="K56" s="41">
        <v>5</v>
      </c>
      <c r="L56" s="47">
        <f t="shared" si="1"/>
        <v>0</v>
      </c>
      <c r="M56">
        <f t="shared" si="2"/>
        <v>-5</v>
      </c>
      <c r="N56" s="66" t="s">
        <v>283</v>
      </c>
      <c r="O56" s="35"/>
      <c r="P56" s="364">
        <f t="shared" si="3"/>
        <v>26.070000000000011</v>
      </c>
      <c r="Q56" s="304" t="str">
        <f>IF(($L56-$F56)&gt;=0,"",
" -  Разработать или получить в Блоке ИБ ПАО Ростелеком типовую форму Согласия на передачу персональных данных работника;"&amp;"
   -  Провести аудит процессов обработки персональных данных работников с целью выявления случаев их передачи третьим лицам;"&amp;"
   -  Проанализировать выявленные случаи передачи персональных данных работников третьим лицам на предмет отсеивания случаев, когда такая передача осуществляется в целях соблюдения законодательства Российской федерации;"&amp;"
   -  Адаптировать форму Согласия на передачу персональных данных работника для выявленных случаев, не имеющих правовых оснований для передачи;"&amp;"
   -  Разработать процесс учета и хранения Согласий на передачу персональных данных работников третьим лицам;"&amp;"
   -  Разработать и внедрить процедуру адаптации формы Согласия на передачу персональных данных работников третьим лицам для всех вновь возникающих в организации случаев такой передачи.")</f>
        <v xml:space="preserve"> -  Разработать или получить в Блоке ИБ ПАО Ростелеком типовую форму Согласия на передачу персональных данных работника;
   -  Провести аудит процессов обработки персональных данных работников с целью выявления случаев их передачи третьим лицам;
   -  Проанализировать выявленные случаи передачи персональных данных работников третьим лицам на предмет отсеивания случаев, когда такая передача осуществляется в целях соблюдения законодательства Российской федерации;
   -  Адаптировать форму Согласия на передачу персональных данных работника для выявленных случаев, не имеющих правовых оснований для передачи;
   -  Разработать процесс учета и хранения Согласий на передачу персональных данных работников третьим лицам;
   -  Разработать и внедрить процедуру адаптации формы Согласия на передачу персональных данных работников третьим лицам для всех вновь возникающих в организации случаев такой передачи.</v>
      </c>
      <c r="R56" s="364">
        <f t="shared" si="4"/>
        <v>226.06999999999994</v>
      </c>
      <c r="S56" s="249" t="str">
        <f t="shared" si="5"/>
        <v/>
      </c>
      <c r="T56" s="364">
        <f t="shared" si="6"/>
        <v>326.06999999999994</v>
      </c>
      <c r="U56" s="249" t="str">
        <f t="shared" si="7"/>
        <v/>
      </c>
    </row>
    <row r="57" spans="2:22" ht="92.25" customHeight="1" outlineLevel="2">
      <c r="B57" s="46" t="s">
        <v>73</v>
      </c>
      <c r="C57" s="46" t="s">
        <v>791</v>
      </c>
      <c r="D57" s="39">
        <v>5</v>
      </c>
      <c r="E57" s="40">
        <v>5</v>
      </c>
      <c r="F57" s="41">
        <v>5</v>
      </c>
      <c r="G57" s="47"/>
      <c r="H57" s="47"/>
      <c r="I57" s="47"/>
      <c r="J57" s="324"/>
      <c r="K57" s="41">
        <v>5</v>
      </c>
      <c r="L57" s="47">
        <f t="shared" si="1"/>
        <v>0</v>
      </c>
      <c r="M57">
        <f t="shared" si="2"/>
        <v>-5</v>
      </c>
      <c r="N57" s="66" t="s">
        <v>283</v>
      </c>
      <c r="O57" s="35"/>
      <c r="P57" s="364">
        <f t="shared" si="3"/>
        <v>26.080000000000013</v>
      </c>
      <c r="Q57" s="304" t="str">
        <f>IF(($L57-$F57)&gt;=0,"",
" - Разработать Порядок отзыва субъектом персональных данных  согласия на обработку его персональных данных, определяющий процедуру и сроки прекращения обработки"&amp;" его персональных данных (блокирование, уничтожение) в случае невозможности обеспечения правомерности дальнейшей их обработки")</f>
        <v xml:space="preserve"> - Разработать Порядок отзыва субъектом персональных данных  согласия на обработку его персональных данных, определяющий процедуру и сроки прекращения обработки его персональных данных (блокирование, уничтожение) в случае невозможности обеспечения правомерности дальнейшей их обработки</v>
      </c>
      <c r="R57" s="364">
        <f t="shared" si="4"/>
        <v>226.07999999999993</v>
      </c>
      <c r="S57" s="249" t="str">
        <f t="shared" si="5"/>
        <v/>
      </c>
      <c r="T57" s="364">
        <f t="shared" si="6"/>
        <v>326.07999999999993</v>
      </c>
      <c r="U57" s="249" t="str">
        <f t="shared" si="7"/>
        <v/>
      </c>
    </row>
    <row r="58" spans="2:22" ht="122.1" customHeight="1" outlineLevel="2">
      <c r="B58" s="46" t="s">
        <v>763</v>
      </c>
      <c r="C58" s="46" t="s">
        <v>792</v>
      </c>
      <c r="D58" s="39">
        <v>5</v>
      </c>
      <c r="E58" s="40">
        <v>5</v>
      </c>
      <c r="F58" s="41">
        <v>5</v>
      </c>
      <c r="G58" s="47"/>
      <c r="H58" s="47"/>
      <c r="I58" s="47"/>
      <c r="J58" s="324"/>
      <c r="K58" s="41">
        <v>5</v>
      </c>
      <c r="L58" s="47">
        <f t="shared" si="1"/>
        <v>0</v>
      </c>
      <c r="M58">
        <f t="shared" si="2"/>
        <v>-5</v>
      </c>
      <c r="N58" s="66" t="s">
        <v>283</v>
      </c>
      <c r="O58" s="35"/>
      <c r="P58" s="364">
        <f t="shared" si="3"/>
        <v>26.090000000000014</v>
      </c>
      <c r="Q58" s="304" t="str">
        <f>IF(($L58-$F58)&gt;=0,"",
" -  Разработать или получить в Блоке ИБ ПАО Ростелеком типовую форму Обязательства о неразглашении конфиденциальной информации (персональных данных);"&amp;"
   -  Разработать процесс сбора Обязательств о неразглашении конфиденциальной информации (персональных данных) с  вновь устроившихся работников организации, либо подтверждения их ознакомления в с требованием о неразглашении в иной форме")</f>
        <v xml:space="preserve"> -  Разработать или получить в Блоке ИБ ПАО Ростелеком типовую форму Обязательства о неразглашении конфиденциальной информации (персональных данных);
   -  Разработать процесс сбора Обязательств о неразглашении конфиденциальной информации (персональных данных) с  вновь устроившихся работников организации, либо подтверждения их ознакомления в с требованием о неразглашении в иной форме</v>
      </c>
      <c r="R58" s="364">
        <f t="shared" si="4"/>
        <v>226.08999999999992</v>
      </c>
      <c r="S58" s="249" t="str">
        <f t="shared" si="5"/>
        <v/>
      </c>
      <c r="T58" s="364">
        <f t="shared" si="6"/>
        <v>326.08999999999992</v>
      </c>
      <c r="U58" s="249" t="str">
        <f t="shared" si="7"/>
        <v/>
      </c>
    </row>
    <row r="59" spans="2:22" ht="171.75" customHeight="1" outlineLevel="2">
      <c r="B59" s="46" t="s">
        <v>806</v>
      </c>
      <c r="C59" s="46" t="s">
        <v>793</v>
      </c>
      <c r="D59" s="39">
        <v>5</v>
      </c>
      <c r="E59" s="40">
        <v>5</v>
      </c>
      <c r="F59" s="41">
        <v>5</v>
      </c>
      <c r="G59" s="47"/>
      <c r="H59" s="47"/>
      <c r="I59" s="47"/>
      <c r="J59" s="324"/>
      <c r="K59" s="41">
        <v>5</v>
      </c>
      <c r="L59" s="47">
        <f t="shared" si="1"/>
        <v>0</v>
      </c>
      <c r="M59">
        <f t="shared" si="2"/>
        <v>-5</v>
      </c>
      <c r="N59" s="66" t="s">
        <v>283</v>
      </c>
      <c r="O59" s="35"/>
      <c r="P59" s="370">
        <f t="shared" si="3"/>
        <v>26.100000000000016</v>
      </c>
      <c r="Q59" s="304" t="str">
        <f>IF(($L59-$F59)&gt;=0,"",
" Разработать нормативный документ, в котором определены угрозы безопасности ПДн при их обработке;"&amp;""
)</f>
        <v xml:space="preserve"> Разработать нормативный документ, в котором определены угрозы безопасности ПДн при их обработке;</v>
      </c>
      <c r="R59" s="370">
        <f t="shared" si="4"/>
        <v>226.09999999999991</v>
      </c>
      <c r="S59" s="249" t="str">
        <f t="shared" si="5"/>
        <v/>
      </c>
      <c r="T59" s="370">
        <f t="shared" si="6"/>
        <v>326.09999999999991</v>
      </c>
      <c r="U59" s="249" t="str">
        <f t="shared" si="7"/>
        <v/>
      </c>
    </row>
    <row r="60" spans="2:22" ht="97.65" customHeight="1" outlineLevel="2">
      <c r="B60" s="46" t="s">
        <v>764</v>
      </c>
      <c r="C60" s="46" t="s">
        <v>794</v>
      </c>
      <c r="D60" s="39">
        <v>5</v>
      </c>
      <c r="E60" s="40">
        <v>5</v>
      </c>
      <c r="F60" s="41">
        <v>5</v>
      </c>
      <c r="G60" s="47"/>
      <c r="H60" s="47"/>
      <c r="I60" s="47"/>
      <c r="J60" s="324"/>
      <c r="K60" s="41">
        <v>5</v>
      </c>
      <c r="L60" s="47">
        <f t="shared" si="1"/>
        <v>0</v>
      </c>
      <c r="M60">
        <f t="shared" si="2"/>
        <v>-5</v>
      </c>
      <c r="N60" s="66" t="s">
        <v>283</v>
      </c>
      <c r="O60" s="35"/>
      <c r="P60" s="364">
        <f t="shared" si="3"/>
        <v>26.110000000000017</v>
      </c>
      <c r="Q60" s="304" t="str">
        <f>IF(($L60-$F60)&gt;=0,"",
" - Разработать и направить в Роскомнадзор Уведомление намерении осуществлять трансграничную передачу персональных данных (при наличии такого вида обработки);"&amp;"
  -  Разработать процесс внесения изменений в Уведомление Роскомнадзора о намерении осуществлять трансграничную передачу персональных данных для всех новых организуемых бизнес-процессов, предусматривающих трансграничную передачу персональных данных ")</f>
        <v xml:space="preserve"> - Разработать и направить в Роскомнадзор Уведомление намерении осуществлять трансграничную передачу персональных данных (при наличии такого вида обработки);
  -  Разработать процесс внесения изменений в Уведомление Роскомнадзора о намерении осуществлять трансграничную передачу персональных данных для всех новых организуемых бизнес-процессов, предусматривающих трансграничную передачу персональных данных </v>
      </c>
      <c r="R60" s="364">
        <f t="shared" si="4"/>
        <v>226.1099999999999</v>
      </c>
      <c r="S60" s="249" t="str">
        <f t="shared" si="5"/>
        <v/>
      </c>
      <c r="T60" s="364">
        <f t="shared" si="6"/>
        <v>326.1099999999999</v>
      </c>
      <c r="U60" s="249" t="str">
        <f t="shared" si="7"/>
        <v/>
      </c>
    </row>
    <row r="61" spans="2:22" ht="167.4" customHeight="1" outlineLevel="2">
      <c r="B61" s="46" t="s">
        <v>765</v>
      </c>
      <c r="C61" s="46" t="s">
        <v>795</v>
      </c>
      <c r="D61" s="39">
        <v>5</v>
      </c>
      <c r="E61" s="40">
        <v>5</v>
      </c>
      <c r="F61" s="41">
        <v>5</v>
      </c>
      <c r="G61" s="47"/>
      <c r="H61" s="47"/>
      <c r="I61" s="47"/>
      <c r="J61" s="324"/>
      <c r="K61" s="41">
        <v>5</v>
      </c>
      <c r="L61" s="47">
        <f t="shared" si="1"/>
        <v>0</v>
      </c>
      <c r="M61">
        <f t="shared" si="2"/>
        <v>-5</v>
      </c>
      <c r="N61" s="66" t="s">
        <v>283</v>
      </c>
      <c r="O61" s="35"/>
      <c r="P61" s="364">
        <f t="shared" si="3"/>
        <v>26.120000000000019</v>
      </c>
      <c r="Q61" s="304" t="str">
        <f>IF(($L61-$F61)&gt;=0,"",
" - Провести аудит фактического размещения баз данных, обеспечивающих систематизацию, накопление, хранение, уточнение (обновления, изменения), извлечение персональных данных граждан РФ;"&amp;"
   -  В случае выявления баз данных, размещенных за пределами территории РФ, запланировать модернизацию инфраструктуры, предусматривающую релокацию таких баз;"&amp;"
   -  Разработать процесс учета всех баз данных организации, обеспечивающих систематизацию, накопление, хранение, уточнение (обновления, изменения), извлечение персональных данных, с указанием их местонахождения")</f>
        <v xml:space="preserve"> - Провести аудит фактического размещения баз данных, обеспечивающих систематизацию, накопление, хранение, уточнение (обновления, изменения), извлечение персональных данных граждан РФ;
   -  В случае выявления баз данных, размещенных за пределами территории РФ, запланировать модернизацию инфраструктуры, предусматривающую релокацию таких баз;
   -  Разработать процесс учета всех баз данных организации, обеспечивающих систематизацию, накопление, хранение, уточнение (обновления, изменения), извлечение персональных данных, с указанием их местонахождения</v>
      </c>
      <c r="R61" s="364">
        <f t="shared" si="4"/>
        <v>226.11999999999989</v>
      </c>
      <c r="S61" s="249" t="str">
        <f t="shared" si="5"/>
        <v/>
      </c>
      <c r="T61" s="364">
        <f t="shared" si="6"/>
        <v>326.11999999999989</v>
      </c>
      <c r="U61" s="249" t="str">
        <f t="shared" si="7"/>
        <v/>
      </c>
    </row>
    <row r="62" spans="2:22" ht="54" customHeight="1" outlineLevel="2">
      <c r="B62" s="46" t="s">
        <v>766</v>
      </c>
      <c r="C62" s="46" t="s">
        <v>796</v>
      </c>
      <c r="D62" s="39">
        <v>5</v>
      </c>
      <c r="E62" s="40">
        <v>5</v>
      </c>
      <c r="F62" s="41">
        <v>5</v>
      </c>
      <c r="G62" s="47"/>
      <c r="H62" s="47"/>
      <c r="I62" s="47"/>
      <c r="J62" s="324"/>
      <c r="K62" s="41">
        <v>5</v>
      </c>
      <c r="L62" s="47">
        <f t="shared" si="1"/>
        <v>0</v>
      </c>
      <c r="M62">
        <f t="shared" si="2"/>
        <v>-5</v>
      </c>
      <c r="N62" s="66" t="s">
        <v>283</v>
      </c>
      <c r="O62" s="35"/>
      <c r="P62" s="364">
        <f t="shared" si="3"/>
        <v>26.13000000000002</v>
      </c>
      <c r="Q62" s="304" t="str">
        <f>IF(($L62-$F62)&gt;=0,"",
" - Разработать и утвердить ВНД, определяющий угрозы безопасности персональных данных при их обработке в организации;"&amp;"
   -  Убедиться, что для всех информационных систем персональных данных организации определены угрозы безопасности персональных данных")</f>
        <v xml:space="preserve"> - Разработать и утвердить ВНД, определяющий угрозы безопасности персональных данных при их обработке в организации;
   -  Убедиться, что для всех информационных систем персональных данных организации определены угрозы безопасности персональных данных</v>
      </c>
      <c r="R62" s="364">
        <f t="shared" si="4"/>
        <v>226.12999999999988</v>
      </c>
      <c r="S62" s="249" t="str">
        <f t="shared" si="5"/>
        <v/>
      </c>
      <c r="T62" s="364">
        <f t="shared" si="6"/>
        <v>326.12999999999988</v>
      </c>
      <c r="U62" s="249" t="str">
        <f t="shared" si="7"/>
        <v/>
      </c>
    </row>
    <row r="63" spans="2:22" ht="113.85" customHeight="1" outlineLevel="2">
      <c r="B63" s="46" t="s">
        <v>74</v>
      </c>
      <c r="C63" s="46" t="s">
        <v>797</v>
      </c>
      <c r="D63" s="39">
        <v>5</v>
      </c>
      <c r="E63" s="40">
        <v>5</v>
      </c>
      <c r="F63" s="41">
        <v>5</v>
      </c>
      <c r="G63" s="47"/>
      <c r="H63" s="47"/>
      <c r="I63" s="47"/>
      <c r="J63" s="324"/>
      <c r="K63" s="41">
        <v>5</v>
      </c>
      <c r="L63" s="47">
        <f t="shared" si="1"/>
        <v>0</v>
      </c>
      <c r="M63">
        <f t="shared" si="2"/>
        <v>-5</v>
      </c>
      <c r="N63" s="66" t="s">
        <v>283</v>
      </c>
      <c r="O63" s="35"/>
      <c r="P63" s="364">
        <f t="shared" si="3"/>
        <v>26.140000000000022</v>
      </c>
      <c r="Q63" s="304" t="str">
        <f>IF(($L63-$F63)&gt;=0,"",
" - Разработать и утвердить ВНД, определяющий порядок использования съемных носителей информации, в т.ч. правила их учета;"&amp;" 
   - Запланировать регулярный процесс контроля ведения учета съемных носителей информации")</f>
        <v xml:space="preserve"> - Разработать и утвердить ВНД, определяющий порядок использования съемных носителей информации, в т.ч. правила их учета; 
   - Запланировать регулярный процесс контроля ведения учета съемных носителей информации</v>
      </c>
      <c r="R63" s="364">
        <f t="shared" si="4"/>
        <v>226.13999999999987</v>
      </c>
      <c r="S63" s="249" t="str">
        <f t="shared" si="5"/>
        <v/>
      </c>
      <c r="T63" s="364">
        <f t="shared" si="6"/>
        <v>326.13999999999987</v>
      </c>
      <c r="U63" s="249" t="str">
        <f t="shared" si="7"/>
        <v/>
      </c>
    </row>
    <row r="64" spans="2:22" ht="156.6" customHeight="1" outlineLevel="2">
      <c r="B64" s="46" t="s">
        <v>923</v>
      </c>
      <c r="C64" s="46" t="s">
        <v>798</v>
      </c>
      <c r="D64" s="39">
        <v>5</v>
      </c>
      <c r="E64" s="40">
        <v>5</v>
      </c>
      <c r="F64" s="41">
        <v>5</v>
      </c>
      <c r="G64" s="47"/>
      <c r="H64" s="47"/>
      <c r="I64" s="47"/>
      <c r="J64" s="324"/>
      <c r="K64" s="41">
        <v>5</v>
      </c>
      <c r="L64" s="47">
        <f t="shared" si="1"/>
        <v>0</v>
      </c>
      <c r="M64">
        <f t="shared" si="2"/>
        <v>-5</v>
      </c>
      <c r="N64" s="66" t="s">
        <v>283</v>
      </c>
      <c r="O64" s="35"/>
      <c r="P64" s="364">
        <f t="shared" si="3"/>
        <v>26.150000000000023</v>
      </c>
      <c r="Q64" s="304" t="str">
        <f>IF(($L64-$F64)&gt;=0,"",
" - Разработать и утвердить Акты категорирования для каждой ИСПДн;"&amp;""
)</f>
        <v xml:space="preserve"> - Разработать и утвердить Акты категорирования для каждой ИСПДн;</v>
      </c>
      <c r="R64" s="364">
        <f t="shared" si="4"/>
        <v>226.14999999999986</v>
      </c>
      <c r="S64" s="249" t="str">
        <f t="shared" si="5"/>
        <v/>
      </c>
      <c r="T64" s="364">
        <f t="shared" si="6"/>
        <v>326.14999999999986</v>
      </c>
      <c r="U64" s="249" t="str">
        <f t="shared" si="7"/>
        <v/>
      </c>
    </row>
    <row r="65" spans="1:22" ht="82.8" outlineLevel="2">
      <c r="B65" s="46" t="s">
        <v>767</v>
      </c>
      <c r="C65" s="46" t="s">
        <v>799</v>
      </c>
      <c r="D65" s="39">
        <v>5</v>
      </c>
      <c r="E65" s="40">
        <v>5</v>
      </c>
      <c r="F65" s="41">
        <v>5</v>
      </c>
      <c r="G65" s="47"/>
      <c r="H65" s="47"/>
      <c r="I65" s="47"/>
      <c r="J65" s="324"/>
      <c r="K65" s="41">
        <v>5</v>
      </c>
      <c r="L65" s="47">
        <f t="shared" si="1"/>
        <v>0</v>
      </c>
      <c r="M65">
        <f t="shared" si="2"/>
        <v>-5</v>
      </c>
      <c r="N65" s="66" t="s">
        <v>283</v>
      </c>
      <c r="O65" s="35"/>
      <c r="P65" s="364">
        <f t="shared" si="3"/>
        <v>26.160000000000025</v>
      </c>
      <c r="Q65" s="304" t="str">
        <f>IF(($L65-$F65)&gt;=0,"",
" - Ответственныи за организацию обработки персональных данных либо комиссией провести процедуру оценку вреда. В ходе оценки определить в соответствии с требованиями Приказа"&amp;" Росконадзора № 178 одну из степеней вреда, который может быть причинен субъекту персональных данных - высокую, среднюю или низкую;"&amp;"
2) Оформить результаты оценки вреда Актом.")</f>
        <v xml:space="preserve"> - Ответственныи за организацию обработки персональных данных либо комиссией провести процедуру оценку вреда. В ходе оценки определить в соответствии с требованиями Приказа Росконадзора № 178 одну из степеней вреда, который может быть причинен субъекту персональных данных - высокую, среднюю или низкую;
2) Оформить результаты оценки вреда Актом.</v>
      </c>
      <c r="R65" s="364">
        <f t="shared" si="4"/>
        <v>226.15999999999985</v>
      </c>
      <c r="S65" s="249" t="str">
        <f t="shared" si="5"/>
        <v/>
      </c>
      <c r="T65" s="364">
        <f t="shared" si="6"/>
        <v>326.15999999999985</v>
      </c>
      <c r="U65" s="249" t="str">
        <f t="shared" si="7"/>
        <v/>
      </c>
    </row>
    <row r="66" spans="1:22" ht="119.85" customHeight="1" outlineLevel="2">
      <c r="B66" s="46" t="s">
        <v>75</v>
      </c>
      <c r="C66" s="46" t="s">
        <v>800</v>
      </c>
      <c r="D66" s="39">
        <v>5</v>
      </c>
      <c r="E66" s="40">
        <v>5</v>
      </c>
      <c r="F66" s="41">
        <v>5</v>
      </c>
      <c r="G66" s="47"/>
      <c r="H66" s="47"/>
      <c r="I66" s="47"/>
      <c r="J66" s="324"/>
      <c r="K66" s="41">
        <v>5</v>
      </c>
      <c r="L66" s="47">
        <f t="shared" si="1"/>
        <v>0</v>
      </c>
      <c r="M66">
        <f t="shared" si="2"/>
        <v>-5</v>
      </c>
      <c r="N66" s="66" t="s">
        <v>283</v>
      </c>
      <c r="O66" s="35"/>
      <c r="P66" s="364">
        <f t="shared" si="3"/>
        <v>26.170000000000027</v>
      </c>
      <c r="Q66" s="304" t="str">
        <f>IF(($L66-$F66)&gt;=0,"",
" - Разработать и утвердить Положение о проведении контроля информационной безопасности (в т.ч. устанавливающий порядок проведения аудита соответствия обработки персональных данных требованиям ФЗ-152);"&amp;"
   -  Разработать и утвердить План проведения контроля информационной безопасности и (или) аудита соответствия обработки персональных данных требованиям ФЗ-152")</f>
        <v xml:space="preserve"> - Разработать и утвердить Положение о проведении контроля информационной безопасности (в т.ч. устанавливающий порядок проведения аудита соответствия обработки персональных данных требованиям ФЗ-152);
   -  Разработать и утвердить План проведения контроля информационной безопасности и (или) аудита соответствия обработки персональных данных требованиям ФЗ-152</v>
      </c>
      <c r="R66" s="364">
        <f t="shared" si="4"/>
        <v>226.16999999999985</v>
      </c>
      <c r="S66" s="249" t="str">
        <f t="shared" si="5"/>
        <v/>
      </c>
      <c r="T66" s="364">
        <f t="shared" si="6"/>
        <v>326.16999999999985</v>
      </c>
      <c r="U66" s="249" t="str">
        <f t="shared" si="7"/>
        <v/>
      </c>
    </row>
    <row r="67" spans="1:22" ht="125.4" customHeight="1" outlineLevel="2">
      <c r="B67" s="46" t="s">
        <v>768</v>
      </c>
      <c r="C67" s="46" t="s">
        <v>801</v>
      </c>
      <c r="D67" s="39">
        <v>5</v>
      </c>
      <c r="E67" s="40">
        <v>5</v>
      </c>
      <c r="F67" s="41">
        <v>5</v>
      </c>
      <c r="G67" s="47"/>
      <c r="H67" s="47"/>
      <c r="I67" s="47"/>
      <c r="J67" s="324"/>
      <c r="K67" s="41">
        <v>5</v>
      </c>
      <c r="L67" s="47">
        <f t="shared" si="1"/>
        <v>0</v>
      </c>
      <c r="M67">
        <f t="shared" si="2"/>
        <v>-5</v>
      </c>
      <c r="N67" s="66" t="s">
        <v>283</v>
      </c>
      <c r="O67" s="35"/>
      <c r="P67" s="364">
        <f t="shared" si="3"/>
        <v>26.180000000000028</v>
      </c>
      <c r="Q67" s="304" t="str">
        <f>IF(($L67-$F67)&gt;=0,"",
" - Выстроить в организации сквозной процесс по сбору информации об инцидентах, связанных с обработкой персональных данных, повлекших нарушение прав субъектов персональных данных, установить временные ограничения;"&amp;"
 -  Регламентировать процесс по информированию Роскомнадзора об инцидентах, связанных с обработкой персональных"&amp;" данных, повлекших нарушение прав субъектов персональных данных, в сроки и порядке согласно п. - 1 Ст.21 ФЗ № 152;"&amp;"
3) Запланировать регулярный процесс контроля информирования Роскомнадзора об инцидентах, связанных с обработкой персональных"&amp;" данных, повлекших нарушение прав субъектов персональных данных (в случае их обнаружения)")</f>
        <v xml:space="preserve"> - Выстроить в организации сквозной процесс по сбору информации об инцидентах, связанных с обработкой персональных данных, повлекших нарушение прав субъектов персональных данных, установить временные ограничения;
 -  Регламентировать процесс по информированию Роскомнадзора об инцидентах, связанных с обработкой персональных данных, повлекших нарушение прав субъектов персональных данных, в сроки и порядке согласно п. - 1 Ст.21 ФЗ № 152;
3) Запланировать регулярный процесс контроля информирования Роскомнадзора об инцидентах, связанных с обработкой персональных данных, повлекших нарушение прав субъектов персональных данных (в случае их обнаружения)</v>
      </c>
      <c r="R67" s="364">
        <f t="shared" si="4"/>
        <v>226.17999999999984</v>
      </c>
      <c r="S67" s="249" t="str">
        <f t="shared" si="5"/>
        <v/>
      </c>
      <c r="T67" s="364">
        <f t="shared" si="6"/>
        <v>326.17999999999984</v>
      </c>
      <c r="U67" s="249" t="str">
        <f t="shared" si="7"/>
        <v/>
      </c>
    </row>
    <row r="68" spans="1:22" ht="90.75" customHeight="1" outlineLevel="2">
      <c r="B68" s="46" t="s">
        <v>769</v>
      </c>
      <c r="C68" s="46" t="s">
        <v>802</v>
      </c>
      <c r="D68" s="39">
        <v>5</v>
      </c>
      <c r="E68" s="40">
        <v>5</v>
      </c>
      <c r="F68" s="41">
        <v>5</v>
      </c>
      <c r="G68" s="47"/>
      <c r="H68" s="47"/>
      <c r="I68" s="47"/>
      <c r="J68" s="324"/>
      <c r="K68" s="41">
        <v>5</v>
      </c>
      <c r="L68" s="47">
        <f t="shared" si="1"/>
        <v>0</v>
      </c>
      <c r="M68">
        <f t="shared" si="2"/>
        <v>-5</v>
      </c>
      <c r="N68" s="66" t="s">
        <v>283</v>
      </c>
      <c r="O68" s="35"/>
      <c r="P68" s="364">
        <f t="shared" si="3"/>
        <v>26.19000000000003</v>
      </c>
      <c r="Q68" s="304" t="str">
        <f>IF(($L68-$F68)&gt;=0,"",
" - Выстроить в организации процесс по ознакомлению работников, непосредственно осуществляющих обработку персональных данных, с положениями законодательства"&amp;" РФ и ВНД организации по вопросам обработки и обеспечения безопасности персональных данных (в т.ч. при трудоустройстве);"&amp;"
2) Закрепить данный процесс в ВНД")</f>
        <v xml:space="preserve"> - Выстроить в организации процесс по ознакомлению работников, непосредственно осуществляющих обработку персональных данных, с положениями законодательства РФ и ВНД организации по вопросам обработки и обеспечения безопасности персональных данных (в т.ч. при трудоустройстве);
2) Закрепить данный процесс в ВНД</v>
      </c>
      <c r="R68" s="364">
        <f t="shared" si="4"/>
        <v>226.18999999999983</v>
      </c>
      <c r="S68" s="249" t="str">
        <f t="shared" si="5"/>
        <v/>
      </c>
      <c r="T68" s="364">
        <f t="shared" si="6"/>
        <v>326.18999999999983</v>
      </c>
      <c r="U68" s="249" t="str">
        <f t="shared" si="7"/>
        <v/>
      </c>
    </row>
    <row r="69" spans="1:22" ht="41.4" outlineLevel="2">
      <c r="B69" s="46" t="s">
        <v>807</v>
      </c>
      <c r="C69" s="46" t="s">
        <v>803</v>
      </c>
      <c r="D69" s="39">
        <v>5</v>
      </c>
      <c r="E69" s="40">
        <v>5</v>
      </c>
      <c r="F69" s="41">
        <v>5</v>
      </c>
      <c r="G69" s="47"/>
      <c r="H69" s="47"/>
      <c r="I69" s="47"/>
      <c r="J69" s="324"/>
      <c r="K69" s="41">
        <v>5</v>
      </c>
      <c r="L69" s="47">
        <f t="shared" si="1"/>
        <v>0</v>
      </c>
      <c r="M69">
        <f t="shared" si="2"/>
        <v>-5</v>
      </c>
      <c r="N69" s="66" t="s">
        <v>283</v>
      </c>
      <c r="O69" s="35"/>
      <c r="P69" s="370">
        <f t="shared" si="3"/>
        <v>26.200000000000031</v>
      </c>
      <c r="Q69" s="304" t="str">
        <f>IF(($L69-$F69)&gt;=0,"",
" Разработать и утвердить перечень лиц, доступ которых к ПДн, обрабатываемым в ИСПДн, необходим им для выполнения служебных (трудовых) обязанностей")</f>
        <v xml:space="preserve"> Разработать и утвердить перечень лиц, доступ которых к ПДн, обрабатываемым в ИСПДн, необходим им для выполнения служебных (трудовых) обязанностей</v>
      </c>
      <c r="R69" s="370">
        <f t="shared" si="4"/>
        <v>226.19999999999982</v>
      </c>
      <c r="S69" s="249" t="str">
        <f t="shared" si="5"/>
        <v/>
      </c>
      <c r="T69" s="370">
        <f t="shared" si="6"/>
        <v>326.19999999999982</v>
      </c>
      <c r="U69" s="249" t="str">
        <f t="shared" si="7"/>
        <v/>
      </c>
    </row>
    <row r="70" spans="1:22" ht="90" customHeight="1" outlineLevel="2">
      <c r="B70" s="46" t="s">
        <v>770</v>
      </c>
      <c r="C70" s="46" t="s">
        <v>804</v>
      </c>
      <c r="D70" s="39">
        <v>5</v>
      </c>
      <c r="E70" s="40">
        <v>5</v>
      </c>
      <c r="F70" s="41">
        <v>5</v>
      </c>
      <c r="G70" s="47"/>
      <c r="H70" s="47"/>
      <c r="I70" s="47"/>
      <c r="J70" s="324"/>
      <c r="K70" s="41">
        <v>5</v>
      </c>
      <c r="L70" s="47">
        <f t="shared" si="1"/>
        <v>0</v>
      </c>
      <c r="M70">
        <f t="shared" si="2"/>
        <v>-5</v>
      </c>
      <c r="N70" s="319" t="s">
        <v>256</v>
      </c>
      <c r="O70" s="35"/>
      <c r="P70" s="364">
        <f t="shared" si="3"/>
        <v>26.210000000000033</v>
      </c>
      <c r="Q70" s="304" t="str">
        <f>IF(($L70-$F70)&gt;=0,"",
"  -  Определить и утвердить перечень мест хранения персональных данных/материальных носителей"&amp;" 
   -   Регламентировать порядок закрепления мест хранения, а также актуализации информации о местах хранения"&amp;"
   -  Утвердить перечень лиц, осуществляющих обработку персональных данных и/или имеющих к ним доступ"&amp;"
   -  Обеспечить регулярную проверку актуальности имеющихся перечней мест хранения и лиц, осуществляющих обработку персональных данных и/или имеющих к ним доступ ")</f>
        <v xml:space="preserve">  -  Определить и утвердить перечень мест хранения персональных данных/материальных носителей 
   -   Регламентировать порядок закрепления мест хранения, а также актуализации информации о местах хранения
   -  Утвердить перечень лиц, осуществляющих обработку персональных данных и/или имеющих к ним доступ
   -  Обеспечить регулярную проверку актуальности имеющихся перечней мест хранения и лиц, осуществляющих обработку персональных данных и/или имеющих к ним доступ </v>
      </c>
      <c r="R70" s="364">
        <f t="shared" si="4"/>
        <v>226.20999999999981</v>
      </c>
      <c r="S70" s="249" t="str">
        <f t="shared" si="5"/>
        <v/>
      </c>
      <c r="T70" s="364">
        <f t="shared" si="6"/>
        <v>326.20999999999981</v>
      </c>
      <c r="U70" s="249" t="str">
        <f t="shared" si="7"/>
        <v/>
      </c>
    </row>
    <row r="71" spans="1:22" ht="94.35" customHeight="1" outlineLevel="2">
      <c r="B71" s="46" t="s">
        <v>771</v>
      </c>
      <c r="C71" s="46" t="s">
        <v>805</v>
      </c>
      <c r="D71" s="39">
        <v>5</v>
      </c>
      <c r="E71" s="40">
        <v>5</v>
      </c>
      <c r="F71" s="41">
        <v>5</v>
      </c>
      <c r="G71" s="47"/>
      <c r="H71" s="47"/>
      <c r="I71" s="47"/>
      <c r="J71" s="324"/>
      <c r="K71" s="41">
        <v>5</v>
      </c>
      <c r="L71" s="47">
        <f t="shared" si="1"/>
        <v>0</v>
      </c>
      <c r="M71">
        <f t="shared" si="2"/>
        <v>-5</v>
      </c>
      <c r="N71" s="319" t="s">
        <v>256</v>
      </c>
      <c r="O71" s="35"/>
      <c r="P71" s="364">
        <f t="shared" si="3"/>
        <v>26.220000000000034</v>
      </c>
      <c r="Q71" s="304" t="str">
        <f>IF(($L71-$E71)&gt;=0,"",
"  -  Разработать и утвердить перечень мер, необходимых для обеспечения сохранности персональных данных и исключающих несанкционированный доступ к ним при хранении материальных носителей;"&amp;" 
   -  Назначить работников, ответственных за реализацию мер;"&amp;" 
   -  Проводить плановые и внеплановые проверки соблюдения закрепленных в ВНД мер, необходимых для обеспечения сохранности персональных данных")</f>
        <v xml:space="preserve">  -  Разработать и утвердить перечень мер, необходимых для обеспечения сохранности персональных данных и исключающих несанкционированный доступ к ним при хранении материальных носителей; 
   -  Назначить работников, ответственных за реализацию мер; 
   -  Проводить плановые и внеплановые проверки соблюдения закрепленных в ВНД мер, необходимых для обеспечения сохранности персональных данных</v>
      </c>
      <c r="R71" s="364">
        <f t="shared" si="4"/>
        <v>226.2199999999998</v>
      </c>
      <c r="S71" s="249" t="str">
        <f t="shared" si="5"/>
        <v/>
      </c>
      <c r="T71" s="364">
        <f t="shared" si="6"/>
        <v>326.2199999999998</v>
      </c>
      <c r="U71" s="249" t="str">
        <f t="shared" si="7"/>
        <v/>
      </c>
    </row>
    <row r="72" spans="1:22" ht="99" customHeight="1" outlineLevel="2">
      <c r="B72" s="46" t="s">
        <v>924</v>
      </c>
      <c r="C72" s="46" t="s">
        <v>808</v>
      </c>
      <c r="D72" s="36">
        <v>5</v>
      </c>
      <c r="E72" s="40">
        <v>5</v>
      </c>
      <c r="F72" s="41">
        <v>5</v>
      </c>
      <c r="G72" s="47"/>
      <c r="H72" s="47"/>
      <c r="I72" s="47"/>
      <c r="J72" s="324"/>
      <c r="K72" s="41">
        <v>5</v>
      </c>
      <c r="L72" s="47">
        <f t="shared" si="1"/>
        <v>0</v>
      </c>
      <c r="M72">
        <f t="shared" si="2"/>
        <v>-5</v>
      </c>
      <c r="N72" s="318" t="s">
        <v>256</v>
      </c>
      <c r="O72" s="481"/>
      <c r="P72" s="364">
        <f t="shared" si="3"/>
        <v>26.230000000000036</v>
      </c>
      <c r="Q72" s="304" t="str">
        <f>IF(($L72-$F72)&gt;=0,"",
" -  Регламентировать и внедрить процесс уничтожения данных в соответствии с требованиями приказа Роскомнадзор № 179;"&amp;" 
    ")</f>
        <v xml:space="preserve"> -  Регламентировать и внедрить процесс уничтожения данных в соответствии с требованиями приказа Роскомнадзор № 179; 
    </v>
      </c>
      <c r="R72" s="364">
        <f t="shared" si="4"/>
        <v>226.22999999999979</v>
      </c>
      <c r="S72" s="249" t="str">
        <f t="shared" si="5"/>
        <v/>
      </c>
      <c r="T72" s="364">
        <f t="shared" si="6"/>
        <v>326.22999999999979</v>
      </c>
      <c r="U72" s="249" t="str">
        <f t="shared" si="7"/>
        <v/>
      </c>
    </row>
    <row r="73" spans="1:22" ht="119.4" customHeight="1" outlineLevel="2">
      <c r="B73" s="46" t="s">
        <v>772</v>
      </c>
      <c r="C73" s="46" t="s">
        <v>809</v>
      </c>
      <c r="D73" s="39">
        <v>5</v>
      </c>
      <c r="E73" s="40">
        <v>5</v>
      </c>
      <c r="F73" s="41">
        <v>5</v>
      </c>
      <c r="G73" s="47"/>
      <c r="H73" s="47"/>
      <c r="I73" s="47"/>
      <c r="J73" s="324"/>
      <c r="K73" s="41">
        <v>5</v>
      </c>
      <c r="L73" s="47">
        <f t="shared" si="1"/>
        <v>0</v>
      </c>
      <c r="M73">
        <f t="shared" si="2"/>
        <v>-5</v>
      </c>
      <c r="N73" s="319" t="s">
        <v>256</v>
      </c>
      <c r="O73" s="35"/>
      <c r="P73" s="364">
        <f t="shared" si="3"/>
        <v>26.240000000000038</v>
      </c>
      <c r="Q73" s="304" t="str">
        <f>IF(($L73-$F73)&gt;=0,"",
"  -  Регламентировать требования по защите персональных данных при их передаче/выходе за пределы контролируемой зоны организации, в т.ч. применение сертифицированных средств криптографической защиты информации (СКЗИ);"&amp;" 
  -  Определить требуемый класс СКЗИ в соответствии с моделью нарушителя;"&amp;" 
  -  Включить требования по защите персональных данных при их передаче как обязательные при заключении договоров с третьимм лицами;"&amp;" 
  -  Осуществлять проверку выполнения требований по защите персональных данных при их передаче ")</f>
        <v xml:space="preserve">  -  Регламентировать требования по защите персональных данных при их передаче/выходе за пределы контролируемой зоны организации, в т.ч. применение сертифицированных средств криптографической защиты информации (СКЗИ); 
  -  Определить требуемый класс СКЗИ в соответствии с моделью нарушителя; 
  -  Включить требования по защите персональных данных при их передаче как обязательные при заключении договоров с третьимм лицами; 
  -  Осуществлять проверку выполнения требований по защите персональных данных при их передаче </v>
      </c>
      <c r="R73" s="364">
        <f t="shared" si="4"/>
        <v>226.23999999999978</v>
      </c>
      <c r="S73" s="249" t="str">
        <f t="shared" si="5"/>
        <v/>
      </c>
      <c r="T73" s="364">
        <f t="shared" si="6"/>
        <v>326.23999999999978</v>
      </c>
      <c r="U73" s="249" t="str">
        <f t="shared" si="7"/>
        <v/>
      </c>
    </row>
    <row r="74" spans="1:22" ht="35.85" customHeight="1">
      <c r="B74" s="43" t="s">
        <v>76</v>
      </c>
      <c r="C74" s="44" t="s">
        <v>76</v>
      </c>
      <c r="D74" s="44"/>
      <c r="E74" s="44"/>
      <c r="F74" s="44"/>
      <c r="G74" s="50"/>
      <c r="H74" s="44"/>
      <c r="I74" s="44"/>
      <c r="J74" s="44"/>
      <c r="K74" s="44"/>
      <c r="L74" s="44"/>
      <c r="M74" s="72">
        <f t="shared" si="2"/>
        <v>0</v>
      </c>
      <c r="N74" s="283"/>
      <c r="O74" s="372"/>
      <c r="P74" s="366">
        <f>VLOOKUP(B74,Приоритет!$G$9:$K$52,5,0)</f>
        <v>8</v>
      </c>
      <c r="Q74" s="43" t="s">
        <v>589</v>
      </c>
      <c r="R74" s="366">
        <f t="shared" ref="R74:R107" si="8">P74+200</f>
        <v>208</v>
      </c>
      <c r="S74" s="43" t="s">
        <v>590</v>
      </c>
      <c r="T74" s="366">
        <f t="shared" ref="T74:T107" si="9">P74+300</f>
        <v>308</v>
      </c>
      <c r="U74" s="43" t="s">
        <v>591</v>
      </c>
      <c r="V74" s="285"/>
    </row>
    <row r="75" spans="1:22" ht="163.35" customHeight="1" outlineLevel="1">
      <c r="A75" s="257"/>
      <c r="B75" s="46" t="s">
        <v>925</v>
      </c>
      <c r="C75" s="46" t="s">
        <v>488</v>
      </c>
      <c r="D75" s="39">
        <f t="shared" ref="D75:F88" si="10">5*IF(КИИ="да",1,0)</f>
        <v>0</v>
      </c>
      <c r="E75" s="40">
        <f t="shared" si="10"/>
        <v>0</v>
      </c>
      <c r="F75" s="41">
        <f t="shared" si="10"/>
        <v>0</v>
      </c>
      <c r="G75" s="47"/>
      <c r="H75" s="47"/>
      <c r="I75" s="47"/>
      <c r="J75" s="324"/>
      <c r="K75" s="41">
        <f t="shared" ref="K75:K88" si="11">5*IF(КИИ="да",1,0)</f>
        <v>0</v>
      </c>
      <c r="L75" s="47">
        <f t="shared" ref="L75:L89" si="12">VALUE(LEFT(N75,3))</f>
        <v>0</v>
      </c>
      <c r="M75">
        <f t="shared" si="2"/>
        <v>0</v>
      </c>
      <c r="N75" s="66" t="s">
        <v>283</v>
      </c>
      <c r="O75" s="35"/>
      <c r="P75" s="364">
        <f>P74+0.01</f>
        <v>8.01</v>
      </c>
      <c r="Q75" s="249" t="str">
        <f>IF(($L75-$F75)&gt;=0,""," - В соотвествии с приказом 235 с Приказом ФСТЭК от 21 декабря 2017 г. N 235 Об утверждении Требований к созданию систем безопасности значимых объектов критической"&amp;" информационной инфраструктуры Российской Федерации и обеспечению их функционирования:
 -  Определить полномочия для подразделения, ответственное за ИБ (как минимум уровня отдела ИБ);"&amp;"
 -  Подготовить положение  о подразделении, обеспечивающим ИБ в Обществе;"&amp;"
 -  Создать выделенное подразделение, ответственное за ИБ (как минимум уровня отдела ИБ):
- Утвердить приказом по орг. структуре создание подразделения ИБ;"&amp;"
- Утвердить положение  о подразделении, обеспечивающим ИБ в Обществе;
 -  Распоряжением/приказом определить подразделение ИБ, как подразделение Общества, ответственное за обеспечение безопасности значимых объектов КИИ;"&amp;"
Если 2-3 работника подчиняются главному инженеру (тех. директору) или заместителю по безопасности (экономической и физической), то этих 2-3 работников необходимо выделить в отдельный отдел информационной безопасности.")</f>
        <v/>
      </c>
      <c r="R75" s="364">
        <f t="shared" si="8"/>
        <v>208.01</v>
      </c>
      <c r="S75" s="26" t="str">
        <f>IF(($L75-$E75)&gt;=0,"","")</f>
        <v/>
      </c>
      <c r="T75" s="364">
        <f t="shared" si="9"/>
        <v>308.01</v>
      </c>
      <c r="U75" s="26" t="str">
        <f>IF(($L75-$D75)&gt;=0,"","")</f>
        <v/>
      </c>
    </row>
    <row r="76" spans="1:22" ht="106.35" customHeight="1" outlineLevel="1">
      <c r="A76" s="257"/>
      <c r="B76" s="46" t="s">
        <v>926</v>
      </c>
      <c r="C76" s="46" t="s">
        <v>77</v>
      </c>
      <c r="D76" s="39">
        <f t="shared" si="10"/>
        <v>0</v>
      </c>
      <c r="E76" s="40">
        <f t="shared" si="10"/>
        <v>0</v>
      </c>
      <c r="F76" s="41">
        <f t="shared" si="10"/>
        <v>0</v>
      </c>
      <c r="G76" s="47"/>
      <c r="H76" s="47"/>
      <c r="I76" s="47"/>
      <c r="J76" s="324"/>
      <c r="K76" s="41">
        <f t="shared" si="11"/>
        <v>0</v>
      </c>
      <c r="L76" s="47">
        <f t="shared" si="12"/>
        <v>0</v>
      </c>
      <c r="M76">
        <f t="shared" si="2"/>
        <v>0</v>
      </c>
      <c r="N76" s="66" t="s">
        <v>283</v>
      </c>
      <c r="O76" s="35"/>
      <c r="P76" s="364">
        <f t="shared" ref="P76:P89" si="13">P75+0.01</f>
        <v>8.02</v>
      </c>
      <c r="Q76" s="249" t="str">
        <f>IF(($L77-$F77)&gt;=0,""," - В соотвествии с приказом 235 с Приказом ФСТЭК от 21 декабря 2017 г. N 235 Об утверждении Требований к созданию систем безопасности значимых объектов критической"&amp;" информационной инфраструктуры Российской Федерации и обеспечению их функционирования:
 -  Определить полномочия для подразделения, ответственное за ИБ (как минимум уровня отдела ИБ);"&amp;"
 -  Подготовить положение  о подразделении, обеспечивающим ИБ в Обществе;"&amp;"
 -  Создать выделенное подразделение, ответственное за ИБ (как минимум уровня отдела ИБ):
- Утвердить приказом по орг. структуре создание подразделения ИБ;"&amp;"
- Утвердить положение  о подразделении, обеспечивающим ИБ в Обществе;
 -  Распоряжением/приказом определить подразделение ИБ, как подразделение Общества, ответственное за обеспечение безопасности значимых объектов КИИ;"&amp;"
Если 2-3 работника подчиняются главному инженеру (тех. директору) или заместителю по безопасности (экономической и физической), то этих 2-3 работников необходимо выделить в отдельный отдел информационной безопасности.")</f>
        <v/>
      </c>
      <c r="R76" s="364">
        <f t="shared" si="8"/>
        <v>208.02</v>
      </c>
      <c r="S76" s="26" t="str">
        <f t="shared" ref="S76:S87" si="14">IF(($L76-$E76)&gt;=0,"","")</f>
        <v/>
      </c>
      <c r="T76" s="364">
        <f t="shared" si="9"/>
        <v>308.02</v>
      </c>
      <c r="U76" s="26" t="str">
        <f t="shared" ref="U76:U89" si="15">IF(($L76-$D76)&gt;=0,"","")</f>
        <v/>
      </c>
    </row>
    <row r="77" spans="1:22" ht="135" customHeight="1" outlineLevel="1">
      <c r="A77" s="257"/>
      <c r="B77" s="46" t="s">
        <v>927</v>
      </c>
      <c r="C77" s="46" t="s">
        <v>78</v>
      </c>
      <c r="D77" s="39">
        <f t="shared" si="10"/>
        <v>0</v>
      </c>
      <c r="E77" s="40">
        <f t="shared" si="10"/>
        <v>0</v>
      </c>
      <c r="F77" s="41">
        <f t="shared" si="10"/>
        <v>0</v>
      </c>
      <c r="G77" s="47"/>
      <c r="H77" s="47"/>
      <c r="I77" s="47"/>
      <c r="J77" s="324"/>
      <c r="K77" s="41">
        <f t="shared" si="11"/>
        <v>0</v>
      </c>
      <c r="L77" s="47">
        <f t="shared" si="12"/>
        <v>0</v>
      </c>
      <c r="M77">
        <f t="shared" si="2"/>
        <v>0</v>
      </c>
      <c r="N77" s="66" t="s">
        <v>283</v>
      </c>
      <c r="O77" s="35"/>
      <c r="P77" s="364">
        <f t="shared" si="13"/>
        <v>8.0299999999999994</v>
      </c>
      <c r="Q77" s="249" t="str">
        <f>IF(($L77-$F77)&gt;=0,""," - В соотвествии с Постановлением Правительства РФ от 08.02.2018 N 127 Об утверждении Правил категорирования объектов критической информационной"&amp;" инфраструктуры Российской Федерации, а также перечня показателей критериев значимости объектов критической информационной инфраструктуры Российской Федерации и их значений:"&amp;"
1.Определить полномочия для комиссии по категорированию
2.Подготовить и утвердить Положение о работе Комиссии по категорированию (описывается процесс и порядок работы комиссии)"&amp;"
3. Определить состав комиссии по категорированию согласно пункту 11 ПП127
4. Утвердить приказом состав комиссии по Обществу")</f>
        <v/>
      </c>
      <c r="R77" s="364">
        <f t="shared" si="8"/>
        <v>208.03</v>
      </c>
      <c r="S77" s="26" t="str">
        <f t="shared" si="14"/>
        <v/>
      </c>
      <c r="T77" s="364">
        <f t="shared" si="9"/>
        <v>308.02999999999997</v>
      </c>
      <c r="U77" s="26" t="str">
        <f t="shared" si="15"/>
        <v/>
      </c>
    </row>
    <row r="78" spans="1:22" ht="231" customHeight="1" outlineLevel="1">
      <c r="A78" s="257"/>
      <c r="B78" s="46" t="s">
        <v>928</v>
      </c>
      <c r="C78" s="46" t="s">
        <v>79</v>
      </c>
      <c r="D78" s="39">
        <f t="shared" si="10"/>
        <v>0</v>
      </c>
      <c r="E78" s="40">
        <f t="shared" si="10"/>
        <v>0</v>
      </c>
      <c r="F78" s="41">
        <f t="shared" si="10"/>
        <v>0</v>
      </c>
      <c r="G78" s="47"/>
      <c r="H78" s="47"/>
      <c r="I78" s="47"/>
      <c r="J78" s="324"/>
      <c r="K78" s="41">
        <f t="shared" si="11"/>
        <v>0</v>
      </c>
      <c r="L78" s="47">
        <f t="shared" si="12"/>
        <v>0</v>
      </c>
      <c r="M78">
        <f t="shared" si="2"/>
        <v>0</v>
      </c>
      <c r="N78" s="66" t="s">
        <v>283</v>
      </c>
      <c r="O78" s="35"/>
      <c r="P78" s="364">
        <f t="shared" si="13"/>
        <v>8.0399999999999991</v>
      </c>
      <c r="Q78" s="249" t="str">
        <f>IF(($L78-$F78)=0,""," - В соответствии с Постановлением Правительства РФ № 127 и Методическими указаниями по категорированию объектов критической информационной инфраструктуры,"&amp;" принадлежащих субъектам критической информационной инфраструктуры, осуществляющим деятельность в отрасли связи (утв. Минцифры России):
1.Провести анализ и определить список  управленческих, технологических,"&amp;" производственных, финансово- экономических и (или) иных процессов в рамках выполнения функций (полномочий) или осуществления видов деятельности организации"&amp;"
2.Выявить посредством анализа управленческих, технологических, производственных, финансово-экономических"&amp;" и (или) иных процессов в рамках выполнения функций (полномочий) или осуществления видов деятельности , нарушение и (или) прекращение которых может привести к негативным социальным, политическим, экономическим, экологическим последствиям, последствиям"&amp;" для обеспечения обороны страны, безопасности государства и правопорядка (далее - критические процессы).
3.Определить список систем и сервисов, которые выполняют и/или обеспечивают критчиеские"&amp;" процессы (п. 2) - перечень этих систем и будет являться перечнем объектов КИИ, подлежащим категорированию.
4. Перечень объектов КИИ, подлежащих категорированию"&amp;", вынести на рассмотрение комиссии по категорированию объектов КИИ Общества.")</f>
        <v/>
      </c>
      <c r="R78" s="364">
        <f t="shared" si="8"/>
        <v>208.04</v>
      </c>
      <c r="S78" s="26" t="str">
        <f t="shared" si="14"/>
        <v/>
      </c>
      <c r="T78" s="364">
        <f t="shared" si="9"/>
        <v>308.04000000000002</v>
      </c>
      <c r="U78" s="26" t="str">
        <f t="shared" si="15"/>
        <v/>
      </c>
    </row>
    <row r="79" spans="1:22" ht="188.1" customHeight="1" outlineLevel="1">
      <c r="A79" s="257"/>
      <c r="B79" s="46" t="s">
        <v>330</v>
      </c>
      <c r="C79" s="46" t="s">
        <v>757</v>
      </c>
      <c r="D79" s="39">
        <f t="shared" si="10"/>
        <v>0</v>
      </c>
      <c r="E79" s="40">
        <f t="shared" si="10"/>
        <v>0</v>
      </c>
      <c r="F79" s="41">
        <f t="shared" si="10"/>
        <v>0</v>
      </c>
      <c r="G79" s="47"/>
      <c r="H79" s="47"/>
      <c r="I79" s="47"/>
      <c r="J79" s="324"/>
      <c r="K79" s="41">
        <f t="shared" si="11"/>
        <v>0</v>
      </c>
      <c r="L79" s="47">
        <f t="shared" si="12"/>
        <v>0</v>
      </c>
      <c r="M79">
        <f t="shared" si="2"/>
        <v>0</v>
      </c>
      <c r="N79" s="66" t="s">
        <v>256</v>
      </c>
      <c r="O79" s="35"/>
      <c r="P79" s="364">
        <f>P78+0.01</f>
        <v>8.0499999999999989</v>
      </c>
      <c r="Q79" s="249" t="str">
        <f>IF(($L79-$F79)&gt;=0,""," - В соответствии с Постановлением Правительства РФ № 127 и Методическими указаниями по категорированию"&amp;" объектов критической информационной инфраструктуры, принадлежащих субъектам критической информационной инфраструктуры, осуществляющим деятельность в отрасли связи (утв. Минцифры России "&amp;"
1.Провести оценку в соответствии с перечнем показателей критериев значимости масштаба возможных последствий в случае возникновения компьютерного инцидента"&amp;" на объектах КИИ.
2. Присвоить каждому из объектов КИИ одной из категорий"&amp;" значимости, либо принятие решения комиссией по категорированию об отсутствии необходимости присвоения им одной из категорий значимости.
3. Утвердить у руководителя организации"&amp;" акты категорирования объектов КИИ (для каждого объекта КИИ).
4. Уведомить ФСТЭК России о результатах категторирования ОКИИ."&amp;"
5. Получить подвтерждение из ФСТЭК России о корректности, проведенного"&amp;" категорирования и внесении в Реестр ЗОКИИ (значимых объектов КИИ) РФ.")</f>
        <v/>
      </c>
      <c r="R79" s="364">
        <f t="shared" si="8"/>
        <v>208.05</v>
      </c>
      <c r="S79" s="26" t="str">
        <f t="shared" si="14"/>
        <v/>
      </c>
      <c r="T79" s="364">
        <f t="shared" si="9"/>
        <v>308.05</v>
      </c>
      <c r="U79" s="26" t="str">
        <f t="shared" si="15"/>
        <v/>
      </c>
    </row>
    <row r="80" spans="1:22" ht="120" customHeight="1" outlineLevel="1">
      <c r="A80" s="257"/>
      <c r="B80" s="46" t="s">
        <v>82</v>
      </c>
      <c r="C80" s="46" t="s">
        <v>80</v>
      </c>
      <c r="D80" s="39">
        <f t="shared" si="10"/>
        <v>0</v>
      </c>
      <c r="E80" s="40">
        <f t="shared" si="10"/>
        <v>0</v>
      </c>
      <c r="F80" s="41">
        <f t="shared" si="10"/>
        <v>0</v>
      </c>
      <c r="G80" s="47"/>
      <c r="H80" s="47"/>
      <c r="I80" s="47"/>
      <c r="J80" s="324"/>
      <c r="K80" s="41">
        <f t="shared" si="11"/>
        <v>0</v>
      </c>
      <c r="L80" s="47">
        <f t="shared" si="12"/>
        <v>0</v>
      </c>
      <c r="M80">
        <f t="shared" si="2"/>
        <v>0</v>
      </c>
      <c r="N80" s="66" t="s">
        <v>256</v>
      </c>
      <c r="O80" s="35"/>
      <c r="P80" s="364">
        <f t="shared" si="13"/>
        <v>8.0599999999999987</v>
      </c>
      <c r="Q80" s="249" t="str">
        <f>IF(($L80-$F80)&gt;=0,"","- В соответствии с Постановлением Правительства РФ № 127 и Приказ ФСТЭК России от 6 декабря 2017 г. N 227."&amp;"
1. Во ФСТЭК России направить сведения о результатах категорирования ОКИИ в течение 10 рабочих дней после утверждения актов категорирования объектов КИИ;"&amp;"
2. При изменениях состава ОКИИ направлять во ФСТЭК России сведения об изменениях"&amp;" в составе ОКИИ в течение 20 рабочих дней со дня их изменения на бумажном и электронном носителях.
3.Получить подвтерждение из ФСТЭК России о корректности проведенного категорирования и внесении в Реестр"&amp;" ЗОКИИ РФ, либо внесение в Реестр ЗОКИИ РФ изменений сведений об ОКИИ.")</f>
        <v/>
      </c>
      <c r="R80" s="364">
        <f t="shared" si="8"/>
        <v>208.06</v>
      </c>
      <c r="S80" s="26" t="str">
        <f t="shared" si="14"/>
        <v/>
      </c>
      <c r="T80" s="364">
        <f t="shared" si="9"/>
        <v>308.06</v>
      </c>
      <c r="U80" s="26" t="str">
        <f t="shared" si="15"/>
        <v/>
      </c>
    </row>
    <row r="81" spans="1:22" ht="93" customHeight="1" outlineLevel="1">
      <c r="A81" s="257"/>
      <c r="B81" s="256" t="s">
        <v>929</v>
      </c>
      <c r="C81" s="46" t="s">
        <v>81</v>
      </c>
      <c r="D81" s="39">
        <f t="shared" si="10"/>
        <v>0</v>
      </c>
      <c r="E81" s="40">
        <f t="shared" si="10"/>
        <v>0</v>
      </c>
      <c r="F81" s="41">
        <f t="shared" si="10"/>
        <v>0</v>
      </c>
      <c r="G81" s="47"/>
      <c r="H81" s="47"/>
      <c r="I81" s="47"/>
      <c r="J81" s="324"/>
      <c r="K81" s="41">
        <f t="shared" si="11"/>
        <v>0</v>
      </c>
      <c r="L81" s="47">
        <f t="shared" si="12"/>
        <v>0</v>
      </c>
      <c r="M81">
        <f t="shared" si="2"/>
        <v>0</v>
      </c>
      <c r="N81" s="35" t="s">
        <v>256</v>
      </c>
      <c r="O81" s="478"/>
      <c r="P81" s="364">
        <f t="shared" si="13"/>
        <v>8.0699999999999985</v>
      </c>
      <c r="Q81" s="249" t="str">
        <f>IF(($L81-$F81)&gt;=0,"", " - В соотвествии с Приказом Федеральной службы по техническому и экспортному контролю от 25 декабря 2017 г. N 239 Об утверждении Требований по обеспечению безопасности значимых объектов критической"&amp;" информационной инфраструктуры Российской Федерации:
1. Разработать и утвердить Модель угроз и нарушителей (МУиН):"&amp;"
- Провести анализ  угроз безопасности информации и разработка модели угроз безопасности информации или ее уточнение при ее наличии."&amp;"
- Выявить источники угроз безопасности информации и оценить возможности (потенциал) внешних и внутренних нарушителей"&amp;"
- Проанализировать возможные уязвимости значимого объекта и его программных, программно-аппаратных средств"&amp;"
- Определить возможные способы (сценарии) реализации (возникновения) угроз безопасности информации
- Оценить возможные последствия от реализации (возникновения) угроз безопасности информации"&amp;"
- утвердить МУиН.
2. На основе МУиН:
- определить базовый набор  организационных и технических мер по обеспечению безопасности"&amp;" значимого объекта на основе установленной категории значимости значимого объекта;
- адаптировать базовый набор организационных и технических мер по обеспечению безопасности значимого объекта"&amp;" в соответствии с угрозами безопасности информации, применяемыми информационными технологиями и особенностями функционирования значимого объекта;
- разработать компенсирующие организационных"&amp;" и технические меры, обеспечивающие блокирование (нейтрализацию) угроз безопасности информации с необходимым уровнем защищенности значимого объекта (при необходимости);
- разработать и утвердить комплект ОРД и ВНД,"&amp;" регламентирующие процессы обеспечения безопасности ОКИИ."&amp;"
3.На постоянной основе актуализировать ОРД и ВНД при изменении бизнес процессов и/или изменении в законодательсвте, регулирующем сферу КИИ")</f>
        <v/>
      </c>
      <c r="R81" s="364">
        <f t="shared" si="8"/>
        <v>208.07</v>
      </c>
      <c r="S81" s="26" t="str">
        <f t="shared" si="14"/>
        <v/>
      </c>
      <c r="T81" s="364">
        <f t="shared" si="9"/>
        <v>308.07</v>
      </c>
      <c r="U81" s="26" t="str">
        <f t="shared" si="15"/>
        <v/>
      </c>
    </row>
    <row r="82" spans="1:22" ht="169.35" customHeight="1" outlineLevel="1">
      <c r="A82" s="257"/>
      <c r="B82" s="256" t="s">
        <v>930</v>
      </c>
      <c r="C82" s="46" t="s">
        <v>489</v>
      </c>
      <c r="D82" s="39">
        <f t="shared" si="10"/>
        <v>0</v>
      </c>
      <c r="E82" s="40">
        <f t="shared" si="10"/>
        <v>0</v>
      </c>
      <c r="F82" s="41">
        <f t="shared" si="10"/>
        <v>0</v>
      </c>
      <c r="G82" s="47"/>
      <c r="H82" s="47"/>
      <c r="I82" s="47"/>
      <c r="J82" s="324"/>
      <c r="K82" s="41">
        <f t="shared" si="11"/>
        <v>0</v>
      </c>
      <c r="L82" s="47">
        <f t="shared" si="12"/>
        <v>0</v>
      </c>
      <c r="M82">
        <f t="shared" si="2"/>
        <v>0</v>
      </c>
      <c r="N82" s="35" t="s">
        <v>256</v>
      </c>
      <c r="O82" s="35"/>
      <c r="P82" s="364">
        <f t="shared" si="13"/>
        <v>8.0799999999999983</v>
      </c>
      <c r="Q82" s="249" t="str">
        <f>IF(($L82-$F82)&gt;=0,"", "- В соотвествии с Приказом Федеральной службы по техническому и экспортному контролю от 25 декабря 2017 г. N 239 Об утверждении Требований"&amp;" по обеспечению безопасности значимых объектов критической информационной инфраструктуры Российской Федерации:
Создать единую или пообъектную систему обеспечения информационной безопасности (СОИБ) ЗОКИИ:"&amp;"
 - На основе МУиН разработать ТЗ на создание системы обеспечения информационной СОИБ ЗОКИИ.
 - Имеется в наличии проектная документация на СОИБ ЗОКИИ (в т.ч. для программа и методика испытаний), проведены"&amp;" приемо-сдаточные мероприятия СОИБ ЗОКИИ. 
 - СОИБ ЗОКИИ ввести в промышленную эксплуатацию."&amp;"
 - Обеспечить эксплуатацию СОИБ КИИ в течение всего периода функционирования ЗОКИИ")</f>
        <v/>
      </c>
      <c r="R82" s="364">
        <f t="shared" si="8"/>
        <v>208.07999999999998</v>
      </c>
      <c r="S82" s="26" t="str">
        <f t="shared" si="14"/>
        <v/>
      </c>
      <c r="T82" s="364">
        <f t="shared" si="9"/>
        <v>308.08</v>
      </c>
      <c r="U82" s="26" t="str">
        <f t="shared" si="15"/>
        <v/>
      </c>
    </row>
    <row r="83" spans="1:22" ht="374.1" customHeight="1" outlineLevel="1">
      <c r="A83" s="257"/>
      <c r="B83" s="256" t="s">
        <v>931</v>
      </c>
      <c r="C83" s="46" t="s">
        <v>490</v>
      </c>
      <c r="D83" s="39">
        <f t="shared" si="10"/>
        <v>0</v>
      </c>
      <c r="E83" s="40">
        <f t="shared" si="10"/>
        <v>0</v>
      </c>
      <c r="F83" s="41">
        <f t="shared" si="10"/>
        <v>0</v>
      </c>
      <c r="G83" s="47"/>
      <c r="H83" s="47"/>
      <c r="I83" s="47"/>
      <c r="J83" s="324"/>
      <c r="K83" s="41">
        <f t="shared" si="11"/>
        <v>0</v>
      </c>
      <c r="L83" s="47">
        <f t="shared" si="12"/>
        <v>0</v>
      </c>
      <c r="M83">
        <f t="shared" si="2"/>
        <v>0</v>
      </c>
      <c r="N83" s="35" t="s">
        <v>256</v>
      </c>
      <c r="O83" s="35"/>
      <c r="P83" s="364">
        <f t="shared" si="13"/>
        <v>8.0899999999999981</v>
      </c>
      <c r="Q83" s="26" t="str">
        <f>IF(($L83-$F83)&gt;=0,"", " - Использовать для СОИБ КИИ:
 -  средства защиты информации (СрЗИ) сертифицированные на соответствие требованиям"&amp;" по безопасности (требования к классу защищенности разные, в зависимости от категории значимости ЗОКИИ);
 -  СрЗИ прошедшие оценку соответствия в форме испытаний или приемки, которые проводятся субъектами"&amp;" критической информационной инфраструктуры самостоятельно или с привлечением организаций."&amp;"
В случае п. 2 и привлечения организаций, имеющих в соответствии с законодательством Российской Федерации лицензии на деятельность в области защиты информации:"&amp;"
 - Определить  и привлечь  организацию для оценки уровня защищенности информационных систем ,имеющих соответствующие лицензии ФСТЭК и ФСБ (https://reestr.fstec.ru/reg1)."&amp;"
 - Сформировать техническое задание на выполнение работ по оценке уровня защищенности.
 - Получить отчетные документы в бумажном"&amp;" и в электронном виде от лицензиата по результатам оценки уровня защищенности информационных систем."&amp;" 
 -  На основании распоряжения Правительства РФ от 2 - 0 - 2022 N 1661-р (ред. от 0 - 0 - 2023) Об утверждении перечня ключевых органов (организаций), которым необходимо осуществить"&amp;" мероприятия по оценке уровня защищенности своих информационных систем с привлечением организаций, имеющих соответствующие лицензии ФСБ России и ФСТЭК Росси  предоставить отчетные документы по"&amp;" оценке уровня защищенности информационных систем Правительству РФ, а также в адрес ФСТЭК и ФСБ России на основании соответствующего запроса.")</f>
        <v/>
      </c>
      <c r="R83" s="364">
        <f t="shared" si="8"/>
        <v>208.09</v>
      </c>
      <c r="S83" s="26" t="str">
        <f t="shared" si="14"/>
        <v/>
      </c>
      <c r="T83" s="364">
        <f t="shared" si="9"/>
        <v>308.08999999999997</v>
      </c>
      <c r="U83" s="26" t="str">
        <f t="shared" si="15"/>
        <v/>
      </c>
    </row>
    <row r="84" spans="1:22" ht="170.1" customHeight="1" outlineLevel="1">
      <c r="A84" s="257"/>
      <c r="B84" s="256" t="s">
        <v>83</v>
      </c>
      <c r="C84" s="46" t="s">
        <v>491</v>
      </c>
      <c r="D84" s="39">
        <f t="shared" si="10"/>
        <v>0</v>
      </c>
      <c r="E84" s="40">
        <f t="shared" si="10"/>
        <v>0</v>
      </c>
      <c r="F84" s="41">
        <f t="shared" si="10"/>
        <v>0</v>
      </c>
      <c r="G84" s="47"/>
      <c r="H84" s="47"/>
      <c r="I84" s="47"/>
      <c r="J84" s="324"/>
      <c r="K84" s="41">
        <f t="shared" si="11"/>
        <v>0</v>
      </c>
      <c r="L84" s="47">
        <f t="shared" si="12"/>
        <v>0</v>
      </c>
      <c r="M84" s="6">
        <f t="shared" si="2"/>
        <v>0</v>
      </c>
      <c r="N84" s="319" t="s">
        <v>256</v>
      </c>
      <c r="O84" s="35"/>
      <c r="P84" s="370">
        <f t="shared" si="13"/>
        <v>8.0999999999999979</v>
      </c>
      <c r="Q84" s="249" t="str">
        <f>IF(($L84-$F84)&gt;=0,"", " - В соотвествии с Указом Президента Российской Федерации от 30.03.2022 г. № 166 О мерах по обеспечению технологической независимости и безопасности критической"&amp;" информационной инфраструктуры Российской Федерации:
 - Провести анализ  и выявить иностранное ПО на значимых объектах КИИ: в части общесистемного (ОС) и прикладного ПО;"&amp;"
 - Разработать план перехода на использование российского ПО в соответствии с приказом Министерства цифрового развития, связи и массовых коммуникаций РФ"&amp;" от 1 - 0 - 2023 № 21 и отраслевым планом мероприятий по обеспечению готовности к преимущественному использованию российского ПО"&amp;"
 - Утвердить план и направить его в Минцифры России 
 - Использовать в работе утвержденный план от Минцифры России."&amp;"
 - Обозначить сроки принятия мер по импортозамещению"&amp;"
"&amp;"
 - В соотвествии с Постановлением Правительства Российской Федерации от 14 ноября 2023 года №1912 "&amp;" О порядке перехода субъектов критической информационной инфраструктуры Российской Федерации на преимущественное применение доверенных программно-аппаратных комплексов на принадлежащих им значимых объектах критической информационной"&amp;" инфраструктуры Российской Федерации:
 - Провести инвентаризацию используемых на ЗОКИИ ПАК;
 - Разработать и утвердить план перехода на преимущественное применение доверенных ПАК в срок до 0 - 0 - 2025;"&amp;"
 - Запретить покупку новых программно-аппаратных комплексов (ПАК) не у доверенных лиц.Срок 2024 (до начала сентября);"&amp;"
 - Уведомить ФСТЭК о планах применения доверенных ПАК .Срок 2024 (конец года);
 - Полностью отказаться от применения ПАК, не соответствующих требованиям импортозамещения. Срок 2029 (конец года);"&amp;"
 - Осуществить переход на преимущественное применение доверенных ПАК в соответствии с планом в срок до 0 - 0 - 2030.")</f>
        <v/>
      </c>
      <c r="R84" s="370">
        <f t="shared" si="8"/>
        <v>208.1</v>
      </c>
      <c r="S84" s="26" t="str">
        <f t="shared" si="14"/>
        <v/>
      </c>
      <c r="T84" s="370">
        <f t="shared" si="9"/>
        <v>308.10000000000002</v>
      </c>
      <c r="U84" s="26" t="str">
        <f t="shared" si="15"/>
        <v/>
      </c>
    </row>
    <row r="85" spans="1:22" ht="197.25" customHeight="1" outlineLevel="1">
      <c r="A85" s="257"/>
      <c r="B85" s="256" t="s">
        <v>84</v>
      </c>
      <c r="C85" s="46" t="s">
        <v>86</v>
      </c>
      <c r="D85" s="39">
        <f t="shared" si="10"/>
        <v>0</v>
      </c>
      <c r="E85" s="40">
        <f t="shared" si="10"/>
        <v>0</v>
      </c>
      <c r="F85" s="41">
        <f t="shared" si="10"/>
        <v>0</v>
      </c>
      <c r="G85" s="47"/>
      <c r="H85" s="47"/>
      <c r="I85" s="47"/>
      <c r="J85" s="324"/>
      <c r="K85" s="41">
        <f t="shared" si="11"/>
        <v>0</v>
      </c>
      <c r="L85" s="47">
        <f t="shared" si="12"/>
        <v>0</v>
      </c>
      <c r="M85" s="6">
        <f t="shared" si="2"/>
        <v>0</v>
      </c>
      <c r="N85" s="319" t="s">
        <v>256</v>
      </c>
      <c r="O85" s="35"/>
      <c r="P85" s="370">
        <f t="shared" si="13"/>
        <v>8.1099999999999977</v>
      </c>
      <c r="Q85" s="249" t="str">
        <f>IF(($L85-$F85)&gt;=0,"", " - В соотвествии с Указом Президента Российской Федерации от 30.0 - 2022 г. № 166  О мерах по обеспечению технологической независимости и безопасности"&amp;" критической информационной инфраструктуры Российской Федерации:
 - Провести инвентаризацию используемых импортных средств защиты информации (далее - СрЗИ);"&amp;"
 - Разработать и утвердить план перехода на преимущественное отечественные СрЗИ;"&amp;"
 - Осуществить пилотирование СрЗИ:
 - 1 Провести предварительные испытания СрЗИ отдельно или в составе значимого объекта;"&amp;"
 - 2  В случае самостоятельного проведения испытаний Программу и методику испытаний"&amp;" разработать и утвердить.В случае если проводится лицензиатом, то необходимо утвердить;
 - 3 Получить и утвердить протокол испытаний;
 - Осуществить переход на отечественные СрЗИ")</f>
        <v/>
      </c>
      <c r="R85" s="370">
        <f t="shared" si="8"/>
        <v>208.10999999999999</v>
      </c>
      <c r="S85" s="26" t="str">
        <f t="shared" si="14"/>
        <v/>
      </c>
      <c r="T85" s="370">
        <f t="shared" si="9"/>
        <v>308.11</v>
      </c>
      <c r="U85" s="26" t="str">
        <f t="shared" si="15"/>
        <v/>
      </c>
    </row>
    <row r="86" spans="1:22" ht="197.25" customHeight="1" outlineLevel="1">
      <c r="A86" s="257"/>
      <c r="B86" s="256" t="s">
        <v>758</v>
      </c>
      <c r="C86" s="46" t="s">
        <v>492</v>
      </c>
      <c r="D86" s="39">
        <f t="shared" si="10"/>
        <v>0</v>
      </c>
      <c r="E86" s="40">
        <f t="shared" si="10"/>
        <v>0</v>
      </c>
      <c r="F86" s="41">
        <f t="shared" si="10"/>
        <v>0</v>
      </c>
      <c r="G86" s="47"/>
      <c r="H86" s="47"/>
      <c r="I86" s="47"/>
      <c r="J86" s="324"/>
      <c r="K86" s="41">
        <f t="shared" si="11"/>
        <v>0</v>
      </c>
      <c r="L86" s="47">
        <f t="shared" si="12"/>
        <v>0</v>
      </c>
      <c r="M86" s="6">
        <f t="shared" si="2"/>
        <v>0</v>
      </c>
      <c r="N86" s="319" t="s">
        <v>256</v>
      </c>
      <c r="O86" s="35"/>
      <c r="P86" s="370">
        <f t="shared" si="13"/>
        <v>8.1199999999999974</v>
      </c>
      <c r="Q86" s="249" t="str">
        <f>IF(($L86-$F86)&gt;=0,"", " - В соотвествии с Указом Президента Российской Федерации от 30.0 - 2022 г. № 166  О мерах по обеспечению технологической независимости и безопасности"&amp;" критической информационной инфраструктуры Российской Федерации:
 - Провести инвентаризацию используемых импортных средств защиты информации (далее - СрЗИ);"&amp;"
 - Разработать и утвердить план перехода на преимущественное отечественные СрЗИ;"&amp;"
 - Осуществить пилотирование СрЗИ:
 - 1 Провести предварительные испытания СрЗИ отдельно или в составе значимого объекта;"&amp;"
 - 2  В случае самостоятельного проведения испытаний Программу и методику испытаний"&amp;" разработать и утвердить.В случае если проводится лицензиатом, то необходимо утвердить;
 - 3 Получить и утвердить протокол испытаний;
 - Осуществить переход на отечественные СрЗИ")</f>
        <v/>
      </c>
      <c r="R86" s="370"/>
      <c r="T86" s="370"/>
    </row>
    <row r="87" spans="1:22" ht="215.85" customHeight="1" outlineLevel="1">
      <c r="A87" s="257"/>
      <c r="B87" s="256" t="s">
        <v>85</v>
      </c>
      <c r="C87" s="46" t="s">
        <v>493</v>
      </c>
      <c r="D87" s="39">
        <f t="shared" si="10"/>
        <v>0</v>
      </c>
      <c r="E87" s="40">
        <f t="shared" si="10"/>
        <v>0</v>
      </c>
      <c r="F87" s="41">
        <f t="shared" si="10"/>
        <v>0</v>
      </c>
      <c r="G87" s="47"/>
      <c r="H87" s="47"/>
      <c r="I87" s="47"/>
      <c r="J87" s="324"/>
      <c r="K87" s="41">
        <f t="shared" si="11"/>
        <v>0</v>
      </c>
      <c r="L87" s="47">
        <f t="shared" si="12"/>
        <v>0</v>
      </c>
      <c r="M87">
        <f t="shared" si="2"/>
        <v>0</v>
      </c>
      <c r="N87" s="35" t="s">
        <v>256</v>
      </c>
      <c r="O87" s="35"/>
      <c r="P87" s="370">
        <f t="shared" si="13"/>
        <v>8.1299999999999972</v>
      </c>
      <c r="Q87" s="249" t="str">
        <f>IF(($L87-$F87)&gt;=0,"", " - Разработать и утвердить правила и процедуры информирования и обучения персонала;"&amp;"
 - Доводить до персонала требования по обеспечению информационной безопасности, а также положения"&amp;" организационно-распорядительных документов по информационной безопасности;
 - Проводить информирование персонала об угрозах безопасности"&amp;" информации, о правилах безопасной работы;
 - Ежегодно или при наступлении компьютерных инцидентов на ОКИИ проводить обучение персонала по вопросам информационной безопасности, включая проведение практических занятий с персоналом.")</f>
        <v/>
      </c>
      <c r="R87" s="364">
        <f t="shared" si="8"/>
        <v>208.13</v>
      </c>
      <c r="S87" s="26" t="str">
        <f t="shared" si="14"/>
        <v/>
      </c>
      <c r="T87" s="364">
        <f t="shared" si="9"/>
        <v>308.13</v>
      </c>
      <c r="U87" s="26" t="str">
        <f t="shared" si="15"/>
        <v/>
      </c>
    </row>
    <row r="88" spans="1:22" ht="215.85" customHeight="1" outlineLevel="1">
      <c r="A88" s="257"/>
      <c r="B88" s="256" t="s">
        <v>172</v>
      </c>
      <c r="C88" s="46" t="s">
        <v>690</v>
      </c>
      <c r="D88" s="39">
        <f t="shared" si="10"/>
        <v>0</v>
      </c>
      <c r="E88" s="40">
        <f t="shared" si="10"/>
        <v>0</v>
      </c>
      <c r="F88" s="41">
        <f t="shared" si="10"/>
        <v>0</v>
      </c>
      <c r="G88" s="47"/>
      <c r="H88" s="47"/>
      <c r="I88" s="47"/>
      <c r="J88" s="324"/>
      <c r="K88" s="41">
        <f t="shared" si="11"/>
        <v>0</v>
      </c>
      <c r="L88" s="47">
        <f t="shared" si="12"/>
        <v>0</v>
      </c>
      <c r="M88">
        <f t="shared" si="2"/>
        <v>0</v>
      </c>
      <c r="N88" s="66" t="s">
        <v>283</v>
      </c>
      <c r="O88" s="35"/>
      <c r="P88" s="370">
        <f t="shared" si="13"/>
        <v>8.139999999999997</v>
      </c>
      <c r="Q88" s="249" t="str">
        <f>IF(($L88-$F88)&gt;=0,"", " - Выполнить подключение ЗОКИИ к Корпоративному центру ГосСОПКА (на базе SOC Департамент мониторинга и реагирования на компьютерные инциденты КЦ ПАО Ростелеком; далее - КЦ ГосСОПКА):"&amp;"
1. Подписать Соглашение о взаимодействии Публичного акционерного общества Ростелеком и ДЗО в области обнаружения, предупреждения"&amp;" и ликвидации последствий компьютерных атак 
2. Разработать и утвердить ОРД и ВНД, регламентирующие взаимодействие с КЦ ГосСОПКА:
- утвердить регламент информирования ФСБ России (НКЦКИ) о компьютерных инцидентах;"&amp;"
- Утвердить перечень информации о компьютерных инцидентах, связанных с функционированием объектов КИИ;
- Разработать и утвердить правила и процедуры реагирования на компьютерные инциденты."&amp;"
- Разработать и утвердить план реагирования на компьютерные инциденты и принятия мер по ликвидации последствий компьютерных атак самостоятельно или совместно с НКЦКИ.
- Направить План на согласование в НКЦКИ.")</f>
        <v/>
      </c>
      <c r="R88" s="364"/>
      <c r="T88" s="364"/>
    </row>
    <row r="89" spans="1:22" ht="215.85" customHeight="1" outlineLevel="1">
      <c r="A89" s="257"/>
      <c r="B89" s="256" t="s">
        <v>691</v>
      </c>
      <c r="C89" s="46" t="s">
        <v>759</v>
      </c>
      <c r="D89" s="39">
        <f>5*IF(КИИ="да",1,0)</f>
        <v>0</v>
      </c>
      <c r="E89" s="40">
        <f>5*IF(КИИ="да",1,0)</f>
        <v>0</v>
      </c>
      <c r="F89" s="41">
        <f>3.2*IF(КИИ="да",1,0)</f>
        <v>0</v>
      </c>
      <c r="G89" s="47"/>
      <c r="H89" s="47"/>
      <c r="I89" s="47"/>
      <c r="J89" s="324"/>
      <c r="K89" s="41">
        <f>3.2*IF(КИИ="да",1,0)</f>
        <v>0</v>
      </c>
      <c r="L89" s="47">
        <f t="shared" si="12"/>
        <v>0</v>
      </c>
      <c r="M89">
        <f t="shared" si="2"/>
        <v>0</v>
      </c>
      <c r="N89" s="237" t="s">
        <v>283</v>
      </c>
      <c r="O89" s="35"/>
      <c r="P89" s="370">
        <f t="shared" si="13"/>
        <v>8.1499999999999968</v>
      </c>
      <c r="Q89" s="219" t="str">
        <f>IF(($L89-$F89)&gt;=0,"", " - Определить ответственного сотрудника за взаимодействие с гос.регуляторами в области запросов КИИ")</f>
        <v/>
      </c>
      <c r="R89" s="364">
        <f t="shared" si="8"/>
        <v>208.15</v>
      </c>
      <c r="S89" s="219" t="str">
        <f>IF(($L89-$E89)&gt;=0,""," - Предоставлены своевременные ответы на запросы ФСТЭК России о выполнении мер по защите информации, рекомендованных к реализации (ответы предоставлены на более чем 95% запросов)")</f>
        <v/>
      </c>
      <c r="T89" s="364">
        <f t="shared" si="9"/>
        <v>308.14999999999998</v>
      </c>
      <c r="U89" s="26" t="str">
        <f t="shared" si="15"/>
        <v/>
      </c>
    </row>
    <row r="90" spans="1:22" ht="42" customHeight="1">
      <c r="B90" s="43" t="s">
        <v>87</v>
      </c>
      <c r="C90" s="44" t="s">
        <v>88</v>
      </c>
      <c r="D90" s="44"/>
      <c r="E90" s="44"/>
      <c r="F90" s="44"/>
      <c r="G90" s="50"/>
      <c r="H90" s="44"/>
      <c r="I90" s="44"/>
      <c r="J90" s="44"/>
      <c r="K90" s="44"/>
      <c r="L90" s="44"/>
      <c r="M90" s="72"/>
      <c r="N90" s="283"/>
      <c r="O90" s="283"/>
      <c r="P90" s="366">
        <f>VLOOKUP(B90,Приоритет!$G$9:$K$52,5,0)</f>
        <v>40</v>
      </c>
      <c r="Q90" s="43" t="s">
        <v>593</v>
      </c>
      <c r="R90" s="366">
        <f t="shared" si="8"/>
        <v>240</v>
      </c>
      <c r="S90" s="43" t="s">
        <v>593</v>
      </c>
      <c r="T90" s="366">
        <f t="shared" si="9"/>
        <v>340</v>
      </c>
      <c r="U90" s="43" t="s">
        <v>593</v>
      </c>
      <c r="V90" s="285"/>
    </row>
    <row r="91" spans="1:22" ht="48" customHeight="1" outlineLevel="1">
      <c r="A91" s="262"/>
      <c r="B91" s="46" t="s">
        <v>89</v>
      </c>
      <c r="C91" s="46" t="s">
        <v>90</v>
      </c>
      <c r="D91" s="39">
        <f t="shared" ref="D91:F95" si="16">5*IF(КТ="да",1,0)</f>
        <v>5</v>
      </c>
      <c r="E91" s="40">
        <f t="shared" si="16"/>
        <v>5</v>
      </c>
      <c r="F91" s="41">
        <f t="shared" si="16"/>
        <v>5</v>
      </c>
      <c r="G91" s="47"/>
      <c r="H91" s="47"/>
      <c r="I91" s="47"/>
      <c r="J91" s="324"/>
      <c r="K91" s="41">
        <f>5*IF(КТ="да",1,0)</f>
        <v>5</v>
      </c>
      <c r="L91" s="47">
        <f>VALUE(LEFT(N91,3))</f>
        <v>5</v>
      </c>
      <c r="M91">
        <f t="shared" si="2"/>
        <v>0</v>
      </c>
      <c r="N91" s="104" t="s">
        <v>284</v>
      </c>
      <c r="O91" s="35"/>
      <c r="P91" s="364">
        <f>P90+0.01</f>
        <v>40.01</v>
      </c>
      <c r="Q91" s="249" t="str">
        <f>IF(($L91-$F91)&gt;=0,"", " - Определить и утвердить перечень информации, составляющей КТ, взяв за основу определение из п.2 ст. 3 ФЗ № 98;"&amp;"
 - Ознакомить сотрудников с перечнем.")</f>
        <v/>
      </c>
      <c r="R91" s="364">
        <f t="shared" si="8"/>
        <v>240.01</v>
      </c>
      <c r="S91" s="26" t="str">
        <f>IF(($L91-$E91)&gt;=0,"","")</f>
        <v/>
      </c>
      <c r="T91" s="364">
        <f t="shared" si="9"/>
        <v>340.01</v>
      </c>
      <c r="U91" s="26" t="str">
        <f>IF(($L91-$D91)&gt;=0,"","")</f>
        <v/>
      </c>
    </row>
    <row r="92" spans="1:22" ht="80.849999999999994" customHeight="1" outlineLevel="1">
      <c r="A92" s="262"/>
      <c r="B92" s="46" t="s">
        <v>91</v>
      </c>
      <c r="C92" s="46" t="s">
        <v>92</v>
      </c>
      <c r="D92" s="39">
        <f t="shared" si="16"/>
        <v>5</v>
      </c>
      <c r="E92" s="40">
        <f t="shared" si="16"/>
        <v>5</v>
      </c>
      <c r="F92" s="41">
        <f t="shared" si="16"/>
        <v>5</v>
      </c>
      <c r="G92" s="47"/>
      <c r="H92" s="47"/>
      <c r="I92" s="47"/>
      <c r="J92" s="324"/>
      <c r="K92" s="41">
        <f>5*IF(КТ="да",1,0)</f>
        <v>5</v>
      </c>
      <c r="L92" s="47">
        <f>VALUE(LEFT(N92,3))</f>
        <v>0</v>
      </c>
      <c r="M92">
        <f t="shared" si="2"/>
        <v>-5</v>
      </c>
      <c r="N92" s="104" t="s">
        <v>283</v>
      </c>
      <c r="P92" s="364">
        <f>P91+0.01</f>
        <v>40.019999999999996</v>
      </c>
      <c r="Q92" s="249" t="str">
        <f>IF(($L92-$F92)&gt;=0,"", " - Разработать и утвердить локальный документ, который станавливает режим  КТ, зафиксирует порядок деятельности по организации"&amp;" и соблюдению режима КТ, порядок определения Перечня информации, составляющей КТ, полномочия и обязанности должностных лиц и работников  в ходе работы с информацией, составляющей КТ"&amp;", и меры ответственности, применяемые за нарушение требований. Ознакомить сотрудников.Проводить актуализацию ВНД")</f>
        <v xml:space="preserve"> - Разработать и утвердить локальный документ, который станавливает режим  КТ, зафиксирует порядок деятельности по организации и соблюдению режима КТ, порядок определения Перечня информации, составляющей КТ, полномочия и обязанности должностных лиц и работников  в ходе работы с информацией, составляющей КТ, и меры ответственности, применяемые за нарушение требований. Ознакомить сотрудников.Проводить актуализацию ВНД</v>
      </c>
      <c r="R92" s="364">
        <f t="shared" si="8"/>
        <v>240.01999999999998</v>
      </c>
      <c r="S92" s="26" t="str">
        <f>IF(($L92-$E92)&gt;=0,"","")</f>
        <v/>
      </c>
      <c r="T92" s="364">
        <f t="shared" si="9"/>
        <v>340.02</v>
      </c>
      <c r="U92" s="26" t="str">
        <f>IF(($L92-$D92)&gt;=0,"","")</f>
        <v/>
      </c>
    </row>
    <row r="93" spans="1:22" ht="48.75" customHeight="1" outlineLevel="1">
      <c r="A93" s="262"/>
      <c r="B93" s="46" t="s">
        <v>93</v>
      </c>
      <c r="C93" s="46" t="s">
        <v>816</v>
      </c>
      <c r="D93" s="39">
        <f t="shared" si="16"/>
        <v>5</v>
      </c>
      <c r="E93" s="40">
        <f t="shared" si="16"/>
        <v>5</v>
      </c>
      <c r="F93" s="41">
        <f t="shared" si="16"/>
        <v>5</v>
      </c>
      <c r="G93" s="47"/>
      <c r="H93" s="47"/>
      <c r="I93" s="47"/>
      <c r="J93" s="324"/>
      <c r="K93" s="41">
        <f>5*IF(КТ="да",1,0)</f>
        <v>5</v>
      </c>
      <c r="L93" s="47">
        <f>VALUE(LEFT(N93,3))</f>
        <v>0</v>
      </c>
      <c r="M93">
        <f t="shared" si="2"/>
        <v>-5</v>
      </c>
      <c r="N93" s="104" t="s">
        <v>283</v>
      </c>
      <c r="P93" s="364">
        <f>P92+0.01</f>
        <v>40.029999999999994</v>
      </c>
      <c r="Q93" s="249" t="str">
        <f>IF(($L93-$F93)&gt;=0,"", " - Утвердить приказом перечень лиц или должностей, у которых будет доступ к информации, составляющей КТ;"&amp;"
 - Поддерживать перечень в актуальном состоянии")</f>
        <v xml:space="preserve"> - Утвердить приказом перечень лиц или должностей, у которых будет доступ к информации, составляющей КТ;
 - Поддерживать перечень в актуальном состоянии</v>
      </c>
      <c r="R93" s="364">
        <f t="shared" si="8"/>
        <v>240.03</v>
      </c>
      <c r="S93" s="26" t="str">
        <f>IF(($L93-$E93)&gt;=0,"","")</f>
        <v/>
      </c>
      <c r="T93" s="364">
        <f t="shared" si="9"/>
        <v>340.03</v>
      </c>
      <c r="U93" s="26" t="str">
        <f>IF(($L93-$D93)&gt;=0,"","")</f>
        <v/>
      </c>
    </row>
    <row r="94" spans="1:22" ht="42.6" customHeight="1" outlineLevel="1">
      <c r="A94" s="262"/>
      <c r="B94" s="46" t="s">
        <v>95</v>
      </c>
      <c r="C94" s="46" t="s">
        <v>94</v>
      </c>
      <c r="D94" s="39">
        <f t="shared" si="16"/>
        <v>5</v>
      </c>
      <c r="E94" s="40">
        <f t="shared" si="16"/>
        <v>5</v>
      </c>
      <c r="F94" s="41">
        <f t="shared" si="16"/>
        <v>5</v>
      </c>
      <c r="G94" s="47"/>
      <c r="H94" s="47"/>
      <c r="I94" s="47"/>
      <c r="J94" s="324"/>
      <c r="K94" s="41">
        <f>5*IF(КТ="да",1,0)</f>
        <v>5</v>
      </c>
      <c r="L94" s="47">
        <f>VALUE(LEFT(N94,3))</f>
        <v>0</v>
      </c>
      <c r="M94">
        <f t="shared" si="2"/>
        <v>-5</v>
      </c>
      <c r="N94" s="104" t="s">
        <v>283</v>
      </c>
      <c r="P94" s="364">
        <f>P93+0.01</f>
        <v>40.039999999999992</v>
      </c>
      <c r="Q94" s="249" t="str">
        <f>IF(($L94-$F94)&gt;=0,"", " - Разработать шаблон соглашения о неразглашении информации, составляющей КТ;"&amp;"
 - Включить соглашение в трудовые договоры, а также договоры с контрагентами.")</f>
        <v xml:space="preserve"> - Разработать шаблон соглашения о неразглашении информации, составляющей КТ;
 - Включить соглашение в трудовые договоры, а также договоры с контрагентами.</v>
      </c>
      <c r="R94" s="364">
        <f t="shared" si="8"/>
        <v>240.04</v>
      </c>
      <c r="S94" s="26" t="str">
        <f>IF(($L94-$E94)&gt;=0,"","")</f>
        <v/>
      </c>
      <c r="T94" s="364">
        <f t="shared" si="9"/>
        <v>340.03999999999996</v>
      </c>
      <c r="U94" s="26" t="str">
        <f>IF(($L94-$D94)&gt;=0,"","")</f>
        <v/>
      </c>
    </row>
    <row r="95" spans="1:22" ht="68.849999999999994" customHeight="1" outlineLevel="1">
      <c r="A95" s="262"/>
      <c r="B95" s="46" t="s">
        <v>329</v>
      </c>
      <c r="C95" s="46" t="s">
        <v>96</v>
      </c>
      <c r="D95" s="39">
        <f t="shared" si="16"/>
        <v>5</v>
      </c>
      <c r="E95" s="40">
        <f t="shared" si="16"/>
        <v>5</v>
      </c>
      <c r="F95" s="41">
        <f t="shared" si="16"/>
        <v>5</v>
      </c>
      <c r="G95" s="47"/>
      <c r="H95" s="47"/>
      <c r="I95" s="47"/>
      <c r="J95" s="324"/>
      <c r="K95" s="41">
        <f>5*IF(КТ="да",1,0)</f>
        <v>5</v>
      </c>
      <c r="L95" s="47">
        <f>VALUE(LEFT(N95,3))</f>
        <v>0</v>
      </c>
      <c r="M95">
        <f t="shared" si="2"/>
        <v>-5</v>
      </c>
      <c r="N95" s="104" t="s">
        <v>283</v>
      </c>
      <c r="P95" s="364">
        <f>P94+0.01</f>
        <v>40.04999999999999</v>
      </c>
      <c r="Q95" s="249" t="str">
        <f>IF(($L95-$F95)&gt;=0,"", " - Разработать и утвердить ВНД, регламентирующий порядок обработки информации, составляющей КТ;"&amp;"
 - Ознакомить сотрудников;"&amp;"
 - Проводить инвентаризацию материальных носителей КТ.")</f>
        <v xml:space="preserve"> - Разработать и утвердить ВНД, регламентирующий порядок обработки информации, составляющей КТ;
 - Ознакомить сотрудников;
 - Проводить инвентаризацию материальных носителей КТ.</v>
      </c>
      <c r="R95" s="364">
        <f t="shared" si="8"/>
        <v>240.04999999999998</v>
      </c>
      <c r="S95" s="26" t="str">
        <f>IF(($L95-$E95)&gt;=0,"","")</f>
        <v/>
      </c>
      <c r="T95" s="364">
        <f t="shared" si="9"/>
        <v>340.05</v>
      </c>
      <c r="U95" s="26" t="str">
        <f>IF(($L95-$D95)&gt;=0,"","")</f>
        <v/>
      </c>
    </row>
    <row r="96" spans="1:22" ht="34.35" customHeight="1">
      <c r="B96" s="43" t="s">
        <v>335</v>
      </c>
      <c r="C96" s="44" t="s">
        <v>97</v>
      </c>
      <c r="D96" s="44"/>
      <c r="E96" s="44"/>
      <c r="F96" s="44"/>
      <c r="G96" s="50"/>
      <c r="H96" s="44"/>
      <c r="I96" s="44"/>
      <c r="J96" s="44"/>
      <c r="K96" s="44"/>
      <c r="L96" s="44"/>
      <c r="M96" s="72"/>
      <c r="N96" s="284"/>
      <c r="O96" s="284"/>
      <c r="P96" s="366">
        <v>37</v>
      </c>
      <c r="Q96" s="44" t="s">
        <v>97</v>
      </c>
      <c r="R96" s="44">
        <f t="shared" si="8"/>
        <v>237</v>
      </c>
      <c r="S96" s="44" t="s">
        <v>97</v>
      </c>
      <c r="T96" s="44">
        <f t="shared" si="9"/>
        <v>337</v>
      </c>
      <c r="U96" s="44" t="s">
        <v>97</v>
      </c>
      <c r="V96" s="285"/>
    </row>
    <row r="97" spans="2:22" ht="203.85" customHeight="1" outlineLevel="1">
      <c r="B97" s="46" t="s">
        <v>965</v>
      </c>
      <c r="C97" s="46" t="s">
        <v>972</v>
      </c>
      <c r="D97" s="39">
        <f t="shared" ref="D97:F105" si="17">5*IF(СКЗИ="да",1,0)</f>
        <v>5</v>
      </c>
      <c r="E97" s="40">
        <f t="shared" si="17"/>
        <v>5</v>
      </c>
      <c r="F97" s="41">
        <f t="shared" si="17"/>
        <v>5</v>
      </c>
      <c r="G97" s="47"/>
      <c r="H97" s="47"/>
      <c r="I97" s="47"/>
      <c r="J97" s="324"/>
      <c r="K97" s="41">
        <f t="shared" ref="K97:K105" si="18">5*IF(СКЗИ="да",1,0)</f>
        <v>5</v>
      </c>
      <c r="L97" s="47">
        <f t="shared" ref="L97:L106" si="19">VALUE(LEFT(N97,3))</f>
        <v>0</v>
      </c>
      <c r="M97">
        <f t="shared" si="2"/>
        <v>-5</v>
      </c>
      <c r="N97" t="s">
        <v>283</v>
      </c>
      <c r="P97" s="364">
        <f>P96+0.01</f>
        <v>37.01</v>
      </c>
      <c r="Q97" s="305" t="str">
        <f>IF(($L97-$F97)&gt;=0,"",
" -  Определить необходимость офрмления лицензии и создания в Обществе органа криптографической защиты (ОКЗ);"&amp;"
   -  Оформить лицензию ФСБ на деятельность в области криптографии;"&amp;"
   -  Издать приказ о создании ОКЗ;"&amp;"
   -  Утвердить состав ОКЗ;"&amp;"
   -  Назначить руководителя ОКЗ и инженерно-технических работников;P112   -  Разработать и утвердить приказом Регламент ОКЗ;Q110:"&amp;"
' формы журналов поэкземплярного учета СКЗИ, ключевых документов (КД), ключевых носителей (КН), пользователей СКЗИ;"&amp;"
' программу обучения лиц для допуска к самостоятельной работе с СКЗИ;"&amp;"
' форму лицевого счета пользователя СКЗИ;"&amp;"
' форму заключеня о допуске лиц к самостоятельной работе с СКЗИ;"&amp;"
' формы журналов учета спецпомещений для хранения СКЗИ, хранилищ для хранения документации, КН, КД;"&amp;"
' форму  Акта уничтожения СКЗИ;"&amp;"
' форму Акта приема-передачи СКЗИ."&amp;" 
 -  Создать комиссии по допуску лиц к самостоятельной работе с СКЗИ и по уничтожению СКЗИ;"&amp;"
 -  Разработать порядок проведения провероки выполнения пользователями СКЗИ условий использования СКЗИ.")</f>
        <v xml:space="preserve"> -  Определить необходимость офрмления лицензии и создания в Обществе органа криптографической защиты (ОКЗ);
   -  Оформить лицензию ФСБ на деятельность в области криптографии;
   -  Издать приказ о создании ОКЗ;
   -  Утвердить состав ОКЗ;
   -  Назначить руководителя ОКЗ и инженерно-технических работников;P112   -  Разработать и утвердить приказом Регламент ОКЗ;Q110:
' формы журналов поэкземплярного учета СКЗИ, ключевых документов (КД), ключевых носителей (КН), пользователей СКЗИ;
' программу обучения лиц для допуска к самостоятельной работе с СКЗИ;
' форму лицевого счета пользователя СКЗИ;
' форму заключеня о допуске лиц к самостоятельной работе с СКЗИ;
' формы журналов учета спецпомещений для хранения СКЗИ, хранилищ для хранения документации, КН, КД;
' форму  Акта уничтожения СКЗИ;
' форму Акта приема-передачи СКЗИ. 
 -  Создать комиссии по допуску лиц к самостоятельной работе с СКЗИ и по уничтожению СКЗИ;
 -  Разработать порядок проведения провероки выполнения пользователями СКЗИ условий использования СКЗИ.</v>
      </c>
      <c r="R97" s="364">
        <f t="shared" si="8"/>
        <v>237.01</v>
      </c>
      <c r="S97" s="26" t="str">
        <f>IF(($L97-$E97)&gt;=0,"","")</f>
        <v/>
      </c>
      <c r="T97" s="364">
        <f t="shared" si="9"/>
        <v>337.01</v>
      </c>
      <c r="U97" s="26" t="str">
        <f>IF(($L97-$D97)&gt;=0,"","")</f>
        <v/>
      </c>
    </row>
    <row r="98" spans="2:22" ht="54.6" customHeight="1" outlineLevel="1">
      <c r="B98" s="256" t="s">
        <v>966</v>
      </c>
      <c r="C98" s="46" t="s">
        <v>973</v>
      </c>
      <c r="D98" s="39">
        <f t="shared" si="17"/>
        <v>5</v>
      </c>
      <c r="E98" s="40">
        <f t="shared" si="17"/>
        <v>5</v>
      </c>
      <c r="F98" s="41">
        <f t="shared" si="17"/>
        <v>5</v>
      </c>
      <c r="G98" s="47"/>
      <c r="H98" s="47"/>
      <c r="I98" s="47"/>
      <c r="J98" s="324"/>
      <c r="K98" s="41">
        <f t="shared" si="18"/>
        <v>5</v>
      </c>
      <c r="L98" s="47">
        <f t="shared" si="19"/>
        <v>0</v>
      </c>
      <c r="M98">
        <f t="shared" si="2"/>
        <v>-5</v>
      </c>
      <c r="N98" s="237" t="s">
        <v>283</v>
      </c>
      <c r="O98" s="478"/>
      <c r="P98" s="364">
        <f t="shared" ref="P98:P106" si="20">P97+0.01</f>
        <v>37.019999999999996</v>
      </c>
      <c r="Q98" s="305" t="str">
        <f>IF(($L98-$F98)&gt;=0,"",
" -  Организовать процесс учета ключевой информации;
  -  Присвоить ключевым документам (КД), ключевым носителям (КН) идентификаторы (в случае их отсутствия);
 -  Заполнить Журнал учета КД/КН в разрезе лиц, которым эти КД/КН выданы.")</f>
        <v xml:space="preserve"> -  Организовать процесс учета ключевой информации;
  -  Присвоить ключевым документам (КД), ключевым носителям (КН) идентификаторы (в случае их отсутствия);
 -  Заполнить Журнал учета КД/КН в разрезе лиц, которым эти КД/КН выданы.</v>
      </c>
      <c r="R98" s="364">
        <f t="shared" si="8"/>
        <v>237.01999999999998</v>
      </c>
      <c r="S98" s="26" t="str">
        <f t="shared" ref="S98:S106" si="21">IF(($L98-$E98)&gt;=0,"","")</f>
        <v/>
      </c>
      <c r="T98" s="364">
        <f t="shared" si="9"/>
        <v>337.02</v>
      </c>
      <c r="U98" s="26" t="str">
        <f t="shared" ref="U98:U106" si="22">IF(($L98-$D98)&gt;=0,"","")</f>
        <v/>
      </c>
    </row>
    <row r="99" spans="2:22" ht="57.75" customHeight="1" outlineLevel="1">
      <c r="B99" s="256" t="s">
        <v>967</v>
      </c>
      <c r="C99" s="46" t="s">
        <v>974</v>
      </c>
      <c r="D99" s="39">
        <f t="shared" si="17"/>
        <v>5</v>
      </c>
      <c r="E99" s="40">
        <f t="shared" si="17"/>
        <v>5</v>
      </c>
      <c r="F99" s="41">
        <f t="shared" si="17"/>
        <v>5</v>
      </c>
      <c r="G99" s="47"/>
      <c r="H99" s="47"/>
      <c r="I99" s="47"/>
      <c r="J99" s="324"/>
      <c r="K99" s="41">
        <f t="shared" si="18"/>
        <v>5</v>
      </c>
      <c r="L99" s="47">
        <f t="shared" si="19"/>
        <v>0</v>
      </c>
      <c r="M99">
        <f t="shared" si="2"/>
        <v>-5</v>
      </c>
      <c r="N99" s="237" t="s">
        <v>283</v>
      </c>
      <c r="O99" s="35"/>
      <c r="P99" s="364">
        <f t="shared" si="20"/>
        <v>37.029999999999994</v>
      </c>
      <c r="Q99" s="305" t="str">
        <f>IF(($L99-$F99)&gt;=0,"",
" - Разработать и утвердить инструкцию для пользователей СКЗИ. Ознакомить пользователей  СКЗИ с инструкцией. Оформить заключения о допуске лиц к самостоятельной работе с СКЗИ для каждого пользователя СКЗИ.")</f>
        <v xml:space="preserve"> - Разработать и утвердить инструкцию для пользователей СКЗИ. Ознакомить пользователей  СКЗИ с инструкцией. Оформить заключения о допуске лиц к самостоятельной работе с СКЗИ для каждого пользователя СКЗИ.</v>
      </c>
      <c r="R99" s="364">
        <f t="shared" si="8"/>
        <v>237.03</v>
      </c>
      <c r="S99" s="26" t="str">
        <f t="shared" si="21"/>
        <v/>
      </c>
      <c r="T99" s="364">
        <f t="shared" si="9"/>
        <v>337.03</v>
      </c>
      <c r="U99" s="26" t="str">
        <f t="shared" si="22"/>
        <v/>
      </c>
    </row>
    <row r="100" spans="2:22" ht="43.35" customHeight="1" outlineLevel="1">
      <c r="B100" s="256" t="s">
        <v>968</v>
      </c>
      <c r="C100" s="46" t="s">
        <v>975</v>
      </c>
      <c r="D100" s="39">
        <f t="shared" si="17"/>
        <v>5</v>
      </c>
      <c r="E100" s="40">
        <f t="shared" si="17"/>
        <v>5</v>
      </c>
      <c r="F100" s="41">
        <f t="shared" si="17"/>
        <v>5</v>
      </c>
      <c r="G100" s="47"/>
      <c r="H100" s="47"/>
      <c r="I100" s="47"/>
      <c r="J100" s="324"/>
      <c r="K100" s="41">
        <f t="shared" si="18"/>
        <v>5</v>
      </c>
      <c r="L100" s="47">
        <f t="shared" si="19"/>
        <v>0</v>
      </c>
      <c r="M100">
        <f t="shared" si="2"/>
        <v>-5</v>
      </c>
      <c r="N100" s="237" t="s">
        <v>283</v>
      </c>
      <c r="O100" s="478"/>
      <c r="P100" s="364">
        <f t="shared" si="20"/>
        <v>37.039999999999992</v>
      </c>
      <c r="Q100" s="305" t="str">
        <f>IF(($L100-$F100)&gt;=0,"",
" - На каждого пользователя СКЗИ оформить лицевой счет в части выданных ему ключевых документов (КД)")</f>
        <v xml:space="preserve"> - На каждого пользователя СКЗИ оформить лицевой счет в части выданных ему ключевых документов (КД)</v>
      </c>
      <c r="R100" s="364">
        <f t="shared" si="8"/>
        <v>237.04</v>
      </c>
      <c r="S100" s="26" t="str">
        <f t="shared" si="21"/>
        <v/>
      </c>
      <c r="T100" s="364">
        <f t="shared" si="9"/>
        <v>337.03999999999996</v>
      </c>
      <c r="U100" s="26" t="str">
        <f t="shared" si="22"/>
        <v/>
      </c>
    </row>
    <row r="101" spans="2:22" ht="41.4" outlineLevel="1">
      <c r="B101" s="256" t="s">
        <v>98</v>
      </c>
      <c r="C101" s="46" t="s">
        <v>976</v>
      </c>
      <c r="D101" s="39">
        <f t="shared" si="17"/>
        <v>5</v>
      </c>
      <c r="E101" s="40">
        <f t="shared" si="17"/>
        <v>5</v>
      </c>
      <c r="F101" s="41">
        <f t="shared" si="17"/>
        <v>5</v>
      </c>
      <c r="G101" s="47"/>
      <c r="H101" s="47"/>
      <c r="I101" s="47"/>
      <c r="J101" s="324"/>
      <c r="K101" s="41">
        <f t="shared" si="18"/>
        <v>5</v>
      </c>
      <c r="L101" s="47">
        <f t="shared" si="19"/>
        <v>0</v>
      </c>
      <c r="M101">
        <f t="shared" ref="M101:M113" si="23">L101-K101</f>
        <v>-5</v>
      </c>
      <c r="N101" s="237" t="s">
        <v>283</v>
      </c>
      <c r="O101" s="478"/>
      <c r="P101" s="364">
        <f t="shared" si="20"/>
        <v>37.04999999999999</v>
      </c>
      <c r="Q101" s="305" t="str">
        <f>IF(($L101-$F101)&gt;=0,"",
" - Заполнить Журнал поэкземплярного учета, используемых СКЗИ, включив в него сведения об эксплуатационной и технической документации на СКЗИ.")</f>
        <v xml:space="preserve"> - Заполнить Журнал поэкземплярного учета, используемых СКЗИ, включив в него сведения об эксплуатационной и технической документации на СКЗИ.</v>
      </c>
      <c r="R101" s="364">
        <f t="shared" si="8"/>
        <v>237.04999999999998</v>
      </c>
      <c r="S101" s="26" t="str">
        <f t="shared" si="21"/>
        <v/>
      </c>
      <c r="T101" s="364">
        <f t="shared" si="9"/>
        <v>337.05</v>
      </c>
      <c r="U101" s="26" t="str">
        <f t="shared" si="22"/>
        <v/>
      </c>
    </row>
    <row r="102" spans="2:22" ht="53.85" customHeight="1" outlineLevel="1">
      <c r="B102" s="256" t="s">
        <v>99</v>
      </c>
      <c r="C102" s="46" t="s">
        <v>977</v>
      </c>
      <c r="D102" s="39">
        <f t="shared" si="17"/>
        <v>5</v>
      </c>
      <c r="E102" s="40">
        <f t="shared" si="17"/>
        <v>5</v>
      </c>
      <c r="F102" s="41">
        <f t="shared" si="17"/>
        <v>5</v>
      </c>
      <c r="G102" s="47"/>
      <c r="H102" s="47"/>
      <c r="I102" s="47"/>
      <c r="J102" s="324"/>
      <c r="K102" s="41">
        <f t="shared" si="18"/>
        <v>5</v>
      </c>
      <c r="L102" s="47">
        <f t="shared" si="19"/>
        <v>0</v>
      </c>
      <c r="M102">
        <f t="shared" si="23"/>
        <v>-5</v>
      </c>
      <c r="N102" s="237" t="s">
        <v>283</v>
      </c>
      <c r="O102" s="478"/>
      <c r="P102" s="364">
        <f t="shared" si="20"/>
        <v>37.059999999999988</v>
      </c>
      <c r="Q102" s="305" t="str">
        <f>IF(($L102-$F102)&gt;=0,"",
" -  Обеспечить приобретение сейфов/металлических шкафов для хранения КД для ОКЗ и для пользователей СКЗИ;"&amp;"
   -  Выдать персоналу ОКЗ и пользователям СКЗИ персональные печати для опечатывания хранилищ;"&amp;"
   -  Присвоить идентификаторы хранилищам, учесть их в Журнале учета хранилищ.")</f>
        <v xml:space="preserve"> -  Обеспечить приобретение сейфов/металлических шкафов для хранения КД для ОКЗ и для пользователей СКЗИ;
   -  Выдать персоналу ОКЗ и пользователям СКЗИ персональные печати для опечатывания хранилищ;
   -  Присвоить идентификаторы хранилищам, учесть их в Журнале учета хранилищ.</v>
      </c>
      <c r="R102" s="364">
        <f t="shared" si="8"/>
        <v>237.06</v>
      </c>
      <c r="S102" s="26" t="str">
        <f t="shared" si="21"/>
        <v/>
      </c>
      <c r="T102" s="364">
        <f t="shared" si="9"/>
        <v>337.06</v>
      </c>
      <c r="U102" s="26" t="str">
        <f t="shared" si="22"/>
        <v/>
      </c>
    </row>
    <row r="103" spans="2:22" ht="60" customHeight="1" outlineLevel="1">
      <c r="B103" s="256" t="s">
        <v>969</v>
      </c>
      <c r="C103" s="46" t="s">
        <v>978</v>
      </c>
      <c r="D103" s="39">
        <f t="shared" si="17"/>
        <v>5</v>
      </c>
      <c r="E103" s="40">
        <f t="shared" si="17"/>
        <v>5</v>
      </c>
      <c r="F103" s="41">
        <f t="shared" si="17"/>
        <v>5</v>
      </c>
      <c r="G103" s="47"/>
      <c r="H103" s="47"/>
      <c r="I103" s="47"/>
      <c r="J103" s="324"/>
      <c r="K103" s="41">
        <f t="shared" si="18"/>
        <v>5</v>
      </c>
      <c r="L103" s="47">
        <f t="shared" si="19"/>
        <v>0</v>
      </c>
      <c r="M103">
        <f t="shared" si="23"/>
        <v>-5</v>
      </c>
      <c r="N103" s="237" t="s">
        <v>283</v>
      </c>
      <c r="O103" s="35"/>
      <c r="P103" s="364">
        <f t="shared" si="20"/>
        <v>37.069999999999986</v>
      </c>
      <c r="Q103" s="305" t="str">
        <f>IF(($L103-$F103)&gt;=0,"",
" -  Разработать план и график проведения проверок выполнения пользователями СКЗИ условий использования СКЗИ;"&amp;"
   - Организовать проверки в соответствии с планом.")</f>
        <v xml:space="preserve"> -  Разработать план и график проведения проверок выполнения пользователями СКЗИ условий использования СКЗИ;
   - Организовать проверки в соответствии с планом.</v>
      </c>
      <c r="R103" s="364">
        <f t="shared" si="8"/>
        <v>237.07</v>
      </c>
      <c r="S103" s="26" t="str">
        <f t="shared" si="21"/>
        <v/>
      </c>
      <c r="T103" s="364">
        <f t="shared" si="9"/>
        <v>337.07</v>
      </c>
      <c r="U103" s="26" t="str">
        <f t="shared" si="22"/>
        <v/>
      </c>
    </row>
    <row r="104" spans="2:22" ht="36" customHeight="1" outlineLevel="1">
      <c r="B104" s="256" t="s">
        <v>970</v>
      </c>
      <c r="C104" s="46" t="s">
        <v>979</v>
      </c>
      <c r="D104" s="39">
        <f t="shared" si="17"/>
        <v>5</v>
      </c>
      <c r="E104" s="40">
        <f t="shared" si="17"/>
        <v>5</v>
      </c>
      <c r="F104" s="41">
        <f t="shared" si="17"/>
        <v>5</v>
      </c>
      <c r="G104" s="47"/>
      <c r="H104" s="47"/>
      <c r="I104" s="47"/>
      <c r="J104" s="324"/>
      <c r="K104" s="41">
        <f t="shared" si="18"/>
        <v>5</v>
      </c>
      <c r="L104" s="47">
        <f t="shared" si="19"/>
        <v>0</v>
      </c>
      <c r="M104">
        <f t="shared" si="23"/>
        <v>-5</v>
      </c>
      <c r="N104" s="237" t="s">
        <v>283</v>
      </c>
      <c r="O104" s="478"/>
      <c r="P104" s="364">
        <f t="shared" si="20"/>
        <v>37.079999999999984</v>
      </c>
      <c r="Q104" s="305" t="str">
        <f>IF(($L104-$F104)&gt;=0,"",
" - Организовать процесс уничтожения ключевой информации в соответствии с требованиями пункта 42 Приказа ФАПСИ от 13 июня 2001 г. № 152")</f>
        <v xml:space="preserve"> - Организовать процесс уничтожения ключевой информации в соответствии с требованиями пункта 42 Приказа ФАПСИ от 13 июня 2001 г. № 152</v>
      </c>
      <c r="R104" s="364">
        <f t="shared" si="8"/>
        <v>237.07999999999998</v>
      </c>
      <c r="S104" s="26" t="str">
        <f t="shared" si="21"/>
        <v/>
      </c>
      <c r="T104" s="364">
        <f t="shared" si="9"/>
        <v>337.08</v>
      </c>
      <c r="U104" s="26" t="str">
        <f t="shared" si="22"/>
        <v/>
      </c>
    </row>
    <row r="105" spans="2:22" ht="288" outlineLevel="1">
      <c r="B105" s="46" t="s">
        <v>100</v>
      </c>
      <c r="C105" s="46" t="s">
        <v>980</v>
      </c>
      <c r="D105" s="39">
        <f t="shared" si="17"/>
        <v>5</v>
      </c>
      <c r="E105" s="40">
        <f t="shared" si="17"/>
        <v>5</v>
      </c>
      <c r="F105" s="41">
        <f t="shared" si="17"/>
        <v>5</v>
      </c>
      <c r="G105" s="47"/>
      <c r="H105" s="47"/>
      <c r="I105" s="47"/>
      <c r="J105" s="324"/>
      <c r="K105" s="41">
        <f t="shared" si="18"/>
        <v>5</v>
      </c>
      <c r="L105" s="47">
        <f t="shared" si="19"/>
        <v>0</v>
      </c>
      <c r="M105">
        <f t="shared" si="23"/>
        <v>-5</v>
      </c>
      <c r="N105" s="104" t="s">
        <v>283</v>
      </c>
      <c r="P105" s="364">
        <f t="shared" si="20"/>
        <v>37.089999999999982</v>
      </c>
      <c r="Q105" s="305" t="str">
        <f>IF(($L105-$F105)&gt;=0,"",
" -  Определить необходимость офрмления лицензии и создания в Обществе органа криптографической защиты (ОКЗ);"&amp;"
   -  Оформить лицензию ФСБ на деятельность в области криптографии;"&amp;"
   -  Издать приказ о создании ОКЗ;"&amp;"
   -  Утвердить состав ОКЗ;"&amp;"
   -  Назначить руководителя ОКЗ и инженерно-технических работников;P112   -  Разработать и утвердить приказом Регламент ОКЗ;Q110:"&amp;"
' формы журналов поэкземплярного учета СКЗИ, ключевых документов (КД), ключевых носителей (КН), пользователей СКЗИ;"&amp;"
' программу обучения лиц для допуска к самостоятельной работе с СКЗИ;"&amp;"
' форму лицевого счета пользователя СКЗИ;"&amp;"
' форму заключеня о допуске лиц к самостоятельной работе с СКЗИ;"&amp;"
' формы журналов учета спецпомещений для хранения СКЗИ, хранилищ для хранения документации, КН, КД;"&amp;"
' форму  Акта уничтожения СКЗИ;"&amp;"
' форму Акта приема-передачи СКЗИ."&amp;" 
 -  Создать комиссии по допуску лиц к самостоятельной работе с СКЗИ и по уничтожению СКЗИ;"&amp;"
 -  Разработать порядок проведения провероки выполнения пользователями СКЗИ условий использования СКЗИ.")</f>
        <v xml:space="preserve"> -  Определить необходимость офрмления лицензии и создания в Обществе органа криптографической защиты (ОКЗ);
   -  Оформить лицензию ФСБ на деятельность в области криптографии;
   -  Издать приказ о создании ОКЗ;
   -  Утвердить состав ОКЗ;
   -  Назначить руководителя ОКЗ и инженерно-технических работников;P112   -  Разработать и утвердить приказом Регламент ОКЗ;Q110:
' формы журналов поэкземплярного учета СКЗИ, ключевых документов (КД), ключевых носителей (КН), пользователей СКЗИ;
' программу обучения лиц для допуска к самостоятельной работе с СКЗИ;
' форму лицевого счета пользователя СКЗИ;
' форму заключеня о допуске лиц к самостоятельной работе с СКЗИ;
' формы журналов учета спецпомещений для хранения СКЗИ, хранилищ для хранения документации, КН, КД;
' форму  Акта уничтожения СКЗИ;
' форму Акта приема-передачи СКЗИ. 
 -  Создать комиссии по допуску лиц к самостоятельной работе с СКЗИ и по уничтожению СКЗИ;
 -  Разработать порядок проведения провероки выполнения пользователями СКЗИ условий использования СКЗИ.</v>
      </c>
      <c r="R105" s="364">
        <f t="shared" si="8"/>
        <v>237.08999999999997</v>
      </c>
      <c r="S105" s="26" t="str">
        <f t="shared" si="21"/>
        <v/>
      </c>
      <c r="T105" s="364">
        <f t="shared" si="9"/>
        <v>337.09</v>
      </c>
      <c r="U105" s="26" t="str">
        <f t="shared" si="22"/>
        <v/>
      </c>
    </row>
    <row r="106" spans="2:22" ht="46.5" customHeight="1" outlineLevel="1">
      <c r="B106" s="46" t="s">
        <v>971</v>
      </c>
      <c r="C106" s="46" t="s">
        <v>981</v>
      </c>
      <c r="D106" s="39">
        <f>5*IF(СКЗИ="да",1,0)</f>
        <v>5</v>
      </c>
      <c r="E106" s="40">
        <f>3.2*IF(СКЗИ="да",1,0)</f>
        <v>3.2</v>
      </c>
      <c r="F106" s="41">
        <f>1.6*IF(СКЗИ="да",1,0)</f>
        <v>1.6</v>
      </c>
      <c r="G106" s="47"/>
      <c r="H106" s="47"/>
      <c r="I106" s="47"/>
      <c r="J106" s="324"/>
      <c r="K106" s="41">
        <f>1.6*IF(СКЗИ="да",1,0)</f>
        <v>1.6</v>
      </c>
      <c r="L106" s="47">
        <f t="shared" si="19"/>
        <v>0</v>
      </c>
      <c r="M106">
        <f t="shared" si="23"/>
        <v>-1.6</v>
      </c>
      <c r="N106" t="s">
        <v>283</v>
      </c>
      <c r="P106" s="370">
        <f t="shared" si="20"/>
        <v>37.09999999999998</v>
      </c>
      <c r="Q106" s="305" t="str">
        <f>IF(($L106-$F106)&gt;=0,"",
" -  Определить необходимость офрмления лицензии и создания в Обществе органа криптографической защиты (ОКЗ);"&amp;"
   -  Оформить лицензию ФСБ на деятельность в области криптографии;"&amp;"
   -  Издать приказ о создании ОКЗ;"&amp;"
   -  Утвердить состав ОКЗ;"&amp;"
   -  Назначить руководителя ОКЗ и инженерно-технических работников;P112   -  Разработать и утвердить приказом Регламент ОКЗ;Q110:"&amp;"
' формы журналов поэкземплярного учета СКЗИ, ключевых документов (КД), ключевых носителей (КН), пользователей СКЗИ;"&amp;"
' программу обучения лиц для допуска к самостоятельной работе с СКЗИ;"&amp;"
' форму лицевого счета пользователя СКЗИ;"&amp;"
' форму заключеня о допуске лиц к самостоятельной работе с СКЗИ;"&amp;"
' формы журналов учета спецпомещений для хранения СКЗИ, хранилищ для хранения документации, КН, КД;"&amp;"
' форму  Акта уничтожения СКЗИ;"&amp;"
' форму Акта приема-передачи СКЗИ."&amp;" 
 -  Создать комиссии по допуску лиц к самостоятельной работе с СКЗИ и по уничтожению СКЗИ;"&amp;"
 -  Разработать порядок проведения провероки выполнения пользователями СКЗИ условий использования СКЗИ.")</f>
        <v xml:space="preserve"> -  Определить необходимость офрмления лицензии и создания в Обществе органа криптографической защиты (ОКЗ);
   -  Оформить лицензию ФСБ на деятельность в области криптографии;
   -  Издать приказ о создании ОКЗ;
   -  Утвердить состав ОКЗ;
   -  Назначить руководителя ОКЗ и инженерно-технических работников;P112   -  Разработать и утвердить приказом Регламент ОКЗ;Q110:
' формы журналов поэкземплярного учета СКЗИ, ключевых документов (КД), ключевых носителей (КН), пользователей СКЗИ;
' программу обучения лиц для допуска к самостоятельной работе с СКЗИ;
' форму лицевого счета пользователя СКЗИ;
' форму заключеня о допуске лиц к самостоятельной работе с СКЗИ;
' формы журналов учета спецпомещений для хранения СКЗИ, хранилищ для хранения документации, КН, КД;
' форму  Акта уничтожения СКЗИ;
' форму Акта приема-передачи СКЗИ. 
 -  Создать комиссии по допуску лиц к самостоятельной работе с СКЗИ и по уничтожению СКЗИ;
 -  Разработать порядок проведения провероки выполнения пользователями СКЗИ условий использования СКЗИ.</v>
      </c>
      <c r="R106" s="370">
        <f t="shared" si="8"/>
        <v>237.09999999999997</v>
      </c>
      <c r="S106" s="26" t="str">
        <f t="shared" si="21"/>
        <v/>
      </c>
      <c r="T106" s="370">
        <f t="shared" si="9"/>
        <v>337.09999999999997</v>
      </c>
      <c r="U106" s="26" t="str">
        <f t="shared" si="22"/>
        <v/>
      </c>
    </row>
    <row r="107" spans="2:22">
      <c r="B107" s="43" t="s">
        <v>101</v>
      </c>
      <c r="C107" s="44">
        <v>250</v>
      </c>
      <c r="D107" s="44"/>
      <c r="E107" s="44"/>
      <c r="F107" s="44"/>
      <c r="G107" s="50"/>
      <c r="H107" s="44"/>
      <c r="I107" s="44"/>
      <c r="J107" s="44"/>
      <c r="K107" s="44"/>
      <c r="L107" s="44"/>
      <c r="M107" s="72"/>
      <c r="N107" s="284"/>
      <c r="O107" s="284"/>
      <c r="P107" s="366">
        <f>VLOOKUP(B107,Приоритет!$G$9:$K$52,5,0)</f>
        <v>9</v>
      </c>
      <c r="Q107" s="43" t="s">
        <v>594</v>
      </c>
      <c r="R107" s="366">
        <f t="shared" si="8"/>
        <v>209</v>
      </c>
      <c r="S107" s="43" t="s">
        <v>594</v>
      </c>
      <c r="T107" s="366">
        <f t="shared" si="9"/>
        <v>309</v>
      </c>
      <c r="U107" s="43" t="s">
        <v>594</v>
      </c>
      <c r="V107" s="285"/>
    </row>
    <row r="108" spans="2:22" ht="17.399999999999999" outlineLevel="1">
      <c r="B108" s="101" t="str">
        <f>'250'!B42</f>
        <v xml:space="preserve">Созданы органы управления </v>
      </c>
      <c r="C108" s="46" t="s">
        <v>102</v>
      </c>
      <c r="D108" s="39">
        <f>'250'!D42</f>
        <v>0.625</v>
      </c>
      <c r="E108" s="40">
        <f>'250'!E42</f>
        <v>0.625</v>
      </c>
      <c r="F108" s="41">
        <f>'250'!F42</f>
        <v>0.625</v>
      </c>
      <c r="G108" s="173"/>
      <c r="H108" s="174"/>
      <c r="I108" s="286"/>
      <c r="J108" s="328"/>
      <c r="K108" s="41">
        <f>'250'!K42</f>
        <v>0.625</v>
      </c>
      <c r="L108" s="286">
        <f>'250'!L42</f>
        <v>0.625</v>
      </c>
      <c r="M108">
        <f t="shared" si="23"/>
        <v>0</v>
      </c>
      <c r="P108" s="364">
        <f t="shared" ref="P108:P113" si="24">P107+0.01</f>
        <v>9.01</v>
      </c>
      <c r="Q108" s="26" t="str">
        <f t="shared" ref="Q108:Q113" si="25">IF(($L108-$F108)&gt;=0,"","")</f>
        <v/>
      </c>
      <c r="R108" s="364">
        <f t="shared" ref="R108:R113" si="26">R107+0.01</f>
        <v>209.01</v>
      </c>
      <c r="S108" s="26" t="str">
        <f t="shared" ref="S108:S113" si="27">IF(($L108-$E108)&gt;=0,"","")</f>
        <v/>
      </c>
      <c r="T108" s="364">
        <f t="shared" ref="T108:T113" si="28">T107+0.01</f>
        <v>309.01</v>
      </c>
      <c r="U108" s="26" t="str">
        <f t="shared" ref="U108:U113" si="29">IF(($L108-$D108)&gt;=0,"","")</f>
        <v/>
      </c>
    </row>
    <row r="109" spans="2:22" ht="17.399999999999999" outlineLevel="1">
      <c r="B109" s="101" t="str">
        <f>'250'!B43</f>
        <v>Подразделение по ИБ</v>
      </c>
      <c r="C109" s="46" t="s">
        <v>103</v>
      </c>
      <c r="D109" s="39">
        <f>'250'!D43</f>
        <v>1.6666666666666667</v>
      </c>
      <c r="E109" s="40">
        <f>'250'!E43</f>
        <v>1.6666666666666667</v>
      </c>
      <c r="F109" s="41">
        <f>'250'!F43</f>
        <v>1.6666666666666667</v>
      </c>
      <c r="G109" s="173"/>
      <c r="H109" s="174"/>
      <c r="I109" s="286"/>
      <c r="J109" s="328"/>
      <c r="K109" s="41">
        <f>'250'!K43</f>
        <v>1.6666666666666667</v>
      </c>
      <c r="L109" s="286">
        <f>'250'!L43</f>
        <v>1.6666666666666667</v>
      </c>
      <c r="M109">
        <f t="shared" si="23"/>
        <v>0</v>
      </c>
      <c r="P109" s="364">
        <f t="shared" si="24"/>
        <v>9.02</v>
      </c>
      <c r="Q109" s="26" t="str">
        <f t="shared" si="25"/>
        <v/>
      </c>
      <c r="R109" s="364">
        <f t="shared" si="26"/>
        <v>209.01999999999998</v>
      </c>
      <c r="S109" s="26" t="str">
        <f t="shared" si="27"/>
        <v/>
      </c>
      <c r="T109" s="364">
        <f t="shared" si="28"/>
        <v>309.02</v>
      </c>
      <c r="U109" s="26" t="str">
        <f t="shared" si="29"/>
        <v/>
      </c>
    </row>
    <row r="110" spans="2:22" ht="17.399999999999999" outlineLevel="1">
      <c r="B110" s="101" t="str">
        <f>'250'!B44</f>
        <v>Организованно взаимодействие с подрядчиками</v>
      </c>
      <c r="C110" s="46" t="s">
        <v>104</v>
      </c>
      <c r="D110" s="39">
        <f>'250'!D44</f>
        <v>0</v>
      </c>
      <c r="E110" s="40">
        <f>'250'!E44</f>
        <v>0</v>
      </c>
      <c r="F110" s="41">
        <f>'250'!F44</f>
        <v>0</v>
      </c>
      <c r="G110" s="173"/>
      <c r="H110" s="174"/>
      <c r="I110" s="286"/>
      <c r="J110" s="328"/>
      <c r="K110" s="41">
        <f>'250'!K44</f>
        <v>0</v>
      </c>
      <c r="L110" s="286">
        <f>'250'!L44</f>
        <v>0</v>
      </c>
      <c r="M110">
        <f t="shared" si="23"/>
        <v>0</v>
      </c>
      <c r="P110" s="364">
        <f t="shared" si="24"/>
        <v>9.0299999999999994</v>
      </c>
      <c r="Q110" s="26" t="str">
        <f t="shared" si="25"/>
        <v/>
      </c>
      <c r="R110" s="364">
        <f t="shared" si="26"/>
        <v>209.02999999999997</v>
      </c>
      <c r="S110" s="26" t="str">
        <f t="shared" si="27"/>
        <v/>
      </c>
      <c r="T110" s="364">
        <f t="shared" si="28"/>
        <v>309.02999999999997</v>
      </c>
      <c r="U110" s="26" t="str">
        <f t="shared" si="29"/>
        <v/>
      </c>
    </row>
    <row r="111" spans="2:22" ht="17.399999999999999" outlineLevel="1">
      <c r="B111" s="101" t="str">
        <f>'250'!B45</f>
        <v>Обеспечена ИБ</v>
      </c>
      <c r="C111" s="46" t="s">
        <v>105</v>
      </c>
      <c r="D111" s="39">
        <f>'250'!D45</f>
        <v>0.625</v>
      </c>
      <c r="E111" s="40">
        <f>'250'!E45</f>
        <v>0.625</v>
      </c>
      <c r="F111" s="41">
        <f>'250'!F45</f>
        <v>0.3125</v>
      </c>
      <c r="G111" s="173"/>
      <c r="H111" s="174"/>
      <c r="I111" s="286"/>
      <c r="J111" s="328"/>
      <c r="K111" s="41">
        <f>'250'!K45</f>
        <v>0.3125</v>
      </c>
      <c r="L111" s="286">
        <f>'250'!L45</f>
        <v>0.625</v>
      </c>
      <c r="M111">
        <f t="shared" si="23"/>
        <v>0.3125</v>
      </c>
      <c r="P111" s="364">
        <f t="shared" si="24"/>
        <v>9.0399999999999991</v>
      </c>
      <c r="Q111" s="26" t="str">
        <f t="shared" si="25"/>
        <v/>
      </c>
      <c r="R111" s="364">
        <f t="shared" si="26"/>
        <v>209.03999999999996</v>
      </c>
      <c r="S111" s="26" t="str">
        <f t="shared" si="27"/>
        <v/>
      </c>
      <c r="T111" s="364">
        <f t="shared" si="28"/>
        <v>309.03999999999996</v>
      </c>
      <c r="U111" s="26" t="str">
        <f t="shared" si="29"/>
        <v/>
      </c>
    </row>
    <row r="112" spans="2:22" ht="17.399999999999999" outlineLevel="1">
      <c r="B112" s="101" t="str">
        <f>'250'!B46</f>
        <v>Использование СЗИ</v>
      </c>
      <c r="C112" s="46" t="s">
        <v>106</v>
      </c>
      <c r="D112" s="39">
        <f>'250'!D46</f>
        <v>0</v>
      </c>
      <c r="E112" s="40">
        <f>'250'!E46</f>
        <v>0</v>
      </c>
      <c r="F112" s="41">
        <f>'250'!F46</f>
        <v>0</v>
      </c>
      <c r="G112" s="173"/>
      <c r="H112" s="174"/>
      <c r="I112" s="286"/>
      <c r="J112" s="328"/>
      <c r="K112" s="41">
        <f>'250'!K46</f>
        <v>0</v>
      </c>
      <c r="L112" s="286">
        <f>'250'!L46</f>
        <v>0</v>
      </c>
      <c r="M112">
        <f t="shared" si="23"/>
        <v>0</v>
      </c>
      <c r="P112" s="364">
        <f t="shared" si="24"/>
        <v>9.0499999999999989</v>
      </c>
      <c r="Q112" s="26" t="str">
        <f t="shared" si="25"/>
        <v/>
      </c>
      <c r="R112" s="364">
        <f t="shared" si="26"/>
        <v>209.04999999999995</v>
      </c>
      <c r="S112" s="26" t="str">
        <f t="shared" si="27"/>
        <v/>
      </c>
      <c r="T112" s="364">
        <f t="shared" si="28"/>
        <v>309.04999999999995</v>
      </c>
      <c r="U112" s="26" t="str">
        <f t="shared" si="29"/>
        <v/>
      </c>
    </row>
    <row r="113" spans="2:21" ht="17.399999999999999" outlineLevel="1">
      <c r="B113" s="101" t="str">
        <f>'250'!B47</f>
        <v>Взаимодействие с ГОССОПКА</v>
      </c>
      <c r="C113" s="46" t="s">
        <v>107</v>
      </c>
      <c r="D113" s="39">
        <f>'250'!D47</f>
        <v>0</v>
      </c>
      <c r="E113" s="40">
        <f>'250'!E47</f>
        <v>0</v>
      </c>
      <c r="F113" s="41">
        <f>'250'!F47</f>
        <v>0</v>
      </c>
      <c r="G113" s="173"/>
      <c r="H113" s="174"/>
      <c r="I113" s="286"/>
      <c r="J113" s="328"/>
      <c r="K113" s="41">
        <f>'250'!K47</f>
        <v>0</v>
      </c>
      <c r="L113" s="286">
        <f>'250'!L47</f>
        <v>0</v>
      </c>
      <c r="M113">
        <f t="shared" si="23"/>
        <v>0</v>
      </c>
      <c r="P113" s="364">
        <f t="shared" si="24"/>
        <v>9.0599999999999987</v>
      </c>
      <c r="Q113" s="26" t="str">
        <f t="shared" si="25"/>
        <v/>
      </c>
      <c r="R113" s="364">
        <f t="shared" si="26"/>
        <v>209.05999999999995</v>
      </c>
      <c r="S113" s="26" t="str">
        <f t="shared" si="27"/>
        <v/>
      </c>
      <c r="T113" s="364">
        <f t="shared" si="28"/>
        <v>309.05999999999995</v>
      </c>
      <c r="U113" s="26" t="str">
        <f t="shared" si="29"/>
        <v/>
      </c>
    </row>
  </sheetData>
  <autoFilter ref="B48:P113" xr:uid="{00000000-0009-0000-0000-000005000000}"/>
  <conditionalFormatting sqref="M1:M48">
    <cfRule type="cellIs" dxfId="43" priority="1" operator="greaterThan">
      <formula>0</formula>
    </cfRule>
    <cfRule type="cellIs" dxfId="42" priority="2" operator="equal">
      <formula>0</formula>
    </cfRule>
    <cfRule type="cellIs" dxfId="41" priority="3" operator="lessThan">
      <formula>0</formula>
    </cfRule>
  </conditionalFormatting>
  <conditionalFormatting sqref="M50:M11099">
    <cfRule type="cellIs" dxfId="40" priority="14" operator="lessThan">
      <formula>0</formula>
    </cfRule>
  </conditionalFormatting>
  <conditionalFormatting sqref="M50:M1048576">
    <cfRule type="cellIs" dxfId="39" priority="10" operator="greaterThan">
      <formula>0</formula>
    </cfRule>
    <cfRule type="cellIs" dxfId="38" priority="11" operator="equal">
      <formula>0</formula>
    </cfRule>
  </conditionalFormatting>
  <conditionalFormatting sqref="O48">
    <cfRule type="cellIs" dxfId="37" priority="12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L43:L44 I43:I44" formulaRange="1"/>
    <ignoredError sqref="P74 P90:Q90 Q96:S96 P107 S108:S113 S64:S73 S59:S62 S56:S57 S53 S54:S55 S51 S50 Q53 R50 T50:U50 Q51:R51 T51:U51 Q65:Q68 Q54:Q55 U54:U55 U53 Q56:Q57 U56:U57 Q60:Q62 U59:U62 U64:U73 S52 U52 S58 Q58 U58 S63 Q63 U63 Q70:Q7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'Условные сокращения'!$M$11:$M$12</xm:f>
          </x14:formula1>
          <xm:sqref>N97 N106 N75:N78 N88 N50:N54 N56:N69</xm:sqref>
        </x14:dataValidation>
        <x14:dataValidation type="list" allowBlank="1" showInputMessage="1" showErrorMessage="1" xr:uid="{00000000-0002-0000-0500-000001000000}">
          <x14:formula1>
            <xm:f>'Условные сокращения'!$I$11:$I$14</xm:f>
          </x14:formula1>
          <xm:sqref>N98:N105 N91:N95 N89</xm:sqref>
        </x14:dataValidation>
        <x14:dataValidation type="list" allowBlank="1" showInputMessage="1" showErrorMessage="1" xr:uid="{00000000-0002-0000-0500-000002000000}">
          <x14:formula1>
            <xm:f>'Условные сокращения'!$B$27:$B$30</xm:f>
          </x14:formula1>
          <xm:sqref>N55 N70:N73 N79:N87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6">
    <tabColor theme="3" tint="0.79998168889431442"/>
    <outlinePr summaryBelow="0" summaryRight="0"/>
  </sheetPr>
  <dimension ref="A1:Q98"/>
  <sheetViews>
    <sheetView topLeftCell="A44" zoomScale="70" zoomScaleNormal="70" workbookViewId="0">
      <selection activeCell="I56" sqref="I56"/>
    </sheetView>
  </sheetViews>
  <sheetFormatPr defaultRowHeight="15.6" outlineLevelRow="1"/>
  <cols>
    <col min="1" max="1" width="21.09765625" customWidth="1"/>
    <col min="2" max="2" width="94.59765625" bestFit="1" customWidth="1"/>
    <col min="3" max="3" width="18.09765625" bestFit="1" customWidth="1"/>
    <col min="6" max="6" width="9" customWidth="1"/>
    <col min="7" max="7" width="19.59765625" hidden="1" customWidth="1"/>
    <col min="8" max="8" width="18.09765625" hidden="1" customWidth="1"/>
    <col min="9" max="10" width="18.09765625" customWidth="1"/>
    <col min="11" max="11" width="13.59765625" bestFit="1" customWidth="1"/>
    <col min="12" max="12" width="18.09765625" customWidth="1"/>
    <col min="15" max="15" width="68.5" style="181" customWidth="1"/>
    <col min="16" max="16" width="14.5" customWidth="1"/>
    <col min="17" max="17" width="21" customWidth="1"/>
  </cols>
  <sheetData>
    <row r="1" spans="2:12" ht="61.2">
      <c r="B1" s="51" t="s">
        <v>69</v>
      </c>
      <c r="C1" s="26"/>
      <c r="D1" s="591" t="s">
        <v>108</v>
      </c>
      <c r="E1" s="591"/>
      <c r="F1" s="591"/>
      <c r="G1" s="591"/>
      <c r="H1" s="591"/>
      <c r="I1" s="98"/>
      <c r="J1" s="98"/>
      <c r="L1" s="98"/>
    </row>
    <row r="2" spans="2:12">
      <c r="B2" s="26"/>
      <c r="C2" s="26"/>
      <c r="D2" s="26"/>
      <c r="E2" s="26"/>
      <c r="F2" s="26"/>
      <c r="G2" s="26"/>
      <c r="H2" s="26"/>
      <c r="I2" s="26"/>
      <c r="J2" s="26"/>
      <c r="L2" s="26"/>
    </row>
    <row r="3" spans="2:12">
      <c r="B3" s="26"/>
      <c r="C3" s="26"/>
      <c r="D3" s="26"/>
      <c r="E3" s="26"/>
      <c r="F3" s="26"/>
      <c r="G3" s="26"/>
      <c r="H3" s="26"/>
      <c r="I3" s="26"/>
      <c r="J3" s="26"/>
      <c r="L3" s="26"/>
    </row>
    <row r="4" spans="2:12">
      <c r="B4" s="26"/>
      <c r="C4" s="26"/>
      <c r="D4" s="26"/>
      <c r="E4" s="26"/>
      <c r="F4" s="26"/>
      <c r="G4" s="26"/>
      <c r="H4" s="26"/>
      <c r="I4" s="26"/>
      <c r="J4" s="26"/>
      <c r="L4" s="26"/>
    </row>
    <row r="5" spans="2:12">
      <c r="B5" s="26"/>
      <c r="C5" s="26"/>
      <c r="D5" s="26"/>
      <c r="E5" s="26"/>
      <c r="F5" s="26"/>
      <c r="G5" s="26"/>
      <c r="H5" s="26"/>
      <c r="I5" s="26"/>
      <c r="J5" s="26"/>
      <c r="L5" s="26"/>
    </row>
    <row r="6" spans="2:12">
      <c r="B6" s="26"/>
      <c r="C6" s="26"/>
      <c r="D6" s="26"/>
      <c r="E6" s="26"/>
      <c r="F6" s="26"/>
      <c r="G6" s="26"/>
      <c r="H6" s="26"/>
      <c r="I6" s="26"/>
      <c r="J6" s="26"/>
      <c r="L6" s="26"/>
    </row>
    <row r="7" spans="2:12">
      <c r="B7" s="26"/>
      <c r="C7" s="26"/>
      <c r="D7" s="26"/>
      <c r="E7" s="26"/>
      <c r="F7" s="26"/>
      <c r="G7" s="26"/>
      <c r="H7" s="26"/>
      <c r="I7" s="26"/>
      <c r="J7" s="26"/>
      <c r="L7" s="26"/>
    </row>
    <row r="8" spans="2:12">
      <c r="B8" s="26"/>
      <c r="C8" s="26"/>
      <c r="D8" s="26"/>
      <c r="E8" s="26"/>
      <c r="F8" s="26"/>
      <c r="G8" s="26"/>
      <c r="H8" s="26"/>
      <c r="I8" s="26"/>
      <c r="J8" s="26"/>
      <c r="L8" s="26"/>
    </row>
    <row r="9" spans="2:12">
      <c r="B9" s="26"/>
      <c r="C9" s="26"/>
      <c r="D9" s="26"/>
      <c r="E9" s="26"/>
      <c r="F9" s="26"/>
      <c r="G9" s="26"/>
      <c r="H9" s="26"/>
      <c r="I9" s="26"/>
      <c r="J9" s="26"/>
      <c r="L9" s="26"/>
    </row>
    <row r="10" spans="2:12">
      <c r="B10" s="26"/>
      <c r="C10" s="26"/>
      <c r="D10" s="26"/>
      <c r="E10" s="26"/>
      <c r="F10" s="26"/>
      <c r="G10" s="26"/>
      <c r="H10" s="26"/>
      <c r="I10" s="26"/>
      <c r="J10" s="26"/>
      <c r="L10" s="26"/>
    </row>
    <row r="11" spans="2:12">
      <c r="B11" s="26"/>
      <c r="C11" s="26"/>
      <c r="D11" s="26"/>
      <c r="E11" s="26"/>
      <c r="F11" s="26"/>
      <c r="G11" s="26"/>
      <c r="H11" s="26"/>
      <c r="I11" s="26"/>
      <c r="J11" s="26"/>
      <c r="L11" s="26"/>
    </row>
    <row r="12" spans="2:12">
      <c r="B12" s="26"/>
      <c r="C12" s="26"/>
      <c r="D12" s="26"/>
      <c r="E12" s="26"/>
      <c r="F12" s="26"/>
      <c r="G12" s="26"/>
      <c r="H12" s="26"/>
      <c r="I12" s="26"/>
      <c r="J12" s="26"/>
      <c r="L12" s="26"/>
    </row>
    <row r="13" spans="2:12">
      <c r="B13" s="26"/>
      <c r="C13" s="26"/>
      <c r="D13" s="26"/>
      <c r="E13" s="26"/>
      <c r="F13" s="26"/>
      <c r="G13" s="26"/>
      <c r="H13" s="26"/>
      <c r="I13" s="26"/>
      <c r="J13" s="26"/>
      <c r="L13" s="26"/>
    </row>
    <row r="14" spans="2:12">
      <c r="B14" s="26"/>
      <c r="C14" s="26"/>
      <c r="D14" s="26"/>
      <c r="E14" s="26"/>
      <c r="F14" s="26"/>
      <c r="G14" s="26"/>
      <c r="H14" s="26"/>
      <c r="I14" s="26"/>
      <c r="J14" s="26"/>
      <c r="L14" s="26"/>
    </row>
    <row r="15" spans="2:12">
      <c r="B15" s="26"/>
      <c r="C15" s="26"/>
      <c r="D15" s="26"/>
      <c r="E15" s="26"/>
      <c r="F15" s="26"/>
      <c r="G15" s="26"/>
      <c r="H15" s="26"/>
      <c r="I15" s="26"/>
      <c r="J15" s="26"/>
      <c r="L15" s="26"/>
    </row>
    <row r="16" spans="2:12">
      <c r="B16" s="26"/>
      <c r="C16" s="26"/>
      <c r="D16" s="26"/>
      <c r="E16" s="26"/>
      <c r="F16" s="26"/>
      <c r="G16" s="26"/>
      <c r="H16" s="26"/>
      <c r="I16" s="26"/>
      <c r="J16" s="26"/>
      <c r="L16" s="26"/>
    </row>
    <row r="17" spans="2:12">
      <c r="B17" s="26"/>
      <c r="C17" s="26"/>
      <c r="D17" s="26"/>
      <c r="E17" s="26"/>
      <c r="F17" s="26"/>
      <c r="G17" s="26"/>
      <c r="H17" s="26"/>
      <c r="I17" s="26"/>
      <c r="J17" s="26"/>
      <c r="L17" s="26"/>
    </row>
    <row r="18" spans="2:12">
      <c r="B18" s="26"/>
      <c r="C18" s="26"/>
      <c r="D18" s="26"/>
      <c r="E18" s="26"/>
      <c r="F18" s="26"/>
      <c r="G18" s="26"/>
      <c r="H18" s="26"/>
      <c r="I18" s="26"/>
      <c r="J18" s="26"/>
      <c r="L18" s="26"/>
    </row>
    <row r="19" spans="2:12">
      <c r="B19" s="26"/>
      <c r="C19" s="26"/>
      <c r="D19" s="26"/>
      <c r="E19" s="26"/>
      <c r="F19" s="26"/>
      <c r="G19" s="26"/>
      <c r="H19" s="26"/>
      <c r="I19" s="26"/>
      <c r="J19" s="26"/>
      <c r="L19" s="26"/>
    </row>
    <row r="20" spans="2:12">
      <c r="B20" s="26"/>
      <c r="C20" s="26"/>
      <c r="D20" s="26"/>
      <c r="E20" s="26"/>
      <c r="F20" s="26"/>
      <c r="G20" s="26"/>
      <c r="H20" s="26"/>
      <c r="I20" s="26"/>
      <c r="J20" s="26"/>
      <c r="L20" s="26"/>
    </row>
    <row r="21" spans="2:12">
      <c r="B21" s="26"/>
      <c r="C21" s="26"/>
      <c r="D21" s="26"/>
      <c r="E21" s="26"/>
      <c r="F21" s="26"/>
      <c r="G21" s="26"/>
      <c r="H21" s="26"/>
      <c r="I21" s="26"/>
      <c r="J21" s="26"/>
      <c r="L21" s="26"/>
    </row>
    <row r="22" spans="2:12">
      <c r="B22" s="26"/>
      <c r="C22" s="26"/>
      <c r="D22" s="26"/>
      <c r="E22" s="26"/>
      <c r="F22" s="26"/>
      <c r="G22" s="26"/>
      <c r="H22" s="26"/>
      <c r="I22" s="26"/>
      <c r="J22" s="26"/>
      <c r="L22" s="26"/>
    </row>
    <row r="23" spans="2:12">
      <c r="B23" s="26"/>
      <c r="C23" s="26"/>
      <c r="D23" s="26"/>
      <c r="E23" s="26"/>
      <c r="F23" s="26"/>
      <c r="G23" s="26"/>
      <c r="H23" s="26"/>
      <c r="I23" s="26"/>
      <c r="J23" s="26"/>
      <c r="L23" s="26"/>
    </row>
    <row r="24" spans="2:12">
      <c r="B24" s="26"/>
      <c r="C24" s="26"/>
      <c r="D24" s="26"/>
      <c r="E24" s="26"/>
      <c r="F24" s="26"/>
      <c r="G24" s="26"/>
      <c r="H24" s="26"/>
      <c r="I24" s="26"/>
      <c r="J24" s="26"/>
      <c r="L24" s="26"/>
    </row>
    <row r="25" spans="2:12">
      <c r="B25" s="26"/>
      <c r="C25" s="26"/>
      <c r="D25" s="26"/>
      <c r="E25" s="26"/>
      <c r="F25" s="26"/>
      <c r="G25" s="26"/>
      <c r="H25" s="26"/>
      <c r="I25" s="26"/>
      <c r="J25" s="26"/>
      <c r="L25" s="26"/>
    </row>
    <row r="26" spans="2:12">
      <c r="B26" s="26"/>
      <c r="C26" s="26"/>
      <c r="D26" s="26"/>
      <c r="E26" s="26"/>
      <c r="F26" s="26"/>
      <c r="G26" s="26"/>
      <c r="H26" s="26"/>
      <c r="I26" s="26"/>
      <c r="J26" s="26"/>
      <c r="L26" s="26"/>
    </row>
    <row r="27" spans="2:12">
      <c r="B27" s="26"/>
      <c r="C27" s="26"/>
      <c r="D27" s="26"/>
      <c r="E27" s="26"/>
      <c r="F27" s="26"/>
      <c r="G27" s="26"/>
      <c r="H27" s="26"/>
      <c r="I27" s="26"/>
      <c r="J27" s="26"/>
      <c r="L27" s="26"/>
    </row>
    <row r="28" spans="2:12">
      <c r="B28" s="26"/>
      <c r="C28" s="26"/>
      <c r="D28" s="26"/>
      <c r="E28" s="26"/>
      <c r="F28" s="26"/>
      <c r="G28" s="26"/>
      <c r="H28" s="26"/>
      <c r="I28" s="26"/>
      <c r="J28" s="26"/>
      <c r="L28" s="26"/>
    </row>
    <row r="29" spans="2:12">
      <c r="B29" s="26"/>
      <c r="C29" s="26"/>
      <c r="D29" s="26"/>
      <c r="E29" s="26"/>
      <c r="F29" s="26"/>
      <c r="G29" s="26"/>
      <c r="H29" s="26"/>
      <c r="I29" s="26"/>
      <c r="J29" s="26"/>
      <c r="L29" s="26"/>
    </row>
    <row r="30" spans="2:12">
      <c r="B30" s="26"/>
      <c r="C30" s="26"/>
      <c r="D30" s="26"/>
      <c r="E30" s="26"/>
      <c r="F30" s="26"/>
      <c r="G30" s="26"/>
      <c r="H30" s="26"/>
      <c r="I30" s="26"/>
      <c r="J30" s="26"/>
      <c r="L30" s="26"/>
    </row>
    <row r="31" spans="2:12">
      <c r="B31" s="26"/>
      <c r="C31" s="26"/>
      <c r="D31" s="26"/>
      <c r="E31" s="26"/>
      <c r="F31" s="26"/>
      <c r="G31" s="26"/>
      <c r="H31" s="26"/>
      <c r="I31" s="26"/>
      <c r="J31" s="26"/>
      <c r="L31" s="26"/>
    </row>
    <row r="32" spans="2:12">
      <c r="B32" s="26"/>
      <c r="C32" s="26"/>
      <c r="D32" s="26"/>
      <c r="E32" s="26"/>
      <c r="F32" s="26"/>
      <c r="G32" s="26"/>
      <c r="H32" s="26"/>
      <c r="I32" s="26"/>
      <c r="J32" s="26"/>
      <c r="L32" s="26"/>
    </row>
    <row r="33" spans="2:14">
      <c r="B33" s="26"/>
      <c r="C33" s="26"/>
      <c r="D33" s="26"/>
      <c r="E33" s="26"/>
      <c r="F33" s="26"/>
      <c r="G33" s="26"/>
      <c r="H33" s="26"/>
      <c r="I33" s="26"/>
      <c r="J33" s="26"/>
      <c r="L33" s="26"/>
    </row>
    <row r="34" spans="2:14">
      <c r="B34" s="26"/>
      <c r="C34" s="26"/>
      <c r="D34" s="26"/>
      <c r="E34" s="26"/>
      <c r="F34" s="26"/>
      <c r="G34" s="26"/>
      <c r="H34" s="26"/>
      <c r="I34" s="26"/>
      <c r="J34" s="26"/>
      <c r="L34" s="26"/>
    </row>
    <row r="35" spans="2:14">
      <c r="B35" s="26"/>
      <c r="C35" s="26"/>
      <c r="D35" s="26"/>
      <c r="E35" s="26"/>
      <c r="F35" s="26"/>
      <c r="G35" s="26"/>
      <c r="H35" s="26"/>
      <c r="I35" s="26"/>
      <c r="J35" s="26"/>
      <c r="L35" s="26"/>
    </row>
    <row r="36" spans="2:14">
      <c r="B36" s="26"/>
      <c r="C36" s="26"/>
      <c r="D36" s="26"/>
      <c r="E36" s="26"/>
      <c r="F36" s="26"/>
      <c r="G36" s="26"/>
      <c r="H36" s="26"/>
      <c r="I36" s="26"/>
      <c r="J36" s="26"/>
      <c r="L36" s="26"/>
    </row>
    <row r="37" spans="2:14">
      <c r="B37" s="26"/>
      <c r="C37" s="26"/>
      <c r="D37" s="26"/>
      <c r="E37" s="26"/>
      <c r="F37" s="26"/>
      <c r="G37" s="26"/>
      <c r="H37" s="26"/>
      <c r="I37" s="26"/>
      <c r="J37" s="26"/>
      <c r="L37" s="26"/>
    </row>
    <row r="38" spans="2:14">
      <c r="B38" s="26"/>
      <c r="C38" s="26"/>
      <c r="D38" s="26"/>
      <c r="E38" s="26"/>
      <c r="F38" s="26"/>
      <c r="G38" s="26"/>
      <c r="H38" s="26"/>
      <c r="I38" s="26"/>
      <c r="J38" s="26"/>
      <c r="L38" s="26"/>
    </row>
    <row r="39" spans="2:14">
      <c r="B39" s="26"/>
      <c r="C39" s="26"/>
      <c r="D39" s="26"/>
      <c r="E39" s="26"/>
      <c r="F39" s="26"/>
      <c r="G39" s="26"/>
      <c r="H39" s="26"/>
      <c r="I39" s="26"/>
      <c r="J39" s="26"/>
      <c r="L39" s="26"/>
    </row>
    <row r="40" spans="2:14" ht="18" thickBot="1">
      <c r="B40" s="28"/>
      <c r="C40" s="26"/>
      <c r="D40" s="26"/>
      <c r="E40" s="26"/>
      <c r="F40" s="26"/>
      <c r="G40" s="20">
        <f>Расчет!$F$2</f>
        <v>45017</v>
      </c>
      <c r="H40" s="20">
        <f>Расчет!$H$2</f>
        <v>45444</v>
      </c>
      <c r="I40" s="20" t="s">
        <v>732</v>
      </c>
      <c r="J40" s="20"/>
      <c r="L40" s="29">
        <f ca="1">TODAY()</f>
        <v>46038</v>
      </c>
    </row>
    <row r="41" spans="2:14" ht="42" thickBot="1">
      <c r="B41" s="30" t="s">
        <v>21</v>
      </c>
      <c r="C41" s="31" t="s">
        <v>22</v>
      </c>
      <c r="D41" s="32" t="s">
        <v>10</v>
      </c>
      <c r="E41" s="64" t="s">
        <v>11</v>
      </c>
      <c r="F41" s="65" t="s">
        <v>12</v>
      </c>
      <c r="G41" s="55" t="s">
        <v>23</v>
      </c>
      <c r="H41" s="287" t="s">
        <v>23</v>
      </c>
      <c r="I41" s="287" t="s">
        <v>23</v>
      </c>
      <c r="J41" s="169">
        <v>2026</v>
      </c>
      <c r="K41" s="169" t="s">
        <v>638</v>
      </c>
      <c r="L41" s="33" t="s">
        <v>24</v>
      </c>
      <c r="N41" s="26">
        <f>COUNTA(N42:N7041)</f>
        <v>37</v>
      </c>
    </row>
    <row r="42" spans="2:14">
      <c r="B42" s="25" t="str">
        <f>B51</f>
        <v xml:space="preserve">Созданы органы управления </v>
      </c>
      <c r="C42" s="35" t="s">
        <v>109</v>
      </c>
      <c r="D42" s="56">
        <f t="shared" ref="D42:L42" si="0">AVERAGE(D53:D60)</f>
        <v>0.625</v>
      </c>
      <c r="E42" s="57">
        <f t="shared" si="0"/>
        <v>0.625</v>
      </c>
      <c r="F42" s="58">
        <f t="shared" si="0"/>
        <v>0.625</v>
      </c>
      <c r="G42" s="59">
        <f t="shared" si="0"/>
        <v>5</v>
      </c>
      <c r="H42" s="59">
        <f t="shared" si="0"/>
        <v>5</v>
      </c>
      <c r="I42" s="59">
        <f t="shared" si="0"/>
        <v>0</v>
      </c>
      <c r="J42" s="326">
        <f t="shared" si="0"/>
        <v>0</v>
      </c>
      <c r="K42" s="313">
        <f t="shared" si="0"/>
        <v>0.625</v>
      </c>
      <c r="L42" s="59">
        <f t="shared" si="0"/>
        <v>0.625</v>
      </c>
      <c r="M42" s="119">
        <f t="shared" ref="M42" si="1">E42-J42</f>
        <v>0.625</v>
      </c>
    </row>
    <row r="43" spans="2:14">
      <c r="B43" s="25" t="str">
        <f>B61</f>
        <v>Подразделение по ИБ</v>
      </c>
      <c r="C43" s="35" t="s">
        <v>110</v>
      </c>
      <c r="D43" s="56">
        <f t="shared" ref="D43:L43" si="2">AVERAGE(D62:D64)</f>
        <v>1.6666666666666667</v>
      </c>
      <c r="E43" s="57">
        <f t="shared" si="2"/>
        <v>1.6666666666666667</v>
      </c>
      <c r="F43" s="58">
        <f t="shared" si="2"/>
        <v>1.6666666666666667</v>
      </c>
      <c r="G43" s="59" t="e">
        <f t="shared" si="2"/>
        <v>#DIV/0!</v>
      </c>
      <c r="H43" s="59" t="e">
        <f t="shared" si="2"/>
        <v>#DIV/0!</v>
      </c>
      <c r="I43" s="59" t="e">
        <f>AVERAGE(I62:I64)</f>
        <v>#DIV/0!</v>
      </c>
      <c r="J43" s="326" t="e">
        <f>AVERAGE(J62:J64)</f>
        <v>#DIV/0!</v>
      </c>
      <c r="K43" s="313">
        <f>AVERAGE(K62:K64)</f>
        <v>1.6666666666666667</v>
      </c>
      <c r="L43" s="59">
        <f t="shared" si="2"/>
        <v>1.6666666666666667</v>
      </c>
      <c r="M43" s="119"/>
    </row>
    <row r="44" spans="2:14">
      <c r="B44" s="25" t="str">
        <f>B65</f>
        <v>Организованно взаимодействие с подрядчиками</v>
      </c>
      <c r="C44" s="35" t="s">
        <v>111</v>
      </c>
      <c r="D44" s="56">
        <f t="shared" ref="D44:L44" si="3">AVERAGE(D66:D69)</f>
        <v>0</v>
      </c>
      <c r="E44" s="57">
        <f t="shared" si="3"/>
        <v>0</v>
      </c>
      <c r="F44" s="58">
        <f t="shared" si="3"/>
        <v>0</v>
      </c>
      <c r="G44" s="59" t="e">
        <f t="shared" si="3"/>
        <v>#DIV/0!</v>
      </c>
      <c r="H44" s="59" t="e">
        <f t="shared" si="3"/>
        <v>#DIV/0!</v>
      </c>
      <c r="I44" s="59" t="e">
        <f>AVERAGE(I66:I69)</f>
        <v>#DIV/0!</v>
      </c>
      <c r="J44" s="326" t="e">
        <f>AVERAGE(J66:J69)</f>
        <v>#DIV/0!</v>
      </c>
      <c r="K44" s="313">
        <f>AVERAGE(K66:K69)</f>
        <v>0</v>
      </c>
      <c r="L44" s="59">
        <f t="shared" si="3"/>
        <v>0</v>
      </c>
      <c r="M44" s="119"/>
    </row>
    <row r="45" spans="2:14">
      <c r="B45" s="25" t="str">
        <f>B70</f>
        <v>Обеспечена ИБ</v>
      </c>
      <c r="C45" s="35" t="s">
        <v>112</v>
      </c>
      <c r="D45" s="56">
        <f t="shared" ref="D45:L45" si="4">AVERAGE(D71:D86)</f>
        <v>0.625</v>
      </c>
      <c r="E45" s="57">
        <f t="shared" si="4"/>
        <v>0.625</v>
      </c>
      <c r="F45" s="58">
        <f t="shared" si="4"/>
        <v>0.3125</v>
      </c>
      <c r="G45" s="59" t="e">
        <f t="shared" si="4"/>
        <v>#DIV/0!</v>
      </c>
      <c r="H45" s="59" t="e">
        <f t="shared" si="4"/>
        <v>#DIV/0!</v>
      </c>
      <c r="I45" s="59" t="e">
        <f>AVERAGE(I71:I86)</f>
        <v>#DIV/0!</v>
      </c>
      <c r="J45" s="326" t="e">
        <f>AVERAGE(J71:J86)</f>
        <v>#DIV/0!</v>
      </c>
      <c r="K45" s="313">
        <f>AVERAGE(K71:K86)</f>
        <v>0.3125</v>
      </c>
      <c r="L45" s="59">
        <f t="shared" si="4"/>
        <v>0.625</v>
      </c>
      <c r="M45" s="119"/>
    </row>
    <row r="46" spans="2:14">
      <c r="B46" s="25" t="str">
        <f>B87</f>
        <v>Использование СЗИ</v>
      </c>
      <c r="C46" s="35" t="s">
        <v>113</v>
      </c>
      <c r="D46" s="56">
        <f t="shared" ref="D46:L46" si="5">AVERAGE(D88:D92)</f>
        <v>0</v>
      </c>
      <c r="E46" s="57">
        <f t="shared" si="5"/>
        <v>0</v>
      </c>
      <c r="F46" s="58">
        <f t="shared" si="5"/>
        <v>0</v>
      </c>
      <c r="G46" s="59" t="e">
        <f t="shared" si="5"/>
        <v>#DIV/0!</v>
      </c>
      <c r="H46" s="59" t="e">
        <f t="shared" si="5"/>
        <v>#DIV/0!</v>
      </c>
      <c r="I46" s="59" t="e">
        <f>AVERAGE(I88:I92)</f>
        <v>#DIV/0!</v>
      </c>
      <c r="J46" s="326" t="e">
        <f>AVERAGE(J88:J92)</f>
        <v>#DIV/0!</v>
      </c>
      <c r="K46" s="313">
        <f>AVERAGE(K88:K92)</f>
        <v>0</v>
      </c>
      <c r="L46" s="59">
        <f t="shared" si="5"/>
        <v>0</v>
      </c>
      <c r="M46" s="119"/>
    </row>
    <row r="47" spans="2:14" ht="16.2" thickBot="1">
      <c r="B47" s="37" t="str">
        <f>B93</f>
        <v>Взаимодействие с ГОССОПКА</v>
      </c>
      <c r="C47" s="38" t="s">
        <v>114</v>
      </c>
      <c r="D47" s="60">
        <f t="shared" ref="D47:L47" si="6">AVERAGE(D94:D98)</f>
        <v>0</v>
      </c>
      <c r="E47" s="61">
        <f t="shared" si="6"/>
        <v>0</v>
      </c>
      <c r="F47" s="62">
        <f t="shared" si="6"/>
        <v>0</v>
      </c>
      <c r="G47" s="63" t="e">
        <f t="shared" si="6"/>
        <v>#DIV/0!</v>
      </c>
      <c r="H47" s="63" t="e">
        <f t="shared" si="6"/>
        <v>#DIV/0!</v>
      </c>
      <c r="I47" s="63" t="e">
        <f>AVERAGE(I94:I98)</f>
        <v>#DIV/0!</v>
      </c>
      <c r="J47" s="327" t="e">
        <f>AVERAGE(J94:J98)</f>
        <v>#DIV/0!</v>
      </c>
      <c r="K47" s="313">
        <f>AVERAGE(K94:K98)</f>
        <v>0</v>
      </c>
      <c r="L47" s="63">
        <f t="shared" si="6"/>
        <v>0</v>
      </c>
      <c r="M47" s="119"/>
    </row>
    <row r="48" spans="2:14">
      <c r="B48" s="35"/>
      <c r="C48" s="35"/>
      <c r="D48" s="143"/>
      <c r="E48" s="144"/>
      <c r="F48" s="145"/>
      <c r="G48" s="146"/>
      <c r="H48" s="146"/>
      <c r="I48" s="146"/>
      <c r="J48" s="146"/>
      <c r="K48" s="146"/>
      <c r="L48" s="146"/>
      <c r="M48" s="119"/>
    </row>
    <row r="49" spans="1:17">
      <c r="B49" s="35"/>
      <c r="C49" s="35"/>
      <c r="D49" s="143"/>
      <c r="E49" s="144"/>
      <c r="F49" s="145"/>
      <c r="G49" s="146"/>
      <c r="H49" s="146"/>
      <c r="I49" s="146"/>
      <c r="J49" s="146"/>
      <c r="K49" s="146"/>
      <c r="L49" s="146"/>
      <c r="M49" s="119"/>
    </row>
    <row r="50" spans="1:17" ht="27.6">
      <c r="B50" s="35"/>
      <c r="C50" s="35"/>
      <c r="D50" s="42"/>
      <c r="E50" s="42"/>
      <c r="F50" s="42"/>
      <c r="G50" s="42"/>
      <c r="H50" s="35"/>
      <c r="I50" s="35"/>
      <c r="J50" s="35"/>
      <c r="L50" s="35"/>
      <c r="M50" s="100" t="s">
        <v>444</v>
      </c>
      <c r="N50" s="35"/>
      <c r="O50" s="46" t="s">
        <v>589</v>
      </c>
      <c r="P50" s="250" t="s">
        <v>590</v>
      </c>
      <c r="Q50" s="250" t="s">
        <v>591</v>
      </c>
    </row>
    <row r="51" spans="1:17">
      <c r="B51" s="44" t="s">
        <v>115</v>
      </c>
      <c r="C51" s="44" t="s">
        <v>109</v>
      </c>
      <c r="D51" s="44"/>
      <c r="E51" s="44"/>
      <c r="F51" s="44"/>
      <c r="G51" s="45"/>
      <c r="H51" s="44"/>
      <c r="I51" s="44"/>
      <c r="J51" s="44"/>
      <c r="K51" s="44"/>
      <c r="L51" s="44"/>
      <c r="O51" s="44"/>
      <c r="P51" s="44"/>
      <c r="Q51" s="44"/>
    </row>
    <row r="52" spans="1:17">
      <c r="B52" s="44"/>
      <c r="C52" s="44"/>
      <c r="D52" s="44"/>
      <c r="E52" s="44"/>
      <c r="F52" s="44"/>
      <c r="G52" s="45"/>
      <c r="H52" s="44"/>
      <c r="I52" s="44"/>
      <c r="J52" s="44"/>
      <c r="K52" s="44"/>
      <c r="L52" s="44"/>
      <c r="O52" s="44"/>
      <c r="P52" s="44"/>
      <c r="Q52" s="44"/>
    </row>
    <row r="53" spans="1:17" ht="54.6" customHeight="1" outlineLevel="1">
      <c r="A53" s="473"/>
      <c r="B53" s="454" t="s">
        <v>878</v>
      </c>
      <c r="C53" s="454" t="s">
        <v>748</v>
      </c>
      <c r="D53" s="456">
        <f>'Управление ИБ'!D62</f>
        <v>5</v>
      </c>
      <c r="E53" s="456">
        <f>'Управление ИБ'!E62</f>
        <v>5</v>
      </c>
      <c r="F53" s="456">
        <f>'Управление ИБ'!F62</f>
        <v>5</v>
      </c>
      <c r="G53" s="457">
        <v>5</v>
      </c>
      <c r="H53" s="457">
        <v>5</v>
      </c>
      <c r="I53" s="457">
        <f>'Управление ИБ'!I62</f>
        <v>0</v>
      </c>
      <c r="J53" s="457">
        <f>'Управление ИБ'!J62</f>
        <v>0</v>
      </c>
      <c r="K53" s="457">
        <f>'Управление ИБ'!K62</f>
        <v>5</v>
      </c>
      <c r="L53" s="457">
        <f>'Управление ИБ'!L62</f>
        <v>5</v>
      </c>
      <c r="M53" s="457"/>
      <c r="N53" s="457"/>
      <c r="O53" s="456"/>
      <c r="P53" s="474"/>
      <c r="Q53" s="474"/>
    </row>
    <row r="54" spans="1:17" ht="71.400000000000006" customHeight="1" outlineLevel="1">
      <c r="B54" s="46" t="s">
        <v>644</v>
      </c>
      <c r="C54" s="46" t="s">
        <v>116</v>
      </c>
      <c r="D54" s="39">
        <f t="shared" ref="D54:F60" si="7">5*IF(КИИ="да",1,0)</f>
        <v>0</v>
      </c>
      <c r="E54" s="40">
        <f t="shared" si="7"/>
        <v>0</v>
      </c>
      <c r="F54" s="41">
        <f t="shared" si="7"/>
        <v>0</v>
      </c>
      <c r="G54" s="47"/>
      <c r="H54" s="47"/>
      <c r="I54" s="47"/>
      <c r="J54" s="324"/>
      <c r="K54" s="537">
        <f t="shared" ref="K54:K60" si="8">5*IF(КИИ="да",1,0)</f>
        <v>0</v>
      </c>
      <c r="L54" s="47">
        <f t="shared" ref="L54:L60" si="9">VALUE(LEFT(N54,3))</f>
        <v>0</v>
      </c>
      <c r="M54">
        <f t="shared" ref="M54:M98" si="10">L54-K54</f>
        <v>0</v>
      </c>
      <c r="N54" t="s">
        <v>283</v>
      </c>
      <c r="O54" s="452" t="str">
        <f>IF(($L54-$F54)&gt;=0,"",
" - Разработать и утвердить положение о заместителе, ответсвенном за обеспечение ИБ
 - Ознакомить с положением заместителя, ответственного за обеспечение ИБ")</f>
        <v/>
      </c>
      <c r="P54" s="249"/>
      <c r="Q54" s="249"/>
    </row>
    <row r="55" spans="1:17" ht="83.4" customHeight="1" outlineLevel="1">
      <c r="B55" s="46" t="s">
        <v>879</v>
      </c>
      <c r="C55" s="46" t="s">
        <v>117</v>
      </c>
      <c r="D55" s="39">
        <f t="shared" si="7"/>
        <v>0</v>
      </c>
      <c r="E55" s="40">
        <f t="shared" si="7"/>
        <v>0</v>
      </c>
      <c r="F55" s="41">
        <f t="shared" si="7"/>
        <v>0</v>
      </c>
      <c r="G55" s="47"/>
      <c r="H55" s="47"/>
      <c r="I55" s="47"/>
      <c r="J55" s="324"/>
      <c r="K55" s="537">
        <f t="shared" si="8"/>
        <v>0</v>
      </c>
      <c r="L55" s="47">
        <f t="shared" si="9"/>
        <v>0</v>
      </c>
      <c r="M55">
        <f t="shared" si="10"/>
        <v>0</v>
      </c>
      <c r="N55" t="s">
        <v>283</v>
      </c>
      <c r="O55" s="452" t="str">
        <f>IF(($L55-$F55)&gt;=0,"",
" - При наличии коллегиальных органов (правление, совет директоров)  возложить полномочия ответственного за обеспечение ИБ на руководителя, входящего в состав указанных коллегиальных органов или включить ответственного за обеспечение ИБ в их состав.")</f>
        <v/>
      </c>
      <c r="P55" s="249"/>
      <c r="Q55" s="249"/>
    </row>
    <row r="56" spans="1:17" ht="144.6" customHeight="1" outlineLevel="1">
      <c r="B56" s="46" t="s">
        <v>932</v>
      </c>
      <c r="C56" s="46" t="s">
        <v>118</v>
      </c>
      <c r="D56" s="39">
        <f t="shared" si="7"/>
        <v>0</v>
      </c>
      <c r="E56" s="40">
        <f t="shared" si="7"/>
        <v>0</v>
      </c>
      <c r="F56" s="41">
        <f t="shared" si="7"/>
        <v>0</v>
      </c>
      <c r="G56" s="47"/>
      <c r="H56" s="47"/>
      <c r="I56" s="47"/>
      <c r="J56" s="324"/>
      <c r="K56" s="537">
        <f t="shared" si="8"/>
        <v>0</v>
      </c>
      <c r="L56" s="47">
        <f t="shared" si="9"/>
        <v>0</v>
      </c>
      <c r="M56">
        <f t="shared" si="10"/>
        <v>0</v>
      </c>
      <c r="N56" t="s">
        <v>256</v>
      </c>
      <c r="O56" s="452" t="str">
        <f>IF(($L56-$F56)&gt;=0,"",
" -  Разработать и утвердить правила и процедуры информирования и обучения персонала;
 - Переодически проводить обучение персонала правилам эксплуатации отдельных средств защиты информации, включая проведение практических занятий с персоналом;"&amp;"
 -  Проводить контроль осведомленности персонала об угрозах безопасности информации и уровня знаний персонала по вопросам обеспечения ИБ
 - Актуализировать правила и процедуры информирования и обучения персонала")</f>
        <v/>
      </c>
      <c r="P56" s="249"/>
      <c r="Q56" s="249"/>
    </row>
    <row r="57" spans="1:17" ht="175.35" customHeight="1" outlineLevel="1">
      <c r="B57" s="46" t="s">
        <v>880</v>
      </c>
      <c r="C57" s="46" t="s">
        <v>119</v>
      </c>
      <c r="D57" s="39">
        <f t="shared" si="7"/>
        <v>0</v>
      </c>
      <c r="E57" s="40">
        <f t="shared" si="7"/>
        <v>0</v>
      </c>
      <c r="F57" s="41">
        <f t="shared" si="7"/>
        <v>0</v>
      </c>
      <c r="G57" s="47"/>
      <c r="H57" s="47"/>
      <c r="I57" s="47"/>
      <c r="J57" s="324"/>
      <c r="K57" s="537">
        <f t="shared" si="8"/>
        <v>0</v>
      </c>
      <c r="L57" s="47">
        <f t="shared" si="9"/>
        <v>0</v>
      </c>
      <c r="M57">
        <f t="shared" si="10"/>
        <v>0</v>
      </c>
      <c r="N57" t="s">
        <v>283</v>
      </c>
      <c r="O57" s="452" t="str">
        <f>IF(($L57-$F57)&gt;=0,"",
" - Ответственное лицо должно иметь высшее образование (не ниже уровня специалитета, магистратуры) по направлению обеспечения информационной безопасности (далее – ИБ):
­ 10.0 - 01 «Информационная безопасность»;
­ 10.0 - 01 «Компьютерная безопасность»;"&amp;"
­ 10.0 - 02 «ИБ телекоммуникационных систем»;
­ 10.0 - 03 «ИБ автоматизированных систем»;
­ 10.0 - 04 «Информационно-аналитические системы безопасности»;"&amp;"
­ 10.0 - 05 «Безопасность ИТ в правоохранительных органах».
Если ответственное лицо имеет высшее образование по другому направлению подготовки (специальности), то ответственное лицо обязано пройти обучение по программе профессиональной"&amp;" переподготовки по направлению 'Информационная безопасность'.
Минимальный срок профессиональной переподготовки — 250 академических часов.")</f>
        <v/>
      </c>
      <c r="P57" s="249"/>
      <c r="Q57" s="249"/>
    </row>
    <row r="58" spans="1:17" ht="80.400000000000006" customHeight="1" outlineLevel="1">
      <c r="B58" s="46" t="s">
        <v>881</v>
      </c>
      <c r="C58" s="46" t="s">
        <v>120</v>
      </c>
      <c r="D58" s="39">
        <f t="shared" si="7"/>
        <v>0</v>
      </c>
      <c r="E58" s="40">
        <f t="shared" si="7"/>
        <v>0</v>
      </c>
      <c r="F58" s="41">
        <f t="shared" si="7"/>
        <v>0</v>
      </c>
      <c r="G58" s="47"/>
      <c r="H58" s="47"/>
      <c r="I58" s="47"/>
      <c r="J58" s="324"/>
      <c r="K58" s="537">
        <f t="shared" si="8"/>
        <v>0</v>
      </c>
      <c r="L58" s="47">
        <f t="shared" si="9"/>
        <v>0</v>
      </c>
      <c r="M58">
        <f t="shared" si="10"/>
        <v>0</v>
      </c>
      <c r="N58" t="s">
        <v>283</v>
      </c>
      <c r="O58" s="452" t="str">
        <f>IF(($L58-$F58)&gt;=0,"",
" - Ответственное лицо обязано проходит повышение квалификации не менее одного раза в 3 года")</f>
        <v/>
      </c>
      <c r="P58" s="249"/>
      <c r="Q58" s="249"/>
    </row>
    <row r="59" spans="1:17" ht="47.4" customHeight="1" outlineLevel="1">
      <c r="B59" s="46" t="s">
        <v>121</v>
      </c>
      <c r="C59" s="46" t="s">
        <v>122</v>
      </c>
      <c r="D59" s="39">
        <f t="shared" si="7"/>
        <v>0</v>
      </c>
      <c r="E59" s="40">
        <f t="shared" si="7"/>
        <v>0</v>
      </c>
      <c r="F59" s="41">
        <f t="shared" si="7"/>
        <v>0</v>
      </c>
      <c r="G59" s="47"/>
      <c r="H59" s="47"/>
      <c r="I59" s="47"/>
      <c r="J59" s="324"/>
      <c r="K59" s="537">
        <f t="shared" si="8"/>
        <v>0</v>
      </c>
      <c r="L59" s="47">
        <f t="shared" si="9"/>
        <v>0</v>
      </c>
      <c r="M59">
        <f t="shared" si="10"/>
        <v>0</v>
      </c>
      <c r="N59" t="s">
        <v>283</v>
      </c>
      <c r="O59" s="452" t="str">
        <f>IF(($L59-$F59)&gt;=0,"",
" - Основополагающие документы Общества в сфере ИТ, цифровизации и цифровой трансформации должны быть согласованы с заместителем руководителя, ответственным за обеспечение ИБ")</f>
        <v/>
      </c>
      <c r="P59" s="249"/>
      <c r="Q59" s="249"/>
    </row>
    <row r="60" spans="1:17" ht="51.6" customHeight="1" outlineLevel="1">
      <c r="B60" s="46" t="s">
        <v>293</v>
      </c>
      <c r="C60" s="46" t="s">
        <v>123</v>
      </c>
      <c r="D60" s="39">
        <f t="shared" si="7"/>
        <v>0</v>
      </c>
      <c r="E60" s="40">
        <f t="shared" si="7"/>
        <v>0</v>
      </c>
      <c r="F60" s="41">
        <f t="shared" si="7"/>
        <v>0</v>
      </c>
      <c r="G60" s="47"/>
      <c r="H60" s="47"/>
      <c r="I60" s="47"/>
      <c r="J60" s="324"/>
      <c r="K60" s="537">
        <f t="shared" si="8"/>
        <v>0</v>
      </c>
      <c r="L60" s="47">
        <f t="shared" si="9"/>
        <v>0</v>
      </c>
      <c r="M60">
        <f t="shared" si="10"/>
        <v>0</v>
      </c>
      <c r="N60" t="s">
        <v>283</v>
      </c>
      <c r="O60" s="452" t="str">
        <f>IF(($L60-$F60)&gt;=0,"",
" - Наладить регулярное информирование руководства Общества  о компьютерных инцидентах и текущем уровне ИБ в Общества.")</f>
        <v/>
      </c>
      <c r="P60" s="249"/>
      <c r="Q60" s="249"/>
    </row>
    <row r="61" spans="1:17">
      <c r="B61" s="44" t="s">
        <v>124</v>
      </c>
      <c r="C61" s="44" t="s">
        <v>110</v>
      </c>
      <c r="D61" s="44"/>
      <c r="E61" s="44"/>
      <c r="F61" s="44"/>
      <c r="G61" s="50"/>
      <c r="H61" s="44"/>
      <c r="I61" s="44"/>
      <c r="J61" s="44"/>
      <c r="K61" s="44"/>
      <c r="L61" s="44"/>
      <c r="P61" s="249"/>
      <c r="Q61" s="249"/>
    </row>
    <row r="62" spans="1:17" ht="131.4" customHeight="1" outlineLevel="1">
      <c r="A62" s="473"/>
      <c r="B62" s="454" t="s">
        <v>125</v>
      </c>
      <c r="C62" s="454" t="s">
        <v>749</v>
      </c>
      <c r="D62" s="456">
        <f>'Управление ИБ'!D63</f>
        <v>5</v>
      </c>
      <c r="E62" s="456">
        <f>'Управление ИБ'!E63</f>
        <v>5</v>
      </c>
      <c r="F62" s="456">
        <f>'Управление ИБ'!F63</f>
        <v>5</v>
      </c>
      <c r="G62" s="456"/>
      <c r="H62" s="456"/>
      <c r="I62" s="456"/>
      <c r="J62" s="456"/>
      <c r="K62" s="456">
        <f>'Управление ИБ'!K63</f>
        <v>5</v>
      </c>
      <c r="L62" s="456">
        <f>'Управление ИБ'!L63</f>
        <v>5</v>
      </c>
      <c r="M62" s="456"/>
      <c r="N62" s="456"/>
      <c r="O62" s="475"/>
      <c r="P62" s="474"/>
      <c r="Q62" s="474"/>
    </row>
    <row r="63" spans="1:17" ht="53.4" customHeight="1" outlineLevel="1">
      <c r="B63" s="46" t="s">
        <v>302</v>
      </c>
      <c r="C63" s="46" t="s">
        <v>126</v>
      </c>
      <c r="D63" s="39">
        <f t="shared" ref="D63:F64" si="11">5*IF(КИИ="да",1,0)</f>
        <v>0</v>
      </c>
      <c r="E63" s="40">
        <f t="shared" si="11"/>
        <v>0</v>
      </c>
      <c r="F63" s="41">
        <f t="shared" si="11"/>
        <v>0</v>
      </c>
      <c r="G63" s="47"/>
      <c r="H63" s="47"/>
      <c r="I63" s="47"/>
      <c r="J63" s="324"/>
      <c r="K63" s="537">
        <f>5*IF(КИИ="да",1,0)</f>
        <v>0</v>
      </c>
      <c r="L63" s="47">
        <f>VALUE(LEFT(N63,3))</f>
        <v>0</v>
      </c>
      <c r="M63">
        <f t="shared" si="10"/>
        <v>0</v>
      </c>
      <c r="N63" t="s">
        <v>283</v>
      </c>
      <c r="O63" s="305" t="str">
        <f>IF(($L63-$F63)&gt;=0,"",
" - Разработать и утвердить положение о структурном подразделении, ответсвенном за обеспечение ИБ
 - Ознакомить с положением  подразделение, ответственное  за обеспечение ИБ")</f>
        <v/>
      </c>
      <c r="P63" s="249"/>
      <c r="Q63" s="249"/>
    </row>
    <row r="64" spans="1:17" ht="56.4" customHeight="1" outlineLevel="1">
      <c r="B64" s="46" t="s">
        <v>882</v>
      </c>
      <c r="C64" s="46" t="s">
        <v>127</v>
      </c>
      <c r="D64" s="39">
        <f t="shared" si="11"/>
        <v>0</v>
      </c>
      <c r="E64" s="40">
        <f t="shared" si="11"/>
        <v>0</v>
      </c>
      <c r="F64" s="41">
        <f t="shared" si="11"/>
        <v>0</v>
      </c>
      <c r="G64" s="47"/>
      <c r="H64" s="47"/>
      <c r="I64" s="47"/>
      <c r="J64" s="324"/>
      <c r="K64" s="537">
        <f>5*IF(КИИ="да",1,0)</f>
        <v>0</v>
      </c>
      <c r="L64" s="47">
        <f>VALUE(LEFT(N64,3))</f>
        <v>0</v>
      </c>
      <c r="M64">
        <f t="shared" si="10"/>
        <v>0</v>
      </c>
      <c r="N64" t="s">
        <v>283</v>
      </c>
      <c r="O64" s="305" t="str">
        <f>IF(($L64-$F64)&gt;=0,"",
" - Подчинить подразделение, ответственное  за обеспечение ИБ, заместителю руководителю Общества, ответственному за ИБ, в соответствии со орг. структурой Общества")</f>
        <v/>
      </c>
      <c r="P64" s="249"/>
      <c r="Q64" s="249"/>
    </row>
    <row r="65" spans="1:17">
      <c r="B65" s="44" t="s">
        <v>128</v>
      </c>
      <c r="C65" s="44" t="s">
        <v>111</v>
      </c>
      <c r="D65" s="44"/>
      <c r="E65" s="44"/>
      <c r="F65" s="44"/>
      <c r="G65" s="50"/>
      <c r="H65" s="44"/>
      <c r="I65" s="44"/>
      <c r="J65" s="44"/>
      <c r="K65" s="44"/>
      <c r="L65" s="44"/>
      <c r="O65" s="44">
        <f>G65</f>
        <v>0</v>
      </c>
      <c r="P65" s="44">
        <f>O65</f>
        <v>0</v>
      </c>
      <c r="Q65" s="44">
        <f>P65</f>
        <v>0</v>
      </c>
    </row>
    <row r="66" spans="1:17" ht="39.6" customHeight="1" outlineLevel="1">
      <c r="B66" s="46" t="s">
        <v>129</v>
      </c>
      <c r="C66" s="46" t="s">
        <v>130</v>
      </c>
      <c r="D66" s="39">
        <f t="shared" ref="D66:F69" si="12">5*IF(КИИ="да",1,0)</f>
        <v>0</v>
      </c>
      <c r="E66" s="40">
        <f t="shared" si="12"/>
        <v>0</v>
      </c>
      <c r="F66" s="41">
        <f t="shared" si="12"/>
        <v>0</v>
      </c>
      <c r="G66" s="47"/>
      <c r="H66" s="47"/>
      <c r="I66" s="47"/>
      <c r="J66" s="324"/>
      <c r="K66" s="537">
        <f>5*IF(КИИ="да",1,0)</f>
        <v>0</v>
      </c>
      <c r="L66" s="47">
        <f>VALUE(LEFT(N66,3))</f>
        <v>0</v>
      </c>
      <c r="M66">
        <f t="shared" si="10"/>
        <v>0</v>
      </c>
      <c r="N66" t="s">
        <v>283</v>
      </c>
      <c r="O66" s="305" t="str">
        <f>IF(($L66-$F66)&gt;=0,"",
" - Привлекать к мероприятиям по ИБ только организации имеющие лицензии ФСТЭК и ФСБ")</f>
        <v/>
      </c>
      <c r="P66" s="249"/>
      <c r="Q66" s="249"/>
    </row>
    <row r="67" spans="1:17" ht="61.35" customHeight="1" outlineLevel="1">
      <c r="B67" s="46" t="s">
        <v>131</v>
      </c>
      <c r="C67" s="46" t="s">
        <v>132</v>
      </c>
      <c r="D67" s="39">
        <f t="shared" si="12"/>
        <v>0</v>
      </c>
      <c r="E67" s="40">
        <f t="shared" si="12"/>
        <v>0</v>
      </c>
      <c r="F67" s="41">
        <f t="shared" si="12"/>
        <v>0</v>
      </c>
      <c r="G67" s="47"/>
      <c r="H67" s="47"/>
      <c r="I67" s="47"/>
      <c r="J67" s="324"/>
      <c r="K67" s="537">
        <f>5*IF(КИИ="да",1,0)</f>
        <v>0</v>
      </c>
      <c r="L67" s="47">
        <f>VALUE(LEFT(N67,3))</f>
        <v>0</v>
      </c>
      <c r="M67">
        <f t="shared" si="10"/>
        <v>0</v>
      </c>
      <c r="N67" t="s">
        <v>283</v>
      </c>
      <c r="O67" s="305" t="str">
        <f>IF(($L67-$F67)&gt;=0,"",
" - При заключении договора с SOC убедиться в наличии аккредитации")</f>
        <v/>
      </c>
      <c r="P67" s="249"/>
      <c r="Q67" s="249"/>
    </row>
    <row r="68" spans="1:17" ht="90.6" customHeight="1" outlineLevel="1">
      <c r="B68" s="46" t="s">
        <v>933</v>
      </c>
      <c r="C68" s="46" t="s">
        <v>133</v>
      </c>
      <c r="D68" s="39">
        <f t="shared" si="12"/>
        <v>0</v>
      </c>
      <c r="E68" s="40">
        <f t="shared" si="12"/>
        <v>0</v>
      </c>
      <c r="F68" s="41">
        <f t="shared" si="12"/>
        <v>0</v>
      </c>
      <c r="G68" s="47"/>
      <c r="H68" s="47"/>
      <c r="I68" s="47"/>
      <c r="J68" s="324"/>
      <c r="K68" s="537">
        <f>5*IF(КИИ="да",1,0)</f>
        <v>0</v>
      </c>
      <c r="L68" s="47">
        <f>VALUE(LEFT(N68,3))</f>
        <v>0</v>
      </c>
      <c r="M68">
        <f t="shared" si="10"/>
        <v>0</v>
      </c>
      <c r="N68" t="s">
        <v>283</v>
      </c>
      <c r="O68" s="305" t="str">
        <f>IF(($L68-$F68)&gt;=0,"",
" - Определить  и привлечь  организацию для оценки уровня защищенности информационных систем ,имеющих соответствующие лицензии ФСТЭК и ФСБ (https://reestr.fstec.ru/reg1)."&amp;"
 - Сформировать техническое задание на выполнение работ по оценке уровня защищенности."&amp;"
 - Получить отчетные документы в бумажном и в электронном"&amp;" виде от лицензиата по результатам оценки уровня защищенности информационных систем."&amp;"
 -  На основании распоряжения Правительства"&amp;" РФ от 2 - 0 - 2022 N 1661-р (ред. от 0 - 0 - 2023) 'Об утверждении перечня ключевых органов (организаций), которым"&amp;" необходимо осуществить мероприятия по оценке уровня защищенности своих информационных систем с привлечением организаций"&amp;", имеющих соответствующие лицензии ФСБ России и ФСТЭК Росси'  предоставить отчетные"&amp;" документы по оценке уровня защищенности информационных систем Правительству РФ"&amp;", а также в адрес ФСТЭК и ФСБ России на основании"&amp;" соответствующего запроса.")</f>
        <v/>
      </c>
      <c r="P68" s="249"/>
      <c r="Q68" s="249"/>
    </row>
    <row r="69" spans="1:17" ht="224.1" customHeight="1" outlineLevel="1">
      <c r="B69" s="46" t="s">
        <v>934</v>
      </c>
      <c r="C69" s="46" t="s">
        <v>134</v>
      </c>
      <c r="D69" s="39">
        <f t="shared" si="12"/>
        <v>0</v>
      </c>
      <c r="E69" s="40">
        <f t="shared" si="12"/>
        <v>0</v>
      </c>
      <c r="F69" s="41">
        <f t="shared" si="12"/>
        <v>0</v>
      </c>
      <c r="G69" s="47"/>
      <c r="H69" s="47"/>
      <c r="I69" s="47"/>
      <c r="J69" s="324"/>
      <c r="K69" s="537">
        <f>5*IF(КИИ="да",1,0)</f>
        <v>0</v>
      </c>
      <c r="L69" s="47">
        <f>VALUE(LEFT(N69,3))</f>
        <v>0</v>
      </c>
      <c r="M69">
        <f t="shared" si="10"/>
        <v>0</v>
      </c>
      <c r="N69" t="s">
        <v>283</v>
      </c>
      <c r="O69" s="305" t="str">
        <f>IF(($L69-$F69)&gt;=0,"",
" - Определить  и привлечь  организацию для оценки уровня"&amp;" защищенности информационных систем ,имеющих соответствующие лицензии ФСТЭК и ФСБ (https://reestr.fstec.ru/reg1).
  - Сформировать техническое задание на выполнение работ по оценке уровня защищенности."&amp;"
 - Получить отчетные документы в бумажном и в электронном"&amp;" виде от лицензиата по результатам оценки уровня защищенности информационных систем. 
 -  На основании распоряжения Правительства"&amp;" РФ от 2 - 0 - 2022 N 1661-р (ред. от 0 - 0 - 2023) 'Об утверждении перечня ключевых органов (организаций), которым"&amp;" необходимо осуществить мероприятия по оценке уровня защищенности своих информационных систем с привлечением организаций, имеющих соответствующие лицензии ФСБ России и ФСТЭК Росси'  предоставить отчетные"&amp;" документы по оценке уровня защищенности информационных систем Правительству РФ, а также в адрес ФСТЭК и ФСБ России на основании соответствующего запроса.")</f>
        <v/>
      </c>
      <c r="P69" s="249"/>
      <c r="Q69" s="249"/>
    </row>
    <row r="70" spans="1:17">
      <c r="B70" s="44" t="s">
        <v>135</v>
      </c>
      <c r="C70" s="44" t="s">
        <v>112</v>
      </c>
      <c r="D70" s="44"/>
      <c r="E70" s="44"/>
      <c r="F70" s="44"/>
      <c r="G70" s="50"/>
      <c r="H70" s="44"/>
      <c r="I70" s="44"/>
      <c r="J70" s="44"/>
      <c r="K70" s="44"/>
      <c r="L70" s="44"/>
      <c r="O70" s="44"/>
      <c r="P70" s="44"/>
      <c r="Q70" s="44"/>
    </row>
    <row r="71" spans="1:17" outlineLevel="1">
      <c r="A71" s="473"/>
      <c r="B71" s="454" t="s">
        <v>136</v>
      </c>
      <c r="C71" s="454" t="s">
        <v>265</v>
      </c>
      <c r="D71" s="456">
        <f>'Управление ИБ'!D61</f>
        <v>5</v>
      </c>
      <c r="E71" s="456">
        <f>'Управление ИБ'!E61</f>
        <v>5</v>
      </c>
      <c r="F71" s="456">
        <f>'Управление ИБ'!F61</f>
        <v>5</v>
      </c>
      <c r="G71" s="456"/>
      <c r="H71" s="456"/>
      <c r="I71" s="456"/>
      <c r="J71" s="456"/>
      <c r="K71" s="456">
        <f>'Управление ИБ'!K61</f>
        <v>5</v>
      </c>
      <c r="L71" s="456">
        <f>'Управление ИБ'!L61</f>
        <v>5</v>
      </c>
      <c r="M71" s="456"/>
      <c r="N71" s="456"/>
      <c r="O71" s="474"/>
      <c r="P71" s="474"/>
      <c r="Q71" s="474"/>
    </row>
    <row r="72" spans="1:17" outlineLevel="1">
      <c r="A72" s="473"/>
      <c r="B72" s="454" t="s">
        <v>71</v>
      </c>
      <c r="C72" s="454" t="s">
        <v>266</v>
      </c>
      <c r="D72" s="457">
        <f>'Управление ИБ'!D64</f>
        <v>5</v>
      </c>
      <c r="E72" s="457">
        <f>'Управление ИБ'!E64</f>
        <v>5</v>
      </c>
      <c r="F72" s="457">
        <f>'Управление ИБ'!F64</f>
        <v>0</v>
      </c>
      <c r="G72" s="457"/>
      <c r="H72" s="457"/>
      <c r="I72" s="457"/>
      <c r="J72" s="457"/>
      <c r="K72" s="456">
        <f>'Управление ИБ'!K64</f>
        <v>0</v>
      </c>
      <c r="L72" s="457">
        <f>'Управление ИБ'!L64</f>
        <v>5</v>
      </c>
      <c r="M72" s="457"/>
      <c r="N72" s="457"/>
      <c r="O72" s="474"/>
      <c r="P72" s="474"/>
      <c r="Q72" s="474"/>
    </row>
    <row r="73" spans="1:17" ht="36" customHeight="1" outlineLevel="1">
      <c r="B73" s="46" t="s">
        <v>137</v>
      </c>
      <c r="C73" s="46" t="s">
        <v>138</v>
      </c>
      <c r="D73" s="39">
        <f t="shared" ref="D73:F86" si="13">5*IF(КИИ="да",1,0)</f>
        <v>0</v>
      </c>
      <c r="E73" s="40">
        <f t="shared" si="13"/>
        <v>0</v>
      </c>
      <c r="F73" s="41">
        <f t="shared" si="13"/>
        <v>0</v>
      </c>
      <c r="G73" s="47"/>
      <c r="H73" s="47"/>
      <c r="I73" s="47"/>
      <c r="J73" s="324"/>
      <c r="K73" s="537">
        <f t="shared" ref="K73:K86" si="14">5*IF(КИИ="да",1,0)</f>
        <v>0</v>
      </c>
      <c r="L73" s="47">
        <f>VALUE(LEFT(N73,3))</f>
        <v>0</v>
      </c>
      <c r="M73">
        <f t="shared" si="10"/>
        <v>0</v>
      </c>
      <c r="N73" t="s">
        <v>283</v>
      </c>
      <c r="O73" s="305" t="str">
        <f>IF(($L73-$F73)&gt;=0,"",
" - Провести оценку возможности возникновения и реализации  недопустимых событий путем моделирования целевых атак")</f>
        <v/>
      </c>
      <c r="P73" s="249"/>
      <c r="Q73" s="249"/>
    </row>
    <row r="74" spans="1:17" ht="41.4" customHeight="1" outlineLevel="1">
      <c r="B74" s="46" t="s">
        <v>139</v>
      </c>
      <c r="C74" s="46" t="s">
        <v>140</v>
      </c>
      <c r="D74" s="39">
        <f t="shared" si="13"/>
        <v>0</v>
      </c>
      <c r="E74" s="40">
        <f t="shared" si="13"/>
        <v>0</v>
      </c>
      <c r="F74" s="41">
        <f t="shared" si="13"/>
        <v>0</v>
      </c>
      <c r="G74" s="47"/>
      <c r="H74" s="47"/>
      <c r="I74" s="47"/>
      <c r="J74" s="324"/>
      <c r="K74" s="537">
        <f t="shared" si="14"/>
        <v>0</v>
      </c>
      <c r="L74" s="47">
        <f>VALUE(LEFT(N74,3))</f>
        <v>0</v>
      </c>
      <c r="M74">
        <f t="shared" si="10"/>
        <v>0</v>
      </c>
      <c r="N74" t="s">
        <v>283</v>
      </c>
      <c r="O74" s="305" t="str">
        <f>IF(($L74-$F74)&gt;=0,"",
" - Составить план проведения мероприятий по недопущению и отслеживанию  недопустимых событий и негативных последствий (ущерба)")</f>
        <v/>
      </c>
      <c r="P74" s="249"/>
      <c r="Q74" s="249"/>
    </row>
    <row r="75" spans="1:17" ht="63.6" customHeight="1" outlineLevel="1">
      <c r="B75" s="46" t="s">
        <v>141</v>
      </c>
      <c r="C75" s="46" t="s">
        <v>142</v>
      </c>
      <c r="D75" s="39">
        <f t="shared" si="13"/>
        <v>0</v>
      </c>
      <c r="E75" s="40">
        <f t="shared" si="13"/>
        <v>0</v>
      </c>
      <c r="F75" s="41">
        <f t="shared" si="13"/>
        <v>0</v>
      </c>
      <c r="G75" s="47"/>
      <c r="H75" s="47"/>
      <c r="I75" s="47"/>
      <c r="J75" s="324"/>
      <c r="K75" s="537">
        <f t="shared" si="14"/>
        <v>0</v>
      </c>
      <c r="L75" s="47">
        <f t="shared" ref="L75:L98" si="15">VALUE(LEFT(N75,3))</f>
        <v>0</v>
      </c>
      <c r="M75">
        <f t="shared" si="10"/>
        <v>0</v>
      </c>
      <c r="N75" t="s">
        <v>283</v>
      </c>
      <c r="O75" s="305" t="str">
        <f>IF(($L75-$F75)&gt;=0,"",
" - Составить план проведения контроля эффективности (результативности)  мероприятий по недопущению и отслеживанию недопустимых  событий и негативных последствий (ущерба)")</f>
        <v/>
      </c>
      <c r="P75" s="249"/>
      <c r="Q75" s="249"/>
    </row>
    <row r="76" spans="1:17" ht="40.35" customHeight="1" outlineLevel="1">
      <c r="B76" s="46" t="s">
        <v>958</v>
      </c>
      <c r="C76" s="46" t="s">
        <v>143</v>
      </c>
      <c r="D76" s="39">
        <f t="shared" si="13"/>
        <v>0</v>
      </c>
      <c r="E76" s="40">
        <f t="shared" si="13"/>
        <v>0</v>
      </c>
      <c r="F76" s="41">
        <f t="shared" si="13"/>
        <v>0</v>
      </c>
      <c r="G76" s="47"/>
      <c r="H76" s="47"/>
      <c r="I76" s="47"/>
      <c r="J76" s="324"/>
      <c r="K76" s="537">
        <f t="shared" si="14"/>
        <v>0</v>
      </c>
      <c r="L76" s="47">
        <f t="shared" si="15"/>
        <v>0</v>
      </c>
      <c r="M76">
        <f t="shared" si="10"/>
        <v>0</v>
      </c>
      <c r="N76" t="s">
        <v>283</v>
      </c>
      <c r="O76" s="305" t="str">
        <f>IF(($L76-$F76)&gt;=0,"",
" - Реализовать организационные и технические меры  в области ИБ,  требования о реализации которых  направляются ФСТЭК России  и ФСБ России.")</f>
        <v/>
      </c>
      <c r="P76" s="249"/>
      <c r="Q76" s="249"/>
    </row>
    <row r="77" spans="1:17" ht="45.6" customHeight="1" outlineLevel="1">
      <c r="B77" s="46" t="s">
        <v>883</v>
      </c>
      <c r="C77" s="46" t="s">
        <v>144</v>
      </c>
      <c r="D77" s="39">
        <f t="shared" si="13"/>
        <v>0</v>
      </c>
      <c r="E77" s="40">
        <f t="shared" si="13"/>
        <v>0</v>
      </c>
      <c r="F77" s="41">
        <f t="shared" si="13"/>
        <v>0</v>
      </c>
      <c r="G77" s="47"/>
      <c r="H77" s="47"/>
      <c r="I77" s="47"/>
      <c r="J77" s="324"/>
      <c r="K77" s="537">
        <f t="shared" si="14"/>
        <v>0</v>
      </c>
      <c r="L77" s="47">
        <f t="shared" si="15"/>
        <v>0</v>
      </c>
      <c r="M77">
        <f t="shared" si="10"/>
        <v>0</v>
      </c>
      <c r="N77" t="s">
        <v>283</v>
      </c>
      <c r="O77" s="305" t="str">
        <f>IF(($L77-$F77)&gt;=0,"",
" - Организовать работы по формированию навыков и повышению  осведомленности работников Общества в сфере ИБ")</f>
        <v/>
      </c>
      <c r="P77" s="249"/>
      <c r="Q77" s="249"/>
    </row>
    <row r="78" spans="1:17" ht="37.35" customHeight="1" outlineLevel="1">
      <c r="B78" s="46" t="s">
        <v>145</v>
      </c>
      <c r="C78" s="46" t="s">
        <v>146</v>
      </c>
      <c r="D78" s="39">
        <f t="shared" si="13"/>
        <v>0</v>
      </c>
      <c r="E78" s="40">
        <f t="shared" si="13"/>
        <v>0</v>
      </c>
      <c r="F78" s="41">
        <f t="shared" si="13"/>
        <v>0</v>
      </c>
      <c r="G78" s="47"/>
      <c r="H78" s="47"/>
      <c r="I78" s="47"/>
      <c r="J78" s="324"/>
      <c r="K78" s="537">
        <f t="shared" si="14"/>
        <v>0</v>
      </c>
      <c r="L78" s="47">
        <f t="shared" si="15"/>
        <v>0</v>
      </c>
      <c r="M78">
        <f t="shared" si="10"/>
        <v>0</v>
      </c>
      <c r="N78" t="s">
        <v>283</v>
      </c>
      <c r="O78" s="305" t="str">
        <f>IF(($L78-$F78)&gt;=0,"",
" - Организовать контроль за соблюдением  нормативных правовых актов в области ИБ")</f>
        <v/>
      </c>
      <c r="P78" s="249"/>
      <c r="Q78" s="249"/>
    </row>
    <row r="79" spans="1:17" ht="44.1" customHeight="1" outlineLevel="1">
      <c r="B79" s="46" t="s">
        <v>884</v>
      </c>
      <c r="C79" s="46" t="s">
        <v>147</v>
      </c>
      <c r="D79" s="39">
        <f t="shared" si="13"/>
        <v>0</v>
      </c>
      <c r="E79" s="40">
        <f t="shared" si="13"/>
        <v>0</v>
      </c>
      <c r="F79" s="41">
        <f t="shared" si="13"/>
        <v>0</v>
      </c>
      <c r="G79" s="47"/>
      <c r="H79" s="47"/>
      <c r="I79" s="47"/>
      <c r="J79" s="324"/>
      <c r="K79" s="537">
        <f t="shared" si="14"/>
        <v>0</v>
      </c>
      <c r="L79" s="47">
        <f t="shared" si="15"/>
        <v>0</v>
      </c>
      <c r="M79">
        <f t="shared" si="10"/>
        <v>0</v>
      </c>
      <c r="N79" t="s">
        <v>283</v>
      </c>
      <c r="O79" s="305" t="str">
        <f>IF(($L79-$F79)&gt;=0,"",
" - Организовать контроль пользователей Общества   в части соблюдения ими конфиденциальности информации  и правил работы со съемными носителями информации.")</f>
        <v/>
      </c>
      <c r="P79" s="249"/>
      <c r="Q79" s="249"/>
    </row>
    <row r="80" spans="1:17" ht="35.4" customHeight="1" outlineLevel="1">
      <c r="B80" s="46" t="s">
        <v>148</v>
      </c>
      <c r="C80" s="46" t="s">
        <v>149</v>
      </c>
      <c r="D80" s="39">
        <f t="shared" si="13"/>
        <v>0</v>
      </c>
      <c r="E80" s="40">
        <f t="shared" si="13"/>
        <v>0</v>
      </c>
      <c r="F80" s="41">
        <f t="shared" si="13"/>
        <v>0</v>
      </c>
      <c r="G80" s="47"/>
      <c r="H80" s="47"/>
      <c r="I80" s="47"/>
      <c r="J80" s="324"/>
      <c r="K80" s="537">
        <f t="shared" si="14"/>
        <v>0</v>
      </c>
      <c r="L80" s="47">
        <f t="shared" si="15"/>
        <v>0</v>
      </c>
      <c r="M80">
        <f t="shared" si="10"/>
        <v>0</v>
      </c>
      <c r="N80" t="s">
        <v>283</v>
      </c>
      <c r="O80" s="305" t="str">
        <f>IF(($L80-$F80)&gt;=0,"",
" - Составить план мероприятий по обеспечению ИБ  в  филиалах и ДЗО (при их наличии) ")</f>
        <v/>
      </c>
      <c r="P80" s="249"/>
      <c r="Q80" s="249"/>
    </row>
    <row r="81" spans="2:17" ht="28.35" customHeight="1" outlineLevel="1">
      <c r="B81" s="46" t="s">
        <v>150</v>
      </c>
      <c r="C81" s="46" t="s">
        <v>151</v>
      </c>
      <c r="D81" s="39">
        <f t="shared" si="13"/>
        <v>0</v>
      </c>
      <c r="E81" s="40">
        <f t="shared" si="13"/>
        <v>0</v>
      </c>
      <c r="F81" s="41">
        <f t="shared" si="13"/>
        <v>0</v>
      </c>
      <c r="G81" s="47"/>
      <c r="H81" s="47"/>
      <c r="I81" s="47"/>
      <c r="J81" s="324"/>
      <c r="K81" s="537">
        <f t="shared" si="14"/>
        <v>0</v>
      </c>
      <c r="L81" s="47">
        <f t="shared" si="15"/>
        <v>0</v>
      </c>
      <c r="M81">
        <f t="shared" si="10"/>
        <v>0</v>
      </c>
      <c r="N81" t="s">
        <v>283</v>
      </c>
      <c r="O81" s="305" t="str">
        <f>IF(($L81-$F81)&gt;=0,"",
" - Составить план проведения контроля состояния ИБ, включая оценку защищенности,  в  филиалах и ДЗО (при их наличии). Провести контроль в соответствии с планом")</f>
        <v/>
      </c>
      <c r="P81" s="249"/>
      <c r="Q81" s="249"/>
    </row>
    <row r="82" spans="2:17" ht="38.1" customHeight="1" outlineLevel="1">
      <c r="B82" s="46" t="s">
        <v>152</v>
      </c>
      <c r="C82" s="46" t="s">
        <v>153</v>
      </c>
      <c r="D82" s="39">
        <f t="shared" si="13"/>
        <v>0</v>
      </c>
      <c r="E82" s="40">
        <f t="shared" si="13"/>
        <v>0</v>
      </c>
      <c r="F82" s="41">
        <f t="shared" si="13"/>
        <v>0</v>
      </c>
      <c r="G82" s="47"/>
      <c r="H82" s="47"/>
      <c r="I82" s="47"/>
      <c r="J82" s="324"/>
      <c r="K82" s="537">
        <f t="shared" si="14"/>
        <v>0</v>
      </c>
      <c r="L82" s="47">
        <f t="shared" si="15"/>
        <v>0</v>
      </c>
      <c r="M82">
        <f t="shared" si="10"/>
        <v>0</v>
      </c>
      <c r="N82" t="s">
        <v>283</v>
      </c>
      <c r="O82" s="305" t="str">
        <f>IF(($L82-$F82)&gt;=0,"",
" - Организовать проведение регулярных практических учений по противодействию компьютерным атакам (киберучения).")</f>
        <v/>
      </c>
      <c r="P82" s="249"/>
      <c r="Q82" s="249"/>
    </row>
    <row r="83" spans="2:17" ht="37.35" customHeight="1" outlineLevel="1">
      <c r="B83" s="46" t="s">
        <v>154</v>
      </c>
      <c r="C83" s="46" t="s">
        <v>155</v>
      </c>
      <c r="D83" s="39">
        <f t="shared" si="13"/>
        <v>0</v>
      </c>
      <c r="E83" s="40">
        <f t="shared" si="13"/>
        <v>0</v>
      </c>
      <c r="F83" s="41">
        <f t="shared" si="13"/>
        <v>0</v>
      </c>
      <c r="G83" s="47"/>
      <c r="H83" s="47"/>
      <c r="I83" s="47"/>
      <c r="J83" s="324"/>
      <c r="K83" s="537">
        <f t="shared" si="14"/>
        <v>0</v>
      </c>
      <c r="L83" s="47">
        <f t="shared" si="15"/>
        <v>0</v>
      </c>
      <c r="M83">
        <f t="shared" si="10"/>
        <v>0</v>
      </c>
      <c r="N83" t="s">
        <v>283</v>
      </c>
      <c r="O83" s="305" t="str">
        <f>IF(($L83-$F83)&gt;=0,"",
" - Составить план проведения регулярного анализа и оценки новых угроз,  способов  и методов проведения компьютерных атак  (процесс threat intelligence).")</f>
        <v/>
      </c>
      <c r="P83" s="249"/>
      <c r="Q83" s="249"/>
    </row>
    <row r="84" spans="2:17" ht="51" customHeight="1" outlineLevel="1">
      <c r="B84" s="46" t="s">
        <v>156</v>
      </c>
      <c r="C84" s="46" t="s">
        <v>157</v>
      </c>
      <c r="D84" s="39">
        <f t="shared" si="13"/>
        <v>0</v>
      </c>
      <c r="E84" s="40">
        <f t="shared" si="13"/>
        <v>0</v>
      </c>
      <c r="F84" s="41">
        <f t="shared" si="13"/>
        <v>0</v>
      </c>
      <c r="G84" s="47"/>
      <c r="H84" s="47"/>
      <c r="I84" s="47"/>
      <c r="J84" s="324"/>
      <c r="K84" s="537">
        <f t="shared" si="14"/>
        <v>0</v>
      </c>
      <c r="L84" s="47">
        <f t="shared" si="15"/>
        <v>0</v>
      </c>
      <c r="M84">
        <f t="shared" si="10"/>
        <v>0</v>
      </c>
      <c r="N84" t="s">
        <v>283</v>
      </c>
      <c r="O84" s="305" t="str">
        <f>IF(($L84-$F84)&gt;=0,"",
" - Выстроить непрерывный процесс выявления и устранения  угроз  безопасности информации и уязвимостей  информационных систем, программного обеспечения  и программно-аппаратных средств.")</f>
        <v/>
      </c>
      <c r="P84" s="249"/>
      <c r="Q84" s="249"/>
    </row>
    <row r="85" spans="2:17" ht="44.1" customHeight="1" outlineLevel="1">
      <c r="B85" s="46" t="s">
        <v>158</v>
      </c>
      <c r="C85" s="46" t="s">
        <v>159</v>
      </c>
      <c r="D85" s="39">
        <f t="shared" si="13"/>
        <v>0</v>
      </c>
      <c r="E85" s="40">
        <f t="shared" si="13"/>
        <v>0</v>
      </c>
      <c r="F85" s="41">
        <f t="shared" si="13"/>
        <v>0</v>
      </c>
      <c r="G85" s="47"/>
      <c r="H85" s="47"/>
      <c r="I85" s="47"/>
      <c r="J85" s="324"/>
      <c r="K85" s="537">
        <f t="shared" si="14"/>
        <v>0</v>
      </c>
      <c r="L85" s="47">
        <f t="shared" si="15"/>
        <v>0</v>
      </c>
      <c r="M85">
        <f t="shared" si="10"/>
        <v>0</v>
      </c>
      <c r="N85" t="s">
        <v>283</v>
      </c>
      <c r="O85" s="305" t="str">
        <f>IF(($L85-$F85)&gt;=0,"",
" - Провести оценку практической возможности  использования нарушителями недостатков (уязвимостей)  средств защиты информации и программного обеспечения  (на примере наиболее критически важных)")</f>
        <v/>
      </c>
      <c r="P85" s="249"/>
      <c r="Q85" s="249"/>
    </row>
    <row r="86" spans="2:17" ht="27.6" outlineLevel="1">
      <c r="B86" s="46" t="s">
        <v>160</v>
      </c>
      <c r="C86" s="46" t="s">
        <v>161</v>
      </c>
      <c r="D86" s="39">
        <f t="shared" si="13"/>
        <v>0</v>
      </c>
      <c r="E86" s="40">
        <f t="shared" si="13"/>
        <v>0</v>
      </c>
      <c r="F86" s="41">
        <f t="shared" si="13"/>
        <v>0</v>
      </c>
      <c r="G86" s="47"/>
      <c r="H86" s="47"/>
      <c r="I86" s="47"/>
      <c r="J86" s="324"/>
      <c r="K86" s="537">
        <f t="shared" si="14"/>
        <v>0</v>
      </c>
      <c r="L86" s="47">
        <f t="shared" si="15"/>
        <v>0</v>
      </c>
      <c r="M86">
        <f t="shared" si="10"/>
        <v>0</v>
      </c>
      <c r="N86" t="s">
        <v>283</v>
      </c>
      <c r="O86" s="305" t="str">
        <f>IF(($L86-$F86)&gt;=0,"",
" - Выстроить непрерывный процесс обнаружения, предотвращения  и ликвидации последствий компьютерных  атак и реагирования  на компьютерные инциденты")</f>
        <v/>
      </c>
      <c r="P86" s="249"/>
      <c r="Q86" s="249"/>
    </row>
    <row r="87" spans="2:17">
      <c r="B87" s="44" t="s">
        <v>162</v>
      </c>
      <c r="C87" s="44" t="s">
        <v>113</v>
      </c>
      <c r="D87" s="44"/>
      <c r="E87" s="44"/>
      <c r="F87" s="44"/>
      <c r="G87" s="50"/>
      <c r="H87" s="44"/>
      <c r="I87" s="44"/>
      <c r="J87" s="44"/>
      <c r="K87" s="44"/>
      <c r="L87" s="44"/>
      <c r="O87" s="44"/>
      <c r="P87" s="44"/>
      <c r="Q87" s="44"/>
    </row>
    <row r="88" spans="2:17" ht="33" customHeight="1" outlineLevel="1">
      <c r="B88" s="46" t="s">
        <v>163</v>
      </c>
      <c r="C88" s="46" t="s">
        <v>164</v>
      </c>
      <c r="D88" s="39">
        <f t="shared" ref="D88:F92" si="16">5*IF(КИИ="да",1,0)</f>
        <v>0</v>
      </c>
      <c r="E88" s="40">
        <f t="shared" si="16"/>
        <v>0</v>
      </c>
      <c r="F88" s="41">
        <f t="shared" si="16"/>
        <v>0</v>
      </c>
      <c r="G88" s="47"/>
      <c r="H88" s="47"/>
      <c r="I88" s="47"/>
      <c r="J88" s="324"/>
      <c r="K88" s="537">
        <f>5*IF(КИИ="да",1,0)</f>
        <v>0</v>
      </c>
      <c r="L88" s="47">
        <f t="shared" si="15"/>
        <v>0</v>
      </c>
      <c r="M88">
        <f t="shared" si="10"/>
        <v>0</v>
      </c>
      <c r="N88" t="s">
        <v>283</v>
      </c>
      <c r="O88" s="305" t="str">
        <f>IF(($L88-$F88)&gt;=0,"",
" - Провести инвентаризацию используемых средств защиты информации и выявить все средства из недружественных государств")</f>
        <v/>
      </c>
      <c r="P88" s="249"/>
      <c r="Q88" s="249"/>
    </row>
    <row r="89" spans="2:17" ht="49.35" customHeight="1" outlineLevel="1">
      <c r="B89" s="46" t="s">
        <v>165</v>
      </c>
      <c r="C89" s="46" t="s">
        <v>166</v>
      </c>
      <c r="D89" s="39">
        <f t="shared" si="16"/>
        <v>0</v>
      </c>
      <c r="E89" s="40">
        <f t="shared" si="16"/>
        <v>0</v>
      </c>
      <c r="F89" s="41">
        <f t="shared" si="16"/>
        <v>0</v>
      </c>
      <c r="G89" s="47"/>
      <c r="H89" s="47"/>
      <c r="I89" s="47"/>
      <c r="J89" s="324"/>
      <c r="K89" s="537">
        <f>5*IF(КИИ="да",1,0)</f>
        <v>0</v>
      </c>
      <c r="L89" s="47">
        <f t="shared" si="15"/>
        <v>0</v>
      </c>
      <c r="M89">
        <f t="shared" si="10"/>
        <v>0</v>
      </c>
      <c r="N89" t="s">
        <v>283</v>
      </c>
      <c r="O89" s="305" t="str">
        <f>IF(($L89-$F89)&gt;=0,"",
" - Провести  оценку возможности перехода с используемых средств защиты информации из недружественных государств  на иные решения (отечественные, open source или из дружественных государств).")</f>
        <v/>
      </c>
      <c r="P89" s="249"/>
      <c r="Q89" s="249"/>
    </row>
    <row r="90" spans="2:17" ht="29.4" customHeight="1" outlineLevel="1">
      <c r="B90" s="46" t="s">
        <v>167</v>
      </c>
      <c r="C90" s="46" t="s">
        <v>168</v>
      </c>
      <c r="D90" s="39">
        <f t="shared" si="16"/>
        <v>0</v>
      </c>
      <c r="E90" s="40">
        <f t="shared" si="16"/>
        <v>0</v>
      </c>
      <c r="F90" s="41">
        <f t="shared" si="16"/>
        <v>0</v>
      </c>
      <c r="G90" s="47"/>
      <c r="H90" s="47"/>
      <c r="I90" s="47"/>
      <c r="J90" s="324"/>
      <c r="K90" s="537">
        <f>5*IF(КИИ="да",1,0)</f>
        <v>0</v>
      </c>
      <c r="L90" s="47">
        <f t="shared" si="15"/>
        <v>0</v>
      </c>
      <c r="M90">
        <f t="shared" si="10"/>
        <v>0</v>
      </c>
      <c r="N90" t="s">
        <v>283</v>
      </c>
      <c r="O90" s="305" t="str">
        <f>IF(($L90-$F90)&gt;=0,"",
" - Подготовить план перехода со средств защиты информации  из недружественных государств.")</f>
        <v/>
      </c>
      <c r="P90" s="249"/>
      <c r="Q90" s="249"/>
    </row>
    <row r="91" spans="2:17" ht="42" customHeight="1" outlineLevel="1">
      <c r="B91" s="46" t="s">
        <v>169</v>
      </c>
      <c r="C91" s="46" t="s">
        <v>170</v>
      </c>
      <c r="D91" s="39">
        <f t="shared" si="16"/>
        <v>0</v>
      </c>
      <c r="E91" s="40">
        <f t="shared" si="16"/>
        <v>0</v>
      </c>
      <c r="F91" s="41">
        <f t="shared" si="16"/>
        <v>0</v>
      </c>
      <c r="G91" s="47"/>
      <c r="H91" s="47"/>
      <c r="I91" s="47"/>
      <c r="J91" s="324"/>
      <c r="K91" s="537">
        <f>5*IF(КИИ="да",1,0)</f>
        <v>0</v>
      </c>
      <c r="L91" s="47">
        <f t="shared" si="15"/>
        <v>0</v>
      </c>
      <c r="M91">
        <f t="shared" si="10"/>
        <v>0</v>
      </c>
      <c r="N91" t="s">
        <v>283</v>
      </c>
      <c r="O91" s="305" t="str">
        <f>IF(($L91-$F91)&gt;=0,"",
" - Осуществить пилотирование решений, выбранных для замены средствам защиты информации  из недружественных государств")</f>
        <v/>
      </c>
      <c r="P91" s="249"/>
      <c r="Q91" s="249"/>
    </row>
    <row r="92" spans="2:17" ht="33" customHeight="1" outlineLevel="1">
      <c r="B92" s="46" t="s">
        <v>935</v>
      </c>
      <c r="C92" s="46" t="s">
        <v>171</v>
      </c>
      <c r="D92" s="39">
        <f t="shared" si="16"/>
        <v>0</v>
      </c>
      <c r="E92" s="40">
        <f t="shared" si="16"/>
        <v>0</v>
      </c>
      <c r="F92" s="41">
        <f t="shared" si="16"/>
        <v>0</v>
      </c>
      <c r="G92" s="47"/>
      <c r="H92" s="47"/>
      <c r="I92" s="47"/>
      <c r="J92" s="324"/>
      <c r="K92" s="537">
        <f>5*IF(КИИ="да",1,0)</f>
        <v>0</v>
      </c>
      <c r="L92" s="47">
        <f t="shared" si="15"/>
        <v>0</v>
      </c>
      <c r="M92">
        <f t="shared" si="10"/>
        <v>0</v>
      </c>
      <c r="N92" t="s">
        <v>283</v>
      </c>
      <c r="O92" s="305" t="str">
        <f>IF(($L92-$F92)&gt;=0,"",
" - Внедрить выбранные средства защиты информации.")</f>
        <v/>
      </c>
      <c r="P92" s="249"/>
      <c r="Q92" s="249"/>
    </row>
    <row r="93" spans="2:17">
      <c r="B93" s="44" t="s">
        <v>172</v>
      </c>
      <c r="C93" s="43" t="s">
        <v>114</v>
      </c>
      <c r="D93" s="44"/>
      <c r="E93" s="44"/>
      <c r="F93" s="44"/>
      <c r="G93" s="50"/>
      <c r="H93" s="44"/>
      <c r="I93" s="44"/>
      <c r="J93" s="44"/>
      <c r="K93" s="44"/>
      <c r="L93" s="44"/>
      <c r="O93" s="44"/>
      <c r="P93" s="44"/>
      <c r="Q93" s="44"/>
    </row>
    <row r="94" spans="2:17" ht="196.35" customHeight="1" outlineLevel="1">
      <c r="B94" s="46" t="s">
        <v>173</v>
      </c>
      <c r="C94" s="46" t="s">
        <v>174</v>
      </c>
      <c r="D94" s="39">
        <f t="shared" ref="D94:F98" si="17">5*IF(КИИ="да",1,0)</f>
        <v>0</v>
      </c>
      <c r="E94" s="40">
        <f t="shared" si="17"/>
        <v>0</v>
      </c>
      <c r="F94" s="41">
        <f t="shared" si="17"/>
        <v>0</v>
      </c>
      <c r="G94" s="47"/>
      <c r="H94" s="47"/>
      <c r="I94" s="47"/>
      <c r="J94" s="324"/>
      <c r="K94" s="537">
        <f>5*IF(КИИ="да",1,0)</f>
        <v>0</v>
      </c>
      <c r="L94" s="47">
        <f t="shared" si="15"/>
        <v>0</v>
      </c>
      <c r="M94">
        <f t="shared" si="10"/>
        <v>0</v>
      </c>
      <c r="N94" t="s">
        <v>283</v>
      </c>
      <c r="O94" s="305" t="str">
        <f>IF(($L94-$F94)&gt;=0,"",
" -  Подписать Соглашение о взаимодействии Публичного акционерного общества Ростелеком и ДЗО в области обнаружения, предупреждения и ликвидации последствий компьютерных атак ;"&amp;"
 -  Разработать и утверждить ОРД и ВНД, регламентирующие взаимодействие с  Корпоративным центром ГосСОПКА"&amp;" (на базе SOC Департамент мониторинга и реагирования на компьютерные инциденты КЦ ПАО 'Ростелеком; далее - КЦ ГосСОПКА):
- утвердить регламент информирования ФСБ России (НКЦКИ) о компьютерных инцидентах;"&amp;"
- Утвердить перечень информации о компьютерных инцидентах, связанных с функционированием объектов КИИ;"&amp;"
- Разработать и утвердить правила и процедуры реагирования на компьютерные инциденты.")</f>
        <v/>
      </c>
      <c r="P94" s="249"/>
      <c r="Q94" s="249"/>
    </row>
    <row r="95" spans="2:17" ht="80.400000000000006" customHeight="1" outlineLevel="1">
      <c r="B95" s="49" t="s">
        <v>175</v>
      </c>
      <c r="C95" s="46" t="s">
        <v>176</v>
      </c>
      <c r="D95" s="39">
        <f t="shared" si="17"/>
        <v>0</v>
      </c>
      <c r="E95" s="40">
        <f t="shared" si="17"/>
        <v>0</v>
      </c>
      <c r="F95" s="41">
        <f t="shared" si="17"/>
        <v>0</v>
      </c>
      <c r="G95" s="47"/>
      <c r="H95" s="47"/>
      <c r="I95" s="47"/>
      <c r="J95" s="324"/>
      <c r="K95" s="537">
        <f>5*IF(КИИ="да",1,0)</f>
        <v>0</v>
      </c>
      <c r="L95" s="47">
        <f t="shared" si="15"/>
        <v>0</v>
      </c>
      <c r="M95">
        <f t="shared" si="10"/>
        <v>0</v>
      </c>
      <c r="N95" t="s">
        <v>283</v>
      </c>
      <c r="O95" s="305" t="str">
        <f>IF(($L95-$F95)&gt;=0,"",
" - Выполнить подключение ЗОКИИ к КЦ ГосСОПКА
 - Организовать двустороннее взаимодействие с КЦ ГосСОПКА по мониторингу защищенности  ЗОКИИ, принадлежащих Обществу  или используемых ею")</f>
        <v/>
      </c>
      <c r="P95" s="249"/>
      <c r="Q95" s="249"/>
    </row>
    <row r="96" spans="2:17" ht="71.400000000000006" customHeight="1" outlineLevel="1">
      <c r="B96" s="49" t="s">
        <v>936</v>
      </c>
      <c r="C96" s="46" t="s">
        <v>177</v>
      </c>
      <c r="D96" s="39">
        <f t="shared" si="17"/>
        <v>0</v>
      </c>
      <c r="E96" s="40">
        <f t="shared" si="17"/>
        <v>0</v>
      </c>
      <c r="F96" s="41">
        <f t="shared" si="17"/>
        <v>0</v>
      </c>
      <c r="G96" s="47"/>
      <c r="H96" s="47"/>
      <c r="I96" s="47"/>
      <c r="J96" s="324"/>
      <c r="K96" s="537">
        <f>5*IF(КИИ="да",1,0)</f>
        <v>0</v>
      </c>
      <c r="L96" s="47">
        <f t="shared" si="15"/>
        <v>0</v>
      </c>
      <c r="M96">
        <f t="shared" si="10"/>
        <v>0</v>
      </c>
      <c r="N96" t="s">
        <v>283</v>
      </c>
      <c r="O96" s="305" t="str">
        <f>IF(($L96-$F96)&gt;=0,"",
" - Запросить информацию у КЦ ГосСОПКА по поводу организации взаимодействия с должностными лицами ФСБ России и ее территориальных органов по результатам мониторинга защищенности информационных ресурсов Общества.")</f>
        <v/>
      </c>
      <c r="P96" s="249"/>
      <c r="Q96" s="249"/>
    </row>
    <row r="97" spans="2:17" ht="77.400000000000006" customHeight="1" outlineLevel="1">
      <c r="B97" s="49" t="s">
        <v>178</v>
      </c>
      <c r="C97" s="46" t="s">
        <v>179</v>
      </c>
      <c r="D97" s="39">
        <f t="shared" si="17"/>
        <v>0</v>
      </c>
      <c r="E97" s="40">
        <f t="shared" si="17"/>
        <v>0</v>
      </c>
      <c r="F97" s="41">
        <f t="shared" si="17"/>
        <v>0</v>
      </c>
      <c r="G97" s="47"/>
      <c r="H97" s="47"/>
      <c r="I97" s="47"/>
      <c r="J97" s="324"/>
      <c r="K97" s="537">
        <f>5*IF(КИИ="да",1,0)</f>
        <v>0</v>
      </c>
      <c r="L97" s="47">
        <f t="shared" si="15"/>
        <v>0</v>
      </c>
      <c r="M97">
        <f t="shared" si="10"/>
        <v>0</v>
      </c>
      <c r="N97" t="s">
        <v>283</v>
      </c>
      <c r="O97" s="305" t="str">
        <f>IF(($L97-$F97)&gt;=0,"",
" - Запросить информацию у КЦ ГосСОПКА по поводу соглашения с НКЦКИ"&amp;"
 - Разработать и утвердить план реагирования на компьютерные инциденты и принятия мер по ликвидации последствий компьютерных атак самостоятельно или совместно с НКЦКИ.
 - Направить План на согласование в НКЦКИ")</f>
        <v/>
      </c>
      <c r="P97" s="249"/>
      <c r="Q97" s="249"/>
    </row>
    <row r="98" spans="2:17" ht="78.599999999999994" customHeight="1" outlineLevel="1">
      <c r="B98" s="49" t="s">
        <v>180</v>
      </c>
      <c r="C98" s="46" t="s">
        <v>181</v>
      </c>
      <c r="D98" s="39">
        <f t="shared" si="17"/>
        <v>0</v>
      </c>
      <c r="E98" s="40">
        <f t="shared" si="17"/>
        <v>0</v>
      </c>
      <c r="F98" s="41">
        <f t="shared" si="17"/>
        <v>0</v>
      </c>
      <c r="G98" s="47"/>
      <c r="H98" s="47"/>
      <c r="I98" s="47"/>
      <c r="J98" s="324"/>
      <c r="K98" s="537">
        <f>5*IF(КИИ="да",1,0)</f>
        <v>0</v>
      </c>
      <c r="L98" s="47">
        <f t="shared" si="15"/>
        <v>0</v>
      </c>
      <c r="M98">
        <f t="shared" si="10"/>
        <v>0</v>
      </c>
      <c r="N98" t="s">
        <v>283</v>
      </c>
      <c r="O98" s="305" t="str">
        <f>IF(($L98-$F98)&gt;=0,"",
" - Запросить информацию у КЦ ГосСОПКА о поводу организации взаимодействия с НКЦКИ
 - Уведомить НКЦКИ о передачи информации по компьютерным инцидентам через  КЦ ГосСОПКА")</f>
        <v/>
      </c>
      <c r="P98" s="249"/>
      <c r="Q98" s="249"/>
    </row>
  </sheetData>
  <autoFilter ref="B50:N50" xr:uid="{00000000-0009-0000-0000-000006000000}"/>
  <mergeCells count="1">
    <mergeCell ref="D1:H1"/>
  </mergeCells>
  <conditionalFormatting sqref="M1:M52">
    <cfRule type="cellIs" dxfId="36" priority="1" operator="greaterThan">
      <formula>0</formula>
    </cfRule>
    <cfRule type="cellIs" dxfId="35" priority="2" operator="equal">
      <formula>0</formula>
    </cfRule>
    <cfRule type="cellIs" dxfId="34" priority="3" operator="lessThan">
      <formula>0</formula>
    </cfRule>
  </conditionalFormatting>
  <conditionalFormatting sqref="M54:M61 M63:M70 M73:M11114">
    <cfRule type="cellIs" dxfId="33" priority="12" operator="lessThan">
      <formula>0</formula>
    </cfRule>
  </conditionalFormatting>
  <conditionalFormatting sqref="M54:M61 M63:M70 M73:M1048576">
    <cfRule type="cellIs" dxfId="32" priority="7" operator="greaterThan">
      <formula>0</formula>
    </cfRule>
    <cfRule type="cellIs" dxfId="31" priority="8" operator="equal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'Условные сокращения'!$M$11:$M$12</xm:f>
          </x14:formula1>
          <xm:sqref>N57:N60 N54:N55 N66:N69 N94:N98 N88:N92 N73:N86 N63:N64</xm:sqref>
        </x14:dataValidation>
        <x14:dataValidation type="list" allowBlank="1" showInputMessage="1" showErrorMessage="1" xr:uid="{00000000-0002-0000-0600-000001000000}">
          <x14:formula1>
            <xm:f>'Условные сокращения'!$B$27:$B$30</xm:f>
          </x14:formula1>
          <xm:sqref>N56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tabColor theme="3" tint="0.39997558519241921"/>
    <outlinePr summaryBelow="0" summaryRight="0"/>
  </sheetPr>
  <dimension ref="A1:U1022"/>
  <sheetViews>
    <sheetView topLeftCell="A39" zoomScale="55" zoomScaleNormal="55" workbookViewId="0">
      <selection activeCell="B68" sqref="B68"/>
    </sheetView>
  </sheetViews>
  <sheetFormatPr defaultColWidth="11.09765625" defaultRowHeight="15" customHeight="1" outlineLevelRow="1"/>
  <cols>
    <col min="1" max="1" width="4.59765625" style="66" bestFit="1" customWidth="1"/>
    <col min="2" max="2" width="83.09765625" style="66" customWidth="1"/>
    <col min="3" max="3" width="21" style="66" customWidth="1"/>
    <col min="4" max="5" width="12.09765625" style="66" customWidth="1"/>
    <col min="6" max="6" width="17.09765625" style="66" customWidth="1"/>
    <col min="7" max="7" width="12.59765625" style="230" hidden="1" customWidth="1"/>
    <col min="8" max="8" width="16.59765625" style="66" hidden="1" customWidth="1"/>
    <col min="9" max="9" width="15.59765625" style="66" customWidth="1"/>
    <col min="10" max="10" width="12.09765625" style="446" customWidth="1"/>
    <col min="11" max="11" width="12.09765625" style="66" customWidth="1"/>
    <col min="12" max="12" width="15.09765625" style="278" customWidth="1"/>
    <col min="13" max="13" width="9.09765625" style="230" customWidth="1"/>
    <col min="14" max="14" width="21.09765625" style="237" customWidth="1"/>
    <col min="15" max="15" width="28" style="66" customWidth="1"/>
    <col min="16" max="16" width="25.09765625" style="236" customWidth="1"/>
    <col min="17" max="17" width="42.09765625" style="248" customWidth="1"/>
    <col min="18" max="18" width="13" style="248" customWidth="1"/>
    <col min="19" max="19" width="46.59765625" style="248" customWidth="1"/>
    <col min="20" max="20" width="15.09765625" style="248" customWidth="1"/>
    <col min="21" max="21" width="59" style="248" customWidth="1"/>
    <col min="22" max="28" width="10.5" style="66" bestFit="1" customWidth="1"/>
    <col min="29" max="29" width="11.09765625" style="66" bestFit="1"/>
    <col min="30" max="16384" width="11.09765625" style="66"/>
  </cols>
  <sheetData>
    <row r="1" spans="1:14" ht="15" customHeight="1">
      <c r="A1" s="244">
        <f>L46-F46</f>
        <v>-5</v>
      </c>
      <c r="B1" s="592" t="s">
        <v>113</v>
      </c>
      <c r="N1" s="426">
        <f>COUNTA(N2:N7007)</f>
        <v>60</v>
      </c>
    </row>
    <row r="2" spans="1:14" ht="29.85" customHeight="1">
      <c r="B2" s="592"/>
    </row>
    <row r="3" spans="1:14" ht="15.75" customHeight="1">
      <c r="B3" s="35"/>
    </row>
    <row r="4" spans="1:14" ht="15.75" customHeight="1">
      <c r="B4" s="35"/>
    </row>
    <row r="5" spans="1:14" ht="15.75" customHeight="1">
      <c r="B5" s="35"/>
    </row>
    <row r="6" spans="1:14" ht="15.75" customHeight="1">
      <c r="B6" s="35"/>
    </row>
    <row r="7" spans="1:14" ht="15.75" customHeight="1">
      <c r="B7" s="35"/>
    </row>
    <row r="8" spans="1:14" ht="15.75" customHeight="1">
      <c r="B8" s="35"/>
    </row>
    <row r="9" spans="1:14" ht="15.75" customHeight="1">
      <c r="B9" s="35"/>
    </row>
    <row r="10" spans="1:14" ht="15.75" customHeight="1">
      <c r="B10" s="35"/>
    </row>
    <row r="11" spans="1:14" ht="15.75" customHeight="1">
      <c r="B11" s="35"/>
    </row>
    <row r="12" spans="1:14" ht="15.75" customHeight="1">
      <c r="B12" s="35"/>
    </row>
    <row r="13" spans="1:14" ht="15.75" customHeight="1">
      <c r="B13" s="35"/>
    </row>
    <row r="14" spans="1:14" ht="15.75" customHeight="1">
      <c r="B14" s="35"/>
    </row>
    <row r="15" spans="1:14" ht="15.75" customHeight="1">
      <c r="B15" s="35"/>
    </row>
    <row r="16" spans="1:14" ht="15.75" customHeight="1">
      <c r="B16" s="35"/>
    </row>
    <row r="17" spans="2:21" ht="15.75" customHeight="1">
      <c r="B17" s="35"/>
    </row>
    <row r="18" spans="2:21" ht="15.75" customHeight="1">
      <c r="B18" s="35"/>
    </row>
    <row r="19" spans="2:21" ht="15.75" customHeight="1">
      <c r="B19" s="35"/>
    </row>
    <row r="20" spans="2:21" ht="15.75" customHeight="1">
      <c r="B20" s="35"/>
    </row>
    <row r="21" spans="2:21" ht="15.75" customHeight="1">
      <c r="B21" s="35"/>
    </row>
    <row r="22" spans="2:21" ht="15.75" customHeight="1">
      <c r="B22" s="35"/>
    </row>
    <row r="23" spans="2:21" ht="15.75" customHeight="1">
      <c r="B23" s="35"/>
    </row>
    <row r="24" spans="2:21" ht="15.75" customHeight="1">
      <c r="B24" s="35"/>
    </row>
    <row r="25" spans="2:21" ht="15.75" customHeight="1">
      <c r="B25" s="35"/>
    </row>
    <row r="26" spans="2:21" ht="15.75" customHeight="1">
      <c r="B26" s="35"/>
    </row>
    <row r="27" spans="2:21" s="230" customFormat="1" thickBot="1">
      <c r="B27" s="66"/>
      <c r="G27" s="20">
        <f>Расчет!$F$2</f>
        <v>45017</v>
      </c>
      <c r="H27" s="20">
        <f>Расчет!$H$2</f>
        <v>45444</v>
      </c>
      <c r="I27" s="20" t="s">
        <v>731</v>
      </c>
      <c r="J27" s="354"/>
      <c r="L27" s="29">
        <f ca="1">TODAY()</f>
        <v>46038</v>
      </c>
      <c r="N27" s="427"/>
      <c r="P27" s="428"/>
      <c r="Q27" s="304"/>
      <c r="R27" s="304"/>
      <c r="S27" s="304"/>
      <c r="T27" s="304"/>
      <c r="U27" s="304"/>
    </row>
    <row r="28" spans="2:21" ht="56.1" customHeight="1" thickBot="1">
      <c r="B28" s="176" t="s">
        <v>21</v>
      </c>
      <c r="C28" s="176" t="s">
        <v>22</v>
      </c>
      <c r="D28" s="177" t="s">
        <v>10</v>
      </c>
      <c r="E28" s="178" t="s">
        <v>11</v>
      </c>
      <c r="F28" s="179" t="s">
        <v>12</v>
      </c>
      <c r="G28" s="429" t="s">
        <v>23</v>
      </c>
      <c r="H28" s="430" t="s">
        <v>23</v>
      </c>
      <c r="I28" s="430" t="s">
        <v>23</v>
      </c>
      <c r="J28" s="169">
        <v>2026</v>
      </c>
      <c r="K28" s="169" t="s">
        <v>638</v>
      </c>
      <c r="L28" s="33" t="s">
        <v>24</v>
      </c>
    </row>
    <row r="29" spans="2:21" ht="23.1" customHeight="1">
      <c r="B29" s="25" t="str">
        <f>B45</f>
        <v>Защита от ВПО</v>
      </c>
      <c r="C29" s="157" t="str">
        <f>C45</f>
        <v>ВПО</v>
      </c>
      <c r="D29" s="56">
        <f t="shared" ref="D29:L29" si="0">AVERAGE(D46:D53)</f>
        <v>4.59375</v>
      </c>
      <c r="E29" s="57">
        <f t="shared" si="0"/>
        <v>4.1875</v>
      </c>
      <c r="F29" s="58">
        <f t="shared" si="0"/>
        <v>3.4937499999999999</v>
      </c>
      <c r="G29" s="59" t="e">
        <f t="shared" si="0"/>
        <v>#DIV/0!</v>
      </c>
      <c r="H29" s="59" t="e">
        <f t="shared" si="0"/>
        <v>#DIV/0!</v>
      </c>
      <c r="I29" s="59" t="e">
        <f t="shared" si="0"/>
        <v>#DIV/0!</v>
      </c>
      <c r="J29" s="326" t="e">
        <f t="shared" si="0"/>
        <v>#DIV/0!</v>
      </c>
      <c r="K29" s="301">
        <f t="shared" si="0"/>
        <v>3.4937499999999999</v>
      </c>
      <c r="L29" s="279">
        <f t="shared" si="0"/>
        <v>0</v>
      </c>
      <c r="M29" s="119" t="e">
        <f t="shared" ref="M29:M42" si="1">E29-J29</f>
        <v>#DIV/0!</v>
      </c>
    </row>
    <row r="30" spans="2:21" ht="23.1" customHeight="1">
      <c r="B30" s="25" t="s">
        <v>332</v>
      </c>
      <c r="C30" s="157" t="s">
        <v>288</v>
      </c>
      <c r="D30" s="56">
        <f t="shared" ref="D30:L30" si="2">AVERAGE(D55:D58)</f>
        <v>5</v>
      </c>
      <c r="E30" s="57">
        <f t="shared" si="2"/>
        <v>5</v>
      </c>
      <c r="F30" s="58">
        <f t="shared" si="2"/>
        <v>3.6499999999999995</v>
      </c>
      <c r="G30" s="59" t="e">
        <f t="shared" si="2"/>
        <v>#DIV/0!</v>
      </c>
      <c r="H30" s="59" t="e">
        <f t="shared" si="2"/>
        <v>#DIV/0!</v>
      </c>
      <c r="I30" s="59" t="e">
        <f>AVERAGE(I55:I58)</f>
        <v>#DIV/0!</v>
      </c>
      <c r="J30" s="326" t="e">
        <f>AVERAGE(J55:J58)</f>
        <v>#DIV/0!</v>
      </c>
      <c r="K30" s="301">
        <f t="shared" si="2"/>
        <v>3.6499999999999995</v>
      </c>
      <c r="L30" s="279">
        <f t="shared" si="2"/>
        <v>0</v>
      </c>
      <c r="M30" s="119" t="e">
        <f t="shared" si="1"/>
        <v>#DIV/0!</v>
      </c>
    </row>
    <row r="31" spans="2:21" ht="23.1" customHeight="1">
      <c r="B31" s="25" t="s">
        <v>333</v>
      </c>
      <c r="C31" s="158" t="s">
        <v>331</v>
      </c>
      <c r="D31" s="56">
        <f t="shared" ref="D31:L31" si="3">AVERAGE(D60:D62)</f>
        <v>4.583333333333333</v>
      </c>
      <c r="E31" s="57">
        <f t="shared" si="3"/>
        <v>4.166666666666667</v>
      </c>
      <c r="F31" s="58">
        <f t="shared" si="3"/>
        <v>3.25</v>
      </c>
      <c r="G31" s="59" t="e">
        <f t="shared" si="3"/>
        <v>#DIV/0!</v>
      </c>
      <c r="H31" s="59" t="e">
        <f t="shared" si="3"/>
        <v>#DIV/0!</v>
      </c>
      <c r="I31" s="59" t="e">
        <f t="shared" si="3"/>
        <v>#DIV/0!</v>
      </c>
      <c r="J31" s="326" t="e">
        <f t="shared" si="3"/>
        <v>#DIV/0!</v>
      </c>
      <c r="K31" s="301">
        <f t="shared" si="3"/>
        <v>3.25</v>
      </c>
      <c r="L31" s="279">
        <f t="shared" si="3"/>
        <v>0</v>
      </c>
      <c r="M31" s="119" t="e">
        <f t="shared" si="1"/>
        <v>#DIV/0!</v>
      </c>
    </row>
    <row r="32" spans="2:21" ht="23.1" customHeight="1">
      <c r="B32" s="25" t="s">
        <v>334</v>
      </c>
      <c r="C32" s="157" t="s">
        <v>345</v>
      </c>
      <c r="D32" s="56">
        <f>AVERAGE(D64:D67)</f>
        <v>5</v>
      </c>
      <c r="E32" s="57">
        <f>AVERAGE(E64:E67)</f>
        <v>4.55</v>
      </c>
      <c r="F32" s="58">
        <f>AVERAGE(F64:F67)</f>
        <v>4.0999999999999996</v>
      </c>
      <c r="G32" s="59">
        <v>0</v>
      </c>
      <c r="H32" s="59">
        <v>0</v>
      </c>
      <c r="I32" s="279" t="e">
        <f>IF(I67=0,AVERAGE(I64:I66)/3,AVERAGE(I64:I66))</f>
        <v>#DIV/0!</v>
      </c>
      <c r="J32" s="326" t="e">
        <f>IF(J67=0,AVERAGE(J64:J66)/3,AVERAGE(J64:J66))</f>
        <v>#DIV/0!</v>
      </c>
      <c r="K32" s="301">
        <f>AVERAGE(K64:K67)</f>
        <v>4.0999999999999996</v>
      </c>
      <c r="L32" s="279">
        <f>IF(L67=0,AVERAGE(L64:L66)/3,AVERAGE(L64:L66))</f>
        <v>0</v>
      </c>
      <c r="M32" s="119" t="e">
        <f t="shared" si="1"/>
        <v>#DIV/0!</v>
      </c>
    </row>
    <row r="33" spans="2:21" ht="23.1" customHeight="1">
      <c r="B33" s="25" t="s">
        <v>335</v>
      </c>
      <c r="C33" s="157" t="s">
        <v>97</v>
      </c>
      <c r="D33" s="56">
        <f>AVERAGE(D69:D72)*IF(СКЗИ="да",1,0)</f>
        <v>5</v>
      </c>
      <c r="E33" s="57">
        <f>AVERAGE(E69:E72)*IF(СКЗИ="да",1,0)</f>
        <v>4.9550000000000001</v>
      </c>
      <c r="F33" s="58">
        <f>AVERAGE(F69:F72)*IF(СКЗИ="да",1,0)</f>
        <v>4.4649999999999999</v>
      </c>
      <c r="G33" s="59" t="e">
        <f t="shared" ref="G33:K33" si="4">AVERAGE(G69:G72)</f>
        <v>#DIV/0!</v>
      </c>
      <c r="H33" s="59" t="e">
        <f t="shared" si="4"/>
        <v>#DIV/0!</v>
      </c>
      <c r="I33" s="279" t="e">
        <f>IF(I72=0,AVERAGE(I69:I72)/3,AVERAGE(I69:I72))</f>
        <v>#DIV/0!</v>
      </c>
      <c r="J33" s="326" t="e">
        <f>AVERAGE(J69:J72)</f>
        <v>#DIV/0!</v>
      </c>
      <c r="K33" s="301">
        <f t="shared" si="4"/>
        <v>4.4649999999999999</v>
      </c>
      <c r="L33" s="279">
        <f>IF(L72=0,AVERAGE(L69:L71)/3,AVERAGE(L69:L71))</f>
        <v>0.91111111111111098</v>
      </c>
      <c r="M33" s="119" t="e">
        <f t="shared" si="1"/>
        <v>#DIV/0!</v>
      </c>
    </row>
    <row r="34" spans="2:21" ht="40.35" customHeight="1">
      <c r="B34" s="25" t="s">
        <v>336</v>
      </c>
      <c r="C34" s="157" t="s">
        <v>287</v>
      </c>
      <c r="D34" s="56">
        <f t="shared" ref="D34:L34" si="5">AVERAGE(D74:D74)</f>
        <v>4.6346153846153841</v>
      </c>
      <c r="E34" s="57">
        <f t="shared" si="5"/>
        <v>3.7205128205128202</v>
      </c>
      <c r="F34" s="58">
        <f t="shared" si="5"/>
        <v>4.1025641025641026E-2</v>
      </c>
      <c r="G34" s="59" t="e">
        <f>AVERAGE(G74:G74)</f>
        <v>#DIV/0!</v>
      </c>
      <c r="H34" s="59" t="e">
        <f t="shared" si="5"/>
        <v>#DIV/0!</v>
      </c>
      <c r="I34" s="59" t="e">
        <f>AVERAGE(I74:I74)</f>
        <v>#DIV/0!</v>
      </c>
      <c r="J34" s="326" t="e">
        <f>AVERAGE(J74:J74)</f>
        <v>#DIV/0!</v>
      </c>
      <c r="K34" s="301">
        <f t="shared" si="5"/>
        <v>4.1025641025641026E-2</v>
      </c>
      <c r="L34" s="279">
        <f t="shared" si="5"/>
        <v>0</v>
      </c>
      <c r="M34" s="119" t="e">
        <f t="shared" si="1"/>
        <v>#DIV/0!</v>
      </c>
    </row>
    <row r="35" spans="2:21" ht="23.1" customHeight="1">
      <c r="B35" s="25" t="s">
        <v>1000</v>
      </c>
      <c r="C35" s="157" t="s">
        <v>346</v>
      </c>
      <c r="D35" s="56">
        <f t="shared" ref="D35:L35" si="6">AVERAGE(D76:D79)</f>
        <v>5</v>
      </c>
      <c r="E35" s="57">
        <f t="shared" si="6"/>
        <v>4.0999999999999996</v>
      </c>
      <c r="F35" s="58">
        <f t="shared" si="6"/>
        <v>0</v>
      </c>
      <c r="G35" s="59" t="e">
        <f t="shared" si="6"/>
        <v>#DIV/0!</v>
      </c>
      <c r="H35" s="59" t="e">
        <f t="shared" si="6"/>
        <v>#DIV/0!</v>
      </c>
      <c r="I35" s="59" t="e">
        <f>AVERAGE(I76:I79)</f>
        <v>#DIV/0!</v>
      </c>
      <c r="J35" s="326" t="e">
        <f>AVERAGE(J76:J79)</f>
        <v>#DIV/0!</v>
      </c>
      <c r="K35" s="301">
        <f t="shared" si="6"/>
        <v>0</v>
      </c>
      <c r="L35" s="279">
        <f t="shared" si="6"/>
        <v>0</v>
      </c>
      <c r="M35" s="119" t="e">
        <f t="shared" si="1"/>
        <v>#DIV/0!</v>
      </c>
    </row>
    <row r="36" spans="2:21" ht="23.1" customHeight="1">
      <c r="B36" s="25" t="s">
        <v>338</v>
      </c>
      <c r="C36" s="157" t="s">
        <v>347</v>
      </c>
      <c r="D36" s="56">
        <f t="shared" ref="D36:L36" si="7">AVERAGE(D81:D84)</f>
        <v>5</v>
      </c>
      <c r="E36" s="57">
        <f t="shared" si="7"/>
        <v>3.0250000000000004</v>
      </c>
      <c r="F36" s="58">
        <f t="shared" si="7"/>
        <v>0</v>
      </c>
      <c r="G36" s="59" t="e">
        <f t="shared" si="7"/>
        <v>#DIV/0!</v>
      </c>
      <c r="H36" s="59" t="e">
        <f t="shared" si="7"/>
        <v>#DIV/0!</v>
      </c>
      <c r="I36" s="59" t="e">
        <f>AVERAGE(I81:I84)</f>
        <v>#DIV/0!</v>
      </c>
      <c r="J36" s="326" t="e">
        <f>AVERAGE(J81:J84)</f>
        <v>#DIV/0!</v>
      </c>
      <c r="K36" s="301">
        <f t="shared" si="7"/>
        <v>0</v>
      </c>
      <c r="L36" s="279">
        <f t="shared" si="7"/>
        <v>0</v>
      </c>
      <c r="M36" s="119" t="e">
        <f t="shared" si="1"/>
        <v>#DIV/0!</v>
      </c>
    </row>
    <row r="37" spans="2:21" ht="23.1" customHeight="1">
      <c r="B37" s="25" t="s">
        <v>339</v>
      </c>
      <c r="C37" s="157" t="s">
        <v>348</v>
      </c>
      <c r="D37" s="56">
        <f t="shared" ref="D37:L37" si="8">AVERAGE(D86:D88)</f>
        <v>4.666666666666667</v>
      </c>
      <c r="E37" s="57">
        <f t="shared" si="8"/>
        <v>3.7333333333333329</v>
      </c>
      <c r="F37" s="58">
        <f t="shared" si="8"/>
        <v>0</v>
      </c>
      <c r="G37" s="59" t="e">
        <f t="shared" si="8"/>
        <v>#DIV/0!</v>
      </c>
      <c r="H37" s="59" t="e">
        <f t="shared" si="8"/>
        <v>#DIV/0!</v>
      </c>
      <c r="I37" s="59" t="e">
        <f>AVERAGE(I86:I88)</f>
        <v>#DIV/0!</v>
      </c>
      <c r="J37" s="326" t="e">
        <f>AVERAGE(J86:J88)</f>
        <v>#DIV/0!</v>
      </c>
      <c r="K37" s="301">
        <f t="shared" si="8"/>
        <v>0</v>
      </c>
      <c r="L37" s="279">
        <f t="shared" si="8"/>
        <v>0.33333333333333331</v>
      </c>
      <c r="M37" s="119" t="e">
        <f t="shared" si="1"/>
        <v>#DIV/0!</v>
      </c>
    </row>
    <row r="38" spans="2:21" ht="23.1" customHeight="1">
      <c r="B38" s="25" t="s">
        <v>340</v>
      </c>
      <c r="C38" s="157" t="s">
        <v>349</v>
      </c>
      <c r="D38" s="56">
        <f t="shared" ref="D38:L38" si="9">AVERAGE(D90:D93)</f>
        <v>5</v>
      </c>
      <c r="E38" s="57">
        <f t="shared" si="9"/>
        <v>4.2</v>
      </c>
      <c r="F38" s="58">
        <f t="shared" si="9"/>
        <v>0</v>
      </c>
      <c r="G38" s="59" t="e">
        <f t="shared" si="9"/>
        <v>#DIV/0!</v>
      </c>
      <c r="H38" s="59" t="e">
        <f t="shared" si="9"/>
        <v>#DIV/0!</v>
      </c>
      <c r="I38" s="59" t="e">
        <f>AVERAGE(I90:I93)</f>
        <v>#DIV/0!</v>
      </c>
      <c r="J38" s="326" t="e">
        <f>AVERAGE(J90:J93)</f>
        <v>#DIV/0!</v>
      </c>
      <c r="K38" s="301">
        <f t="shared" si="9"/>
        <v>0</v>
      </c>
      <c r="L38" s="279">
        <f t="shared" si="9"/>
        <v>0</v>
      </c>
      <c r="M38" s="119" t="e">
        <f t="shared" si="1"/>
        <v>#DIV/0!</v>
      </c>
    </row>
    <row r="39" spans="2:21" ht="23.1" customHeight="1">
      <c r="B39" s="25" t="s">
        <v>341</v>
      </c>
      <c r="C39" s="157" t="s">
        <v>350</v>
      </c>
      <c r="D39" s="56">
        <f t="shared" ref="D39:L39" si="10">AVERAGE(D95:D99)</f>
        <v>5</v>
      </c>
      <c r="E39" s="57">
        <f t="shared" si="10"/>
        <v>1</v>
      </c>
      <c r="F39" s="58">
        <f t="shared" si="10"/>
        <v>0</v>
      </c>
      <c r="G39" s="59" t="e">
        <f t="shared" si="10"/>
        <v>#DIV/0!</v>
      </c>
      <c r="H39" s="59" t="e">
        <f t="shared" si="10"/>
        <v>#DIV/0!</v>
      </c>
      <c r="I39" s="59" t="e">
        <f>AVERAGE(I95:I99)</f>
        <v>#DIV/0!</v>
      </c>
      <c r="J39" s="326" t="e">
        <f>AVERAGE(J95:J99)</f>
        <v>#DIV/0!</v>
      </c>
      <c r="K39" s="301">
        <f t="shared" si="10"/>
        <v>0</v>
      </c>
      <c r="L39" s="279">
        <f t="shared" si="10"/>
        <v>0</v>
      </c>
      <c r="M39" s="119" t="e">
        <f t="shared" si="1"/>
        <v>#DIV/0!</v>
      </c>
    </row>
    <row r="40" spans="2:21" ht="23.1" customHeight="1">
      <c r="B40" s="25" t="s">
        <v>342</v>
      </c>
      <c r="C40" s="157" t="s">
        <v>289</v>
      </c>
      <c r="D40" s="56">
        <f t="shared" ref="D40:K40" si="11">AVERAGE(D101:D105)</f>
        <v>4.8</v>
      </c>
      <c r="E40" s="57">
        <f t="shared" si="11"/>
        <v>1.24</v>
      </c>
      <c r="F40" s="58">
        <f t="shared" si="11"/>
        <v>0.84000000000000008</v>
      </c>
      <c r="G40" s="59">
        <f t="shared" si="11"/>
        <v>0</v>
      </c>
      <c r="H40" s="59">
        <f t="shared" si="11"/>
        <v>0</v>
      </c>
      <c r="I40" s="59">
        <f t="shared" si="11"/>
        <v>0</v>
      </c>
      <c r="J40" s="326" t="e">
        <f t="shared" si="11"/>
        <v>#DIV/0!</v>
      </c>
      <c r="K40" s="301">
        <f t="shared" si="11"/>
        <v>0.84000000000000008</v>
      </c>
      <c r="L40" s="279">
        <f>AVERAGE(L101:L105)</f>
        <v>0</v>
      </c>
      <c r="M40" s="119" t="e">
        <f t="shared" si="1"/>
        <v>#DIV/0!</v>
      </c>
    </row>
    <row r="41" spans="2:21" ht="23.1" customHeight="1">
      <c r="B41" s="25" t="s">
        <v>343</v>
      </c>
      <c r="C41" s="157" t="s">
        <v>351</v>
      </c>
      <c r="D41" s="56">
        <f t="shared" ref="D41:K41" si="12">AVERAGE(D107:D112)</f>
        <v>5</v>
      </c>
      <c r="E41" s="57">
        <f t="shared" si="12"/>
        <v>0</v>
      </c>
      <c r="F41" s="58">
        <f t="shared" si="12"/>
        <v>0</v>
      </c>
      <c r="G41" s="59">
        <f t="shared" si="12"/>
        <v>0</v>
      </c>
      <c r="H41" s="59">
        <f t="shared" si="12"/>
        <v>0</v>
      </c>
      <c r="I41" s="279">
        <v>1.1599999999999999</v>
      </c>
      <c r="J41" s="326">
        <f>AVERAGE(J107:J112)</f>
        <v>0</v>
      </c>
      <c r="K41" s="301">
        <f t="shared" si="12"/>
        <v>0</v>
      </c>
      <c r="L41" s="279">
        <f>AVERAGE(L102:L106)</f>
        <v>0</v>
      </c>
      <c r="M41" s="119">
        <f t="shared" si="1"/>
        <v>0</v>
      </c>
    </row>
    <row r="42" spans="2:21" ht="41.1" customHeight="1" thickBot="1">
      <c r="B42" s="37" t="s">
        <v>344</v>
      </c>
      <c r="C42" s="159" t="s">
        <v>352</v>
      </c>
      <c r="D42" s="60">
        <f t="shared" ref="D42:L42" si="13">AVERAGE(D114:D120)</f>
        <v>4.8214285714285712</v>
      </c>
      <c r="E42" s="61">
        <f t="shared" si="13"/>
        <v>0</v>
      </c>
      <c r="F42" s="62">
        <f t="shared" si="13"/>
        <v>0</v>
      </c>
      <c r="G42" s="63">
        <f t="shared" si="13"/>
        <v>0</v>
      </c>
      <c r="H42" s="63">
        <f t="shared" si="13"/>
        <v>0</v>
      </c>
      <c r="I42" s="63">
        <f t="shared" si="13"/>
        <v>0</v>
      </c>
      <c r="J42" s="327">
        <f t="shared" si="13"/>
        <v>0</v>
      </c>
      <c r="K42" s="302">
        <f t="shared" si="13"/>
        <v>0</v>
      </c>
      <c r="L42" s="280">
        <f t="shared" si="13"/>
        <v>0</v>
      </c>
      <c r="M42" s="119">
        <f t="shared" si="1"/>
        <v>0</v>
      </c>
    </row>
    <row r="43" spans="2:21" ht="15.75" customHeight="1">
      <c r="B43" s="35"/>
      <c r="D43" s="69"/>
      <c r="E43" s="69"/>
      <c r="F43" s="69"/>
      <c r="H43" s="69"/>
      <c r="I43" s="69"/>
      <c r="J43" s="78"/>
      <c r="K43" s="69"/>
      <c r="L43" s="281"/>
    </row>
    <row r="44" spans="2:21" ht="26.1" customHeight="1">
      <c r="B44" s="35"/>
      <c r="D44" s="69"/>
      <c r="E44" s="69"/>
      <c r="F44" s="69"/>
      <c r="H44" s="69"/>
      <c r="I44" s="69"/>
      <c r="J44" s="78"/>
      <c r="K44" s="69"/>
      <c r="L44" s="281"/>
      <c r="M44" s="230" t="s">
        <v>444</v>
      </c>
      <c r="N44" s="245"/>
      <c r="O44" s="431"/>
      <c r="P44" s="180" t="s">
        <v>588</v>
      </c>
      <c r="Q44" s="44" t="s">
        <v>589</v>
      </c>
      <c r="R44" s="44"/>
      <c r="S44" s="44" t="s">
        <v>590</v>
      </c>
      <c r="T44" s="180"/>
      <c r="U44" s="44" t="s">
        <v>591</v>
      </c>
    </row>
    <row r="45" spans="2:21" ht="15.6" collapsed="1">
      <c r="B45" s="439" t="s">
        <v>187</v>
      </c>
      <c r="C45" s="75" t="s">
        <v>188</v>
      </c>
      <c r="D45" s="71"/>
      <c r="E45" s="71"/>
      <c r="F45" s="71"/>
      <c r="G45" s="432"/>
      <c r="H45" s="71"/>
      <c r="I45" s="282"/>
      <c r="J45" s="180"/>
      <c r="K45" s="71"/>
      <c r="L45" s="282"/>
      <c r="M45" s="432"/>
      <c r="N45" s="247"/>
      <c r="O45" s="246"/>
      <c r="P45" s="180">
        <f>VLOOKUP(B45,Приоритет!$G$9:$K$52,5,0)</f>
        <v>1</v>
      </c>
      <c r="Q45" s="369" t="str">
        <f>B45</f>
        <v>Защита от ВПО</v>
      </c>
      <c r="R45" s="180">
        <f>P45+200</f>
        <v>201</v>
      </c>
      <c r="S45" s="369" t="str">
        <f>B45</f>
        <v>Защита от ВПО</v>
      </c>
      <c r="T45" s="180">
        <f>R45+100</f>
        <v>301</v>
      </c>
      <c r="U45" s="369" t="str">
        <f>B45</f>
        <v>Защита от ВПО</v>
      </c>
    </row>
    <row r="46" spans="2:21" ht="24" hidden="1" customHeight="1" outlineLevel="1">
      <c r="B46" s="46" t="s">
        <v>272</v>
      </c>
      <c r="C46" s="66" t="s">
        <v>189</v>
      </c>
      <c r="D46" s="39">
        <v>5</v>
      </c>
      <c r="E46" s="40">
        <v>5</v>
      </c>
      <c r="F46" s="41">
        <v>5</v>
      </c>
      <c r="G46" s="433"/>
      <c r="H46" s="433"/>
      <c r="I46" s="288"/>
      <c r="J46" s="325"/>
      <c r="K46" s="537">
        <v>5</v>
      </c>
      <c r="L46" s="347">
        <f>N46/(100%)*5</f>
        <v>0</v>
      </c>
      <c r="M46" s="230">
        <f t="shared" ref="M46:M116" si="14">L46-K46</f>
        <v>-5</v>
      </c>
      <c r="N46" s="391">
        <v>0</v>
      </c>
      <c r="O46" s="78"/>
      <c r="P46" s="434">
        <f>P45+0.01</f>
        <v>1.01</v>
      </c>
      <c r="Q46" s="252" t="str">
        <f>IF(($L46-$F46)&gt;=0,""," - Закупить средства АВЗ в объеме, достаточном для охвата инфраструктуры Общества")</f>
        <v xml:space="preserve"> - Закупить средства АВЗ в объеме, достаточном для охвата инфраструктуры Общества</v>
      </c>
      <c r="R46" s="434">
        <f t="shared" ref="R46:R53" si="15">R45+0.01</f>
        <v>201.01</v>
      </c>
      <c r="S46" s="252" t="str">
        <f>IF(($L46-$E46)&gt;=0,"","")</f>
        <v/>
      </c>
      <c r="T46" s="434">
        <f t="shared" ref="T46:T53" si="16">T45+0.01</f>
        <v>301.01</v>
      </c>
      <c r="U46" s="252" t="str">
        <f>IF(($L46-$D46)&gt;=0,"","")</f>
        <v/>
      </c>
    </row>
    <row r="47" spans="2:21" ht="27.6" hidden="1" outlineLevel="1">
      <c r="B47" s="46" t="s">
        <v>524</v>
      </c>
      <c r="C47" s="66" t="s">
        <v>190</v>
      </c>
      <c r="D47" s="39">
        <v>4.75</v>
      </c>
      <c r="E47" s="40">
        <v>4.5</v>
      </c>
      <c r="F47" s="41">
        <v>3.75</v>
      </c>
      <c r="G47" s="433"/>
      <c r="H47" s="433"/>
      <c r="I47" s="288"/>
      <c r="J47" s="325"/>
      <c r="K47" s="537">
        <v>3.75</v>
      </c>
      <c r="L47" s="347">
        <f>N47/(100%)*5</f>
        <v>0</v>
      </c>
      <c r="M47" s="230">
        <f t="shared" si="14"/>
        <v>-3.75</v>
      </c>
      <c r="N47" s="391">
        <v>0</v>
      </c>
      <c r="O47" s="78"/>
      <c r="P47" s="434">
        <f t="shared" ref="P47:P53" si="17">P46+0.01</f>
        <v>1.02</v>
      </c>
      <c r="Q47" s="252" t="str">
        <f>IF(($L47-$F47)&gt;=0,"","- Обеспечить установку средств АВЗ не менее чем на 75% хостов инфраструктуры Общества")</f>
        <v>- Обеспечить установку средств АВЗ не менее чем на 75% хостов инфраструктуры Общества</v>
      </c>
      <c r="R47" s="434">
        <f t="shared" si="15"/>
        <v>201.01999999999998</v>
      </c>
      <c r="S47" s="252" t="str">
        <f>IF(($L47-$E47)&gt;=0,"","- Обеспечить установку средств АВЗ не менее чем на 90% хостов инфраструктуры Общества")</f>
        <v>- Обеспечить установку средств АВЗ не менее чем на 90% хостов инфраструктуры Общества</v>
      </c>
      <c r="T47" s="434">
        <f t="shared" si="16"/>
        <v>301.02</v>
      </c>
      <c r="U47" s="252" t="str">
        <f>IF(($L47-$D47)&gt;=0,"","- Обеспечить установку средств АВЗ не менее чем на 95% хостов инфраструктуры Общества")</f>
        <v>- Обеспечить установку средств АВЗ не менее чем на 95% хостов инфраструктуры Общества</v>
      </c>
    </row>
    <row r="48" spans="2:21" ht="55.2" hidden="1" outlineLevel="1">
      <c r="B48" s="46" t="s">
        <v>937</v>
      </c>
      <c r="C48" s="66" t="s">
        <v>191</v>
      </c>
      <c r="D48" s="39">
        <v>5</v>
      </c>
      <c r="E48" s="40">
        <v>5</v>
      </c>
      <c r="F48" s="41">
        <v>3.2</v>
      </c>
      <c r="G48" s="433"/>
      <c r="H48" s="433"/>
      <c r="I48" s="435"/>
      <c r="J48" s="325"/>
      <c r="K48" s="537">
        <v>3.2</v>
      </c>
      <c r="L48" s="435">
        <f t="shared" ref="L48:L53" si="18">VALUE(LEFT(N48,3))</f>
        <v>0</v>
      </c>
      <c r="M48" s="436">
        <f t="shared" si="14"/>
        <v>-3.2</v>
      </c>
      <c r="N48" s="390" t="s">
        <v>256</v>
      </c>
      <c r="O48" s="78"/>
      <c r="P48" s="434">
        <f t="shared" si="17"/>
        <v>1.03</v>
      </c>
      <c r="Q48" s="252" t="str">
        <f>IF(($L48-$F48)&gt;=0,"","- Создать систему централизованного управления средствами АВЗ и обеспечить подключение к ней основных элементов инфраструктуры")</f>
        <v>- Создать систему централизованного управления средствами АВЗ и обеспечить подключение к ней основных элементов инфраструктуры</v>
      </c>
      <c r="R48" s="434">
        <f t="shared" si="15"/>
        <v>201.02999999999997</v>
      </c>
      <c r="S48" s="252" t="str">
        <f>IF(($L48-$E48)&gt;=0,"","- Обеспечить подключение к системе централизованного управления средствами АВЗ всех элементов инфраструктуры")</f>
        <v>- Обеспечить подключение к системе централизованного управления средствами АВЗ всех элементов инфраструктуры</v>
      </c>
      <c r="T48" s="434">
        <f t="shared" si="16"/>
        <v>301.02999999999997</v>
      </c>
      <c r="U48" s="252" t="str">
        <f>IF(($L48-$D48)&gt;=0,"","")</f>
        <v/>
      </c>
    </row>
    <row r="49" spans="2:21" ht="92.1" hidden="1" customHeight="1" outlineLevel="1">
      <c r="B49" s="46" t="s">
        <v>938</v>
      </c>
      <c r="C49" s="66" t="s">
        <v>192</v>
      </c>
      <c r="D49" s="39">
        <v>5</v>
      </c>
      <c r="E49" s="40">
        <v>5</v>
      </c>
      <c r="F49" s="41">
        <v>5</v>
      </c>
      <c r="G49" s="433"/>
      <c r="H49" s="433"/>
      <c r="I49" s="435"/>
      <c r="J49" s="325"/>
      <c r="K49" s="537">
        <v>5</v>
      </c>
      <c r="L49" s="435">
        <f t="shared" si="18"/>
        <v>0</v>
      </c>
      <c r="M49" s="436">
        <f t="shared" si="14"/>
        <v>-5</v>
      </c>
      <c r="N49" s="318" t="s">
        <v>256</v>
      </c>
      <c r="O49" s="78"/>
      <c r="P49" s="434">
        <f t="shared" si="17"/>
        <v>1.04</v>
      </c>
      <c r="Q49" s="252" t="str">
        <f>IF(($L49-$F49)&gt;=0,"",
"- Получить в Блоке ИБ ПАО Ростелеком конфигурационные решения (КР) по настройке средств АВЗ"&amp;CHAR(10)&amp;CHAR(13)&amp;
"- Применить настройки средств АВЗ для рабочих станций" &amp;CHAR(10)&amp;CHAR(13)&amp; "- Применить настройки средств АВЗ для серверов"&amp;CHAR(10)&amp;CHAR(13)&amp;
"- Применить настройки средств АВЗ для серверов СУБД" &amp;CHAR(10)&amp;CHAR(13)&amp;
"- Применить настройки средств АВЗ для платформ виртуализации"&amp;CHAR(10)&amp;CHAR(13)&amp;
"- Применить настройки средств АВЗ для прокси-серверов"&amp;CHAR(10)&amp;CHAR(13)&amp;
"- Применить настройки средств АВЗ для почтовых серверов"
)</f>
        <v>- Получить в Блоке ИБ ПАО Ростелеком конфигурационные решения (КР) по настройке средств АВЗ
_x000D_- Применить настройки средств АВЗ для рабочих станций
_x000D_- Применить настройки средств АВЗ для серверов
_x000D_- Применить настройки средств АВЗ для серверов СУБД
_x000D_- Применить настройки средств АВЗ для платформ виртуализации
_x000D_- Применить настройки средств АВЗ для прокси-серверов
_x000D_- Применить настройки средств АВЗ для почтовых серверов</v>
      </c>
      <c r="R49" s="434">
        <f t="shared" si="15"/>
        <v>201.03999999999996</v>
      </c>
      <c r="S49" s="252" t="str">
        <f>IF(($L49-$E49)&gt;=0,"",
"")</f>
        <v/>
      </c>
      <c r="T49" s="434">
        <f t="shared" si="16"/>
        <v>301.03999999999996</v>
      </c>
      <c r="U49" s="252">
        <f>IF(($L49-$D49)&gt;=0,"",
)</f>
        <v>0</v>
      </c>
    </row>
    <row r="50" spans="2:21" ht="69" hidden="1" outlineLevel="1">
      <c r="B50" s="46" t="s">
        <v>443</v>
      </c>
      <c r="C50" s="66" t="s">
        <v>269</v>
      </c>
      <c r="D50" s="39">
        <v>5</v>
      </c>
      <c r="E50" s="40">
        <v>5</v>
      </c>
      <c r="F50" s="41">
        <v>5</v>
      </c>
      <c r="G50" s="433"/>
      <c r="H50" s="433"/>
      <c r="I50" s="435"/>
      <c r="J50" s="325"/>
      <c r="K50" s="537">
        <v>5</v>
      </c>
      <c r="L50" s="435">
        <f t="shared" si="18"/>
        <v>0</v>
      </c>
      <c r="M50" s="436">
        <f t="shared" si="14"/>
        <v>-5</v>
      </c>
      <c r="N50" s="237" t="s">
        <v>256</v>
      </c>
      <c r="O50" s="78"/>
      <c r="P50" s="434">
        <f t="shared" si="17"/>
        <v>1.05</v>
      </c>
      <c r="Q50" s="252" t="str">
        <f>IF(($L50-$F50)&gt;=0,"",
"- Получить в Блоке ИБ ПАО Ростелеком конфигурационные решения (КР) по архитектуре средств АВЗ"&amp;CHAR(10)&amp;CHAR(13)&amp;
"- Организовать средства централизованного управления АВЗ в соответствии с КР"
)</f>
        <v>- Получить в Блоке ИБ ПАО Ростелеком конфигурационные решения (КР) по архитектуре средств АВЗ
_x000D_- Организовать средства централизованного управления АВЗ в соответствии с КР</v>
      </c>
      <c r="R50" s="434">
        <f t="shared" si="15"/>
        <v>201.04999999999995</v>
      </c>
      <c r="S50" s="252" t="str">
        <f>IF(($L50-$E50)&gt;=0,"","")</f>
        <v/>
      </c>
      <c r="T50" s="434">
        <f t="shared" si="16"/>
        <v>301.04999999999995</v>
      </c>
      <c r="U50" s="252" t="str">
        <f>IF(($L50-$D50)&gt;=0,"","")</f>
        <v/>
      </c>
    </row>
    <row r="51" spans="2:21" ht="124.2" hidden="1" outlineLevel="1">
      <c r="B51" s="46" t="s">
        <v>939</v>
      </c>
      <c r="C51" s="66" t="s">
        <v>270</v>
      </c>
      <c r="D51" s="39">
        <v>4</v>
      </c>
      <c r="E51" s="40">
        <v>3</v>
      </c>
      <c r="F51" s="41">
        <v>2</v>
      </c>
      <c r="G51" s="433"/>
      <c r="H51" s="433"/>
      <c r="I51" s="435"/>
      <c r="J51" s="325"/>
      <c r="K51" s="537">
        <v>2</v>
      </c>
      <c r="L51" s="435">
        <f t="shared" si="18"/>
        <v>0</v>
      </c>
      <c r="M51" s="230">
        <f t="shared" si="14"/>
        <v>-2</v>
      </c>
      <c r="N51" s="237" t="s">
        <v>245</v>
      </c>
      <c r="O51" s="78"/>
      <c r="P51" s="434">
        <f t="shared" si="17"/>
        <v>1.06</v>
      </c>
      <c r="Q51" s="252" t="str">
        <f>IF(($L51-$F51)&gt;=0,"",
"- Разработать или Получить в Блоке ИБ ПАО Ростелеком типовое описание процесса контроля рабоспособности средств АВЗ"&amp;CHAR(10)&amp;CHAR(13)&amp;
"- Утвердить в Обществе ВНД, описывающий процесс контроля рабоспособности средств АВЗ"
)</f>
        <v>- Разработать или Получить в Блоке ИБ ПАО Ростелеком типовое описание процесса контроля рабоспособности средств АВЗ
_x000D_- Утвердить в Обществе ВНД, описывающий процесс контроля рабоспособности средств АВЗ</v>
      </c>
      <c r="R51" s="434">
        <f t="shared" si="15"/>
        <v>201.05999999999995</v>
      </c>
      <c r="S51" s="252" t="str">
        <f>IF(($L51-$E51)&gt;=0,"",
"- Реализовать в Обществе процесс контроля рабоспособности средств АВЗ")</f>
        <v>- Реализовать в Обществе процесс контроля рабоспособности средств АВЗ</v>
      </c>
      <c r="T51" s="434">
        <f t="shared" si="16"/>
        <v>301.05999999999995</v>
      </c>
      <c r="U51" s="252" t="str">
        <f>IF(($L51-$D51)&gt;=0,"",
"- Разработать систему метрик для процесса контроля рабоспособности средств АВЗ"&amp;CHAR(10)&amp;CHAR(13)&amp;
"- Создать средство визуального мониторинга параметров процесса контроля работоспособности средств АВЗ "&amp;CHAR(10)&amp;CHAR(13)&amp;
"- Реализовать мониторинг параметров процесса контроля работоспособности средств АВЗ"&amp;CHAR(10)&amp;CHAR(13)&amp;
"- Реализовать реагирование на факты отклонения параметров процесса контроля работоспособности средств АВЗ от определенных показателей"
)</f>
        <v>- Разработать систему метрик для процесса контроля рабоспособности средств АВЗ
_x000D_- Создать средство визуального мониторинга параметров процесса контроля работоспособности средств АВЗ 
_x000D_- Реализовать мониторинг параметров процесса контроля работоспособности средств АВЗ
_x000D_- Реализовать реагирование на факты отклонения параметров процесса контроля работоспособности средств АВЗ от определенных показателей</v>
      </c>
    </row>
    <row r="52" spans="2:21" ht="110.4" hidden="1" outlineLevel="1">
      <c r="B52" s="46" t="s">
        <v>277</v>
      </c>
      <c r="C52" s="66" t="s">
        <v>271</v>
      </c>
      <c r="D52" s="39">
        <v>4</v>
      </c>
      <c r="E52" s="40">
        <v>3</v>
      </c>
      <c r="F52" s="41">
        <v>2</v>
      </c>
      <c r="G52" s="433"/>
      <c r="H52" s="433"/>
      <c r="I52" s="435"/>
      <c r="J52" s="325"/>
      <c r="K52" s="537">
        <v>2</v>
      </c>
      <c r="L52" s="435">
        <f t="shared" si="18"/>
        <v>0</v>
      </c>
      <c r="M52" s="230">
        <f t="shared" si="14"/>
        <v>-2</v>
      </c>
      <c r="N52" s="237" t="s">
        <v>245</v>
      </c>
      <c r="O52" s="78"/>
      <c r="P52" s="434">
        <f t="shared" si="17"/>
        <v>1.07</v>
      </c>
      <c r="Q52" s="252" t="str">
        <f>IF(($L52-$F52)&gt;=0,"",
"- Разработать или Получить в Блоке ИБ ПАО Ростелеком типовое описание процесса обновления средств АВЗ"&amp;CHAR(10)&amp;CHAR(13)&amp;
"- Утвердить в Обществе ВНД, описывающий процесс обновления средств АВЗ"
)</f>
        <v>- Разработать или Получить в Блоке ИБ ПАО Ростелеком типовое описание процесса обновления средств АВЗ
_x000D_- Утвердить в Обществе ВНД, описывающий процесс обновления средств АВЗ</v>
      </c>
      <c r="R52" s="434">
        <f t="shared" si="15"/>
        <v>201.06999999999994</v>
      </c>
      <c r="S52" s="252" t="str">
        <f>IF(($L52-$E52)&gt;=0,"",
"- Реализовать в Обществе процесс обновления средств АВЗ")</f>
        <v>- Реализовать в Обществе процесс обновления средств АВЗ</v>
      </c>
      <c r="T52" s="434">
        <f t="shared" si="16"/>
        <v>301.06999999999994</v>
      </c>
      <c r="U52" s="252" t="str">
        <f>IF(($L52-$D52)&gt;=0,"",
"- Разработать систему метрик для процесса обновления средств АВЗ"&amp;CHAR(10)&amp;CHAR(13)&amp;
"- Создать средство визуального мониторинга параметров процесса обновления средств АВЗ "&amp;CHAR(10)&amp;CHAR(13)&amp;
"- Реализовать мониторинг параметров процесса обновления средств АВЗ"&amp;CHAR(10)&amp;CHAR(13)&amp;
"- Реализовать реагирование на факты отклонения параметров процесса обновления средств АВЗ от определенных показателей"
)</f>
        <v>- Разработать систему метрик для процесса обновления средств АВЗ
_x000D_- Создать средство визуального мониторинга параметров процесса обновления средств АВЗ 
_x000D_- Реализовать мониторинг параметров процесса обновления средств АВЗ
_x000D_- Реализовать реагирование на факты отклонения параметров процесса обновления средств АВЗ от определенных показателей</v>
      </c>
    </row>
    <row r="53" spans="2:21" ht="124.2" hidden="1" outlineLevel="1">
      <c r="B53" s="46" t="s">
        <v>278</v>
      </c>
      <c r="C53" s="66" t="s">
        <v>442</v>
      </c>
      <c r="D53" s="39">
        <v>4</v>
      </c>
      <c r="E53" s="40">
        <v>3</v>
      </c>
      <c r="F53" s="41">
        <v>2</v>
      </c>
      <c r="G53" s="433"/>
      <c r="H53" s="433"/>
      <c r="I53" s="435"/>
      <c r="J53" s="325"/>
      <c r="K53" s="537">
        <v>2</v>
      </c>
      <c r="L53" s="435">
        <f t="shared" si="18"/>
        <v>0</v>
      </c>
      <c r="M53" s="230">
        <f t="shared" si="14"/>
        <v>-2</v>
      </c>
      <c r="N53" s="237" t="s">
        <v>245</v>
      </c>
      <c r="O53" s="78"/>
      <c r="P53" s="434">
        <f t="shared" si="17"/>
        <v>1.08</v>
      </c>
      <c r="Q53" s="252" t="str">
        <f>IF(($L53-$F53)&gt;=0,"","- Разработать или Получить в Блоке ИБ ПАО Ростелеком типовое описание процесса реагирования на события средств АВЗ"&amp;CHAR(10)&amp;CHAR(13)&amp;
"- Утвердить в Обществе ВНД, описывающий процесс реагирования на события средств АВЗ"
)</f>
        <v>- Разработать или Получить в Блоке ИБ ПАО Ростелеком типовое описание процесса реагирования на события средств АВЗ
_x000D_- Утвердить в Обществе ВНД, описывающий процесс реагирования на события средств АВЗ</v>
      </c>
      <c r="R53" s="434">
        <f t="shared" si="15"/>
        <v>201.07999999999993</v>
      </c>
      <c r="S53" s="252" t="str">
        <f>IF(($L53-$E53)&gt;=0,"",
"- Реализовать в Обществе процесс реагирования на события  средств АВЗ")</f>
        <v>- Реализовать в Обществе процесс реагирования на события  средств АВЗ</v>
      </c>
      <c r="T53" s="434">
        <f t="shared" si="16"/>
        <v>301.07999999999993</v>
      </c>
      <c r="U53" s="252" t="str">
        <f>IF(($L53-$D53)&gt;=0,"",
"- Разработать систему метрик для процесса реагирования на события  средств АВЗ"&amp;CHAR(10)&amp;CHAR(13)&amp;
"- Создать средство визуального мониторинга параметров процесса реагирования на события  средств АВЗ "&amp;CHAR(10)&amp;CHAR(13)&amp;
"- Реализовать мониторинг параметров процесса реагирования на события  средств АВЗ"&amp;CHAR(10)&amp;CHAR(13)&amp;
"- Реализовать реагирование на факты отклонения параметров процесса реагирования на события средств АВЗ от определенных показателей"
)</f>
        <v>- Разработать систему метрик для процесса реагирования на события  средств АВЗ
_x000D_- Создать средство визуального мониторинга параметров процесса реагирования на события  средств АВЗ 
_x000D_- Реализовать мониторинг параметров процесса реагирования на события  средств АВЗ
_x000D_- Реализовать реагирование на факты отклонения параметров процесса реагирования на события средств АВЗ от определенных показателей</v>
      </c>
    </row>
    <row r="54" spans="2:21" ht="27.6" collapsed="1">
      <c r="B54" s="70" t="s">
        <v>332</v>
      </c>
      <c r="C54" s="75" t="s">
        <v>288</v>
      </c>
      <c r="D54" s="71"/>
      <c r="E54" s="71"/>
      <c r="F54" s="71"/>
      <c r="G54" s="432"/>
      <c r="H54" s="71"/>
      <c r="I54" s="282"/>
      <c r="J54" s="180"/>
      <c r="K54" s="71"/>
      <c r="L54" s="282"/>
      <c r="M54" s="432"/>
      <c r="N54" s="247"/>
      <c r="O54" s="246"/>
      <c r="P54" s="180">
        <f>VLOOKUP(B54,Приоритет!$G$9:$K$52,5,0)</f>
        <v>2</v>
      </c>
      <c r="Q54" s="251" t="str">
        <f>B54</f>
        <v>Двухфакторная аутентификация пользователей (2FA)</v>
      </c>
      <c r="R54" s="180">
        <f t="shared" ref="R54:R113" si="19">P54+200</f>
        <v>202</v>
      </c>
      <c r="S54" s="251" t="str">
        <f>B54</f>
        <v>Двухфакторная аутентификация пользователей (2FA)</v>
      </c>
      <c r="T54" s="180">
        <f t="shared" ref="T54:T113" si="20">R54+100</f>
        <v>302</v>
      </c>
      <c r="U54" s="251" t="str">
        <f>B54</f>
        <v>Двухфакторная аутентификация пользователей (2FA)</v>
      </c>
    </row>
    <row r="55" spans="2:21" ht="41.4" hidden="1" outlineLevel="1">
      <c r="B55" s="46" t="s">
        <v>364</v>
      </c>
      <c r="C55" s="66" t="s">
        <v>353</v>
      </c>
      <c r="D55" s="39">
        <v>5</v>
      </c>
      <c r="E55" s="40">
        <v>5</v>
      </c>
      <c r="F55" s="41">
        <v>3.2</v>
      </c>
      <c r="G55" s="433"/>
      <c r="H55" s="433"/>
      <c r="I55" s="435"/>
      <c r="J55" s="325"/>
      <c r="K55" s="537">
        <v>3.2</v>
      </c>
      <c r="L55" s="435">
        <f>VALUE(LEFT(N55,3))</f>
        <v>0</v>
      </c>
      <c r="M55" s="230">
        <f t="shared" si="14"/>
        <v>-3.2</v>
      </c>
      <c r="N55" s="104" t="s">
        <v>256</v>
      </c>
      <c r="P55" s="434">
        <f>P54+0.01</f>
        <v>2.0099999999999998</v>
      </c>
      <c r="Q55" s="258" t="str">
        <f>IF(($L55-$F55)&gt;=0,"",
" - Выбрать и протестировать OTP решения; 
  - Выполнить проектирование; 
  - Провести закупку и внедрение.")</f>
        <v xml:space="preserve"> - Выбрать и протестировать OTP решения; 
  - Выполнить проектирование; 
  - Провести закупку и внедрение.</v>
      </c>
      <c r="R55" s="434">
        <f t="shared" si="19"/>
        <v>202.01</v>
      </c>
      <c r="S55" s="259" t="str">
        <f>IF(($L55-$E55)&gt;=0,""," - Автоматизировать процесс выдачи и отзыва средств OTP")</f>
        <v xml:space="preserve"> - Автоматизировать процесс выдачи и отзыва средств OTP</v>
      </c>
      <c r="T55" s="434">
        <f t="shared" si="20"/>
        <v>302.01</v>
      </c>
      <c r="U55" s="258">
        <f>IF(($L55-$D55)&gt;=0,"",)</f>
        <v>0</v>
      </c>
    </row>
    <row r="56" spans="2:21" ht="27.6" hidden="1" outlineLevel="1">
      <c r="B56" s="46" t="s">
        <v>885</v>
      </c>
      <c r="C56" s="66" t="s">
        <v>354</v>
      </c>
      <c r="D56" s="39">
        <v>5</v>
      </c>
      <c r="E56" s="40">
        <v>5</v>
      </c>
      <c r="F56" s="41">
        <v>5</v>
      </c>
      <c r="G56" s="433"/>
      <c r="H56" s="433"/>
      <c r="I56" s="435"/>
      <c r="J56" s="325"/>
      <c r="K56" s="537">
        <v>5</v>
      </c>
      <c r="L56" s="435">
        <f>VALUE(LEFT(N56,3))</f>
        <v>0</v>
      </c>
      <c r="M56" s="230">
        <f t="shared" si="14"/>
        <v>-5</v>
      </c>
      <c r="N56" s="104" t="s">
        <v>256</v>
      </c>
      <c r="P56" s="434">
        <f>P55+0.01</f>
        <v>2.0199999999999996</v>
      </c>
      <c r="Q56" s="259" t="str">
        <f>IF(($L56-$F56)&gt;=0,""," - Внедрить OTP для системы удаленного доступа")</f>
        <v xml:space="preserve"> - Внедрить OTP для системы удаленного доступа</v>
      </c>
      <c r="R56" s="434">
        <f t="shared" si="19"/>
        <v>202.02</v>
      </c>
      <c r="S56" s="259" t="str">
        <f>IF(($L56-$E56)&gt;=0,"","")</f>
        <v/>
      </c>
      <c r="T56" s="434">
        <f t="shared" si="20"/>
        <v>302.02</v>
      </c>
      <c r="U56" s="258">
        <f>IF(($L56-$D56)&gt;=0,"",)</f>
        <v>0</v>
      </c>
    </row>
    <row r="57" spans="2:21" ht="41.4" hidden="1" outlineLevel="1">
      <c r="B57" s="46" t="s">
        <v>886</v>
      </c>
      <c r="C57" s="66" t="s">
        <v>355</v>
      </c>
      <c r="D57" s="39">
        <v>5</v>
      </c>
      <c r="E57" s="40">
        <v>5</v>
      </c>
      <c r="F57" s="41">
        <v>3.2</v>
      </c>
      <c r="G57" s="433"/>
      <c r="H57" s="433"/>
      <c r="I57" s="435"/>
      <c r="J57" s="325"/>
      <c r="K57" s="537">
        <v>3.2</v>
      </c>
      <c r="L57" s="435">
        <f>VALUE(LEFT(N57,3))</f>
        <v>0</v>
      </c>
      <c r="M57" s="230">
        <f t="shared" si="14"/>
        <v>-3.2</v>
      </c>
      <c r="N57" s="104" t="s">
        <v>256</v>
      </c>
      <c r="P57" s="434">
        <f>P56+0.01</f>
        <v>2.0299999999999994</v>
      </c>
      <c r="Q57" s="260" t="str">
        <f>IF(($L57-$F57)&gt;=0,""," - Внедрить OTP для подрядчиков, выполняющих администрирование ИС Общества")</f>
        <v xml:space="preserve"> - Внедрить OTP для подрядчиков, выполняющих администрирование ИС Общества</v>
      </c>
      <c r="R57" s="434">
        <f t="shared" si="19"/>
        <v>202.03</v>
      </c>
      <c r="S57" s="260" t="str">
        <f>IF(($L57-$E57)&gt;=0,""," - Внедрить OTP для всех подрядчиков, имеющих доступ в инфраструктуру Общества.")</f>
        <v xml:space="preserve"> - Внедрить OTP для всех подрядчиков, имеющих доступ в инфраструктуру Общества.</v>
      </c>
      <c r="T57" s="434">
        <f t="shared" si="20"/>
        <v>302.02999999999997</v>
      </c>
      <c r="U57" s="258">
        <f>IF(($L57-$D57)&gt;=0,"",)</f>
        <v>0</v>
      </c>
    </row>
    <row r="58" spans="2:21" ht="28.2" hidden="1" outlineLevel="1">
      <c r="B58" s="256" t="s">
        <v>363</v>
      </c>
      <c r="C58" s="66" t="s">
        <v>356</v>
      </c>
      <c r="D58" s="39">
        <v>5</v>
      </c>
      <c r="E58" s="40">
        <v>5</v>
      </c>
      <c r="F58" s="41">
        <v>3.2</v>
      </c>
      <c r="G58" s="433"/>
      <c r="H58" s="433"/>
      <c r="I58" s="435"/>
      <c r="J58" s="325"/>
      <c r="K58" s="537">
        <v>3.2</v>
      </c>
      <c r="L58" s="435">
        <f>VALUE(LEFT(N58,3))</f>
        <v>0</v>
      </c>
      <c r="M58" s="230">
        <f t="shared" si="14"/>
        <v>-3.2</v>
      </c>
      <c r="N58" s="237" t="s">
        <v>256</v>
      </c>
      <c r="P58" s="434">
        <f>P57+0.01</f>
        <v>2.0399999999999991</v>
      </c>
      <c r="Q58" s="259" t="str">
        <f>IF(($L58-$F58)&gt;=0,""," - Внедрить OTP для административного доступа к серверам ИС")</f>
        <v xml:space="preserve"> - Внедрить OTP для административного доступа к серверам ИС</v>
      </c>
      <c r="R58" s="434">
        <f t="shared" si="19"/>
        <v>202.04</v>
      </c>
      <c r="S58" s="260" t="str">
        <f>IF(($L58-$E58)&gt;=0,""," - Внедрить OTP для административного доступа к сетевому оборудованию.")</f>
        <v xml:space="preserve"> - Внедрить OTP для административного доступа к сетевому оборудованию.</v>
      </c>
      <c r="T58" s="434">
        <f t="shared" si="20"/>
        <v>302.03999999999996</v>
      </c>
      <c r="U58" s="258" t="str">
        <f>IF(($L58-$D58)&gt;=0,"","")</f>
        <v/>
      </c>
    </row>
    <row r="59" spans="2:21" ht="27.6" collapsed="1">
      <c r="B59" s="70" t="s">
        <v>333</v>
      </c>
      <c r="C59" s="75" t="s">
        <v>331</v>
      </c>
      <c r="D59" s="71"/>
      <c r="E59" s="71"/>
      <c r="F59" s="71"/>
      <c r="G59" s="432"/>
      <c r="H59" s="71"/>
      <c r="I59" s="282"/>
      <c r="J59" s="180"/>
      <c r="K59" s="71"/>
      <c r="L59" s="282"/>
      <c r="M59" s="432"/>
      <c r="N59" s="247"/>
      <c r="O59" s="246"/>
      <c r="P59" s="180">
        <f>VLOOKUP(B59,Приоритет!$G$9:$K$52,5,0)</f>
        <v>3</v>
      </c>
      <c r="Q59" s="251" t="str">
        <f>B59</f>
        <v>Защита внешнего инфраструктурного периметра (CPT)</v>
      </c>
      <c r="R59" s="180">
        <f t="shared" si="19"/>
        <v>203</v>
      </c>
      <c r="S59" s="251" t="str">
        <f>B59</f>
        <v>Защита внешнего инфраструктурного периметра (CPT)</v>
      </c>
      <c r="T59" s="180">
        <f t="shared" si="20"/>
        <v>303</v>
      </c>
      <c r="U59" s="251" t="str">
        <f>B59</f>
        <v>Защита внешнего инфраструктурного периметра (CPT)</v>
      </c>
    </row>
    <row r="60" spans="2:21" ht="41.4" hidden="1" outlineLevel="1">
      <c r="B60" s="46" t="s">
        <v>366</v>
      </c>
      <c r="C60" s="66" t="s">
        <v>357</v>
      </c>
      <c r="D60" s="39">
        <v>5</v>
      </c>
      <c r="E60" s="40">
        <v>5</v>
      </c>
      <c r="F60" s="41">
        <v>5</v>
      </c>
      <c r="G60" s="433"/>
      <c r="H60" s="433"/>
      <c r="I60" s="288"/>
      <c r="J60" s="325"/>
      <c r="K60" s="537">
        <v>5</v>
      </c>
      <c r="L60" s="347">
        <f>N60/(100%)*5</f>
        <v>0</v>
      </c>
      <c r="M60" s="230">
        <f t="shared" si="14"/>
        <v>-5</v>
      </c>
      <c r="N60" s="105">
        <v>0</v>
      </c>
      <c r="P60" s="434">
        <f>P59+0.01</f>
        <v>3.01</v>
      </c>
      <c r="Q60" s="260" t="str">
        <f>IF(($L60-$F60)&gt;=0,""," - Приобрести средства CPT в достаточном объеме для контроля всех активов, опубликованных на периметре")</f>
        <v xml:space="preserve"> - Приобрести средства CPT в достаточном объеме для контроля всех активов, опубликованных на периметре</v>
      </c>
      <c r="R60" s="434">
        <f t="shared" si="19"/>
        <v>203.01</v>
      </c>
      <c r="S60" s="259" t="str">
        <f>IF(($L60-$E60)&gt;=0,"","")</f>
        <v/>
      </c>
      <c r="T60" s="434">
        <f t="shared" si="20"/>
        <v>303.01</v>
      </c>
      <c r="U60" s="259" t="str">
        <f>IF(($L60-$D60)&gt;=0,"","")</f>
        <v/>
      </c>
    </row>
    <row r="61" spans="2:21" ht="27.6" hidden="1" outlineLevel="1">
      <c r="B61" s="46" t="s">
        <v>365</v>
      </c>
      <c r="C61" s="66" t="s">
        <v>358</v>
      </c>
      <c r="D61" s="39">
        <v>4.75</v>
      </c>
      <c r="E61" s="40">
        <v>4.5</v>
      </c>
      <c r="F61" s="41">
        <v>3.75</v>
      </c>
      <c r="G61" s="433"/>
      <c r="H61" s="433"/>
      <c r="I61" s="288"/>
      <c r="J61" s="325"/>
      <c r="K61" s="537">
        <v>3.75</v>
      </c>
      <c r="L61" s="347">
        <f>N61/(100%)*5</f>
        <v>0</v>
      </c>
      <c r="M61" s="230">
        <f t="shared" si="14"/>
        <v>-3.75</v>
      </c>
      <c r="N61" s="389">
        <v>0</v>
      </c>
      <c r="P61" s="434">
        <f>P60+0.01</f>
        <v>3.0199999999999996</v>
      </c>
      <c r="Q61" s="260" t="str">
        <f>IF(($L61-$F61)&gt;=0,""," - Поставить периметр на контроль CPT, всего активов не менее: 75%")</f>
        <v xml:space="preserve"> - Поставить периметр на контроль CPT, всего активов не менее: 75%</v>
      </c>
      <c r="R61" s="434">
        <f t="shared" si="19"/>
        <v>203.02</v>
      </c>
      <c r="S61" s="259" t="str">
        <f>IF(($L61-$E61)&gt;=0,""," - Поставить периметр на контроль CPT, всего активов не менее: 90%")</f>
        <v xml:space="preserve"> - Поставить периметр на контроль CPT, всего активов не менее: 90%</v>
      </c>
      <c r="T61" s="434">
        <f t="shared" si="20"/>
        <v>303.02</v>
      </c>
      <c r="U61" s="259" t="str">
        <f>IF(($L61-$D61)&gt;=0,""," - Поставить периметр на контроль CPT, всего активов не менее: 95%")</f>
        <v xml:space="preserve"> - Поставить периметр на контроль CPT, всего активов не менее: 95%</v>
      </c>
    </row>
    <row r="62" spans="2:21" ht="82.8" hidden="1" outlineLevel="1">
      <c r="B62" s="46" t="s">
        <v>940</v>
      </c>
      <c r="C62" s="66" t="s">
        <v>359</v>
      </c>
      <c r="D62" s="39">
        <v>4</v>
      </c>
      <c r="E62" s="40">
        <v>3</v>
      </c>
      <c r="F62" s="41">
        <v>1</v>
      </c>
      <c r="G62" s="433"/>
      <c r="H62" s="433"/>
      <c r="I62" s="435"/>
      <c r="J62" s="325"/>
      <c r="K62" s="537">
        <v>1</v>
      </c>
      <c r="L62" s="435">
        <f>VALUE(LEFT(N62,3))</f>
        <v>0</v>
      </c>
      <c r="M62" s="230">
        <f t="shared" si="14"/>
        <v>-1</v>
      </c>
      <c r="N62" s="237" t="s">
        <v>245</v>
      </c>
      <c r="P62" s="434">
        <f>P61+0.01</f>
        <v>3.0299999999999994</v>
      </c>
      <c r="Q62" s="260" t="str">
        <f>IF(($L62-$F62)&gt;=0,""," - Разработать или Получить в Блоке ИБ ПАО Ростелеком типовое описание процесса контроля уязвимостей")</f>
        <v xml:space="preserve"> - Разработать или Получить в Блоке ИБ ПАО Ростелеком типовое описание процесса контроля уязвимостей</v>
      </c>
      <c r="R62" s="434">
        <f t="shared" si="19"/>
        <v>203.03</v>
      </c>
      <c r="S62" s="259" t="str">
        <f>IF(($L62-$E62)&gt;=0,""," - Реализовать в Обществе процесс управления уязвимостями на периметре. 
 - Автоматизировать процесс управления выявленными уязвимостями (учет, информирование, контроль устранения).")</f>
        <v xml:space="preserve"> - Реализовать в Обществе процесс управления уязвимостями на периметре. 
 - Автоматизировать процесс управления выявленными уязвимостями (учет, информирование, контроль устранения).</v>
      </c>
      <c r="T62" s="434">
        <f t="shared" si="20"/>
        <v>303.02999999999997</v>
      </c>
      <c r="U62" s="259" t="str">
        <f>IF(($L62-$D62)&gt;=0,""," - Разработать систему метрик для процесса CPT;
 - Создать средство визуального мониторинга параметров процесса CPT;"&amp;"
 - Реализовать мониторинг параметров процесса CPT;
 - Реализовать реагирование на факты отклонения параметров процесса CPT")</f>
        <v xml:space="preserve"> - Разработать систему метрик для процесса CPT;
 - Создать средство визуального мониторинга параметров процесса CPT;
 - Реализовать мониторинг параметров процесса CPT;
 - Реализовать реагирование на факты отклонения параметров процесса CPT</v>
      </c>
    </row>
    <row r="63" spans="2:21" ht="14.4">
      <c r="B63" s="70" t="s">
        <v>334</v>
      </c>
      <c r="C63" s="75" t="s">
        <v>361</v>
      </c>
      <c r="D63" s="71"/>
      <c r="E63" s="71"/>
      <c r="F63" s="71"/>
      <c r="G63" s="432"/>
      <c r="H63" s="71"/>
      <c r="I63" s="282"/>
      <c r="J63" s="180"/>
      <c r="K63" s="71"/>
      <c r="L63" s="282"/>
      <c r="M63" s="432"/>
      <c r="N63" s="247"/>
      <c r="O63" s="246"/>
      <c r="P63" s="180">
        <f>VLOOKUP(B63,Приоритет!$G$9:$K$52,5,0)</f>
        <v>4</v>
      </c>
      <c r="Q63" s="251" t="str">
        <f>B63</f>
        <v>Защита удаленного доступа (RA VPN)</v>
      </c>
      <c r="R63" s="180">
        <f t="shared" si="19"/>
        <v>204</v>
      </c>
      <c r="S63" s="251" t="str">
        <f>B63</f>
        <v>Защита удаленного доступа (RA VPN)</v>
      </c>
      <c r="T63" s="180">
        <f t="shared" si="20"/>
        <v>304</v>
      </c>
      <c r="U63" s="251" t="str">
        <f>B63</f>
        <v>Защита удаленного доступа (RA VPN)</v>
      </c>
    </row>
    <row r="64" spans="2:21" ht="14.4" outlineLevel="1">
      <c r="B64" s="46" t="s">
        <v>846</v>
      </c>
      <c r="C64" s="66" t="s">
        <v>362</v>
      </c>
      <c r="D64" s="39">
        <v>5</v>
      </c>
      <c r="E64" s="40">
        <v>5</v>
      </c>
      <c r="F64" s="41">
        <v>5</v>
      </c>
      <c r="G64" s="433"/>
      <c r="H64" s="433"/>
      <c r="I64" s="435"/>
      <c r="J64" s="325"/>
      <c r="K64" s="537">
        <v>5</v>
      </c>
      <c r="L64" s="435">
        <f>VALUE(LEFT(N64,3))</f>
        <v>0</v>
      </c>
      <c r="M64" s="230">
        <f t="shared" si="14"/>
        <v>-5</v>
      </c>
      <c r="N64" s="237" t="s">
        <v>283</v>
      </c>
      <c r="P64" s="434">
        <f>P63+0.01</f>
        <v>4.01</v>
      </c>
      <c r="Q64" s="259" t="str">
        <f>IF(($L64-$F64)&gt;=0,""," - Выбрать и протестировать решения RA VPN;
 - Выполнить проектирование;
 - Провести закупку и внедрение.")</f>
        <v xml:space="preserve"> - Выбрать и протестировать решения RA VPN;
 - Выполнить проектирование;
 - Провести закупку и внедрение.</v>
      </c>
      <c r="R64" s="434">
        <f t="shared" si="19"/>
        <v>204.01</v>
      </c>
      <c r="S64" s="259" t="str">
        <f>IF(($L64-$E64)&gt;=0,"","")</f>
        <v/>
      </c>
      <c r="T64" s="434">
        <f t="shared" si="20"/>
        <v>304.01</v>
      </c>
      <c r="U64" s="259">
        <f>IF(($L64-$D64)&gt;=0,"",)</f>
        <v>0</v>
      </c>
    </row>
    <row r="65" spans="2:21" ht="96.6" outlineLevel="1">
      <c r="B65" s="46" t="s">
        <v>370</v>
      </c>
      <c r="C65" s="66" t="s">
        <v>367</v>
      </c>
      <c r="D65" s="39">
        <v>5</v>
      </c>
      <c r="E65" s="40">
        <v>3.2</v>
      </c>
      <c r="F65" s="41">
        <v>3.2</v>
      </c>
      <c r="G65" s="433"/>
      <c r="H65" s="433"/>
      <c r="I65" s="435"/>
      <c r="J65" s="325"/>
      <c r="K65" s="537">
        <v>3.2</v>
      </c>
      <c r="L65" s="435">
        <f>N65/(100%)*5</f>
        <v>0</v>
      </c>
      <c r="M65" s="230">
        <f t="shared" si="14"/>
        <v>-3.2</v>
      </c>
      <c r="N65" s="105">
        <v>0</v>
      </c>
      <c r="P65" s="434">
        <f>P64+0.01</f>
        <v>4.0199999999999996</v>
      </c>
      <c r="Q65" s="259" t="str">
        <f>IF(($L65-$F65)&gt;=0,""," - Обеспечить возможность удаленного подключения к инфраструктуре Общества только с использованием RA VPN;
 - VPN должны требовать двухфакторной аутентификации.")</f>
        <v xml:space="preserve"> - Обеспечить возможность удаленного подключения к инфраструктуре Общества только с использованием RA VPN;
 - VPN должны требовать двухфакторной аутентификации.</v>
      </c>
      <c r="R65" s="434">
        <f t="shared" si="19"/>
        <v>204.02</v>
      </c>
      <c r="S65" s="259" t="str">
        <f>IF(($L65-$E65)&gt;=0,"","")</f>
        <v/>
      </c>
      <c r="T65" s="434">
        <f t="shared" si="20"/>
        <v>304.02</v>
      </c>
      <c r="U65" s="259" t="str">
        <f>IF(($L65-$D65)&gt;=0,""," - Контролировать и осуществлять мониторинг удаленных подключений;
 - Определить разрешения для удаленных подключений;
 - Определить требования по обеспечению  безопасности удаленных рабочих мест и обеспечить их выполнение;"&amp;"
 - Обеспечить обновление ПО и антивируса на удаленных устройствах.")</f>
        <v xml:space="preserve"> - Контролировать и осуществлять мониторинг удаленных подключений;
 - Определить разрешения для удаленных подключений;
 - Определить требования по обеспечению  безопасности удаленных рабочих мест и обеспечить их выполнение;
 - Обеспечить обновление ПО и антивируса на удаленных устройствах.</v>
      </c>
    </row>
    <row r="66" spans="2:21" ht="96.6" outlineLevel="1">
      <c r="B66" s="46" t="s">
        <v>943</v>
      </c>
      <c r="C66" s="66" t="s">
        <v>368</v>
      </c>
      <c r="D66" s="39">
        <v>5</v>
      </c>
      <c r="E66" s="40">
        <v>5</v>
      </c>
      <c r="F66" s="41">
        <v>3.2</v>
      </c>
      <c r="G66" s="433"/>
      <c r="H66" s="433"/>
      <c r="I66" s="435"/>
      <c r="J66" s="325"/>
      <c r="K66" s="537">
        <v>3.2</v>
      </c>
      <c r="L66" s="435">
        <f>VALUE(LEFT(N66,3))</f>
        <v>0</v>
      </c>
      <c r="M66" s="230">
        <f t="shared" si="14"/>
        <v>-3.2</v>
      </c>
      <c r="N66" s="104" t="s">
        <v>256</v>
      </c>
      <c r="P66" s="434">
        <f>P65+0.01</f>
        <v>4.0299999999999994</v>
      </c>
      <c r="Q66" s="259" t="str">
        <f>IF(($L66-$F66)&gt;=0,""," - Создать систему централизованного управления средствами VPN и обеспечить подключение к ней всех средств VPN")</f>
        <v xml:space="preserve"> - Создать систему централизованного управления средствами VPN и обеспечить подключение к ней всех средств VPN</v>
      </c>
      <c r="R66" s="434">
        <f t="shared" si="19"/>
        <v>204.03</v>
      </c>
      <c r="S66" s="259" t="str">
        <f>IF(($L66-$E66)&gt;=0,""," - Создать систему управления удаленными устройствами;
 - Обеспечить централизованное управление антивирусом, средствами защиты, ПО, политиками безопасности удаленных устройств;"&amp;"
 - Обеспечить возможность удаленного стирания конфиденциальных данных.")</f>
        <v xml:space="preserve"> - Создать систему управления удаленными устройствами;
 - Обеспечить централизованное управление антивирусом, средствами защиты, ПО, политиками безопасности удаленных устройств;
 - Обеспечить возможность удаленного стирания конфиденциальных данных.</v>
      </c>
      <c r="T66" s="434">
        <f t="shared" si="20"/>
        <v>304.02999999999997</v>
      </c>
      <c r="U66" s="259" t="str">
        <f>IF(($L66-$D66)&gt;=0,"","")</f>
        <v/>
      </c>
    </row>
    <row r="67" spans="2:21" ht="41.4" outlineLevel="1">
      <c r="B67" s="531" t="s">
        <v>941</v>
      </c>
      <c r="C67" s="66" t="s">
        <v>369</v>
      </c>
      <c r="D67" s="39">
        <v>5</v>
      </c>
      <c r="E67" s="40">
        <v>5</v>
      </c>
      <c r="F67" s="41">
        <v>5</v>
      </c>
      <c r="G67" s="433"/>
      <c r="H67" s="433"/>
      <c r="I67" s="435"/>
      <c r="J67" s="325"/>
      <c r="K67" s="537">
        <v>5</v>
      </c>
      <c r="L67" s="435">
        <f>VALUE(LEFT(N67,3))</f>
        <v>0</v>
      </c>
      <c r="M67" s="230">
        <f t="shared" si="14"/>
        <v>-5</v>
      </c>
      <c r="N67" s="237" t="s">
        <v>283</v>
      </c>
      <c r="O67" s="479"/>
      <c r="P67" s="434">
        <f>P66+0.01</f>
        <v>4.0399999999999991</v>
      </c>
      <c r="Q67" s="259" t="str">
        <f>IF(($L67-$F67)&gt;=0,""," - Если требования законодательства применимы, необходимо использовать только сертифицированные VPN")</f>
        <v xml:space="preserve"> - Если требования законодательства применимы, необходимо использовать только сертифицированные VPN</v>
      </c>
      <c r="R67" s="434">
        <f t="shared" si="19"/>
        <v>204.04</v>
      </c>
      <c r="S67" s="259" t="str">
        <f>IF(($L67-$E67)&gt;=0,"","")</f>
        <v/>
      </c>
      <c r="T67" s="434">
        <f t="shared" si="20"/>
        <v>304.03999999999996</v>
      </c>
      <c r="U67" s="259" t="str">
        <f>IF(($L67-$D67)&gt;=0,"","")</f>
        <v/>
      </c>
    </row>
    <row r="68" spans="2:21" ht="27.6">
      <c r="B68" s="70" t="s">
        <v>335</v>
      </c>
      <c r="C68" s="75" t="s">
        <v>97</v>
      </c>
      <c r="D68" s="71"/>
      <c r="E68" s="71"/>
      <c r="F68" s="71"/>
      <c r="G68" s="432"/>
      <c r="H68" s="71"/>
      <c r="I68" s="282"/>
      <c r="J68" s="180"/>
      <c r="K68" s="71"/>
      <c r="L68" s="282"/>
      <c r="M68" s="432"/>
      <c r="N68" s="247"/>
      <c r="O68" s="246"/>
      <c r="P68" s="180">
        <f>VLOOKUP(B68,Приоритет!$G$9:$K$52,5,0)</f>
        <v>5</v>
      </c>
      <c r="Q68" s="251" t="str">
        <f>B68</f>
        <v>Средства криптографической защиты информации (СКЗИ ГОСТ)</v>
      </c>
      <c r="R68" s="180">
        <f t="shared" si="19"/>
        <v>205</v>
      </c>
      <c r="S68" s="251" t="str">
        <f>B68</f>
        <v>Средства криптографической защиты информации (СКЗИ ГОСТ)</v>
      </c>
      <c r="T68" s="180">
        <f t="shared" si="20"/>
        <v>305</v>
      </c>
      <c r="U68" s="251" t="str">
        <f>B68</f>
        <v>Средства криптографической защиты информации (СКЗИ ГОСТ)</v>
      </c>
    </row>
    <row r="69" spans="2:21" ht="126" customHeight="1" outlineLevel="1">
      <c r="B69" s="256" t="s">
        <v>371</v>
      </c>
      <c r="C69" s="446" t="s">
        <v>372</v>
      </c>
      <c r="D69" s="39">
        <v>5</v>
      </c>
      <c r="E69" s="40">
        <v>5</v>
      </c>
      <c r="F69" s="41">
        <v>5</v>
      </c>
      <c r="G69" s="433"/>
      <c r="H69" s="433"/>
      <c r="I69" s="435"/>
      <c r="J69" s="325"/>
      <c r="K69" s="537">
        <v>5</v>
      </c>
      <c r="L69" s="435">
        <f>VALUE(LEFT(N69,3))</f>
        <v>5</v>
      </c>
      <c r="M69" s="230">
        <f t="shared" si="14"/>
        <v>0</v>
      </c>
      <c r="N69" s="237" t="s">
        <v>259</v>
      </c>
      <c r="P69" s="434">
        <f>P68+0.01</f>
        <v>5.01</v>
      </c>
      <c r="Q69" s="260" t="str">
        <f>IF(($L69-$F69)&gt;=0,""," - Инвентаризовать все каналы связи между площадками и ЦОДами;
 - Спроектировать систему защиты каналов связи;"&amp;"
 - Закупить необходимое количество СКЗИ;
 -  Реализовать систему защиты;"&amp;"
 -  Обеспечить управление системой защиты и ее бесперебойную работу. ")</f>
        <v/>
      </c>
      <c r="R69" s="434">
        <f t="shared" si="19"/>
        <v>205.01</v>
      </c>
      <c r="S69" s="259" t="str">
        <f>IF(($L69-$E69)&gt;=0,"","")</f>
        <v/>
      </c>
      <c r="T69" s="434">
        <f t="shared" si="20"/>
        <v>305.01</v>
      </c>
      <c r="U69" s="259" t="str">
        <f>IF(($L69-$D69)&gt;=0,"","")</f>
        <v/>
      </c>
    </row>
    <row r="70" spans="2:21" ht="31.5" customHeight="1" outlineLevel="1">
      <c r="B70" s="256" t="s">
        <v>942</v>
      </c>
      <c r="C70" s="446" t="s">
        <v>373</v>
      </c>
      <c r="D70" s="39">
        <v>5</v>
      </c>
      <c r="E70" s="40">
        <v>5</v>
      </c>
      <c r="F70" s="41">
        <v>3.2</v>
      </c>
      <c r="G70" s="433"/>
      <c r="H70" s="433"/>
      <c r="I70" s="435"/>
      <c r="J70" s="325"/>
      <c r="K70" s="537">
        <v>3.2</v>
      </c>
      <c r="L70" s="435">
        <f>VALUE(LEFT(N70,3))</f>
        <v>3.2</v>
      </c>
      <c r="M70" s="230">
        <f t="shared" si="14"/>
        <v>0</v>
      </c>
      <c r="N70" s="104" t="s">
        <v>258</v>
      </c>
      <c r="P70" s="434">
        <f>P69+0.01</f>
        <v>5.0199999999999996</v>
      </c>
      <c r="Q70" s="260" t="str">
        <f>IF(($L70-$F70)&gt;=0,""," - Создать систему централизованного управления СКЗИ и обеспечить подключение к ней основных элементов инфраструктуры")</f>
        <v/>
      </c>
      <c r="R70" s="434">
        <f t="shared" si="19"/>
        <v>205.02</v>
      </c>
      <c r="S70" s="260" t="str">
        <f>IF(($L70-$E70)&gt;=0,""," - Обеспечить подключение к централизованному управлению всех СКЗИ.")</f>
        <v xml:space="preserve"> - Обеспечить подключение к централизованному управлению всех СКЗИ.</v>
      </c>
      <c r="T70" s="434">
        <f t="shared" si="20"/>
        <v>305.02</v>
      </c>
      <c r="U70" s="259">
        <f>IF(($L70-$D70)&gt;=0,"",)</f>
        <v>0</v>
      </c>
    </row>
    <row r="71" spans="2:21" ht="96.6" customHeight="1" outlineLevel="1">
      <c r="B71" s="454" t="s">
        <v>375</v>
      </c>
      <c r="C71" s="497" t="s">
        <v>374</v>
      </c>
      <c r="D71" s="456">
        <f>'Нормативное соответствие'!D45</f>
        <v>5</v>
      </c>
      <c r="E71" s="456">
        <f>'Нормативное соответствие'!E45</f>
        <v>4.82</v>
      </c>
      <c r="F71" s="456">
        <f>'Нормативное соответствие'!F45</f>
        <v>4.66</v>
      </c>
      <c r="G71" s="459"/>
      <c r="H71" s="459"/>
      <c r="I71" s="460"/>
      <c r="J71" s="461"/>
      <c r="K71" s="456">
        <f>'Нормативное соответствие'!K45</f>
        <v>4.66</v>
      </c>
      <c r="L71" s="460">
        <f>'Нормативное соответствие'!L45</f>
        <v>0</v>
      </c>
      <c r="M71" s="101">
        <f t="shared" si="14"/>
        <v>-4.66</v>
      </c>
      <c r="N71" s="462"/>
      <c r="O71" s="458"/>
      <c r="P71" s="463">
        <f>P70+0.01</f>
        <v>5.0299999999999994</v>
      </c>
      <c r="Q71" s="464"/>
      <c r="R71" s="463">
        <f t="shared" si="19"/>
        <v>205.03</v>
      </c>
      <c r="S71" s="464"/>
      <c r="T71" s="463">
        <f t="shared" si="20"/>
        <v>305.02999999999997</v>
      </c>
      <c r="U71" s="465"/>
    </row>
    <row r="72" spans="2:21" ht="94.35" customHeight="1" outlineLevel="1">
      <c r="B72" s="440" t="s">
        <v>847</v>
      </c>
      <c r="C72" s="446" t="s">
        <v>726</v>
      </c>
      <c r="D72" s="39">
        <v>5</v>
      </c>
      <c r="E72" s="40">
        <v>5</v>
      </c>
      <c r="F72" s="41">
        <v>5</v>
      </c>
      <c r="G72" s="433"/>
      <c r="H72" s="433"/>
      <c r="I72" s="435"/>
      <c r="J72" s="325"/>
      <c r="K72" s="537">
        <v>5</v>
      </c>
      <c r="L72" s="435">
        <f>VALUE(LEFT(N72,3))</f>
        <v>0</v>
      </c>
      <c r="M72" s="230">
        <f t="shared" si="14"/>
        <v>-5</v>
      </c>
      <c r="N72" s="271" t="s">
        <v>283</v>
      </c>
      <c r="O72" s="479"/>
      <c r="P72" s="434">
        <f>P71+0.01</f>
        <v>5.0399999999999991</v>
      </c>
      <c r="Q72" s="261" t="str">
        <f>IF(($L72-$F72)&gt;=0,""," - Если требования законодательства применимы, необходимо использовать только сертифицированные СКЗИ")</f>
        <v xml:space="preserve"> - Если требования законодательства применимы, необходимо использовать только сертифицированные СКЗИ</v>
      </c>
      <c r="R72" s="434">
        <f t="shared" si="19"/>
        <v>205.04</v>
      </c>
      <c r="S72" s="258" t="str">
        <f>IF(($L72-$E72)&gt;=0,"","")</f>
        <v/>
      </c>
      <c r="T72" s="434">
        <f t="shared" si="20"/>
        <v>305.03999999999996</v>
      </c>
      <c r="U72" s="258" t="str">
        <f>IF(($L72-$D72)&gt;=0,"","")</f>
        <v/>
      </c>
    </row>
    <row r="73" spans="2:21" ht="28.2">
      <c r="B73" s="70" t="s">
        <v>336</v>
      </c>
      <c r="C73" s="75" t="s">
        <v>287</v>
      </c>
      <c r="D73" s="71"/>
      <c r="E73" s="71"/>
      <c r="F73" s="71"/>
      <c r="G73" s="432"/>
      <c r="H73" s="71"/>
      <c r="I73" s="282"/>
      <c r="J73" s="180"/>
      <c r="K73" s="71"/>
      <c r="L73" s="282"/>
      <c r="M73" s="432"/>
      <c r="N73" s="247"/>
      <c r="O73" s="246"/>
      <c r="P73" s="180">
        <f>VLOOKUP(B73,Приоритет!$G$9:$K$52,5,0)</f>
        <v>13</v>
      </c>
      <c r="Q73" s="251" t="s">
        <v>597</v>
      </c>
      <c r="R73" s="180">
        <f t="shared" si="19"/>
        <v>213</v>
      </c>
      <c r="S73" s="251" t="str">
        <f>B73</f>
        <v>Мониторинг, обнаружение, анализ и реагирование на инциденты в информационных системах (SOC)</v>
      </c>
      <c r="T73" s="180">
        <f t="shared" si="20"/>
        <v>313</v>
      </c>
      <c r="U73" s="251" t="str">
        <f>B73</f>
        <v>Мониторинг, обнаружение, анализ и реагирование на инциденты в информационных системах (SOC)</v>
      </c>
    </row>
    <row r="74" spans="2:21" ht="14.4" outlineLevel="1">
      <c r="B74" s="101" t="s">
        <v>18</v>
      </c>
      <c r="C74" s="233" t="s">
        <v>376</v>
      </c>
      <c r="D74" s="311">
        <f>AVERAGE(Мониторинг!D38:D40)</f>
        <v>4.6346153846153841</v>
      </c>
      <c r="E74" s="311">
        <f>AVERAGE(Мониторинг!E38:E40)</f>
        <v>3.7205128205128202</v>
      </c>
      <c r="F74" s="311">
        <f>AVERAGE(Мониторинг!F38:F40)</f>
        <v>4.1025641025641026E-2</v>
      </c>
      <c r="G74" s="311" t="e">
        <f>AVERAGE(Мониторинг!G38:G40)</f>
        <v>#DIV/0!</v>
      </c>
      <c r="H74" s="311" t="e">
        <f>AVERAGE(Мониторинг!H38:H40)</f>
        <v>#DIV/0!</v>
      </c>
      <c r="I74" s="311" t="e">
        <f>AVERAGE(Мониторинг!I38:I40)</f>
        <v>#DIV/0!</v>
      </c>
      <c r="J74" s="311" t="e">
        <f>AVERAGE(Мониторинг!J38:J40)</f>
        <v>#DIV/0!</v>
      </c>
      <c r="K74" s="311">
        <f>AVERAGE(Мониторинг!K38:K40)</f>
        <v>4.1025641025641026E-2</v>
      </c>
      <c r="L74" s="311">
        <f>AVERAGE(Мониторинг!L38:L40)</f>
        <v>0</v>
      </c>
      <c r="M74" s="230">
        <f>AVERAGE(Мониторинг!M38:M40)</f>
        <v>-4.1025641025641026E-2</v>
      </c>
      <c r="N74" s="311"/>
      <c r="O74" s="311">
        <f>AVERAGE(Мониторинг!L38:L40)</f>
        <v>0</v>
      </c>
      <c r="R74" s="253">
        <f t="shared" si="19"/>
        <v>200</v>
      </c>
      <c r="T74" s="253">
        <f t="shared" si="20"/>
        <v>300</v>
      </c>
    </row>
    <row r="75" spans="2:21" ht="14.4">
      <c r="B75" s="70" t="s">
        <v>848</v>
      </c>
      <c r="C75" s="75" t="s">
        <v>346</v>
      </c>
      <c r="D75" s="71"/>
      <c r="E75" s="71"/>
      <c r="F75" s="71"/>
      <c r="G75" s="432"/>
      <c r="H75" s="71"/>
      <c r="I75" s="282"/>
      <c r="J75" s="180"/>
      <c r="K75" s="71"/>
      <c r="L75" s="282"/>
      <c r="M75" s="432"/>
      <c r="N75" s="247"/>
      <c r="O75" s="246"/>
      <c r="P75" s="180">
        <f>VLOOKUP(B75,Приоритет!$G$9:$K$52,5,0)</f>
        <v>11</v>
      </c>
      <c r="Q75" s="251" t="str">
        <f>B75</f>
        <v>Сетевая безопасность (МСЭ/NGFW)</v>
      </c>
      <c r="R75" s="180">
        <f t="shared" si="19"/>
        <v>211</v>
      </c>
      <c r="S75" s="251" t="str">
        <f>B75</f>
        <v>Сетевая безопасность (МСЭ/NGFW)</v>
      </c>
      <c r="T75" s="180">
        <f t="shared" si="20"/>
        <v>311</v>
      </c>
      <c r="U75" s="251" t="str">
        <f>B75</f>
        <v>Сетевая безопасность (МСЭ/NGFW)</v>
      </c>
    </row>
    <row r="76" spans="2:21" ht="124.2" outlineLevel="1">
      <c r="B76" s="256" t="s">
        <v>387</v>
      </c>
      <c r="C76" s="446" t="s">
        <v>384</v>
      </c>
      <c r="D76" s="39">
        <v>5</v>
      </c>
      <c r="E76" s="40">
        <v>5</v>
      </c>
      <c r="F76" s="41">
        <v>0</v>
      </c>
      <c r="G76" s="433"/>
      <c r="H76" s="433"/>
      <c r="I76" s="435"/>
      <c r="J76" s="325"/>
      <c r="K76" s="537">
        <v>0</v>
      </c>
      <c r="L76" s="435">
        <f>VALUE(LEFT(N76,3))</f>
        <v>0</v>
      </c>
      <c r="M76" s="230">
        <f t="shared" si="14"/>
        <v>0</v>
      </c>
      <c r="N76" s="237" t="s">
        <v>256</v>
      </c>
      <c r="P76" s="434">
        <f>P75+0.01</f>
        <v>11.01</v>
      </c>
      <c r="Q76" s="258" t="str">
        <f>IF(($L76-$F76)&gt;=0,"",)</f>
        <v/>
      </c>
      <c r="R76" s="434">
        <f t="shared" si="19"/>
        <v>211.01</v>
      </c>
      <c r="S76" s="258" t="str">
        <f>IF(($L76-$E76)&gt;=0,""," - Провести инвентаризацию периметральных устройств и каналов связи;
 - Сократить до минимума точки взаимодействия с внешними сетями;
 - Организовать сегменты DMZ и разместить в них серверы, взаимодействующие с внешними сетями;"&amp;"
 -  Спроектировать систему защиты с использованием NGFW. Закупить и внедрить NGFW. ")</f>
        <v xml:space="preserve"> - Провести инвентаризацию периметральных устройств и каналов связи;
 - Сократить до минимума точки взаимодействия с внешними сетями;
 - Организовать сегменты DMZ и разместить в них серверы, взаимодействующие с внешними сетями;
 -  Спроектировать систему защиты с использованием NGFW. Закупить и внедрить NGFW. </v>
      </c>
      <c r="T76" s="434">
        <f t="shared" si="20"/>
        <v>311.01</v>
      </c>
      <c r="U76" s="258" t="str">
        <f>IF(($L76-$D76)&gt;=0,"","")</f>
        <v/>
      </c>
    </row>
    <row r="77" spans="2:21" ht="82.8" outlineLevel="1">
      <c r="B77" s="46" t="s">
        <v>849</v>
      </c>
      <c r="C77" s="446" t="s">
        <v>727</v>
      </c>
      <c r="D77" s="39">
        <v>5</v>
      </c>
      <c r="E77" s="40">
        <v>5</v>
      </c>
      <c r="F77" s="41">
        <v>0</v>
      </c>
      <c r="G77" s="433"/>
      <c r="H77" s="433"/>
      <c r="I77" s="435"/>
      <c r="J77" s="325"/>
      <c r="K77" s="537">
        <v>0</v>
      </c>
      <c r="L77" s="435">
        <f>VALUE(LEFT(N77,3))</f>
        <v>0</v>
      </c>
      <c r="M77" s="230">
        <f t="shared" si="14"/>
        <v>0</v>
      </c>
      <c r="N77" s="237" t="s">
        <v>256</v>
      </c>
      <c r="P77" s="434">
        <f>P76+0.01</f>
        <v>11.02</v>
      </c>
      <c r="Q77" s="258" t="str">
        <f>IF(($L77-$F77)&gt;=0,"",)</f>
        <v/>
      </c>
      <c r="R77" s="434">
        <f t="shared" si="19"/>
        <v>211.02</v>
      </c>
      <c r="S77" s="258" t="str">
        <f>IF(($L77-$E77)&gt;=0,""," - Определить уровни критичности и провести классификацию информационных активов;
 -  Организовать сетевые сегменты и разместить в них серверы с учетом уровня критичности;"&amp;"
 -  Реализовать разграничение доступа между сегментами с помощью межсетевых экранов.")</f>
        <v xml:space="preserve"> - Определить уровни критичности и провести классификацию информационных активов;
 -  Организовать сетевые сегменты и разместить в них серверы с учетом уровня критичности;
 -  Реализовать разграничение доступа между сегментами с помощью межсетевых экранов.</v>
      </c>
      <c r="T77" s="434">
        <f t="shared" si="20"/>
        <v>311.02</v>
      </c>
      <c r="U77" s="258" t="str">
        <f>IF(($L77-$D77)&gt;=0,"","")</f>
        <v/>
      </c>
    </row>
    <row r="78" spans="2:21" ht="55.2" outlineLevel="1">
      <c r="B78" s="46" t="s">
        <v>944</v>
      </c>
      <c r="C78" s="446" t="s">
        <v>385</v>
      </c>
      <c r="D78" s="39">
        <v>5</v>
      </c>
      <c r="E78" s="40">
        <v>3.2</v>
      </c>
      <c r="F78" s="41">
        <v>0</v>
      </c>
      <c r="G78" s="433"/>
      <c r="H78" s="433"/>
      <c r="I78" s="435"/>
      <c r="J78" s="325"/>
      <c r="K78" s="537">
        <v>0</v>
      </c>
      <c r="L78" s="435">
        <f>VALUE(LEFT(N78,3))</f>
        <v>0</v>
      </c>
      <c r="M78" s="230">
        <f t="shared" si="14"/>
        <v>0</v>
      </c>
      <c r="N78" s="237" t="s">
        <v>256</v>
      </c>
      <c r="P78" s="434">
        <f>P77+0.01</f>
        <v>11.03</v>
      </c>
      <c r="Q78" s="258" t="str">
        <f>IF(($L78-$F78)&gt;=0,"",)</f>
        <v/>
      </c>
      <c r="R78" s="434">
        <f t="shared" si="19"/>
        <v>211.03</v>
      </c>
      <c r="S78" s="258" t="str">
        <f>IF(($L78-$E78)&gt;=0,""," - Создать систему централизованного управления МСЭ, обеспечить подключение к ней основных МСЭ. ")</f>
        <v xml:space="preserve"> - Создать систему централизованного управления МСЭ, обеспечить подключение к ней основных МСЭ. </v>
      </c>
      <c r="T78" s="434">
        <f t="shared" si="20"/>
        <v>311.02999999999997</v>
      </c>
      <c r="U78" s="258" t="str">
        <f>IF(($L78-$D78)&gt;=0,""," - Подключить все МСЭ к системе централизованного управления. Реализовать процесс инвентаризации, контроля и аудита правил межсетевых экранов. Обеспечить актуальность правил МСЭ.")</f>
        <v xml:space="preserve"> - Подключить все МСЭ к системе централизованного управления. Реализовать процесс инвентаризации, контроля и аудита правил межсетевых экранов. Обеспечить актуальность правил МСЭ.</v>
      </c>
    </row>
    <row r="79" spans="2:21" ht="55.2" outlineLevel="1">
      <c r="B79" s="46" t="s">
        <v>286</v>
      </c>
      <c r="C79" s="446" t="s">
        <v>386</v>
      </c>
      <c r="D79" s="39">
        <v>5</v>
      </c>
      <c r="E79" s="40">
        <v>3.2</v>
      </c>
      <c r="F79" s="41">
        <v>0</v>
      </c>
      <c r="G79" s="433"/>
      <c r="H79" s="433"/>
      <c r="I79" s="435"/>
      <c r="J79" s="325"/>
      <c r="K79" s="537">
        <v>0</v>
      </c>
      <c r="L79" s="435">
        <f>VALUE(LEFT(N79,3))</f>
        <v>0</v>
      </c>
      <c r="M79" s="230">
        <f t="shared" si="14"/>
        <v>0</v>
      </c>
      <c r="N79" s="237" t="s">
        <v>256</v>
      </c>
      <c r="P79" s="434">
        <f>P78+0.01</f>
        <v>11.04</v>
      </c>
      <c r="Q79" s="258" t="str">
        <f>IF(($L79-$F79)&gt;=0,"",)</f>
        <v/>
      </c>
      <c r="R79" s="434">
        <f t="shared" si="19"/>
        <v>211.04</v>
      </c>
      <c r="S79" s="258" t="str">
        <f>IF(($L79-$E79)&gt;=0,""," - Получить в Блоке ИБ ПАО Ростелеком ТТР и реализовать рекомендуемые решения (в ограниченном объеме с учетом возможностей организации на уровне КБ2)")</f>
        <v xml:space="preserve"> - Получить в Блоке ИБ ПАО Ростелеком ТТР и реализовать рекомендуемые решения (в ограниченном объеме с учетом возможностей организации на уровне КБ2)</v>
      </c>
      <c r="T79" s="434">
        <f t="shared" si="20"/>
        <v>311.03999999999996</v>
      </c>
      <c r="U79" s="258" t="str">
        <f>IF(($L79-$D79)&gt;=0,""," - Получить от Блока ИБ ТТР и реализовать рекомендуемые решения (в полном объеме)")</f>
        <v xml:space="preserve"> - Получить от Блока ИБ ТТР и реализовать рекомендуемые решения (в полном объеме)</v>
      </c>
    </row>
    <row r="80" spans="2:21" ht="27.6">
      <c r="B80" s="70" t="s">
        <v>338</v>
      </c>
      <c r="C80" s="75" t="s">
        <v>388</v>
      </c>
      <c r="D80" s="71"/>
      <c r="E80" s="71"/>
      <c r="F80" s="71"/>
      <c r="G80" s="432"/>
      <c r="H80" s="71"/>
      <c r="I80" s="282"/>
      <c r="J80" s="180"/>
      <c r="K80" s="71"/>
      <c r="L80" s="282"/>
      <c r="M80" s="432"/>
      <c r="N80" s="247"/>
      <c r="O80" s="246"/>
      <c r="P80" s="180">
        <f>VLOOKUP(B80,Приоритет!$G$9:$K$52,5,0)</f>
        <v>12</v>
      </c>
      <c r="Q80" s="251" t="str">
        <f>B80</f>
        <v>Защита и фильтрация сетевого трафика (Прокси-сервер)</v>
      </c>
      <c r="R80" s="180">
        <f t="shared" si="19"/>
        <v>212</v>
      </c>
      <c r="S80" s="251" t="str">
        <f>B80</f>
        <v>Защита и фильтрация сетевого трафика (Прокси-сервер)</v>
      </c>
      <c r="T80" s="180">
        <f t="shared" si="20"/>
        <v>312</v>
      </c>
      <c r="U80" s="251" t="str">
        <f>B80</f>
        <v>Защита и фильтрация сетевого трафика (Прокси-сервер)</v>
      </c>
    </row>
    <row r="81" spans="2:21" ht="138" outlineLevel="1">
      <c r="B81" s="46" t="s">
        <v>396</v>
      </c>
      <c r="C81" s="66" t="s">
        <v>389</v>
      </c>
      <c r="D81" s="39">
        <v>5</v>
      </c>
      <c r="E81" s="40">
        <v>3.2</v>
      </c>
      <c r="F81" s="41">
        <v>0</v>
      </c>
      <c r="G81" s="438"/>
      <c r="H81" s="438"/>
      <c r="I81" s="435"/>
      <c r="J81" s="335"/>
      <c r="K81" s="537">
        <v>0</v>
      </c>
      <c r="L81" s="435">
        <f>VALUE(LEFT(N81,3))</f>
        <v>0</v>
      </c>
      <c r="M81" s="230">
        <f t="shared" si="14"/>
        <v>0</v>
      </c>
      <c r="N81" s="104" t="s">
        <v>256</v>
      </c>
      <c r="P81" s="434">
        <f>P80+0.01</f>
        <v>12.01</v>
      </c>
      <c r="Q81" s="258" t="str">
        <f>IF(($L81-$F81)&gt;=0,"",)</f>
        <v/>
      </c>
      <c r="R81" s="434">
        <f t="shared" si="19"/>
        <v>212.01</v>
      </c>
      <c r="S81" s="261" t="str">
        <f>IF(($L81-$E81)&gt;=0,""," - Организовать доступ в интернет через прокси-сервер;
 - Блокировать доступ в интернет в обход прокси-сервера для всех соединений, кроме согласованных исключений;"&amp;"
 - Разработать или Получить в Блоке ИБ ПАО Ростелеком типовое описание организации доступа в интернет;
 - Утвердить в Обществе ВНД, описывающий организацию доступа в интернет.")</f>
        <v xml:space="preserve"> - Организовать доступ в интернет через прокси-сервер;
 - Блокировать доступ в интернет в обход прокси-сервера для всех соединений, кроме согласованных исключений;
 - Разработать или Получить в Блоке ИБ ПАО Ростелеком типовое описание организации доступа в интернет;
 - Утвердить в Обществе ВНД, описывающий организацию доступа в интернет.</v>
      </c>
      <c r="T81" s="434">
        <f t="shared" si="20"/>
        <v>312.01</v>
      </c>
      <c r="U81" s="258" t="str">
        <f>IF(($L81-$D81)&gt;=0,""," - Обеспечить полное покрытие (все АРМ во всех подсетях должны взаимодействовать с интернетом через прокси) ")</f>
        <v xml:space="preserve"> - Обеспечить полное покрытие (все АРМ во всех подсетях должны взаимодействовать с интернетом через прокси) </v>
      </c>
    </row>
    <row r="82" spans="2:21" ht="41.4" outlineLevel="1">
      <c r="B82" s="46" t="s">
        <v>397</v>
      </c>
      <c r="C82" s="66" t="s">
        <v>390</v>
      </c>
      <c r="D82" s="39">
        <v>5</v>
      </c>
      <c r="E82" s="40">
        <v>3.2</v>
      </c>
      <c r="F82" s="41">
        <v>0</v>
      </c>
      <c r="G82" s="438"/>
      <c r="H82" s="438"/>
      <c r="I82" s="435"/>
      <c r="J82" s="335"/>
      <c r="K82" s="537">
        <v>0</v>
      </c>
      <c r="L82" s="435">
        <f>VALUE(LEFT(N82,3))</f>
        <v>0</v>
      </c>
      <c r="M82" s="230">
        <f t="shared" si="14"/>
        <v>0</v>
      </c>
      <c r="N82" s="104" t="s">
        <v>256</v>
      </c>
      <c r="P82" s="434">
        <f>P81+0.01</f>
        <v>12.02</v>
      </c>
      <c r="Q82" s="258" t="str">
        <f>IF(($L82-$F82)&gt;=0,"",)</f>
        <v/>
      </c>
      <c r="R82" s="434">
        <f t="shared" si="19"/>
        <v>212.02</v>
      </c>
      <c r="S82" s="258" t="str">
        <f>IF(($L82-$E82)&gt;=0,""," - Определить и реализовать политики разграничения доступа к ресурсам интернета.
 - Блокировать доступ к вредоносным сайтам.")</f>
        <v xml:space="preserve"> - Определить и реализовать политики разграничения доступа к ресурсам интернета.
 - Блокировать доступ к вредоносным сайтам.</v>
      </c>
      <c r="T82" s="434">
        <f t="shared" si="20"/>
        <v>312.02</v>
      </c>
      <c r="U82" s="258" t="str">
        <f>IF(($L82-$D82)&gt;=0,""," - Обеспечить обновление списков вредоносных сайтов")</f>
        <v xml:space="preserve"> - Обеспечить обновление списков вредоносных сайтов</v>
      </c>
    </row>
    <row r="83" spans="2:21" ht="82.8" outlineLevel="1">
      <c r="B83" s="46" t="s">
        <v>398</v>
      </c>
      <c r="C83" s="66" t="s">
        <v>391</v>
      </c>
      <c r="D83" s="39">
        <v>5</v>
      </c>
      <c r="E83" s="40">
        <v>2.5</v>
      </c>
      <c r="F83" s="41">
        <v>0</v>
      </c>
      <c r="G83" s="438"/>
      <c r="H83" s="438"/>
      <c r="I83" s="435"/>
      <c r="J83" s="335"/>
      <c r="K83" s="537">
        <v>0</v>
      </c>
      <c r="L83" s="435">
        <f>VALUE(LEFT(N83,3))</f>
        <v>0</v>
      </c>
      <c r="M83" s="230">
        <f t="shared" si="14"/>
        <v>0</v>
      </c>
      <c r="N83" s="104" t="s">
        <v>260</v>
      </c>
      <c r="P83" s="434">
        <f>P82+0.01</f>
        <v>12.03</v>
      </c>
      <c r="Q83" s="258" t="str">
        <f>IF(($L83-$F83)&gt;=0,"",)</f>
        <v/>
      </c>
      <c r="R83" s="434">
        <f t="shared" si="19"/>
        <v>212.03</v>
      </c>
      <c r="S83" s="258" t="str">
        <f>IF(($L83-$E83)&gt;=0,""," - Спроектировать, закупить и внедрить средства анализа трафика на наличие вредоносного содержимогож
 - Контролировать трафик и блокировать ВПО;"&amp;"
 - Реализовать интеграцию с AD, применять политики доступа в интернет на основе групп AD.")</f>
        <v xml:space="preserve"> - Спроектировать, закупить и внедрить средства анализа трафика на наличие вредоносного содержимогож
 - Контролировать трафик и блокировать ВПО;
 - Реализовать интеграцию с AD, применять политики доступа в интернет на основе групп AD.</v>
      </c>
      <c r="T83" s="434">
        <f t="shared" si="20"/>
        <v>312.02999999999997</v>
      </c>
      <c r="U83" s="258">
        <f>IF(($L83-$D83)&gt;=0,"",)</f>
        <v>0</v>
      </c>
    </row>
    <row r="84" spans="2:21" ht="55.2" outlineLevel="1">
      <c r="B84" s="46" t="s">
        <v>286</v>
      </c>
      <c r="C84" s="66" t="s">
        <v>392</v>
      </c>
      <c r="D84" s="39">
        <v>5</v>
      </c>
      <c r="E84" s="40">
        <v>3.2</v>
      </c>
      <c r="F84" s="41">
        <v>0</v>
      </c>
      <c r="G84" s="438"/>
      <c r="H84" s="438"/>
      <c r="I84" s="435"/>
      <c r="J84" s="335"/>
      <c r="K84" s="537">
        <v>0</v>
      </c>
      <c r="L84" s="435">
        <f>VALUE(LEFT(N84,3))</f>
        <v>0</v>
      </c>
      <c r="M84" s="230">
        <f t="shared" si="14"/>
        <v>0</v>
      </c>
      <c r="N84" s="104" t="s">
        <v>256</v>
      </c>
      <c r="P84" s="434">
        <f>P83+0.01</f>
        <v>12.04</v>
      </c>
      <c r="Q84" s="258" t="str">
        <f>IF(($L84-$F84)&gt;=0,"",)</f>
        <v/>
      </c>
      <c r="R84" s="434">
        <f t="shared" si="19"/>
        <v>212.04</v>
      </c>
      <c r="S84" s="258" t="str">
        <f>IF(($L84-$E84)&gt;=0,""," - Получить в Блоке ИБ ПАО Ростелеком ТТР и реализовать рекомендуемые решения (в ограниченном объеме с учетом возможностей организации на уровне КБ2)")</f>
        <v xml:space="preserve"> - Получить в Блоке ИБ ПАО Ростелеком ТТР и реализовать рекомендуемые решения (в ограниченном объеме с учетом возможностей организации на уровне КБ2)</v>
      </c>
      <c r="T84" s="434">
        <f t="shared" si="20"/>
        <v>312.03999999999996</v>
      </c>
      <c r="U84" s="258" t="str">
        <f>IF(($L84-$D84)&gt;=0,""," - Получить от Блока ИБ ТТР и реализовать рекомендуемые решения (в полном объеме)")</f>
        <v xml:space="preserve"> - Получить от Блока ИБ ТТР и реализовать рекомендуемые решения (в полном объеме)</v>
      </c>
    </row>
    <row r="85" spans="2:21" ht="14.4">
      <c r="B85" s="70" t="s">
        <v>339</v>
      </c>
      <c r="C85" s="75" t="s">
        <v>393</v>
      </c>
      <c r="D85" s="71"/>
      <c r="E85" s="71"/>
      <c r="F85" s="71"/>
      <c r="G85" s="432"/>
      <c r="H85" s="71"/>
      <c r="I85" s="282"/>
      <c r="J85" s="180"/>
      <c r="K85" s="71"/>
      <c r="L85" s="282"/>
      <c r="M85" s="432"/>
      <c r="N85" s="247"/>
      <c r="O85" s="246"/>
      <c r="P85" s="180">
        <f>VLOOKUP(B85,Приоритет!$G$9:$K$52,5,0)</f>
        <v>10</v>
      </c>
      <c r="Q85" s="369" t="str">
        <f>B85</f>
        <v>Сканер уязвимостей</v>
      </c>
      <c r="R85" s="180">
        <f t="shared" si="19"/>
        <v>210</v>
      </c>
      <c r="S85" s="369" t="str">
        <f>B85</f>
        <v>Сканер уязвимостей</v>
      </c>
      <c r="T85" s="180">
        <f t="shared" si="20"/>
        <v>310</v>
      </c>
      <c r="U85" s="369" t="str">
        <f>B85</f>
        <v>Сканер уязвимостей</v>
      </c>
    </row>
    <row r="86" spans="2:21" ht="55.2" outlineLevel="1">
      <c r="B86" s="256" t="s">
        <v>399</v>
      </c>
      <c r="C86" s="66" t="s">
        <v>754</v>
      </c>
      <c r="D86" s="39">
        <v>5</v>
      </c>
      <c r="E86" s="40">
        <v>5</v>
      </c>
      <c r="F86" s="41">
        <v>0</v>
      </c>
      <c r="G86" s="433"/>
      <c r="H86" s="433"/>
      <c r="I86" s="288"/>
      <c r="J86" s="325"/>
      <c r="K86" s="537">
        <v>0</v>
      </c>
      <c r="L86" s="288">
        <f>N86/(100%)*5</f>
        <v>0</v>
      </c>
      <c r="M86" s="230">
        <f t="shared" si="14"/>
        <v>0</v>
      </c>
      <c r="N86" s="391">
        <v>0</v>
      </c>
      <c r="P86" s="434">
        <f>P85+0.01</f>
        <v>10.01</v>
      </c>
      <c r="Q86" s="258" t="str">
        <f>IF(($L86-$F86)&gt;=0,"",)</f>
        <v/>
      </c>
      <c r="R86" s="434">
        <f t="shared" si="19"/>
        <v>210.01</v>
      </c>
      <c r="S86" s="258" t="str">
        <f>IF(($L86-$E86)&gt;=0,""," - Приобрести лицензии сканера уязвимостями в объеме, достаточном для полного покрытия всех видов активов + достаточный запас для текущего развития")</f>
        <v xml:space="preserve"> - Приобрести лицензии сканера уязвимостями в объеме, достаточном для полного покрытия всех видов активов + достаточный запас для текущего развития</v>
      </c>
      <c r="T86" s="434">
        <f t="shared" si="20"/>
        <v>310.01</v>
      </c>
      <c r="U86" s="258" t="str">
        <f>IF(($L86-$D86)&gt;=0,"","")</f>
        <v/>
      </c>
    </row>
    <row r="87" spans="2:21" ht="55.2" outlineLevel="1">
      <c r="B87" s="256" t="s">
        <v>365</v>
      </c>
      <c r="C87" s="66" t="s">
        <v>755</v>
      </c>
      <c r="D87" s="39">
        <v>5</v>
      </c>
      <c r="E87" s="40">
        <v>3.2</v>
      </c>
      <c r="F87" s="41">
        <v>0</v>
      </c>
      <c r="G87" s="433"/>
      <c r="H87" s="433"/>
      <c r="I87" s="288"/>
      <c r="J87" s="325"/>
      <c r="K87" s="537">
        <v>0</v>
      </c>
      <c r="L87" s="288">
        <f>N87/(100%)*5</f>
        <v>0</v>
      </c>
      <c r="M87" s="230">
        <f t="shared" si="14"/>
        <v>0</v>
      </c>
      <c r="N87" s="320">
        <v>0</v>
      </c>
      <c r="P87" s="434">
        <f>P86+0.01</f>
        <v>10.02</v>
      </c>
      <c r="Q87" s="258" t="str">
        <f>IF(($L87-$F87)&gt;=0,"",)</f>
        <v/>
      </c>
      <c r="R87" s="434">
        <f t="shared" si="19"/>
        <v>210.02</v>
      </c>
      <c r="S87" s="258" t="str">
        <f>IF(($L87-$E87)&gt;=0,""," - Внедрить сканеры уязвимостей;
 - Реализовать процесс регулярного сканирования не менее 64% активов всех видов (ОС, прикладные средства, сетевые устройства, АРМ)")</f>
        <v xml:space="preserve"> - Внедрить сканеры уязвимостей;
 - Реализовать процесс регулярного сканирования не менее 64% активов всех видов (ОС, прикладные средства, сетевые устройства, АРМ)</v>
      </c>
      <c r="T87" s="434">
        <f t="shared" si="20"/>
        <v>310.02</v>
      </c>
      <c r="U87" s="258" t="str">
        <f>IF(($L87-$D87)&gt;=0,""," - Реализовать процесс регулярного сканирования 100% активов.")</f>
        <v xml:space="preserve"> - Реализовать процесс регулярного сканирования 100% активов.</v>
      </c>
    </row>
    <row r="88" spans="2:21" ht="165.6" outlineLevel="1">
      <c r="B88" s="256" t="s">
        <v>945</v>
      </c>
      <c r="C88" s="66" t="s">
        <v>756</v>
      </c>
      <c r="D88" s="39">
        <v>4</v>
      </c>
      <c r="E88" s="40">
        <v>3</v>
      </c>
      <c r="F88" s="41">
        <v>0</v>
      </c>
      <c r="G88" s="435"/>
      <c r="H88" s="433"/>
      <c r="I88" s="435"/>
      <c r="J88" s="324"/>
      <c r="K88" s="537">
        <v>0</v>
      </c>
      <c r="L88" s="435">
        <f>VALUE(LEFT(N88,3))</f>
        <v>1</v>
      </c>
      <c r="M88" s="230">
        <f t="shared" si="14"/>
        <v>1</v>
      </c>
      <c r="N88" s="271" t="s">
        <v>273</v>
      </c>
      <c r="O88" s="446"/>
      <c r="P88" s="434">
        <f>P87+0.01</f>
        <v>10.029999999999999</v>
      </c>
      <c r="Q88" s="258" t="str">
        <f>IF(($L88-$F88)&gt;=0,"",)</f>
        <v/>
      </c>
      <c r="R88" s="434">
        <f t="shared" si="19"/>
        <v>210.03</v>
      </c>
      <c r="S88" s="258" t="str">
        <f>IF(($L88-$E88)&gt;=0,""," - Разработать или Получить в Блоке ИБ ПАО Ростелеком типовое описание процесса управления уязвимостями;
 -  Реализовать процесс управления уязвимостями;"&amp;" 
 - Обеспечить устранение или митигацию всех выявленных уязвимостей;
 - Обеспечить устранение уязвимостей критичного уровня в срок не более 3 рабочих дней при их обнаружении.")</f>
        <v xml:space="preserve"> - Разработать или Получить в Блоке ИБ ПАО Ростелеком типовое описание процесса управления уязвимостями;
 -  Реализовать процесс управления уязвимостями; 
 - Обеспечить устранение или митигацию всех выявленных уязвимостей;
 - Обеспечить устранение уязвимостей критичного уровня в срок не более 3 рабочих дней при их обнаружении.</v>
      </c>
      <c r="T88" s="434">
        <f t="shared" si="20"/>
        <v>310.02999999999997</v>
      </c>
      <c r="U88" s="258" t="str">
        <f>IF(($L88-$D88)&gt;=0,""," - Автоматизировать процесс управления уязвимостями. Обеспечить устранение уязвимостей критичного уровня в срок не более 24 часов, высокого уровня в срок не более 72 часов;"&amp;"
 - Разработать систему метрик для процесса управления уязвимостями;
 - Создать средство визуального мониторинга параметров процесса управления уязвимостями;
 - Реализовать мониторинг параметров процесса управления уязвимостями;"&amp;"
 - Реализовать реагирование на факты отклонения параметров процесса управления уязвимостями от определенных показателей.")</f>
        <v xml:space="preserve"> - Автоматизировать процесс управления уязвимостями. Обеспечить устранение уязвимостей критичного уровня в срок не более 24 часов, высокого уровня в срок не более 72 часов;
 - Разработать систему метрик для процесса управления уязвимостями;
 - Создать средство визуального мониторинга параметров процесса управления уязвимостями;
 - Реализовать мониторинг параметров процесса управления уязвимостями;
 - Реализовать реагирование на факты отклонения параметров процесса управления уязвимостями от определенных показателей.</v>
      </c>
    </row>
    <row r="89" spans="2:21" ht="14.4">
      <c r="B89" s="70" t="s">
        <v>340</v>
      </c>
      <c r="C89" s="75" t="s">
        <v>349</v>
      </c>
      <c r="D89" s="71"/>
      <c r="E89" s="71"/>
      <c r="F89" s="71"/>
      <c r="G89" s="432"/>
      <c r="H89" s="71"/>
      <c r="I89" s="282"/>
      <c r="J89" s="180"/>
      <c r="K89" s="71"/>
      <c r="L89" s="282"/>
      <c r="M89" s="432"/>
      <c r="N89" s="247"/>
      <c r="O89" s="246"/>
      <c r="P89" s="180">
        <f>VLOOKUP(B89,Приоритет!$G$9:$K$52,5,0)</f>
        <v>19</v>
      </c>
      <c r="Q89" s="251" t="str">
        <f>B89</f>
        <v>Защита от вредоносного трафика (Anti-DDoS)</v>
      </c>
      <c r="R89" s="180">
        <f t="shared" si="19"/>
        <v>219</v>
      </c>
      <c r="S89" s="251" t="str">
        <f>B89</f>
        <v>Защита от вредоносного трафика (Anti-DDoS)</v>
      </c>
      <c r="T89" s="180">
        <f t="shared" si="20"/>
        <v>319</v>
      </c>
      <c r="U89" s="251" t="str">
        <f>B89</f>
        <v>Защита от вредоносного трафика (Anti-DDoS)</v>
      </c>
    </row>
    <row r="90" spans="2:21" ht="41.4" outlineLevel="1">
      <c r="B90" s="46" t="s">
        <v>850</v>
      </c>
      <c r="C90" s="175" t="s">
        <v>494</v>
      </c>
      <c r="D90" s="39">
        <v>5</v>
      </c>
      <c r="E90" s="40">
        <v>5</v>
      </c>
      <c r="F90" s="41">
        <v>0</v>
      </c>
      <c r="G90" s="435"/>
      <c r="H90" s="42"/>
      <c r="I90" s="435"/>
      <c r="J90" s="324"/>
      <c r="K90" s="537">
        <v>0</v>
      </c>
      <c r="L90" s="435">
        <f>VALUE(LEFT(N90,3))</f>
        <v>0</v>
      </c>
      <c r="M90" s="230">
        <f t="shared" si="14"/>
        <v>0</v>
      </c>
      <c r="N90" s="35" t="s">
        <v>283</v>
      </c>
      <c r="P90" s="434">
        <f>P89+0.01</f>
        <v>19.010000000000002</v>
      </c>
      <c r="Q90" s="258" t="str">
        <f>IF(($L90-$F90)&gt;=0,"",)</f>
        <v/>
      </c>
      <c r="R90" s="434">
        <f t="shared" si="19"/>
        <v>219.01</v>
      </c>
      <c r="S90" s="261" t="str">
        <f>IF(($L90-$E90)&gt;=0,""," - Внедрить решение или подключить сервис по защите от DDoS для критичных ИА (или не менее 70 % всех ИА)")</f>
        <v xml:space="preserve"> - Внедрить решение или подключить сервис по защите от DDoS для критичных ИА (или не менее 70 % всех ИА)</v>
      </c>
      <c r="T90" s="434">
        <f t="shared" si="20"/>
        <v>319.01</v>
      </c>
      <c r="U90" s="261" t="str">
        <f>IF(($L90-$D90)&gt;=0,""," - Внедрить решение или подключить сервис по защите от DDoS для 100% ИА")</f>
        <v xml:space="preserve"> - Внедрить решение или подключить сервис по защите от DDoS для 100% ИА</v>
      </c>
    </row>
    <row r="91" spans="2:21" ht="41.4" outlineLevel="1">
      <c r="B91" s="46" t="s">
        <v>65</v>
      </c>
      <c r="C91" s="175" t="s">
        <v>495</v>
      </c>
      <c r="D91" s="39">
        <v>5</v>
      </c>
      <c r="E91" s="40">
        <v>3.2</v>
      </c>
      <c r="F91" s="41">
        <v>0</v>
      </c>
      <c r="G91" s="435"/>
      <c r="H91" s="42"/>
      <c r="I91" s="435"/>
      <c r="J91" s="324"/>
      <c r="K91" s="537">
        <v>0</v>
      </c>
      <c r="L91" s="435">
        <f>VALUE(LEFT(N91,3))</f>
        <v>0</v>
      </c>
      <c r="M91" s="230">
        <f>L91-K91</f>
        <v>0</v>
      </c>
      <c r="N91" s="35" t="s">
        <v>283</v>
      </c>
      <c r="P91" s="434">
        <f>P90+0.01</f>
        <v>19.020000000000003</v>
      </c>
      <c r="Q91" s="258" t="str">
        <f>IF(($L91-$F91)&gt;=0,"",)</f>
        <v/>
      </c>
      <c r="R91" s="434">
        <f t="shared" si="19"/>
        <v>219.02</v>
      </c>
      <c r="S91" s="258" t="str">
        <f>IF(($L91-$E91)&gt;=0,""," - Обеспечить своевременное реагирование на DDoS атаки, сократить време простоя сервисов до ___минут (не более).")</f>
        <v xml:space="preserve"> - Обеспечить своевременное реагирование на DDoS атаки, сократить време простоя сервисов до ___минут (не более).</v>
      </c>
      <c r="T91" s="434">
        <f t="shared" si="20"/>
        <v>319.02</v>
      </c>
      <c r="U91" s="258" t="str">
        <f>IF(($L91-$D91)&gt;=0,""," - Автоматизировать средства защиты от DDoS и обеспечить автоматическое блокирование атак.")</f>
        <v xml:space="preserve"> - Автоматизировать средства защиты от DDoS и обеспечить автоматическое блокирование атак.</v>
      </c>
    </row>
    <row r="92" spans="2:21" ht="27.6" outlineLevel="1">
      <c r="B92" s="101" t="s">
        <v>511</v>
      </c>
      <c r="C92" s="101" t="s">
        <v>506</v>
      </c>
      <c r="D92" s="315">
        <f>Реагирование!D62</f>
        <v>5</v>
      </c>
      <c r="E92" s="315">
        <f>Реагирование!E62</f>
        <v>5</v>
      </c>
      <c r="F92" s="315">
        <f>Реагирование!F62</f>
        <v>0</v>
      </c>
      <c r="G92" s="315"/>
      <c r="H92" s="315"/>
      <c r="I92" s="315"/>
      <c r="J92" s="315"/>
      <c r="K92" s="315">
        <f>Реагирование!K62</f>
        <v>0</v>
      </c>
      <c r="L92" s="315">
        <f>Реагирование!L62</f>
        <v>0</v>
      </c>
      <c r="M92" s="230">
        <f>Реагирование!M62</f>
        <v>0</v>
      </c>
      <c r="N92" s="315" t="str">
        <f>Реагирование!N62</f>
        <v>0   - Контроль не выполняется</v>
      </c>
      <c r="O92" s="315"/>
      <c r="P92" s="434">
        <f>P91+0.01</f>
        <v>19.030000000000005</v>
      </c>
      <c r="Q92" s="315" t="str">
        <f>Реагирование!Q62</f>
        <v/>
      </c>
      <c r="R92" s="434">
        <f t="shared" si="19"/>
        <v>219.03</v>
      </c>
      <c r="S92" s="315" t="str">
        <f>Реагирование!S62</f>
        <v xml:space="preserve"> - Разработать и простестировать плейбуки по реагированию на сработки Anti-DDoS.</v>
      </c>
      <c r="T92" s="434">
        <f t="shared" si="20"/>
        <v>319.02999999999997</v>
      </c>
      <c r="U92" s="315" t="str">
        <f>Реагирование!U62</f>
        <v/>
      </c>
    </row>
    <row r="93" spans="2:21" ht="96.6" outlineLevel="1">
      <c r="B93" s="46" t="s">
        <v>567</v>
      </c>
      <c r="C93" s="175" t="s">
        <v>581</v>
      </c>
      <c r="D93" s="39">
        <v>5</v>
      </c>
      <c r="E93" s="40">
        <v>3.6</v>
      </c>
      <c r="F93" s="41">
        <v>0</v>
      </c>
      <c r="G93" s="435"/>
      <c r="H93" s="42"/>
      <c r="I93" s="435"/>
      <c r="J93" s="324"/>
      <c r="K93" s="537">
        <v>0</v>
      </c>
      <c r="L93" s="435">
        <f>VALUE(LEFT(N93,3))</f>
        <v>0</v>
      </c>
      <c r="M93" s="230">
        <f t="shared" si="14"/>
        <v>0</v>
      </c>
      <c r="N93" s="35" t="s">
        <v>570</v>
      </c>
      <c r="P93" s="434">
        <f>P92+0.01</f>
        <v>19.040000000000006</v>
      </c>
      <c r="Q93" s="258" t="str">
        <f>IF(($L93-$F93)&gt;=0,"",)</f>
        <v/>
      </c>
      <c r="R93" s="434">
        <f t="shared" si="19"/>
        <v>219.04000000000002</v>
      </c>
      <c r="S93" s="258" t="str">
        <f>IF(($L93-$E93)&gt;=0,""," - Обеспечить своевременное подключение к системе защиты от DDoS новых защищаемых ресурсов. Обеспечить актуализацию параметров защиты по результатам обработки инцидентов.U")</f>
        <v xml:space="preserve"> - Обеспечить своевременное подключение к системе защиты от DDoS новых защищаемых ресурсов. Обеспечить актуализацию параметров защиты по результатам обработки инцидентов.U</v>
      </c>
      <c r="T93" s="434">
        <f t="shared" si="20"/>
        <v>319.04000000000002</v>
      </c>
      <c r="U93" s="258" t="str">
        <f>IF(($L93-$D93)&gt;=0,""," - Разработать систему метрик для процесса защиты от DDoS;
 - Создать средство визуального мониторинга параметров процесса защиты от DDoS;"&amp;"
 - Реализовать мониторинг параметров процесса защиты от DDoS;
 - Реализовать реагирование на факты отклонения параметров процесса защиты от DDoS от определенных показателей")</f>
        <v xml:space="preserve"> - Разработать систему метрик для процесса защиты от DDoS;
 - Создать средство визуального мониторинга параметров процесса защиты от DDoS;
 - Реализовать мониторинг параметров процесса защиты от DDoS;
 - Реализовать реагирование на факты отклонения параметров процесса защиты от DDoS от определенных показателей</v>
      </c>
    </row>
    <row r="94" spans="2:21" ht="27.6">
      <c r="B94" s="70" t="s">
        <v>341</v>
      </c>
      <c r="C94" s="75" t="s">
        <v>350</v>
      </c>
      <c r="D94" s="71"/>
      <c r="E94" s="71"/>
      <c r="F94" s="71"/>
      <c r="G94" s="432"/>
      <c r="H94" s="71"/>
      <c r="I94" s="282"/>
      <c r="J94" s="180"/>
      <c r="K94" s="71"/>
      <c r="L94" s="282"/>
      <c r="M94" s="432"/>
      <c r="N94" s="247"/>
      <c r="O94" s="246"/>
      <c r="P94" s="180">
        <f>VLOOKUP(B94,Приоритет!$G$9:$K$52,5,0)</f>
        <v>18</v>
      </c>
      <c r="Q94" s="251" t="str">
        <f>B94</f>
        <v>Фильтрация нежелательных и вредоносных сообщений (Антиспам)</v>
      </c>
      <c r="R94" s="180">
        <f t="shared" si="19"/>
        <v>218</v>
      </c>
      <c r="S94" s="251" t="str">
        <f>B94</f>
        <v>Фильтрация нежелательных и вредоносных сообщений (Антиспам)</v>
      </c>
      <c r="T94" s="180">
        <f t="shared" si="20"/>
        <v>318</v>
      </c>
      <c r="U94" s="251" t="str">
        <f>B94</f>
        <v>Фильтрация нежелательных и вредоносных сообщений (Антиспам)</v>
      </c>
    </row>
    <row r="95" spans="2:21" ht="14.4" outlineLevel="1">
      <c r="B95" s="46" t="s">
        <v>946</v>
      </c>
      <c r="C95" s="66" t="s">
        <v>574</v>
      </c>
      <c r="D95" s="39">
        <v>5</v>
      </c>
      <c r="E95" s="40">
        <v>0</v>
      </c>
      <c r="F95" s="41">
        <v>0</v>
      </c>
      <c r="G95" s="438"/>
      <c r="H95" s="438"/>
      <c r="I95" s="435"/>
      <c r="J95" s="335"/>
      <c r="K95" s="537">
        <v>0</v>
      </c>
      <c r="L95" s="435">
        <f>VALUE(LEFT(N95,3))</f>
        <v>0</v>
      </c>
      <c r="M95" s="230">
        <f t="shared" si="14"/>
        <v>0</v>
      </c>
      <c r="N95" s="228" t="s">
        <v>256</v>
      </c>
      <c r="P95" s="434">
        <f>P94+0.01</f>
        <v>18.010000000000002</v>
      </c>
      <c r="Q95" s="258" t="str">
        <f>IF(($L95-$F95)&gt;=0,"",)</f>
        <v/>
      </c>
      <c r="R95" s="434">
        <f t="shared" si="19"/>
        <v>218.01</v>
      </c>
      <c r="S95" s="258" t="str">
        <f>IF(($L95-$E95)&gt;=0,"",)</f>
        <v/>
      </c>
      <c r="T95" s="434">
        <f t="shared" si="20"/>
        <v>318.01</v>
      </c>
      <c r="U95" s="258">
        <f>IF(($L95-$D95)&gt;=0," - Выполнить настройку почтового сервера.",)</f>
        <v>0</v>
      </c>
    </row>
    <row r="96" spans="2:21" ht="27.6" outlineLevel="1">
      <c r="B96" s="46" t="s">
        <v>575</v>
      </c>
      <c r="C96" s="66" t="s">
        <v>577</v>
      </c>
      <c r="D96" s="39">
        <v>5</v>
      </c>
      <c r="E96" s="40">
        <v>0</v>
      </c>
      <c r="F96" s="41">
        <v>0</v>
      </c>
      <c r="G96" s="438"/>
      <c r="H96" s="438"/>
      <c r="I96" s="435"/>
      <c r="J96" s="335"/>
      <c r="K96" s="537">
        <v>0</v>
      </c>
      <c r="L96" s="435">
        <f>VALUE(LEFT(N96,3))</f>
        <v>0</v>
      </c>
      <c r="M96" s="230">
        <f t="shared" si="14"/>
        <v>0</v>
      </c>
      <c r="N96" s="35" t="s">
        <v>283</v>
      </c>
      <c r="P96" s="434">
        <f>P95+0.01</f>
        <v>18.020000000000003</v>
      </c>
      <c r="Q96" s="258" t="str">
        <f>IF(($L96-$F96)&gt;=0,"",)</f>
        <v/>
      </c>
      <c r="R96" s="434">
        <f t="shared" si="19"/>
        <v>218.02</v>
      </c>
      <c r="S96" s="258" t="str">
        <f>IF(($L96-$E96)&gt;=0,"",)</f>
        <v/>
      </c>
      <c r="T96" s="434">
        <f t="shared" si="20"/>
        <v>318.02</v>
      </c>
      <c r="U96" s="258" t="str">
        <f>IF(($L96-$D96)&gt;=0,""," - Внедрить решение по защите от спама")</f>
        <v xml:space="preserve"> - Внедрить решение по защите от спама</v>
      </c>
    </row>
    <row r="97" spans="2:21" ht="27.6" outlineLevel="1">
      <c r="B97" s="46" t="s">
        <v>576</v>
      </c>
      <c r="C97" s="66" t="s">
        <v>394</v>
      </c>
      <c r="D97" s="39">
        <v>5</v>
      </c>
      <c r="E97" s="40">
        <v>0</v>
      </c>
      <c r="F97" s="41">
        <v>0</v>
      </c>
      <c r="G97" s="438"/>
      <c r="H97" s="438"/>
      <c r="I97" s="435"/>
      <c r="J97" s="335"/>
      <c r="K97" s="537">
        <v>0</v>
      </c>
      <c r="L97" s="435">
        <f>VALUE(LEFT(N97,3))</f>
        <v>0</v>
      </c>
      <c r="M97" s="230">
        <f t="shared" si="14"/>
        <v>0</v>
      </c>
      <c r="N97" s="35" t="s">
        <v>283</v>
      </c>
      <c r="P97" s="434">
        <f>P96+0.01</f>
        <v>18.030000000000005</v>
      </c>
      <c r="Q97" s="258" t="str">
        <f>IF(($L97-$F97)&gt;=0,"",)</f>
        <v/>
      </c>
      <c r="R97" s="434">
        <f t="shared" si="19"/>
        <v>218.03</v>
      </c>
      <c r="S97" s="258" t="str">
        <f>IF(($L97-$E97)&gt;=0,"",)</f>
        <v/>
      </c>
      <c r="T97" s="434">
        <f t="shared" si="20"/>
        <v>318.02999999999997</v>
      </c>
      <c r="U97" s="258" t="str">
        <f>IF(($L97-$D97)&gt;=0,""," - Внедрить решение по антивирусной защите почтового трафика. ")</f>
        <v xml:space="preserve"> - Внедрить решение по антивирусной защите почтового трафика. </v>
      </c>
    </row>
    <row r="98" spans="2:21" ht="27.6" outlineLevel="1">
      <c r="B98" s="46" t="s">
        <v>947</v>
      </c>
      <c r="C98" s="66" t="s">
        <v>395</v>
      </c>
      <c r="D98" s="39">
        <v>5</v>
      </c>
      <c r="E98" s="40">
        <v>0</v>
      </c>
      <c r="F98" s="41">
        <v>0</v>
      </c>
      <c r="G98" s="438"/>
      <c r="H98" s="438"/>
      <c r="I98" s="435"/>
      <c r="J98" s="335"/>
      <c r="K98" s="537">
        <v>0</v>
      </c>
      <c r="L98" s="435">
        <f>VALUE(LEFT(N98,3))</f>
        <v>0</v>
      </c>
      <c r="M98" s="230">
        <f t="shared" si="14"/>
        <v>0</v>
      </c>
      <c r="N98" s="228" t="s">
        <v>256</v>
      </c>
      <c r="P98" s="434">
        <f>P97+0.01</f>
        <v>18.040000000000006</v>
      </c>
      <c r="Q98" s="258" t="str">
        <f>IF(($L98-$F98)&gt;=0,"",)</f>
        <v/>
      </c>
      <c r="R98" s="434">
        <f t="shared" si="19"/>
        <v>218.04000000000002</v>
      </c>
      <c r="S98" s="258" t="str">
        <f>IF(($L98-$E98)&gt;=0,"",)</f>
        <v/>
      </c>
      <c r="T98" s="434">
        <f t="shared" si="20"/>
        <v>318.04000000000002</v>
      </c>
      <c r="U98" s="258" t="str">
        <f>IF(($L98-$D98)&gt;=0,""," - Обеспечить проверку всего входящего почтового трафика. Обеспечиь блокирование нежелательных писем. ")</f>
        <v xml:space="preserve"> - Обеспечить проверку всего входящего почтового трафика. Обеспечиь блокирование нежелательных писем. </v>
      </c>
    </row>
    <row r="99" spans="2:21" ht="27.6" outlineLevel="1">
      <c r="B99" s="101" t="str">
        <f>Реагирование!B63</f>
        <v>Наличие плейбука по реагированию на сработки (Антиспам)</v>
      </c>
      <c r="C99" s="101" t="str">
        <f>Реагирование!C63</f>
        <v>РЕАГ.PB.5.9.3.8</v>
      </c>
      <c r="D99" s="315">
        <f>Реагирование!D63</f>
        <v>5</v>
      </c>
      <c r="E99" s="315">
        <f>Реагирование!E63</f>
        <v>5</v>
      </c>
      <c r="F99" s="315">
        <f>Реагирование!F63</f>
        <v>0</v>
      </c>
      <c r="G99" s="315"/>
      <c r="H99" s="315"/>
      <c r="I99" s="315"/>
      <c r="J99" s="315"/>
      <c r="K99" s="315">
        <f>Реагирование!K63</f>
        <v>0</v>
      </c>
      <c r="L99" s="315">
        <f>Реагирование!L63</f>
        <v>0</v>
      </c>
      <c r="M99" s="230">
        <f>Реагирование!M63</f>
        <v>0</v>
      </c>
      <c r="N99" s="101" t="str">
        <f>Реагирование!N63</f>
        <v>0   - Контроль не выполняется</v>
      </c>
      <c r="P99" s="434">
        <f>P98+0.01</f>
        <v>18.050000000000008</v>
      </c>
      <c r="Q99" s="258" t="str">
        <f>Реагирование!Q63</f>
        <v/>
      </c>
      <c r="R99" s="434">
        <f t="shared" si="19"/>
        <v>218.05</v>
      </c>
      <c r="S99" s="258" t="str">
        <f>Реагирование!S63</f>
        <v xml:space="preserve"> - Разработать и простестировать плейбуки по реагированию на сработки Антиспам</v>
      </c>
      <c r="T99" s="434">
        <f t="shared" si="20"/>
        <v>318.05</v>
      </c>
      <c r="U99" s="258" t="str">
        <f>Реагирование!U63</f>
        <v/>
      </c>
    </row>
    <row r="100" spans="2:21" ht="27.6">
      <c r="B100" s="70" t="s">
        <v>342</v>
      </c>
      <c r="C100" s="75" t="s">
        <v>289</v>
      </c>
      <c r="D100" s="71"/>
      <c r="E100" s="71"/>
      <c r="F100" s="71"/>
      <c r="G100" s="432"/>
      <c r="H100" s="71"/>
      <c r="I100" s="282"/>
      <c r="J100" s="180"/>
      <c r="K100" s="71"/>
      <c r="L100" s="282"/>
      <c r="M100" s="432"/>
      <c r="N100" s="247"/>
      <c r="O100" s="246"/>
      <c r="P100" s="180">
        <f>VLOOKUP(B100,Приоритет!$G$9:$K$52,5,0)</f>
        <v>23</v>
      </c>
      <c r="Q100" s="251" t="str">
        <f>B100</f>
        <v>Обнаружение и блокирование сетевых атак на web-приложении (WAF)</v>
      </c>
      <c r="R100" s="180">
        <f t="shared" si="19"/>
        <v>223</v>
      </c>
      <c r="S100" s="251" t="str">
        <f>B100</f>
        <v>Обнаружение и блокирование сетевых атак на web-приложении (WAF)</v>
      </c>
      <c r="T100" s="180">
        <f t="shared" si="20"/>
        <v>323</v>
      </c>
      <c r="U100" s="251" t="str">
        <f>B100</f>
        <v>Обнаружение и блокирование сетевых атак на web-приложении (WAF)</v>
      </c>
    </row>
    <row r="101" spans="2:21" ht="14.4" outlineLevel="1">
      <c r="B101" s="46" t="s">
        <v>411</v>
      </c>
      <c r="C101" s="66" t="s">
        <v>400</v>
      </c>
      <c r="D101" s="39">
        <v>5</v>
      </c>
      <c r="E101" s="40">
        <v>0</v>
      </c>
      <c r="F101" s="41">
        <v>0</v>
      </c>
      <c r="G101" s="438"/>
      <c r="H101" s="438"/>
      <c r="I101" s="347"/>
      <c r="J101" s="335"/>
      <c r="K101" s="537">
        <v>0</v>
      </c>
      <c r="L101" s="288">
        <f>N101/(100%)*5</f>
        <v>0</v>
      </c>
      <c r="M101" s="230">
        <f t="shared" si="14"/>
        <v>0</v>
      </c>
      <c r="N101" s="105">
        <v>0</v>
      </c>
      <c r="P101" s="434">
        <f>P100+0.01</f>
        <v>23.01</v>
      </c>
      <c r="Q101" s="258" t="str">
        <f>IF(($L101-$F101)&gt;=0,"",)</f>
        <v/>
      </c>
      <c r="R101" s="434">
        <f t="shared" si="19"/>
        <v>223.01</v>
      </c>
      <c r="S101" s="258" t="str">
        <f>IF(($L101-$E101)&gt;=0,"",)</f>
        <v/>
      </c>
      <c r="T101" s="434">
        <f t="shared" si="20"/>
        <v>323.01</v>
      </c>
      <c r="U101" s="261" t="b">
        <f>IF(($L101-$D101)&gt;=0," - Спроектировать, приобрести и внедрить систему защитыweb-приложений;
 - Обеспечить достаточное количество лицензий, услуг и оборудования для покрытия всех опубликованных сервисов.")</f>
        <v>0</v>
      </c>
    </row>
    <row r="102" spans="2:21" ht="27.6" outlineLevel="1">
      <c r="B102" s="506" t="str">
        <f>'Управление ИБ'!B118</f>
        <v>Ведется учет опубликованных на внешнем периметре информационные системы, домены</v>
      </c>
      <c r="C102" s="507" t="str">
        <f>'Управление ИБ'!C118</f>
        <v>УИБ.ИН.7</v>
      </c>
      <c r="D102" s="508">
        <f>'Управление ИБ'!D118</f>
        <v>5</v>
      </c>
      <c r="E102" s="508">
        <f>'Управление ИБ'!E118</f>
        <v>3.2</v>
      </c>
      <c r="F102" s="508">
        <f>'Управление ИБ'!F118</f>
        <v>3.2</v>
      </c>
      <c r="G102" s="508">
        <f>'Управление ИБ'!G118</f>
        <v>0</v>
      </c>
      <c r="H102" s="508">
        <f>'Управление ИБ'!H118</f>
        <v>0</v>
      </c>
      <c r="I102" s="508">
        <f>'Управление ИБ'!I118</f>
        <v>0</v>
      </c>
      <c r="J102" s="508"/>
      <c r="K102" s="508">
        <f>'Управление ИБ'!K118</f>
        <v>3.2</v>
      </c>
      <c r="L102" s="508">
        <f>'Управление ИБ'!L118</f>
        <v>0</v>
      </c>
      <c r="M102" s="230">
        <f>'Управление ИБ'!M118</f>
        <v>-3.2</v>
      </c>
      <c r="N102" s="101" t="str">
        <f>'Управление ИБ'!N118</f>
        <v>0      - Контроль не выполняется</v>
      </c>
      <c r="P102" s="434">
        <f>P101+0.01</f>
        <v>23.020000000000003</v>
      </c>
      <c r="Q102" s="258">
        <f>IF(($L102-$F102)&gt;=0,"УИБ.ИН.7",)</f>
        <v>0</v>
      </c>
      <c r="R102" s="434">
        <f t="shared" si="19"/>
        <v>223.02</v>
      </c>
      <c r="S102" s="258">
        <f>IF(($L102-$E102)&gt;=0,"УИБ.ИН.7",)</f>
        <v>0</v>
      </c>
      <c r="T102" s="434">
        <f t="shared" si="20"/>
        <v>323.02</v>
      </c>
      <c r="U102" s="261" t="str">
        <f>IF(($L102-$D102)&gt;=0,"","")</f>
        <v/>
      </c>
    </row>
    <row r="103" spans="2:21" ht="110.4" outlineLevel="1">
      <c r="B103" s="46" t="s">
        <v>579</v>
      </c>
      <c r="C103" s="66" t="s">
        <v>401</v>
      </c>
      <c r="D103" s="39">
        <v>4</v>
      </c>
      <c r="E103" s="40">
        <v>3</v>
      </c>
      <c r="F103" s="41">
        <v>1</v>
      </c>
      <c r="G103" s="433"/>
      <c r="H103" s="435"/>
      <c r="I103" s="435"/>
      <c r="J103" s="325"/>
      <c r="K103" s="537">
        <v>1</v>
      </c>
      <c r="L103" s="435">
        <f>VALUE(LEFT(N103,3))</f>
        <v>0</v>
      </c>
      <c r="M103" s="230">
        <f t="shared" si="14"/>
        <v>-1</v>
      </c>
      <c r="N103" s="234" t="s">
        <v>245</v>
      </c>
      <c r="P103" s="434">
        <f>P102+0.01</f>
        <v>23.030000000000005</v>
      </c>
      <c r="Q103" s="258">
        <f>IF(($L103-$F103)&gt;=0,"",)</f>
        <v>0</v>
      </c>
      <c r="R103" s="434">
        <f t="shared" si="19"/>
        <v>223.03</v>
      </c>
      <c r="S103" s="258">
        <f>IF(($L103-$E103)&gt;=0,"",)</f>
        <v>0</v>
      </c>
      <c r="T103" s="434">
        <f t="shared" si="20"/>
        <v>323.02999999999997</v>
      </c>
      <c r="U103" s="261" t="str">
        <f>IF(($L103-$D103)&gt;=0,""," - Разработать или Получить в Блоке ИБ ПАО Ростелеком типовое описание процесса публикации сервиса в интернете;
 - Утвердить в Обществе ВНД, описывающий процесс публикации сервиса в интернете;"&amp;"
 - Реализовать процесс проверки и согласования до публикации сервиса в интернете;
 -  Обеспечить контроль защищенности и отсутствия уязвимостей до публикации.")</f>
        <v xml:space="preserve"> - Разработать или Получить в Блоке ИБ ПАО Ростелеком типовое описание процесса публикации сервиса в интернете;
 - Утвердить в Обществе ВНД, описывающий процесс публикации сервиса в интернете;
 - Реализовать процесс проверки и согласования до публикации сервиса в интернете;
 -  Обеспечить контроль защищенности и отсутствия уязвимостей до публикации.</v>
      </c>
    </row>
    <row r="104" spans="2:21" ht="27.6" outlineLevel="1">
      <c r="B104" s="101" t="s">
        <v>514</v>
      </c>
      <c r="C104" s="233" t="str">
        <f>Реагирование!C66</f>
        <v>РЕАГ.PB.5.9.3.11</v>
      </c>
      <c r="D104" s="233">
        <f>Реагирование!D66</f>
        <v>5</v>
      </c>
      <c r="E104" s="233">
        <f>Реагирование!E66</f>
        <v>0</v>
      </c>
      <c r="F104" s="233">
        <f>Реагирование!F66</f>
        <v>0</v>
      </c>
      <c r="G104" s="233">
        <f>Реагирование!G66</f>
        <v>0</v>
      </c>
      <c r="H104" s="233">
        <f>Реагирование!H66</f>
        <v>0</v>
      </c>
      <c r="I104" s="233">
        <f>Реагирование!I66</f>
        <v>0</v>
      </c>
      <c r="J104" s="233"/>
      <c r="K104" s="233">
        <f>Реагирование!K66</f>
        <v>0</v>
      </c>
      <c r="L104" s="101">
        <f>Реагирование!L66</f>
        <v>0</v>
      </c>
      <c r="M104" s="230">
        <f>Реагирование!M66</f>
        <v>0</v>
      </c>
      <c r="N104" s="101" t="str">
        <f>Реагирование!N66</f>
        <v>0   - Контроль не выполняется</v>
      </c>
      <c r="P104" s="434">
        <f>P103+0.01</f>
        <v>23.040000000000006</v>
      </c>
      <c r="Q104" s="258" t="str">
        <f>IF(($L104-$F104)&gt;=0,"",)</f>
        <v/>
      </c>
      <c r="R104" s="434">
        <f t="shared" si="19"/>
        <v>223.04000000000002</v>
      </c>
      <c r="S104" s="258" t="str">
        <f>IF(($L104-$E104)&gt;=0,"",)</f>
        <v/>
      </c>
      <c r="T104" s="434">
        <f t="shared" si="20"/>
        <v>323.04000000000002</v>
      </c>
      <c r="U104" s="261" t="str">
        <f>IF(($L104-$D104)&gt;=0,"","")</f>
        <v/>
      </c>
    </row>
    <row r="105" spans="2:21" ht="14.4" outlineLevel="1">
      <c r="B105" s="46" t="s">
        <v>728</v>
      </c>
      <c r="C105" s="66" t="s">
        <v>580</v>
      </c>
      <c r="D105" s="39">
        <v>5</v>
      </c>
      <c r="E105" s="40">
        <v>0</v>
      </c>
      <c r="F105" s="41">
        <v>0</v>
      </c>
      <c r="G105" s="435"/>
      <c r="H105" s="42"/>
      <c r="I105" s="435"/>
      <c r="J105" s="324"/>
      <c r="K105" s="537">
        <v>0</v>
      </c>
      <c r="L105" s="435">
        <f>VALUE(LEFT(N105,3))</f>
        <v>0</v>
      </c>
      <c r="M105" s="230">
        <f t="shared" si="14"/>
        <v>0</v>
      </c>
      <c r="N105" s="235" t="s">
        <v>570</v>
      </c>
      <c r="P105" s="434">
        <f>P104+0.01</f>
        <v>23.050000000000008</v>
      </c>
      <c r="Q105" s="258" t="str">
        <f>IF(($L105-$F105)&gt;=0,"",)</f>
        <v/>
      </c>
      <c r="R105" s="434">
        <f t="shared" si="19"/>
        <v>223.05</v>
      </c>
      <c r="S105" s="258" t="str">
        <f>IF(($L105-$E105)&gt;=0,"",)</f>
        <v/>
      </c>
      <c r="T105" s="434">
        <f t="shared" si="20"/>
        <v>323.05</v>
      </c>
      <c r="U105" s="261" t="str">
        <f>IF(($L105-$D105)&gt;=0,""," - Реализовать процесс непрерывного обновления сигнатур WAF.")</f>
        <v xml:space="preserve"> - Реализовать процесс непрерывного обновления сигнатур WAF.</v>
      </c>
    </row>
    <row r="106" spans="2:21" ht="14.4">
      <c r="B106" s="70" t="s">
        <v>343</v>
      </c>
      <c r="C106" s="75" t="s">
        <v>351</v>
      </c>
      <c r="D106" s="71"/>
      <c r="E106" s="71"/>
      <c r="F106" s="71"/>
      <c r="G106" s="432"/>
      <c r="H106" s="71"/>
      <c r="I106" s="282"/>
      <c r="J106" s="180"/>
      <c r="K106" s="71"/>
      <c r="L106" s="282"/>
      <c r="M106" s="432"/>
      <c r="N106" s="247"/>
      <c r="O106" s="246"/>
      <c r="P106" s="180">
        <f>VLOOKUP(B106,Приоритет!$G$9:$K$52,5,0)</f>
        <v>24</v>
      </c>
      <c r="Q106" s="251" t="str">
        <f>B106</f>
        <v>Контроль учетных записей (PAM)</v>
      </c>
      <c r="R106" s="180">
        <f t="shared" si="19"/>
        <v>224</v>
      </c>
      <c r="S106" s="251" t="str">
        <f>B106</f>
        <v>Контроль учетных записей (PAM)</v>
      </c>
      <c r="T106" s="180">
        <f t="shared" si="20"/>
        <v>324</v>
      </c>
      <c r="U106" s="251" t="str">
        <f>B106</f>
        <v>Контроль учетных записей (PAM)</v>
      </c>
    </row>
    <row r="107" spans="2:21" ht="165.6" outlineLevel="1">
      <c r="B107" s="46" t="s">
        <v>851</v>
      </c>
      <c r="C107" s="446" t="s">
        <v>402</v>
      </c>
      <c r="D107" s="39">
        <v>5</v>
      </c>
      <c r="E107" s="40">
        <v>0</v>
      </c>
      <c r="F107" s="41">
        <v>0</v>
      </c>
      <c r="G107" s="438"/>
      <c r="H107" s="438"/>
      <c r="I107" s="447"/>
      <c r="J107" s="335"/>
      <c r="K107" s="537">
        <v>0</v>
      </c>
      <c r="L107" s="347">
        <f>N107/(100%)*5</f>
        <v>0</v>
      </c>
      <c r="M107" s="195">
        <f t="shared" si="14"/>
        <v>0</v>
      </c>
      <c r="N107" s="183">
        <v>0</v>
      </c>
      <c r="P107" s="434">
        <f t="shared" ref="P107:P112" si="21">P106+0.01</f>
        <v>24.01</v>
      </c>
      <c r="Q107" s="258" t="str">
        <f t="shared" ref="Q107:Q111" si="22">IF(($L107-$F107)&gt;=0,"",)</f>
        <v/>
      </c>
      <c r="R107" s="434">
        <f t="shared" si="19"/>
        <v>224.01</v>
      </c>
      <c r="S107" s="258" t="str">
        <f t="shared" ref="S107:S111" si="23">IF(($L107-$E107)&gt;=0,"",)</f>
        <v/>
      </c>
      <c r="T107" s="434">
        <f t="shared" si="20"/>
        <v>324.01</v>
      </c>
      <c r="U107" s="261" t="str">
        <f>IF(($L107-$D107)&gt;=0,""," - Разработать или Получить в Блоке ИБ ПАО Ростелеком типовое описание процесса защиты привилегированного доступа;
 - Утвердить в Обществе ВНД, описывающий процесс защиты привилегированного доступа;"&amp;"
 - Спроектировать и реализовать систему защиты привилегированного доступа;
 - Реализовать процесс администрирования информационных систем с использованием системы защиты привилегированного доступа;"&amp;"
 - Обеспечить достаточное количество Jump-хостов для администрирования всех ИС
")</f>
        <v xml:space="preserve"> - Разработать или Получить в Блоке ИБ ПАО Ростелеком типовое описание процесса защиты привилегированного доступа;
 - Утвердить в Обществе ВНД, описывающий процесс защиты привилегированного доступа;
 - Спроектировать и реализовать систему защиты привилегированного доступа;
 - Реализовать процесс администрирования информационных систем с использованием системы защиты привилегированного доступа;
 - Обеспечить достаточное количество Jump-хостов для администрирования всех ИС
</v>
      </c>
    </row>
    <row r="108" spans="2:21" ht="27.6" outlineLevel="1">
      <c r="B108" s="46" t="s">
        <v>852</v>
      </c>
      <c r="C108" s="446" t="s">
        <v>403</v>
      </c>
      <c r="D108" s="39">
        <v>5</v>
      </c>
      <c r="E108" s="40">
        <v>0</v>
      </c>
      <c r="F108" s="41">
        <v>0</v>
      </c>
      <c r="G108" s="438"/>
      <c r="H108" s="438"/>
      <c r="I108" s="435"/>
      <c r="J108" s="335"/>
      <c r="K108" s="537">
        <v>0</v>
      </c>
      <c r="L108" s="435">
        <f>VALUE(LEFT(N108,3))</f>
        <v>0</v>
      </c>
      <c r="M108" s="195">
        <f t="shared" si="14"/>
        <v>0</v>
      </c>
      <c r="N108" s="128" t="s">
        <v>256</v>
      </c>
      <c r="P108" s="434">
        <f t="shared" si="21"/>
        <v>24.020000000000003</v>
      </c>
      <c r="Q108" s="258" t="str">
        <f t="shared" si="22"/>
        <v/>
      </c>
      <c r="R108" s="434">
        <f t="shared" si="19"/>
        <v>224.02</v>
      </c>
      <c r="S108" s="258" t="str">
        <f t="shared" si="23"/>
        <v/>
      </c>
      <c r="T108" s="434">
        <f t="shared" si="20"/>
        <v>324.02</v>
      </c>
      <c r="U108" s="261" t="str">
        <f>IF(($L108-$D108)&gt;=0,""," - Получить от Блока ИБ ТТР по организации и настройке JH и реализовать рекомендуемые решения")</f>
        <v xml:space="preserve"> - Получить от Блока ИБ ТТР по организации и настройке JH и реализовать рекомендуемые решения</v>
      </c>
    </row>
    <row r="109" spans="2:21" ht="27.6" outlineLevel="1">
      <c r="B109" s="46" t="s">
        <v>853</v>
      </c>
      <c r="C109" s="446" t="s">
        <v>729</v>
      </c>
      <c r="D109" s="39">
        <v>5</v>
      </c>
      <c r="E109" s="40">
        <v>0</v>
      </c>
      <c r="F109" s="41">
        <v>0</v>
      </c>
      <c r="G109" s="438"/>
      <c r="H109" s="438"/>
      <c r="I109" s="448"/>
      <c r="J109" s="335"/>
      <c r="K109" s="537">
        <v>0</v>
      </c>
      <c r="L109" s="347">
        <f>N109/(100%)*5</f>
        <v>0</v>
      </c>
      <c r="M109" s="195">
        <f t="shared" si="14"/>
        <v>0</v>
      </c>
      <c r="N109" s="183">
        <v>0</v>
      </c>
      <c r="P109" s="434">
        <f t="shared" si="21"/>
        <v>24.030000000000005</v>
      </c>
      <c r="Q109" s="258" t="str">
        <f t="shared" si="22"/>
        <v/>
      </c>
      <c r="R109" s="434">
        <f t="shared" si="19"/>
        <v>224.03</v>
      </c>
      <c r="S109" s="258" t="str">
        <f t="shared" si="23"/>
        <v/>
      </c>
      <c r="T109" s="434">
        <f t="shared" si="20"/>
        <v>324.02999999999997</v>
      </c>
      <c r="U109" s="261" t="str">
        <f>IF(($L109-$D109)&gt;=0,""," - Приобрести лицензии на PAM в объеме, достаточном для покрытия 100 % инфраструктуры")</f>
        <v xml:space="preserve"> - Приобрести лицензии на PAM в объеме, достаточном для покрытия 100 % инфраструктуры</v>
      </c>
    </row>
    <row r="110" spans="2:21" ht="27.6" outlineLevel="1">
      <c r="B110" s="46" t="s">
        <v>412</v>
      </c>
      <c r="C110" s="446" t="s">
        <v>404</v>
      </c>
      <c r="D110" s="39">
        <v>5</v>
      </c>
      <c r="E110" s="40">
        <v>0</v>
      </c>
      <c r="F110" s="41">
        <v>0</v>
      </c>
      <c r="G110" s="438"/>
      <c r="H110" s="438"/>
      <c r="I110" s="435"/>
      <c r="J110" s="335"/>
      <c r="K110" s="537">
        <v>0</v>
      </c>
      <c r="L110" s="347">
        <f>N110/(100%)*5</f>
        <v>0</v>
      </c>
      <c r="M110" s="195">
        <f t="shared" si="14"/>
        <v>0</v>
      </c>
      <c r="N110" s="183">
        <v>0</v>
      </c>
      <c r="P110" s="434">
        <f t="shared" si="21"/>
        <v>24.040000000000006</v>
      </c>
      <c r="Q110" s="258" t="str">
        <f t="shared" si="22"/>
        <v/>
      </c>
      <c r="R110" s="434">
        <f t="shared" si="19"/>
        <v>224.04000000000002</v>
      </c>
      <c r="S110" s="258" t="str">
        <f t="shared" si="23"/>
        <v/>
      </c>
      <c r="T110" s="434">
        <f t="shared" si="20"/>
        <v>324.04000000000002</v>
      </c>
      <c r="U110" s="261" t="str">
        <f>IF(($L110-$D110)&gt;=0,""," - Реализовать процесс администрирования 100% информационных активов исключительно через PAM.")</f>
        <v xml:space="preserve"> - Реализовать процесс администрирования 100% информационных активов исключительно через PAM.</v>
      </c>
    </row>
    <row r="111" spans="2:21" ht="27.6" outlineLevel="1">
      <c r="B111" s="46" t="s">
        <v>286</v>
      </c>
      <c r="C111" s="446" t="s">
        <v>405</v>
      </c>
      <c r="D111" s="39">
        <v>5</v>
      </c>
      <c r="E111" s="40">
        <v>0</v>
      </c>
      <c r="F111" s="41">
        <v>0</v>
      </c>
      <c r="G111" s="438"/>
      <c r="H111" s="438"/>
      <c r="I111" s="435"/>
      <c r="J111" s="335"/>
      <c r="K111" s="537">
        <v>0</v>
      </c>
      <c r="L111" s="435">
        <f>VALUE(LEFT(N111,3))</f>
        <v>0</v>
      </c>
      <c r="M111" s="195">
        <f t="shared" si="14"/>
        <v>0</v>
      </c>
      <c r="N111" s="128" t="s">
        <v>256</v>
      </c>
      <c r="P111" s="434">
        <f t="shared" si="21"/>
        <v>24.050000000000008</v>
      </c>
      <c r="Q111" s="258" t="str">
        <f t="shared" si="22"/>
        <v/>
      </c>
      <c r="R111" s="434">
        <f t="shared" si="19"/>
        <v>224.05</v>
      </c>
      <c r="S111" s="258" t="str">
        <f t="shared" si="23"/>
        <v/>
      </c>
      <c r="T111" s="434">
        <f t="shared" si="20"/>
        <v>324.05</v>
      </c>
      <c r="U111" s="261" t="str">
        <f>IF(($L111-$D111)&gt;=0,""," - Получить от Блока ИБ ТТР по применению PAM и реализовать рекомендуемые решения")</f>
        <v xml:space="preserve"> - Получить от Блока ИБ ТТР по применению PAM и реализовать рекомендуемые решения</v>
      </c>
    </row>
    <row r="112" spans="2:21" ht="28.8" outlineLevel="1">
      <c r="B112" s="101" t="str">
        <f>Реагирование!B64</f>
        <v>Наличие плейбука по реагированию на сработки PAM</v>
      </c>
      <c r="C112" s="449" t="str">
        <f>Реагирование!C64</f>
        <v>РЕАГ.PB.5.9.3.9</v>
      </c>
      <c r="D112" s="437">
        <f>Реагирование!D64</f>
        <v>5</v>
      </c>
      <c r="E112" s="437">
        <f>Реагирование!E64</f>
        <v>0</v>
      </c>
      <c r="F112" s="437">
        <f>Реагирование!F64</f>
        <v>0</v>
      </c>
      <c r="G112" s="437">
        <f>Реагирование!G64</f>
        <v>0</v>
      </c>
      <c r="H112" s="437">
        <f>Реагирование!H64</f>
        <v>0</v>
      </c>
      <c r="I112" s="437">
        <f>Реагирование!I64</f>
        <v>0</v>
      </c>
      <c r="J112" s="437">
        <f>Реагирование!J64</f>
        <v>0</v>
      </c>
      <c r="K112" s="437">
        <f>Реагирование!K64</f>
        <v>0</v>
      </c>
      <c r="L112" s="437">
        <f>Реагирование!L64</f>
        <v>0</v>
      </c>
      <c r="M112" s="195">
        <f>Реагирование!M64</f>
        <v>0</v>
      </c>
      <c r="N112" s="437" t="str">
        <f>Реагирование!N64</f>
        <v>0   - Контроль не выполняется</v>
      </c>
      <c r="O112" s="437"/>
      <c r="P112" s="434">
        <f t="shared" si="21"/>
        <v>24.060000000000009</v>
      </c>
      <c r="Q112" s="258" t="str">
        <f>Реагирование!Q64</f>
        <v/>
      </c>
      <c r="R112" s="434">
        <f t="shared" si="19"/>
        <v>224.06</v>
      </c>
      <c r="S112" s="258" t="str">
        <f>Реагирование!S64</f>
        <v/>
      </c>
      <c r="T112" s="434">
        <f t="shared" si="20"/>
        <v>324.06</v>
      </c>
      <c r="U112" s="258" t="str">
        <f>Реагирование!U64</f>
        <v xml:space="preserve"> - Разработать и простестировать плейбуки по реагированию на сработки PAM</v>
      </c>
    </row>
    <row r="113" spans="2:21" ht="27.6">
      <c r="B113" s="70" t="s">
        <v>344</v>
      </c>
      <c r="C113" s="75" t="s">
        <v>352</v>
      </c>
      <c r="D113" s="71"/>
      <c r="E113" s="71"/>
      <c r="F113" s="71"/>
      <c r="G113" s="432"/>
      <c r="H113" s="71"/>
      <c r="I113" s="282"/>
      <c r="J113" s="180"/>
      <c r="K113" s="71"/>
      <c r="L113" s="282"/>
      <c r="M113" s="432"/>
      <c r="N113" s="247"/>
      <c r="O113" s="246"/>
      <c r="P113" s="180">
        <f>VLOOKUP(B113,Приоритет!$G$9:$K$52,5,0)</f>
        <v>25</v>
      </c>
      <c r="Q113" s="251" t="str">
        <f>B113</f>
        <v>Предотвращение утечки данных (Data Loss Prevention (DLP)</v>
      </c>
      <c r="R113" s="180">
        <f t="shared" si="19"/>
        <v>225</v>
      </c>
      <c r="S113" s="251" t="str">
        <f>B113</f>
        <v>Предотвращение утечки данных (Data Loss Prevention (DLP)</v>
      </c>
      <c r="T113" s="180">
        <f t="shared" si="20"/>
        <v>325</v>
      </c>
      <c r="U113" s="251" t="str">
        <f>B113</f>
        <v>Предотвращение утечки данных (Data Loss Prevention (DLP)</v>
      </c>
    </row>
    <row r="114" spans="2:21" ht="28.2" outlineLevel="1">
      <c r="B114" s="245" t="s">
        <v>887</v>
      </c>
      <c r="C114" s="66" t="s">
        <v>406</v>
      </c>
      <c r="D114" s="441">
        <v>5</v>
      </c>
      <c r="E114" s="442">
        <v>0</v>
      </c>
      <c r="F114" s="443">
        <v>0</v>
      </c>
      <c r="G114" s="444"/>
      <c r="H114" s="444"/>
      <c r="I114" s="445"/>
      <c r="J114" s="335"/>
      <c r="K114" s="539">
        <v>0</v>
      </c>
      <c r="L114" s="445">
        <f t="shared" ref="L114:L119" si="24">VALUE(LEFT(N114,3))</f>
        <v>0</v>
      </c>
      <c r="M114" s="230">
        <f t="shared" si="14"/>
        <v>0</v>
      </c>
      <c r="N114" s="228" t="s">
        <v>256</v>
      </c>
      <c r="P114" s="434">
        <f>P113+0.01</f>
        <v>25.01</v>
      </c>
      <c r="Q114" s="453" t="str">
        <f t="shared" ref="Q114:Q120" si="25">IF(($L114-$F114)&gt;=0,"",)</f>
        <v/>
      </c>
      <c r="R114" s="434">
        <f>R113+0.01</f>
        <v>225.01</v>
      </c>
      <c r="S114" s="258" t="str">
        <f>IF(($L114-$E114)&gt;=0,"",)</f>
        <v/>
      </c>
      <c r="T114" s="434">
        <f>T113+0.01</f>
        <v>325.01</v>
      </c>
      <c r="U114" s="258" t="str">
        <f>IF(($L114-$D114)&gt;=0,""," - Спроектировать, приобрести и внедрить DLP")</f>
        <v xml:space="preserve"> - Спроектировать, приобрести и внедрить DLP</v>
      </c>
    </row>
    <row r="115" spans="2:21" ht="27.6" outlineLevel="1">
      <c r="B115" s="245" t="s">
        <v>413</v>
      </c>
      <c r="C115" s="66" t="s">
        <v>407</v>
      </c>
      <c r="D115" s="441">
        <v>5</v>
      </c>
      <c r="E115" s="442">
        <v>0</v>
      </c>
      <c r="F115" s="443">
        <v>0</v>
      </c>
      <c r="G115" s="444"/>
      <c r="H115" s="444"/>
      <c r="I115" s="288"/>
      <c r="J115" s="335"/>
      <c r="K115" s="539">
        <v>0</v>
      </c>
      <c r="L115" s="288">
        <f>N115/(100%)*5</f>
        <v>0</v>
      </c>
      <c r="M115" s="230">
        <f>L115-K115</f>
        <v>0</v>
      </c>
      <c r="N115" s="105">
        <v>0</v>
      </c>
      <c r="P115" s="434">
        <f>P114+0.01</f>
        <v>25.020000000000003</v>
      </c>
      <c r="Q115" s="453" t="str">
        <f t="shared" si="25"/>
        <v/>
      </c>
      <c r="R115" s="434">
        <f>R114+0.01</f>
        <v>225.01999999999998</v>
      </c>
      <c r="S115" s="453" t="str">
        <f t="shared" ref="S115:S120" si="26">IF(($L115-$E115)&gt;=0,"",)</f>
        <v/>
      </c>
      <c r="T115" s="434">
        <f>T114+0.01</f>
        <v>325.02</v>
      </c>
      <c r="U115" s="258" t="str">
        <f>IF(($L115-$D115)&gt;=0,""," - Приобрести лицензии на DLP в объеме, достаточном для покрытия 100 % инфраструктуры")</f>
        <v xml:space="preserve"> - Приобрести лицензии на DLP в объеме, достаточном для покрытия 100 % инфраструктуры</v>
      </c>
    </row>
    <row r="116" spans="2:21" ht="14.4" outlineLevel="1">
      <c r="B116" s="245" t="s">
        <v>414</v>
      </c>
      <c r="C116" s="66" t="s">
        <v>408</v>
      </c>
      <c r="D116" s="441">
        <v>4.75</v>
      </c>
      <c r="E116" s="442">
        <v>0</v>
      </c>
      <c r="F116" s="443">
        <v>0</v>
      </c>
      <c r="G116" s="444"/>
      <c r="H116" s="444"/>
      <c r="I116" s="288"/>
      <c r="J116" s="335"/>
      <c r="K116" s="539">
        <v>0</v>
      </c>
      <c r="L116" s="288">
        <f>N116/(100%)*5</f>
        <v>0</v>
      </c>
      <c r="M116" s="230">
        <f t="shared" si="14"/>
        <v>0</v>
      </c>
      <c r="N116" s="105">
        <v>0</v>
      </c>
      <c r="P116" s="434">
        <f t="shared" ref="P116:P120" si="27">P115+0.01</f>
        <v>25.030000000000005</v>
      </c>
      <c r="Q116" s="453" t="str">
        <f t="shared" si="25"/>
        <v/>
      </c>
      <c r="R116" s="434">
        <f t="shared" ref="R116:R120" si="28">R115+0.01</f>
        <v>225.02999999999997</v>
      </c>
      <c r="S116" s="453" t="str">
        <f t="shared" si="26"/>
        <v/>
      </c>
      <c r="T116" s="434">
        <f t="shared" ref="T116:T120" si="29">T115+0.01</f>
        <v>325.02999999999997</v>
      </c>
      <c r="U116" s="258" t="str">
        <f>IF(($L116-$D116)&gt;=0,""," - Обеспечить установку DLP на 100% АРМ")</f>
        <v xml:space="preserve"> - Обеспечить установку DLP на 100% АРМ</v>
      </c>
    </row>
    <row r="117" spans="2:21" ht="41.4" outlineLevel="1">
      <c r="B117" s="245" t="s">
        <v>948</v>
      </c>
      <c r="C117" s="66" t="s">
        <v>409</v>
      </c>
      <c r="D117" s="441">
        <v>5</v>
      </c>
      <c r="E117" s="442">
        <v>0</v>
      </c>
      <c r="F117" s="443">
        <v>0</v>
      </c>
      <c r="G117" s="444"/>
      <c r="H117" s="444"/>
      <c r="I117" s="445"/>
      <c r="J117" s="335"/>
      <c r="K117" s="539">
        <v>0</v>
      </c>
      <c r="L117" s="445">
        <f t="shared" si="24"/>
        <v>0</v>
      </c>
      <c r="M117" s="230">
        <f>L117-K117</f>
        <v>0</v>
      </c>
      <c r="N117" s="104" t="s">
        <v>256</v>
      </c>
      <c r="P117" s="434">
        <f t="shared" si="27"/>
        <v>25.040000000000006</v>
      </c>
      <c r="Q117" s="453" t="str">
        <f t="shared" si="25"/>
        <v/>
      </c>
      <c r="R117" s="434">
        <f t="shared" si="28"/>
        <v>225.03999999999996</v>
      </c>
      <c r="S117" s="453" t="str">
        <f t="shared" si="26"/>
        <v/>
      </c>
      <c r="T117" s="434">
        <f t="shared" si="29"/>
        <v>325.03999999999996</v>
      </c>
      <c r="U117" s="258" t="str">
        <f>IF(($L117-$D117)&gt;=0,""," - Создать систему централизованного управления средствами DLP и обеспечить подключение к ней всех элементов инфраструктуры")</f>
        <v xml:space="preserve"> - Создать систему централизованного управления средствами DLP и обеспечить подключение к ней всех элементов инфраструктуры</v>
      </c>
    </row>
    <row r="118" spans="2:21" ht="27.6" outlineLevel="1">
      <c r="B118" s="245" t="s">
        <v>286</v>
      </c>
      <c r="C118" s="66" t="s">
        <v>410</v>
      </c>
      <c r="D118" s="441">
        <v>5</v>
      </c>
      <c r="E118" s="442">
        <v>0</v>
      </c>
      <c r="F118" s="443">
        <v>0</v>
      </c>
      <c r="G118" s="444"/>
      <c r="H118" s="444"/>
      <c r="I118" s="445"/>
      <c r="J118" s="335"/>
      <c r="K118" s="539">
        <v>0</v>
      </c>
      <c r="L118" s="445">
        <f t="shared" si="24"/>
        <v>0</v>
      </c>
      <c r="M118" s="230">
        <f>L118-K118</f>
        <v>0</v>
      </c>
      <c r="N118" s="104" t="s">
        <v>256</v>
      </c>
      <c r="P118" s="434">
        <f t="shared" si="27"/>
        <v>25.050000000000008</v>
      </c>
      <c r="Q118" s="453" t="str">
        <f t="shared" si="25"/>
        <v/>
      </c>
      <c r="R118" s="434">
        <f t="shared" si="28"/>
        <v>225.04999999999995</v>
      </c>
      <c r="S118" s="453" t="str">
        <f t="shared" si="26"/>
        <v/>
      </c>
      <c r="T118" s="434">
        <f t="shared" si="29"/>
        <v>325.04999999999995</v>
      </c>
      <c r="U118" s="258" t="str">
        <f>IF(($L118-$D118)&gt;=0,""," - Получить от Блока ИБ ТТР по применению DLP и реализовать рекомендуемые решения")</f>
        <v xml:space="preserve"> - Получить от Блока ИБ ТТР по применению DLP и реализовать рекомендуемые решения</v>
      </c>
    </row>
    <row r="119" spans="2:21" ht="207" outlineLevel="1">
      <c r="B119" s="245" t="s">
        <v>415</v>
      </c>
      <c r="C119" s="66" t="s">
        <v>578</v>
      </c>
      <c r="D119" s="441">
        <v>4</v>
      </c>
      <c r="E119" s="442">
        <v>0</v>
      </c>
      <c r="F119" s="443">
        <v>0</v>
      </c>
      <c r="G119" s="444"/>
      <c r="H119" s="444"/>
      <c r="I119" s="445"/>
      <c r="J119" s="335"/>
      <c r="K119" s="539">
        <v>0</v>
      </c>
      <c r="L119" s="445">
        <f t="shared" si="24"/>
        <v>0</v>
      </c>
      <c r="M119" s="230">
        <f>L119-K119</f>
        <v>0</v>
      </c>
      <c r="N119" s="104" t="s">
        <v>245</v>
      </c>
      <c r="P119" s="434">
        <f t="shared" si="27"/>
        <v>25.060000000000009</v>
      </c>
      <c r="Q119" s="453" t="str">
        <f t="shared" si="25"/>
        <v/>
      </c>
      <c r="R119" s="434">
        <f t="shared" si="28"/>
        <v>225.05999999999995</v>
      </c>
      <c r="S119" s="453" t="str">
        <f t="shared" si="26"/>
        <v/>
      </c>
      <c r="T119" s="434">
        <f t="shared" si="29"/>
        <v>325.05999999999995</v>
      </c>
      <c r="U119" s="258" t="str">
        <f>IF(($L119-$D119)&gt;=0,""," - Разработать или Получить в Блоке ИБ ПАО Ростелеком типовое описание процесса контроля средств DLP;
 - Утвердить в Обществе ВНД, описывающий процесс контроля рабоспособности средств DLP;"&amp;"
 - Реализовать в Обществе процесс контроля рабоспособности средств DLP;
 - Разработать систему метрик для процесса контроля рабоспособности средств DLP;"&amp;"
 - Создать средство визуального мониторинга параметров процесса контроля работоспособности средств DLP;
 - Реализовать мониторинг параметров процесса контроля работоспособности средств DLP;"&amp;"
 - Реализовать реагирование на факты отклонения параметров процесса контроля работоспособности средств DLP от определенных показателей")</f>
        <v xml:space="preserve"> - Разработать или Получить в Блоке ИБ ПАО Ростелеком типовое описание процесса контроля средств DLP;
 - Утвердить в Обществе ВНД, описывающий процесс контроля рабоспособности средств DLP;
 - Реализовать в Обществе процесс контроля рабоспособности средств DLP;
 - Разработать систему метрик для процесса контроля рабоспособности средств DLP;
 - Создать средство визуального мониторинга параметров процесса контроля работоспособности средств DLP;
 - Реализовать мониторинг параметров процесса контроля работоспособности средств DLP;
 - Реализовать реагирование на факты отклонения параметров процесса контроля работоспособности средств DLP от определенных показателей</v>
      </c>
    </row>
    <row r="120" spans="2:21" ht="35.85" customHeight="1" outlineLevel="1">
      <c r="B120" s="450" t="s">
        <v>416</v>
      </c>
      <c r="C120" s="233" t="str">
        <f>Реагирование!C65</f>
        <v>РЕАГ.PB.5.9.3.10</v>
      </c>
      <c r="D120" s="540">
        <f>Реагирование!D65</f>
        <v>5</v>
      </c>
      <c r="E120" s="540">
        <f>Реагирование!E65</f>
        <v>0</v>
      </c>
      <c r="F120" s="540">
        <f>Реагирование!F65</f>
        <v>0</v>
      </c>
      <c r="G120" s="540">
        <f>Реагирование!G65</f>
        <v>0</v>
      </c>
      <c r="H120" s="540">
        <f>Реагирование!H65</f>
        <v>0</v>
      </c>
      <c r="I120" s="540">
        <f>Реагирование!I65</f>
        <v>0</v>
      </c>
      <c r="J120" s="514">
        <f>Реагирование!J65</f>
        <v>0</v>
      </c>
      <c r="K120" s="540">
        <f>Реагирование!K65</f>
        <v>0</v>
      </c>
      <c r="L120" s="540">
        <f>Реагирование!L65</f>
        <v>0</v>
      </c>
      <c r="M120" s="230">
        <f>Реагирование!M65</f>
        <v>0</v>
      </c>
      <c r="N120" s="540" t="str">
        <f>Реагирование!N65</f>
        <v>0   - Контроль не выполняется</v>
      </c>
      <c r="P120" s="434">
        <f t="shared" si="27"/>
        <v>25.070000000000011</v>
      </c>
      <c r="Q120" s="453" t="str">
        <f t="shared" si="25"/>
        <v/>
      </c>
      <c r="R120" s="434">
        <f t="shared" si="28"/>
        <v>225.06999999999994</v>
      </c>
      <c r="S120" s="453" t="str">
        <f t="shared" si="26"/>
        <v/>
      </c>
      <c r="T120" s="434">
        <f t="shared" si="29"/>
        <v>325.06999999999994</v>
      </c>
      <c r="U120" s="258">
        <f>IF(($L120-$D120)&gt;=0,"",)</f>
        <v>0</v>
      </c>
    </row>
    <row r="121" spans="2:21" ht="14.4">
      <c r="B121" s="35"/>
    </row>
    <row r="122" spans="2:21" ht="14.4">
      <c r="B122" s="35"/>
    </row>
    <row r="123" spans="2:21" ht="14.4">
      <c r="B123" s="35"/>
    </row>
    <row r="124" spans="2:21" ht="14.4">
      <c r="B124" s="35"/>
    </row>
    <row r="125" spans="2:21" ht="14.4">
      <c r="B125" s="35"/>
    </row>
    <row r="126" spans="2:21" ht="14.4">
      <c r="B126" s="35"/>
    </row>
    <row r="127" spans="2:21" ht="14.4">
      <c r="B127" s="35"/>
    </row>
    <row r="128" spans="2:21" ht="14.4">
      <c r="B128" s="35"/>
    </row>
    <row r="129" spans="2:2" ht="14.4">
      <c r="B129" s="35"/>
    </row>
    <row r="130" spans="2:2" ht="14.4">
      <c r="B130" s="35"/>
    </row>
    <row r="131" spans="2:2" ht="15.75" customHeight="1">
      <c r="B131" s="35"/>
    </row>
    <row r="132" spans="2:2" ht="15.75" customHeight="1">
      <c r="B132" s="35"/>
    </row>
    <row r="133" spans="2:2" ht="15.75" customHeight="1">
      <c r="B133" s="35"/>
    </row>
    <row r="134" spans="2:2" ht="15.75" customHeight="1">
      <c r="B134" s="35"/>
    </row>
    <row r="135" spans="2:2" ht="15.75" customHeight="1">
      <c r="B135" s="35"/>
    </row>
    <row r="136" spans="2:2" ht="15.75" customHeight="1">
      <c r="B136" s="35"/>
    </row>
    <row r="137" spans="2:2" ht="15.75" customHeight="1">
      <c r="B137" s="35"/>
    </row>
    <row r="138" spans="2:2" ht="15.75" customHeight="1">
      <c r="B138" s="35"/>
    </row>
    <row r="139" spans="2:2" ht="15.75" customHeight="1">
      <c r="B139" s="35"/>
    </row>
    <row r="140" spans="2:2" ht="15.75" customHeight="1">
      <c r="B140" s="35"/>
    </row>
    <row r="141" spans="2:2" ht="15.75" customHeight="1">
      <c r="B141" s="35"/>
    </row>
    <row r="142" spans="2:2" ht="15.75" customHeight="1">
      <c r="B142" s="35"/>
    </row>
    <row r="143" spans="2:2" ht="15.75" customHeight="1">
      <c r="B143" s="35"/>
    </row>
    <row r="144" spans="2:2" ht="15.75" customHeight="1">
      <c r="B144" s="35"/>
    </row>
    <row r="145" spans="2:2" ht="15.75" customHeight="1">
      <c r="B145" s="35"/>
    </row>
    <row r="146" spans="2:2" ht="15.75" customHeight="1">
      <c r="B146" s="35"/>
    </row>
    <row r="147" spans="2:2" ht="15.75" customHeight="1">
      <c r="B147" s="35"/>
    </row>
    <row r="148" spans="2:2" ht="15.75" customHeight="1">
      <c r="B148" s="35"/>
    </row>
    <row r="149" spans="2:2" ht="15.75" customHeight="1">
      <c r="B149" s="35"/>
    </row>
    <row r="150" spans="2:2" ht="15.75" customHeight="1">
      <c r="B150" s="35"/>
    </row>
    <row r="151" spans="2:2" ht="15.75" customHeight="1">
      <c r="B151" s="35"/>
    </row>
    <row r="152" spans="2:2" ht="15.75" customHeight="1">
      <c r="B152" s="35"/>
    </row>
    <row r="153" spans="2:2" ht="15.75" customHeight="1">
      <c r="B153" s="35"/>
    </row>
    <row r="154" spans="2:2" ht="15.75" customHeight="1">
      <c r="B154" s="35"/>
    </row>
    <row r="155" spans="2:2" ht="15.75" customHeight="1">
      <c r="B155" s="35"/>
    </row>
    <row r="156" spans="2:2" ht="15.75" customHeight="1">
      <c r="B156" s="35"/>
    </row>
    <row r="157" spans="2:2" ht="15.75" customHeight="1">
      <c r="B157" s="35"/>
    </row>
    <row r="158" spans="2:2" ht="15.75" customHeight="1">
      <c r="B158" s="35"/>
    </row>
    <row r="159" spans="2:2" ht="15.75" customHeight="1">
      <c r="B159" s="35"/>
    </row>
    <row r="160" spans="2:2" ht="15.75" customHeight="1">
      <c r="B160" s="35"/>
    </row>
    <row r="161" spans="2:2" ht="15.75" customHeight="1">
      <c r="B161" s="35"/>
    </row>
    <row r="162" spans="2:2" ht="15.75" customHeight="1">
      <c r="B162" s="35"/>
    </row>
    <row r="163" spans="2:2" ht="15.75" customHeight="1">
      <c r="B163" s="35"/>
    </row>
    <row r="164" spans="2:2" ht="15.75" customHeight="1">
      <c r="B164" s="35"/>
    </row>
    <row r="165" spans="2:2" ht="15.75" customHeight="1">
      <c r="B165" s="35"/>
    </row>
    <row r="166" spans="2:2" ht="15.75" customHeight="1">
      <c r="B166" s="35"/>
    </row>
    <row r="167" spans="2:2" ht="15.75" customHeight="1">
      <c r="B167" s="35"/>
    </row>
    <row r="168" spans="2:2" ht="15.75" customHeight="1">
      <c r="B168" s="35"/>
    </row>
    <row r="169" spans="2:2" ht="15.75" customHeight="1">
      <c r="B169" s="35"/>
    </row>
    <row r="170" spans="2:2" ht="15.75" customHeight="1">
      <c r="B170" s="35"/>
    </row>
    <row r="171" spans="2:2" ht="15.75" customHeight="1">
      <c r="B171" s="35"/>
    </row>
    <row r="172" spans="2:2" ht="15.75" customHeight="1">
      <c r="B172" s="35"/>
    </row>
    <row r="173" spans="2:2" ht="15.75" customHeight="1">
      <c r="B173" s="35"/>
    </row>
    <row r="174" spans="2:2" ht="15.75" customHeight="1">
      <c r="B174" s="35"/>
    </row>
    <row r="175" spans="2:2" ht="15.75" customHeight="1">
      <c r="B175" s="35"/>
    </row>
    <row r="176" spans="2:2" ht="15.75" customHeight="1">
      <c r="B176" s="35"/>
    </row>
    <row r="177" spans="2:2" ht="15.75" customHeight="1">
      <c r="B177" s="35"/>
    </row>
    <row r="178" spans="2:2" ht="15.75" customHeight="1">
      <c r="B178" s="35"/>
    </row>
    <row r="179" spans="2:2" ht="15.75" customHeight="1">
      <c r="B179" s="35"/>
    </row>
    <row r="180" spans="2:2" ht="15.75" customHeight="1">
      <c r="B180" s="35"/>
    </row>
    <row r="181" spans="2:2" ht="15.75" customHeight="1">
      <c r="B181" s="35"/>
    </row>
    <row r="182" spans="2:2" ht="15.75" customHeight="1">
      <c r="B182" s="35"/>
    </row>
    <row r="183" spans="2:2" ht="15.75" customHeight="1">
      <c r="B183" s="35"/>
    </row>
    <row r="184" spans="2:2" ht="15.75" customHeight="1">
      <c r="B184" s="35"/>
    </row>
    <row r="185" spans="2:2" ht="15.75" customHeight="1">
      <c r="B185" s="35"/>
    </row>
    <row r="186" spans="2:2" ht="15.75" customHeight="1">
      <c r="B186" s="35"/>
    </row>
    <row r="187" spans="2:2" ht="15.75" customHeight="1">
      <c r="B187" s="35"/>
    </row>
    <row r="188" spans="2:2" ht="15.75" customHeight="1">
      <c r="B188" s="35"/>
    </row>
    <row r="189" spans="2:2" ht="15.75" customHeight="1">
      <c r="B189" s="35"/>
    </row>
    <row r="190" spans="2:2" ht="15.75" customHeight="1">
      <c r="B190" s="35"/>
    </row>
    <row r="191" spans="2:2" ht="15.75" customHeight="1">
      <c r="B191" s="35"/>
    </row>
    <row r="192" spans="2:2" ht="15.75" customHeight="1">
      <c r="B192" s="35"/>
    </row>
    <row r="193" spans="2:2" ht="15.75" customHeight="1">
      <c r="B193" s="35"/>
    </row>
    <row r="194" spans="2:2" ht="15.75" customHeight="1">
      <c r="B194" s="35"/>
    </row>
    <row r="195" spans="2:2" ht="15.75" customHeight="1">
      <c r="B195" s="35"/>
    </row>
    <row r="196" spans="2:2" ht="15.75" customHeight="1">
      <c r="B196" s="35"/>
    </row>
    <row r="197" spans="2:2" ht="15.75" customHeight="1">
      <c r="B197" s="35"/>
    </row>
    <row r="198" spans="2:2" ht="15.75" customHeight="1">
      <c r="B198" s="35"/>
    </row>
    <row r="199" spans="2:2" ht="15.75" customHeight="1">
      <c r="B199" s="35"/>
    </row>
    <row r="200" spans="2:2" ht="15.75" customHeight="1">
      <c r="B200" s="35"/>
    </row>
    <row r="201" spans="2:2" ht="15.75" customHeight="1">
      <c r="B201" s="35"/>
    </row>
    <row r="202" spans="2:2" ht="15.75" customHeight="1">
      <c r="B202" s="35"/>
    </row>
    <row r="203" spans="2:2" ht="15.75" customHeight="1">
      <c r="B203" s="35"/>
    </row>
    <row r="204" spans="2:2" ht="15.75" customHeight="1">
      <c r="B204" s="35"/>
    </row>
    <row r="205" spans="2:2" ht="15.75" customHeight="1">
      <c r="B205" s="35"/>
    </row>
    <row r="206" spans="2:2" ht="15.75" customHeight="1">
      <c r="B206" s="35"/>
    </row>
    <row r="207" spans="2:2" ht="15.75" customHeight="1">
      <c r="B207" s="35"/>
    </row>
    <row r="208" spans="2:2" ht="15.75" customHeight="1">
      <c r="B208" s="35"/>
    </row>
    <row r="209" spans="2:2" ht="15.75" customHeight="1">
      <c r="B209" s="35"/>
    </row>
    <row r="210" spans="2:2" ht="15.75" customHeight="1">
      <c r="B210" s="35"/>
    </row>
    <row r="211" spans="2:2" ht="15.75" customHeight="1">
      <c r="B211" s="35"/>
    </row>
    <row r="212" spans="2:2" ht="15.75" customHeight="1">
      <c r="B212" s="35"/>
    </row>
    <row r="213" spans="2:2" ht="15.75" customHeight="1">
      <c r="B213" s="35"/>
    </row>
    <row r="214" spans="2:2" ht="15.75" customHeight="1">
      <c r="B214" s="35"/>
    </row>
    <row r="215" spans="2:2" ht="15.75" customHeight="1">
      <c r="B215" s="35"/>
    </row>
    <row r="216" spans="2:2" ht="15.75" customHeight="1">
      <c r="B216" s="35"/>
    </row>
    <row r="217" spans="2:2" ht="15.75" customHeight="1">
      <c r="B217" s="35"/>
    </row>
    <row r="218" spans="2:2" ht="15.75" customHeight="1">
      <c r="B218" s="35"/>
    </row>
    <row r="219" spans="2:2" ht="15.75" customHeight="1">
      <c r="B219" s="35"/>
    </row>
    <row r="220" spans="2:2" ht="15.75" customHeight="1">
      <c r="B220" s="35"/>
    </row>
    <row r="221" spans="2:2" ht="15.75" customHeight="1">
      <c r="B221" s="35"/>
    </row>
    <row r="222" spans="2:2" ht="15.75" customHeight="1">
      <c r="B222" s="35"/>
    </row>
    <row r="223" spans="2:2" ht="15.75" customHeight="1">
      <c r="B223" s="35"/>
    </row>
    <row r="224" spans="2:2" ht="15.75" customHeight="1">
      <c r="B224" s="35"/>
    </row>
    <row r="225" spans="2:2" ht="15.75" customHeight="1">
      <c r="B225" s="35"/>
    </row>
    <row r="226" spans="2:2" ht="15.75" customHeight="1">
      <c r="B226" s="35"/>
    </row>
    <row r="227" spans="2:2" ht="15.75" customHeight="1">
      <c r="B227" s="35"/>
    </row>
    <row r="228" spans="2:2" ht="15.75" customHeight="1">
      <c r="B228" s="35"/>
    </row>
    <row r="229" spans="2:2" ht="15.75" customHeight="1">
      <c r="B229" s="35"/>
    </row>
    <row r="230" spans="2:2" ht="15.75" customHeight="1">
      <c r="B230" s="35"/>
    </row>
    <row r="231" spans="2:2" ht="15.75" customHeight="1">
      <c r="B231" s="35"/>
    </row>
    <row r="232" spans="2:2" ht="15.75" customHeight="1">
      <c r="B232" s="35"/>
    </row>
    <row r="233" spans="2:2" ht="15.75" customHeight="1">
      <c r="B233" s="35"/>
    </row>
    <row r="234" spans="2:2" ht="15.75" customHeight="1">
      <c r="B234" s="35"/>
    </row>
    <row r="235" spans="2:2" ht="15.75" customHeight="1">
      <c r="B235" s="35"/>
    </row>
    <row r="236" spans="2:2" ht="15.75" customHeight="1">
      <c r="B236" s="35"/>
    </row>
    <row r="237" spans="2:2" ht="15.75" customHeight="1">
      <c r="B237" s="35"/>
    </row>
    <row r="238" spans="2:2" ht="15.75" customHeight="1">
      <c r="B238" s="35"/>
    </row>
    <row r="239" spans="2:2" ht="15.75" customHeight="1">
      <c r="B239" s="35"/>
    </row>
    <row r="240" spans="2:2" ht="15.75" customHeight="1">
      <c r="B240" s="35"/>
    </row>
    <row r="241" spans="2:2" ht="15.75" customHeight="1">
      <c r="B241" s="35"/>
    </row>
    <row r="242" spans="2:2" ht="15.75" customHeight="1">
      <c r="B242" s="35"/>
    </row>
    <row r="243" spans="2:2" ht="15.75" customHeight="1">
      <c r="B243" s="35"/>
    </row>
    <row r="244" spans="2:2" ht="15.75" customHeight="1">
      <c r="B244" s="35"/>
    </row>
    <row r="245" spans="2:2" ht="15.75" customHeight="1">
      <c r="B245" s="35"/>
    </row>
    <row r="246" spans="2:2" ht="15.75" customHeight="1">
      <c r="B246" s="35"/>
    </row>
    <row r="247" spans="2:2" ht="15.75" customHeight="1">
      <c r="B247" s="35"/>
    </row>
    <row r="248" spans="2:2" ht="15.75" customHeight="1">
      <c r="B248" s="35"/>
    </row>
    <row r="249" spans="2:2" ht="15.75" customHeight="1">
      <c r="B249" s="35"/>
    </row>
    <row r="250" spans="2:2" ht="15.75" customHeight="1">
      <c r="B250" s="35"/>
    </row>
    <row r="251" spans="2:2" ht="15.75" customHeight="1">
      <c r="B251" s="35"/>
    </row>
    <row r="252" spans="2:2" ht="15.75" customHeight="1">
      <c r="B252" s="35"/>
    </row>
    <row r="253" spans="2:2" ht="15.75" customHeight="1">
      <c r="B253" s="35"/>
    </row>
    <row r="254" spans="2:2" ht="15.75" customHeight="1">
      <c r="B254" s="35"/>
    </row>
    <row r="255" spans="2:2" ht="15.75" customHeight="1">
      <c r="B255" s="35"/>
    </row>
    <row r="256" spans="2:2" ht="15.75" customHeight="1">
      <c r="B256" s="35"/>
    </row>
    <row r="257" spans="2:2" ht="15.75" customHeight="1">
      <c r="B257" s="35"/>
    </row>
    <row r="258" spans="2:2" ht="15.75" customHeight="1">
      <c r="B258" s="35"/>
    </row>
    <row r="259" spans="2:2" ht="15.75" customHeight="1">
      <c r="B259" s="35"/>
    </row>
    <row r="260" spans="2:2" ht="15.75" customHeight="1">
      <c r="B260" s="35"/>
    </row>
    <row r="261" spans="2:2" ht="15.75" customHeight="1">
      <c r="B261" s="35"/>
    </row>
    <row r="262" spans="2:2" ht="15.75" customHeight="1">
      <c r="B262" s="35"/>
    </row>
    <row r="263" spans="2:2" ht="15.75" customHeight="1">
      <c r="B263" s="35"/>
    </row>
    <row r="264" spans="2:2" ht="15.75" customHeight="1">
      <c r="B264" s="35"/>
    </row>
    <row r="265" spans="2:2" ht="15.75" customHeight="1">
      <c r="B265" s="35"/>
    </row>
    <row r="266" spans="2:2" ht="15.75" customHeight="1">
      <c r="B266" s="35"/>
    </row>
    <row r="267" spans="2:2" ht="15.75" customHeight="1">
      <c r="B267" s="35"/>
    </row>
    <row r="268" spans="2:2" ht="15.75" customHeight="1">
      <c r="B268" s="35"/>
    </row>
    <row r="269" spans="2:2" ht="15.75" customHeight="1">
      <c r="B269" s="35"/>
    </row>
    <row r="270" spans="2:2" ht="15.75" customHeight="1">
      <c r="B270" s="35"/>
    </row>
    <row r="271" spans="2:2" ht="15.75" customHeight="1">
      <c r="B271" s="35"/>
    </row>
    <row r="272" spans="2:2" ht="15.75" customHeight="1">
      <c r="B272" s="35"/>
    </row>
    <row r="273" spans="2:2" ht="15.75" customHeight="1">
      <c r="B273" s="35"/>
    </row>
    <row r="274" spans="2:2" ht="15.75" customHeight="1">
      <c r="B274" s="35"/>
    </row>
    <row r="275" spans="2:2" ht="15.75" customHeight="1">
      <c r="B275" s="35"/>
    </row>
    <row r="276" spans="2:2" ht="15.75" customHeight="1">
      <c r="B276" s="35"/>
    </row>
    <row r="277" spans="2:2" ht="15.75" customHeight="1">
      <c r="B277" s="35"/>
    </row>
    <row r="278" spans="2:2" ht="15.75" customHeight="1">
      <c r="B278" s="35"/>
    </row>
    <row r="279" spans="2:2" ht="15.75" customHeight="1">
      <c r="B279" s="35"/>
    </row>
    <row r="280" spans="2:2" ht="15.75" customHeight="1">
      <c r="B280" s="35"/>
    </row>
    <row r="281" spans="2:2" ht="15.75" customHeight="1">
      <c r="B281" s="35"/>
    </row>
    <row r="282" spans="2:2" ht="15.75" customHeight="1">
      <c r="B282" s="35"/>
    </row>
    <row r="283" spans="2:2" ht="15.75" customHeight="1">
      <c r="B283" s="35"/>
    </row>
    <row r="284" spans="2:2" ht="15.75" customHeight="1">
      <c r="B284" s="35"/>
    </row>
    <row r="285" spans="2:2" ht="15.75" customHeight="1">
      <c r="B285" s="35"/>
    </row>
    <row r="286" spans="2:2" ht="15.75" customHeight="1">
      <c r="B286" s="35"/>
    </row>
    <row r="287" spans="2:2" ht="15.75" customHeight="1">
      <c r="B287" s="35"/>
    </row>
    <row r="288" spans="2:2" ht="15.75" customHeight="1">
      <c r="B288" s="35"/>
    </row>
    <row r="289" spans="2:2" ht="15.75" customHeight="1">
      <c r="B289" s="35"/>
    </row>
    <row r="290" spans="2:2" ht="15.75" customHeight="1">
      <c r="B290" s="35"/>
    </row>
    <row r="291" spans="2:2" ht="15.75" customHeight="1">
      <c r="B291" s="35"/>
    </row>
    <row r="292" spans="2:2" ht="15.75" customHeight="1">
      <c r="B292" s="35"/>
    </row>
    <row r="293" spans="2:2" ht="15.75" customHeight="1">
      <c r="B293" s="35"/>
    </row>
    <row r="294" spans="2:2" ht="15.75" customHeight="1">
      <c r="B294" s="35"/>
    </row>
    <row r="295" spans="2:2" ht="15.75" customHeight="1">
      <c r="B295" s="35"/>
    </row>
    <row r="296" spans="2:2" ht="15.75" customHeight="1">
      <c r="B296" s="35"/>
    </row>
    <row r="297" spans="2:2" ht="15.75" customHeight="1">
      <c r="B297" s="35"/>
    </row>
    <row r="298" spans="2:2" ht="15.75" customHeight="1">
      <c r="B298" s="35"/>
    </row>
    <row r="299" spans="2:2" ht="15.75" customHeight="1">
      <c r="B299" s="35"/>
    </row>
    <row r="300" spans="2:2" ht="15.75" customHeight="1">
      <c r="B300" s="35"/>
    </row>
    <row r="301" spans="2:2" ht="15.75" customHeight="1">
      <c r="B301" s="35"/>
    </row>
    <row r="302" spans="2:2" ht="15.75" customHeight="1">
      <c r="B302" s="35"/>
    </row>
    <row r="303" spans="2:2" ht="15.75" customHeight="1">
      <c r="B303" s="35"/>
    </row>
    <row r="304" spans="2:2" ht="15.75" customHeight="1">
      <c r="B304" s="35"/>
    </row>
    <row r="305" spans="2:2" ht="15.75" customHeight="1">
      <c r="B305" s="35"/>
    </row>
    <row r="306" spans="2:2" ht="15.75" customHeight="1">
      <c r="B306" s="35"/>
    </row>
    <row r="307" spans="2:2" ht="15.75" customHeight="1">
      <c r="B307" s="35"/>
    </row>
    <row r="308" spans="2:2" ht="15.75" customHeight="1">
      <c r="B308" s="35"/>
    </row>
    <row r="309" spans="2:2" ht="15.75" customHeight="1">
      <c r="B309" s="35"/>
    </row>
    <row r="310" spans="2:2" ht="15.75" customHeight="1">
      <c r="B310" s="35"/>
    </row>
    <row r="311" spans="2:2" ht="15.75" customHeight="1">
      <c r="B311" s="35"/>
    </row>
    <row r="312" spans="2:2" ht="15.75" customHeight="1">
      <c r="B312" s="35"/>
    </row>
    <row r="313" spans="2:2" ht="15.75" customHeight="1">
      <c r="B313" s="35"/>
    </row>
    <row r="314" spans="2:2" ht="15.75" customHeight="1">
      <c r="B314" s="35"/>
    </row>
    <row r="315" spans="2:2" ht="15.75" customHeight="1">
      <c r="B315" s="35"/>
    </row>
    <row r="316" spans="2:2" ht="15.75" customHeight="1">
      <c r="B316" s="35"/>
    </row>
    <row r="317" spans="2:2" ht="15.75" customHeight="1">
      <c r="B317" s="35"/>
    </row>
    <row r="318" spans="2:2" ht="15.75" customHeight="1">
      <c r="B318" s="35"/>
    </row>
    <row r="319" spans="2:2" ht="15.75" customHeight="1">
      <c r="B319" s="35"/>
    </row>
    <row r="320" spans="2:2" ht="15.75" customHeight="1">
      <c r="B320" s="35"/>
    </row>
    <row r="321" spans="2:2" ht="15.75" customHeight="1">
      <c r="B321" s="35"/>
    </row>
    <row r="322" spans="2:2" ht="15.75" customHeight="1">
      <c r="B322" s="35"/>
    </row>
    <row r="323" spans="2:2" ht="15.75" customHeight="1">
      <c r="B323" s="35"/>
    </row>
    <row r="324" spans="2:2" ht="15.75" customHeight="1">
      <c r="B324" s="35"/>
    </row>
    <row r="325" spans="2:2" ht="15.75" customHeight="1">
      <c r="B325" s="35"/>
    </row>
    <row r="326" spans="2:2" ht="15.75" customHeight="1">
      <c r="B326" s="35"/>
    </row>
    <row r="327" spans="2:2" ht="15.75" customHeight="1">
      <c r="B327" s="35"/>
    </row>
    <row r="328" spans="2:2" ht="15.75" customHeight="1">
      <c r="B328" s="35"/>
    </row>
    <row r="329" spans="2:2" ht="15.75" customHeight="1">
      <c r="B329" s="35"/>
    </row>
    <row r="330" spans="2:2" ht="15.75" customHeight="1">
      <c r="B330" s="35"/>
    </row>
    <row r="331" spans="2:2" ht="15.75" customHeight="1">
      <c r="B331" s="35"/>
    </row>
    <row r="332" spans="2:2" ht="15.75" customHeight="1">
      <c r="B332" s="35"/>
    </row>
    <row r="333" spans="2:2" ht="15.75" customHeight="1">
      <c r="B333" s="35"/>
    </row>
    <row r="334" spans="2:2" ht="15.75" customHeight="1">
      <c r="B334" s="35"/>
    </row>
    <row r="335" spans="2:2" ht="15.75" customHeight="1">
      <c r="B335" s="35"/>
    </row>
    <row r="336" spans="2:2" ht="15.75" customHeight="1">
      <c r="B336" s="35"/>
    </row>
    <row r="337" spans="2:2" ht="15.75" customHeight="1">
      <c r="B337" s="35"/>
    </row>
    <row r="338" spans="2:2" ht="15.75" customHeight="1">
      <c r="B338" s="35"/>
    </row>
    <row r="339" spans="2:2" ht="15.75" customHeight="1">
      <c r="B339" s="35"/>
    </row>
    <row r="340" spans="2:2" ht="15.75" customHeight="1">
      <c r="B340" s="35"/>
    </row>
    <row r="341" spans="2:2" ht="15.75" customHeight="1">
      <c r="B341" s="35"/>
    </row>
    <row r="342" spans="2:2" ht="15.75" customHeight="1">
      <c r="B342" s="35"/>
    </row>
    <row r="343" spans="2:2" ht="15.75" customHeight="1">
      <c r="B343" s="35"/>
    </row>
    <row r="344" spans="2:2" ht="15.75" customHeight="1">
      <c r="B344" s="35"/>
    </row>
    <row r="345" spans="2:2" ht="15.75" customHeight="1">
      <c r="B345" s="35"/>
    </row>
    <row r="346" spans="2:2" ht="15.75" customHeight="1">
      <c r="B346" s="35"/>
    </row>
    <row r="347" spans="2:2" ht="15.75" customHeight="1">
      <c r="B347" s="35"/>
    </row>
    <row r="348" spans="2:2" ht="15.75" customHeight="1">
      <c r="B348" s="35"/>
    </row>
    <row r="349" spans="2:2" ht="15.75" customHeight="1">
      <c r="B349" s="35"/>
    </row>
    <row r="350" spans="2:2" ht="15.75" customHeight="1">
      <c r="B350" s="35"/>
    </row>
    <row r="351" spans="2:2" ht="15.75" customHeight="1">
      <c r="B351" s="35"/>
    </row>
    <row r="352" spans="2:2" ht="15.75" customHeight="1">
      <c r="B352" s="35"/>
    </row>
    <row r="353" spans="2:2" ht="15.75" customHeight="1">
      <c r="B353" s="35"/>
    </row>
    <row r="354" spans="2:2" ht="15.75" customHeight="1">
      <c r="B354" s="35"/>
    </row>
    <row r="355" spans="2:2" ht="15.75" customHeight="1">
      <c r="B355" s="35"/>
    </row>
    <row r="356" spans="2:2" ht="15.75" customHeight="1">
      <c r="B356" s="35"/>
    </row>
    <row r="357" spans="2:2" ht="15.75" customHeight="1">
      <c r="B357" s="35"/>
    </row>
    <row r="358" spans="2:2" ht="15.75" customHeight="1">
      <c r="B358" s="35"/>
    </row>
    <row r="359" spans="2:2" ht="15.75" customHeight="1">
      <c r="B359" s="35"/>
    </row>
    <row r="360" spans="2:2" ht="15.75" customHeight="1">
      <c r="B360" s="35"/>
    </row>
    <row r="361" spans="2:2" ht="15.75" customHeight="1">
      <c r="B361" s="35"/>
    </row>
    <row r="362" spans="2:2" ht="15.75" customHeight="1">
      <c r="B362" s="35"/>
    </row>
    <row r="363" spans="2:2" ht="15.75" customHeight="1">
      <c r="B363" s="35"/>
    </row>
    <row r="364" spans="2:2" ht="15.75" customHeight="1">
      <c r="B364" s="35"/>
    </row>
    <row r="365" spans="2:2" ht="15.75" customHeight="1">
      <c r="B365" s="35"/>
    </row>
    <row r="366" spans="2:2" ht="15.75" customHeight="1">
      <c r="B366" s="35"/>
    </row>
    <row r="367" spans="2:2" ht="15.75" customHeight="1">
      <c r="B367" s="35"/>
    </row>
    <row r="368" spans="2:2" ht="15.75" customHeight="1">
      <c r="B368" s="35"/>
    </row>
    <row r="369" spans="2:2" ht="15.75" customHeight="1">
      <c r="B369" s="35"/>
    </row>
    <row r="370" spans="2:2" ht="15.75" customHeight="1">
      <c r="B370" s="35"/>
    </row>
    <row r="371" spans="2:2" ht="15.75" customHeight="1">
      <c r="B371" s="35"/>
    </row>
    <row r="372" spans="2:2" ht="15.75" customHeight="1">
      <c r="B372" s="35"/>
    </row>
    <row r="373" spans="2:2" ht="15.75" customHeight="1">
      <c r="B373" s="35"/>
    </row>
    <row r="374" spans="2:2" ht="15.75" customHeight="1">
      <c r="B374" s="35"/>
    </row>
    <row r="375" spans="2:2" ht="15.75" customHeight="1">
      <c r="B375" s="35"/>
    </row>
    <row r="376" spans="2:2" ht="15.75" customHeight="1">
      <c r="B376" s="35"/>
    </row>
    <row r="377" spans="2:2" ht="15.75" customHeight="1">
      <c r="B377" s="35"/>
    </row>
    <row r="378" spans="2:2" ht="15.75" customHeight="1">
      <c r="B378" s="35"/>
    </row>
    <row r="379" spans="2:2" ht="15.75" customHeight="1">
      <c r="B379" s="35"/>
    </row>
    <row r="380" spans="2:2" ht="15.75" customHeight="1">
      <c r="B380" s="35"/>
    </row>
    <row r="381" spans="2:2" ht="15.75" customHeight="1">
      <c r="B381" s="35"/>
    </row>
    <row r="382" spans="2:2" ht="15.75" customHeight="1">
      <c r="B382" s="35"/>
    </row>
    <row r="383" spans="2:2" ht="15.75" customHeight="1">
      <c r="B383" s="35"/>
    </row>
    <row r="384" spans="2:2" ht="15.75" customHeight="1">
      <c r="B384" s="35"/>
    </row>
    <row r="385" spans="2:2" ht="15.75" customHeight="1">
      <c r="B385" s="35"/>
    </row>
    <row r="386" spans="2:2" ht="15.75" customHeight="1">
      <c r="B386" s="35"/>
    </row>
    <row r="387" spans="2:2" ht="15.75" customHeight="1">
      <c r="B387" s="35"/>
    </row>
    <row r="388" spans="2:2" ht="15.75" customHeight="1">
      <c r="B388" s="35"/>
    </row>
    <row r="389" spans="2:2" ht="15.75" customHeight="1">
      <c r="B389" s="35"/>
    </row>
    <row r="390" spans="2:2" ht="15.75" customHeight="1">
      <c r="B390" s="35"/>
    </row>
    <row r="391" spans="2:2" ht="15.75" customHeight="1">
      <c r="B391" s="35"/>
    </row>
    <row r="392" spans="2:2" ht="15.75" customHeight="1">
      <c r="B392" s="35"/>
    </row>
    <row r="393" spans="2:2" ht="15.75" customHeight="1">
      <c r="B393" s="35"/>
    </row>
    <row r="394" spans="2:2" ht="15.75" customHeight="1">
      <c r="B394" s="35"/>
    </row>
    <row r="395" spans="2:2" ht="15.75" customHeight="1">
      <c r="B395" s="35"/>
    </row>
    <row r="396" spans="2:2" ht="15.75" customHeight="1">
      <c r="B396" s="35"/>
    </row>
    <row r="397" spans="2:2" ht="15.75" customHeight="1">
      <c r="B397" s="35"/>
    </row>
    <row r="398" spans="2:2" ht="15.75" customHeight="1">
      <c r="B398" s="35"/>
    </row>
    <row r="399" spans="2:2" ht="15.75" customHeight="1">
      <c r="B399" s="35"/>
    </row>
    <row r="400" spans="2:2" ht="15.75" customHeight="1">
      <c r="B400" s="35"/>
    </row>
    <row r="401" spans="2:2" ht="15.75" customHeight="1">
      <c r="B401" s="35"/>
    </row>
    <row r="402" spans="2:2" ht="15.75" customHeight="1">
      <c r="B402" s="35"/>
    </row>
    <row r="403" spans="2:2" ht="15.75" customHeight="1">
      <c r="B403" s="35"/>
    </row>
    <row r="404" spans="2:2" ht="15.75" customHeight="1">
      <c r="B404" s="35"/>
    </row>
    <row r="405" spans="2:2" ht="15.75" customHeight="1">
      <c r="B405" s="35"/>
    </row>
    <row r="406" spans="2:2" ht="15.75" customHeight="1">
      <c r="B406" s="35"/>
    </row>
    <row r="407" spans="2:2" ht="15.75" customHeight="1">
      <c r="B407" s="35"/>
    </row>
    <row r="408" spans="2:2" ht="15.75" customHeight="1">
      <c r="B408" s="35"/>
    </row>
    <row r="409" spans="2:2" ht="15.75" customHeight="1">
      <c r="B409" s="35"/>
    </row>
    <row r="410" spans="2:2" ht="15.75" customHeight="1">
      <c r="B410" s="35"/>
    </row>
    <row r="411" spans="2:2" ht="15.75" customHeight="1">
      <c r="B411" s="35"/>
    </row>
    <row r="412" spans="2:2" ht="15.75" customHeight="1">
      <c r="B412" s="35"/>
    </row>
    <row r="413" spans="2:2" ht="15.75" customHeight="1">
      <c r="B413" s="35"/>
    </row>
    <row r="414" spans="2:2" ht="15.75" customHeight="1">
      <c r="B414" s="35"/>
    </row>
    <row r="415" spans="2:2" ht="15.75" customHeight="1">
      <c r="B415" s="35"/>
    </row>
    <row r="416" spans="2:2" ht="15.75" customHeight="1">
      <c r="B416" s="35"/>
    </row>
    <row r="417" spans="2:2" ht="15.75" customHeight="1">
      <c r="B417" s="35"/>
    </row>
    <row r="418" spans="2:2" ht="15.75" customHeight="1">
      <c r="B418" s="35"/>
    </row>
    <row r="419" spans="2:2" ht="15.75" customHeight="1">
      <c r="B419" s="35"/>
    </row>
    <row r="420" spans="2:2" ht="15.75" customHeight="1">
      <c r="B420" s="35"/>
    </row>
    <row r="421" spans="2:2" ht="15.75" customHeight="1">
      <c r="B421" s="35"/>
    </row>
    <row r="422" spans="2:2" ht="15.75" customHeight="1">
      <c r="B422" s="35"/>
    </row>
    <row r="423" spans="2:2" ht="15.75" customHeight="1">
      <c r="B423" s="35"/>
    </row>
    <row r="424" spans="2:2" ht="15.75" customHeight="1">
      <c r="B424" s="35"/>
    </row>
    <row r="425" spans="2:2" ht="15.75" customHeight="1">
      <c r="B425" s="35"/>
    </row>
    <row r="426" spans="2:2" ht="15.75" customHeight="1">
      <c r="B426" s="35"/>
    </row>
    <row r="427" spans="2:2" ht="15.75" customHeight="1">
      <c r="B427" s="35"/>
    </row>
    <row r="428" spans="2:2" ht="15.75" customHeight="1">
      <c r="B428" s="35"/>
    </row>
    <row r="429" spans="2:2" ht="15.75" customHeight="1">
      <c r="B429" s="35"/>
    </row>
    <row r="430" spans="2:2" ht="15.75" customHeight="1">
      <c r="B430" s="35"/>
    </row>
    <row r="431" spans="2:2" ht="15.75" customHeight="1">
      <c r="B431" s="35"/>
    </row>
    <row r="432" spans="2:2" ht="15.75" customHeight="1">
      <c r="B432" s="35"/>
    </row>
    <row r="433" spans="2:2" ht="15.75" customHeight="1">
      <c r="B433" s="35"/>
    </row>
    <row r="434" spans="2:2" ht="15.75" customHeight="1">
      <c r="B434" s="35"/>
    </row>
    <row r="435" spans="2:2" ht="15.75" customHeight="1">
      <c r="B435" s="35"/>
    </row>
    <row r="436" spans="2:2" ht="15.75" customHeight="1">
      <c r="B436" s="35"/>
    </row>
    <row r="437" spans="2:2" ht="15.75" customHeight="1">
      <c r="B437" s="35"/>
    </row>
    <row r="438" spans="2:2" ht="15.75" customHeight="1">
      <c r="B438" s="35"/>
    </row>
    <row r="439" spans="2:2" ht="15.75" customHeight="1">
      <c r="B439" s="35"/>
    </row>
    <row r="440" spans="2:2" ht="15.75" customHeight="1">
      <c r="B440" s="35"/>
    </row>
    <row r="441" spans="2:2" ht="15.75" customHeight="1">
      <c r="B441" s="35"/>
    </row>
    <row r="442" spans="2:2" ht="15.75" customHeight="1">
      <c r="B442" s="35"/>
    </row>
    <row r="443" spans="2:2" ht="15.75" customHeight="1">
      <c r="B443" s="35"/>
    </row>
    <row r="444" spans="2:2" ht="15.75" customHeight="1">
      <c r="B444" s="35"/>
    </row>
    <row r="445" spans="2:2" ht="15.75" customHeight="1">
      <c r="B445" s="35"/>
    </row>
    <row r="446" spans="2:2" ht="15.75" customHeight="1">
      <c r="B446" s="35"/>
    </row>
    <row r="447" spans="2:2" ht="15.75" customHeight="1">
      <c r="B447" s="35"/>
    </row>
    <row r="448" spans="2:2" ht="15.75" customHeight="1">
      <c r="B448" s="35"/>
    </row>
    <row r="449" spans="2:2" ht="15.75" customHeight="1">
      <c r="B449" s="35"/>
    </row>
    <row r="450" spans="2:2" ht="15.75" customHeight="1">
      <c r="B450" s="35"/>
    </row>
    <row r="451" spans="2:2" ht="15.75" customHeight="1">
      <c r="B451" s="35"/>
    </row>
    <row r="452" spans="2:2" ht="15.75" customHeight="1">
      <c r="B452" s="35"/>
    </row>
    <row r="453" spans="2:2" ht="15.75" customHeight="1">
      <c r="B453" s="35"/>
    </row>
    <row r="454" spans="2:2" ht="15.75" customHeight="1">
      <c r="B454" s="35"/>
    </row>
    <row r="455" spans="2:2" ht="15.75" customHeight="1">
      <c r="B455" s="35"/>
    </row>
    <row r="456" spans="2:2" ht="15.75" customHeight="1">
      <c r="B456" s="35"/>
    </row>
    <row r="457" spans="2:2" ht="15.75" customHeight="1">
      <c r="B457" s="35"/>
    </row>
    <row r="458" spans="2:2" ht="15.75" customHeight="1">
      <c r="B458" s="35"/>
    </row>
    <row r="459" spans="2:2" ht="15.75" customHeight="1">
      <c r="B459" s="35"/>
    </row>
    <row r="460" spans="2:2" ht="15.75" customHeight="1">
      <c r="B460" s="35"/>
    </row>
    <row r="461" spans="2:2" ht="15.75" customHeight="1">
      <c r="B461" s="35"/>
    </row>
    <row r="462" spans="2:2" ht="15.75" customHeight="1">
      <c r="B462" s="35"/>
    </row>
    <row r="463" spans="2:2" ht="15.75" customHeight="1">
      <c r="B463" s="35"/>
    </row>
    <row r="464" spans="2:2" ht="15.75" customHeight="1">
      <c r="B464" s="35"/>
    </row>
    <row r="465" spans="2:2" ht="15.75" customHeight="1">
      <c r="B465" s="35"/>
    </row>
    <row r="466" spans="2:2" ht="15.75" customHeight="1">
      <c r="B466" s="35"/>
    </row>
    <row r="467" spans="2:2" ht="15.75" customHeight="1">
      <c r="B467" s="35"/>
    </row>
    <row r="468" spans="2:2" ht="15.75" customHeight="1">
      <c r="B468" s="35"/>
    </row>
    <row r="469" spans="2:2" ht="15.75" customHeight="1">
      <c r="B469" s="35"/>
    </row>
    <row r="470" spans="2:2" ht="15.75" customHeight="1">
      <c r="B470" s="35"/>
    </row>
    <row r="471" spans="2:2" ht="15.75" customHeight="1">
      <c r="B471" s="35"/>
    </row>
    <row r="472" spans="2:2" ht="15.75" customHeight="1">
      <c r="B472" s="35"/>
    </row>
    <row r="473" spans="2:2" ht="15.75" customHeight="1">
      <c r="B473" s="35"/>
    </row>
    <row r="474" spans="2:2" ht="15.75" customHeight="1">
      <c r="B474" s="35"/>
    </row>
    <row r="475" spans="2:2" ht="15.75" customHeight="1">
      <c r="B475" s="35"/>
    </row>
    <row r="476" spans="2:2" ht="15.75" customHeight="1">
      <c r="B476" s="35"/>
    </row>
    <row r="477" spans="2:2" ht="15.75" customHeight="1">
      <c r="B477" s="35"/>
    </row>
    <row r="478" spans="2:2" ht="15.75" customHeight="1">
      <c r="B478" s="35"/>
    </row>
    <row r="479" spans="2:2" ht="15.75" customHeight="1">
      <c r="B479" s="35"/>
    </row>
    <row r="480" spans="2:2" ht="15.75" customHeight="1">
      <c r="B480" s="35"/>
    </row>
    <row r="481" spans="2:2" ht="15.75" customHeight="1">
      <c r="B481" s="35"/>
    </row>
    <row r="482" spans="2:2" ht="15.75" customHeight="1">
      <c r="B482" s="35"/>
    </row>
    <row r="483" spans="2:2" ht="15.75" customHeight="1">
      <c r="B483" s="35"/>
    </row>
    <row r="484" spans="2:2" ht="15.75" customHeight="1">
      <c r="B484" s="35"/>
    </row>
    <row r="485" spans="2:2" ht="15.75" customHeight="1">
      <c r="B485" s="35"/>
    </row>
    <row r="486" spans="2:2" ht="15.75" customHeight="1">
      <c r="B486" s="35"/>
    </row>
    <row r="487" spans="2:2" ht="15.75" customHeight="1">
      <c r="B487" s="35"/>
    </row>
    <row r="488" spans="2:2" ht="15.75" customHeight="1">
      <c r="B488" s="35"/>
    </row>
    <row r="489" spans="2:2" ht="15.75" customHeight="1">
      <c r="B489" s="35"/>
    </row>
    <row r="490" spans="2:2" ht="15.75" customHeight="1">
      <c r="B490" s="35"/>
    </row>
    <row r="491" spans="2:2" ht="15.75" customHeight="1">
      <c r="B491" s="35"/>
    </row>
    <row r="492" spans="2:2" ht="15.75" customHeight="1">
      <c r="B492" s="35"/>
    </row>
    <row r="493" spans="2:2" ht="15.75" customHeight="1">
      <c r="B493" s="35"/>
    </row>
    <row r="494" spans="2:2" ht="15.75" customHeight="1">
      <c r="B494" s="35"/>
    </row>
    <row r="495" spans="2:2" ht="15.75" customHeight="1">
      <c r="B495" s="35"/>
    </row>
    <row r="496" spans="2:2" ht="15.75" customHeight="1">
      <c r="B496" s="35"/>
    </row>
    <row r="497" spans="2:2" ht="15.75" customHeight="1">
      <c r="B497" s="35"/>
    </row>
    <row r="498" spans="2:2" ht="15.75" customHeight="1">
      <c r="B498" s="35"/>
    </row>
    <row r="499" spans="2:2" ht="15.75" customHeight="1">
      <c r="B499" s="35"/>
    </row>
    <row r="500" spans="2:2" ht="15.75" customHeight="1">
      <c r="B500" s="35"/>
    </row>
    <row r="501" spans="2:2" ht="15.75" customHeight="1">
      <c r="B501" s="35"/>
    </row>
    <row r="502" spans="2:2" ht="15.75" customHeight="1">
      <c r="B502" s="35"/>
    </row>
    <row r="503" spans="2:2" ht="15.75" customHeight="1">
      <c r="B503" s="35"/>
    </row>
    <row r="504" spans="2:2" ht="15.75" customHeight="1">
      <c r="B504" s="35"/>
    </row>
    <row r="505" spans="2:2" ht="15.75" customHeight="1">
      <c r="B505" s="35"/>
    </row>
    <row r="506" spans="2:2" ht="15.75" customHeight="1">
      <c r="B506" s="35"/>
    </row>
    <row r="507" spans="2:2" ht="15.75" customHeight="1">
      <c r="B507" s="35"/>
    </row>
    <row r="508" spans="2:2" ht="15.75" customHeight="1">
      <c r="B508" s="35"/>
    </row>
    <row r="509" spans="2:2" ht="15.75" customHeight="1">
      <c r="B509" s="35"/>
    </row>
    <row r="510" spans="2:2" ht="15.75" customHeight="1">
      <c r="B510" s="35"/>
    </row>
    <row r="511" spans="2:2" ht="15.75" customHeight="1">
      <c r="B511" s="35"/>
    </row>
    <row r="512" spans="2:2" ht="15.75" customHeight="1">
      <c r="B512" s="35"/>
    </row>
    <row r="513" spans="2:2" ht="15.75" customHeight="1">
      <c r="B513" s="35"/>
    </row>
    <row r="514" spans="2:2" ht="15.75" customHeight="1">
      <c r="B514" s="35"/>
    </row>
    <row r="515" spans="2:2" ht="15.75" customHeight="1">
      <c r="B515" s="35"/>
    </row>
    <row r="516" spans="2:2" ht="15.75" customHeight="1">
      <c r="B516" s="35"/>
    </row>
    <row r="517" spans="2:2" ht="15.75" customHeight="1">
      <c r="B517" s="35"/>
    </row>
    <row r="518" spans="2:2" ht="15.75" customHeight="1">
      <c r="B518" s="35"/>
    </row>
    <row r="519" spans="2:2" ht="15.75" customHeight="1">
      <c r="B519" s="35"/>
    </row>
    <row r="520" spans="2:2" ht="15.75" customHeight="1">
      <c r="B520" s="35"/>
    </row>
    <row r="521" spans="2:2" ht="15.75" customHeight="1">
      <c r="B521" s="35"/>
    </row>
    <row r="522" spans="2:2" ht="15.75" customHeight="1">
      <c r="B522" s="35"/>
    </row>
    <row r="523" spans="2:2" ht="15.75" customHeight="1">
      <c r="B523" s="35"/>
    </row>
    <row r="524" spans="2:2" ht="15.75" customHeight="1">
      <c r="B524" s="35"/>
    </row>
    <row r="525" spans="2:2" ht="15.75" customHeight="1">
      <c r="B525" s="35"/>
    </row>
    <row r="526" spans="2:2" ht="15.75" customHeight="1">
      <c r="B526" s="35"/>
    </row>
    <row r="527" spans="2:2" ht="15.75" customHeight="1">
      <c r="B527" s="35"/>
    </row>
    <row r="528" spans="2:2" ht="15.75" customHeight="1">
      <c r="B528" s="35"/>
    </row>
    <row r="529" spans="2:2" ht="15.75" customHeight="1">
      <c r="B529" s="35"/>
    </row>
    <row r="530" spans="2:2" ht="15.75" customHeight="1">
      <c r="B530" s="35"/>
    </row>
    <row r="531" spans="2:2" ht="15.75" customHeight="1">
      <c r="B531" s="35"/>
    </row>
    <row r="532" spans="2:2" ht="15.75" customHeight="1">
      <c r="B532" s="35"/>
    </row>
    <row r="533" spans="2:2" ht="15.75" customHeight="1">
      <c r="B533" s="35"/>
    </row>
    <row r="534" spans="2:2" ht="15.75" customHeight="1">
      <c r="B534" s="35"/>
    </row>
    <row r="535" spans="2:2" ht="15.75" customHeight="1">
      <c r="B535" s="35"/>
    </row>
    <row r="536" spans="2:2" ht="15.75" customHeight="1">
      <c r="B536" s="35"/>
    </row>
    <row r="537" spans="2:2" ht="15.75" customHeight="1">
      <c r="B537" s="35"/>
    </row>
    <row r="538" spans="2:2" ht="15.75" customHeight="1">
      <c r="B538" s="35"/>
    </row>
    <row r="539" spans="2:2" ht="15.75" customHeight="1">
      <c r="B539" s="35"/>
    </row>
    <row r="540" spans="2:2" ht="15.75" customHeight="1">
      <c r="B540" s="35"/>
    </row>
    <row r="541" spans="2:2" ht="15.75" customHeight="1">
      <c r="B541" s="35"/>
    </row>
    <row r="542" spans="2:2" ht="15.75" customHeight="1">
      <c r="B542" s="35"/>
    </row>
    <row r="543" spans="2:2" ht="15.75" customHeight="1">
      <c r="B543" s="35"/>
    </row>
    <row r="544" spans="2:2" ht="15.75" customHeight="1">
      <c r="B544" s="35"/>
    </row>
    <row r="545" spans="2:2" ht="15.75" customHeight="1">
      <c r="B545" s="35"/>
    </row>
    <row r="546" spans="2:2" ht="15.75" customHeight="1">
      <c r="B546" s="35"/>
    </row>
    <row r="547" spans="2:2" ht="15.75" customHeight="1">
      <c r="B547" s="35"/>
    </row>
    <row r="548" spans="2:2" ht="15.75" customHeight="1">
      <c r="B548" s="35"/>
    </row>
    <row r="549" spans="2:2" ht="15.75" customHeight="1">
      <c r="B549" s="35"/>
    </row>
    <row r="550" spans="2:2" ht="15.75" customHeight="1">
      <c r="B550" s="35"/>
    </row>
    <row r="551" spans="2:2" ht="15.75" customHeight="1">
      <c r="B551" s="35"/>
    </row>
    <row r="552" spans="2:2" ht="15.75" customHeight="1">
      <c r="B552" s="35"/>
    </row>
    <row r="553" spans="2:2" ht="15.75" customHeight="1">
      <c r="B553" s="35"/>
    </row>
    <row r="554" spans="2:2" ht="15.75" customHeight="1">
      <c r="B554" s="35"/>
    </row>
    <row r="555" spans="2:2" ht="15.75" customHeight="1">
      <c r="B555" s="35"/>
    </row>
    <row r="556" spans="2:2" ht="15.75" customHeight="1">
      <c r="B556" s="35"/>
    </row>
    <row r="557" spans="2:2" ht="15.75" customHeight="1">
      <c r="B557" s="35"/>
    </row>
    <row r="558" spans="2:2" ht="15.75" customHeight="1">
      <c r="B558" s="35"/>
    </row>
    <row r="559" spans="2:2" ht="15.75" customHeight="1">
      <c r="B559" s="35"/>
    </row>
    <row r="560" spans="2:2" ht="15.75" customHeight="1">
      <c r="B560" s="35"/>
    </row>
    <row r="561" spans="2:2" ht="15.75" customHeight="1">
      <c r="B561" s="35"/>
    </row>
    <row r="562" spans="2:2" ht="15.75" customHeight="1">
      <c r="B562" s="35"/>
    </row>
    <row r="563" spans="2:2" ht="15.75" customHeight="1">
      <c r="B563" s="35"/>
    </row>
    <row r="564" spans="2:2" ht="15.75" customHeight="1">
      <c r="B564" s="35"/>
    </row>
    <row r="565" spans="2:2" ht="15.75" customHeight="1">
      <c r="B565" s="35"/>
    </row>
    <row r="566" spans="2:2" ht="15.75" customHeight="1">
      <c r="B566" s="35"/>
    </row>
    <row r="567" spans="2:2" ht="15.75" customHeight="1">
      <c r="B567" s="35"/>
    </row>
    <row r="568" spans="2:2" ht="15.75" customHeight="1">
      <c r="B568" s="35"/>
    </row>
    <row r="569" spans="2:2" ht="15.75" customHeight="1">
      <c r="B569" s="35"/>
    </row>
    <row r="570" spans="2:2" ht="15.75" customHeight="1">
      <c r="B570" s="35"/>
    </row>
    <row r="571" spans="2:2" ht="15.75" customHeight="1">
      <c r="B571" s="35"/>
    </row>
    <row r="572" spans="2:2" ht="15.75" customHeight="1">
      <c r="B572" s="35"/>
    </row>
    <row r="573" spans="2:2" ht="15.75" customHeight="1">
      <c r="B573" s="35"/>
    </row>
    <row r="574" spans="2:2" ht="15.75" customHeight="1">
      <c r="B574" s="35"/>
    </row>
    <row r="575" spans="2:2" ht="15.75" customHeight="1">
      <c r="B575" s="35"/>
    </row>
    <row r="576" spans="2:2" ht="15.75" customHeight="1">
      <c r="B576" s="35"/>
    </row>
    <row r="577" spans="2:2" ht="15.75" customHeight="1">
      <c r="B577" s="35"/>
    </row>
    <row r="578" spans="2:2" ht="15.75" customHeight="1">
      <c r="B578" s="35"/>
    </row>
    <row r="579" spans="2:2" ht="15.75" customHeight="1">
      <c r="B579" s="35"/>
    </row>
    <row r="580" spans="2:2" ht="15.75" customHeight="1">
      <c r="B580" s="35"/>
    </row>
    <row r="581" spans="2:2" ht="15.75" customHeight="1">
      <c r="B581" s="35"/>
    </row>
    <row r="582" spans="2:2" ht="15.75" customHeight="1">
      <c r="B582" s="35"/>
    </row>
    <row r="583" spans="2:2" ht="15.75" customHeight="1">
      <c r="B583" s="35"/>
    </row>
    <row r="584" spans="2:2" ht="15.75" customHeight="1">
      <c r="B584" s="35"/>
    </row>
    <row r="585" spans="2:2" ht="15.75" customHeight="1">
      <c r="B585" s="35"/>
    </row>
    <row r="586" spans="2:2" ht="15.75" customHeight="1">
      <c r="B586" s="35"/>
    </row>
    <row r="587" spans="2:2" ht="15.75" customHeight="1">
      <c r="B587" s="35"/>
    </row>
    <row r="588" spans="2:2" ht="15.75" customHeight="1">
      <c r="B588" s="35"/>
    </row>
    <row r="589" spans="2:2" ht="15.75" customHeight="1">
      <c r="B589" s="35"/>
    </row>
    <row r="590" spans="2:2" ht="15.75" customHeight="1">
      <c r="B590" s="35"/>
    </row>
    <row r="591" spans="2:2" ht="15.75" customHeight="1">
      <c r="B591" s="35"/>
    </row>
    <row r="592" spans="2:2" ht="15.75" customHeight="1">
      <c r="B592" s="35"/>
    </row>
    <row r="593" spans="2:2" ht="15.75" customHeight="1">
      <c r="B593" s="35"/>
    </row>
    <row r="594" spans="2:2" ht="15.75" customHeight="1">
      <c r="B594" s="35"/>
    </row>
    <row r="595" spans="2:2" ht="15.75" customHeight="1">
      <c r="B595" s="35"/>
    </row>
    <row r="596" spans="2:2" ht="15.75" customHeight="1">
      <c r="B596" s="35"/>
    </row>
    <row r="597" spans="2:2" ht="15.75" customHeight="1">
      <c r="B597" s="35"/>
    </row>
    <row r="598" spans="2:2" ht="15.75" customHeight="1">
      <c r="B598" s="35"/>
    </row>
    <row r="599" spans="2:2" ht="15.75" customHeight="1">
      <c r="B599" s="35"/>
    </row>
    <row r="600" spans="2:2" ht="15.75" customHeight="1">
      <c r="B600" s="35"/>
    </row>
    <row r="601" spans="2:2" ht="15.75" customHeight="1">
      <c r="B601" s="35"/>
    </row>
    <row r="602" spans="2:2" ht="15.75" customHeight="1">
      <c r="B602" s="35"/>
    </row>
    <row r="603" spans="2:2" ht="15.75" customHeight="1">
      <c r="B603" s="35"/>
    </row>
    <row r="604" spans="2:2" ht="15.75" customHeight="1">
      <c r="B604" s="35"/>
    </row>
    <row r="605" spans="2:2" ht="15.75" customHeight="1">
      <c r="B605" s="35"/>
    </row>
    <row r="606" spans="2:2" ht="15.75" customHeight="1">
      <c r="B606" s="35"/>
    </row>
    <row r="607" spans="2:2" ht="15.75" customHeight="1">
      <c r="B607" s="35"/>
    </row>
    <row r="608" spans="2:2" ht="15.75" customHeight="1">
      <c r="B608" s="35"/>
    </row>
    <row r="609" spans="2:2" ht="15.75" customHeight="1">
      <c r="B609" s="35"/>
    </row>
    <row r="610" spans="2:2" ht="15.75" customHeight="1">
      <c r="B610" s="35"/>
    </row>
    <row r="611" spans="2:2" ht="15.75" customHeight="1">
      <c r="B611" s="35"/>
    </row>
    <row r="612" spans="2:2" ht="15.75" customHeight="1">
      <c r="B612" s="35"/>
    </row>
    <row r="613" spans="2:2" ht="15.75" customHeight="1">
      <c r="B613" s="35"/>
    </row>
    <row r="614" spans="2:2" ht="15.75" customHeight="1">
      <c r="B614" s="35"/>
    </row>
    <row r="615" spans="2:2" ht="15.75" customHeight="1">
      <c r="B615" s="35"/>
    </row>
    <row r="616" spans="2:2" ht="15.75" customHeight="1">
      <c r="B616" s="35"/>
    </row>
    <row r="617" spans="2:2" ht="15.75" customHeight="1">
      <c r="B617" s="35"/>
    </row>
    <row r="618" spans="2:2" ht="15.75" customHeight="1">
      <c r="B618" s="35"/>
    </row>
    <row r="619" spans="2:2" ht="15.75" customHeight="1">
      <c r="B619" s="35"/>
    </row>
    <row r="620" spans="2:2" ht="15.75" customHeight="1">
      <c r="B620" s="35"/>
    </row>
    <row r="621" spans="2:2" ht="15.75" customHeight="1">
      <c r="B621" s="35"/>
    </row>
    <row r="622" spans="2:2" ht="15.75" customHeight="1">
      <c r="B622" s="35"/>
    </row>
    <row r="623" spans="2:2" ht="15.75" customHeight="1">
      <c r="B623" s="35"/>
    </row>
    <row r="624" spans="2:2" ht="15.75" customHeight="1">
      <c r="B624" s="35"/>
    </row>
    <row r="625" spans="2:2" ht="15.75" customHeight="1">
      <c r="B625" s="35"/>
    </row>
    <row r="626" spans="2:2" ht="15.75" customHeight="1">
      <c r="B626" s="35"/>
    </row>
    <row r="627" spans="2:2" ht="15.75" customHeight="1">
      <c r="B627" s="35"/>
    </row>
    <row r="628" spans="2:2" ht="15.75" customHeight="1">
      <c r="B628" s="35"/>
    </row>
    <row r="629" spans="2:2" ht="15.75" customHeight="1">
      <c r="B629" s="35"/>
    </row>
    <row r="630" spans="2:2" ht="15.75" customHeight="1">
      <c r="B630" s="35"/>
    </row>
    <row r="631" spans="2:2" ht="15.75" customHeight="1">
      <c r="B631" s="35"/>
    </row>
    <row r="632" spans="2:2" ht="15.75" customHeight="1">
      <c r="B632" s="35"/>
    </row>
    <row r="633" spans="2:2" ht="15.75" customHeight="1">
      <c r="B633" s="35"/>
    </row>
    <row r="634" spans="2:2" ht="15.75" customHeight="1">
      <c r="B634" s="35"/>
    </row>
    <row r="635" spans="2:2" ht="15.75" customHeight="1">
      <c r="B635" s="35"/>
    </row>
    <row r="636" spans="2:2" ht="15.75" customHeight="1">
      <c r="B636" s="35"/>
    </row>
    <row r="637" spans="2:2" ht="15.75" customHeight="1">
      <c r="B637" s="35"/>
    </row>
    <row r="638" spans="2:2" ht="15.75" customHeight="1">
      <c r="B638" s="35"/>
    </row>
    <row r="639" spans="2:2" ht="15.75" customHeight="1">
      <c r="B639" s="35"/>
    </row>
    <row r="640" spans="2:2" ht="15.75" customHeight="1">
      <c r="B640" s="35"/>
    </row>
    <row r="641" spans="2:2" ht="15.75" customHeight="1">
      <c r="B641" s="35"/>
    </row>
    <row r="642" spans="2:2" ht="15.75" customHeight="1">
      <c r="B642" s="35"/>
    </row>
    <row r="643" spans="2:2" ht="15.75" customHeight="1">
      <c r="B643" s="35"/>
    </row>
    <row r="644" spans="2:2" ht="15.75" customHeight="1">
      <c r="B644" s="35"/>
    </row>
    <row r="645" spans="2:2" ht="15.75" customHeight="1">
      <c r="B645" s="35"/>
    </row>
    <row r="646" spans="2:2" ht="15.75" customHeight="1">
      <c r="B646" s="35"/>
    </row>
    <row r="647" spans="2:2" ht="15.75" customHeight="1">
      <c r="B647" s="35"/>
    </row>
    <row r="648" spans="2:2" ht="15.75" customHeight="1">
      <c r="B648" s="35"/>
    </row>
    <row r="649" spans="2:2" ht="15.75" customHeight="1">
      <c r="B649" s="35"/>
    </row>
    <row r="650" spans="2:2" ht="15.75" customHeight="1">
      <c r="B650" s="35"/>
    </row>
    <row r="651" spans="2:2" ht="15.75" customHeight="1">
      <c r="B651" s="35"/>
    </row>
    <row r="652" spans="2:2" ht="15.75" customHeight="1">
      <c r="B652" s="35"/>
    </row>
    <row r="653" spans="2:2" ht="15.75" customHeight="1">
      <c r="B653" s="35"/>
    </row>
    <row r="654" spans="2:2" ht="15.75" customHeight="1">
      <c r="B654" s="35"/>
    </row>
    <row r="655" spans="2:2" ht="15.75" customHeight="1">
      <c r="B655" s="35"/>
    </row>
    <row r="656" spans="2:2" ht="15.75" customHeight="1">
      <c r="B656" s="35"/>
    </row>
    <row r="657" spans="2:2" ht="15.75" customHeight="1">
      <c r="B657" s="35"/>
    </row>
    <row r="658" spans="2:2" ht="15.75" customHeight="1">
      <c r="B658" s="35"/>
    </row>
    <row r="659" spans="2:2" ht="15.75" customHeight="1">
      <c r="B659" s="35"/>
    </row>
    <row r="660" spans="2:2" ht="15.75" customHeight="1">
      <c r="B660" s="35"/>
    </row>
    <row r="661" spans="2:2" ht="15.75" customHeight="1">
      <c r="B661" s="35"/>
    </row>
    <row r="662" spans="2:2" ht="15.75" customHeight="1">
      <c r="B662" s="35"/>
    </row>
    <row r="663" spans="2:2" ht="15.75" customHeight="1">
      <c r="B663" s="35"/>
    </row>
    <row r="664" spans="2:2" ht="15.75" customHeight="1">
      <c r="B664" s="35"/>
    </row>
    <row r="665" spans="2:2" ht="15.75" customHeight="1">
      <c r="B665" s="35"/>
    </row>
    <row r="666" spans="2:2" ht="15.75" customHeight="1">
      <c r="B666" s="35"/>
    </row>
    <row r="667" spans="2:2" ht="15.75" customHeight="1">
      <c r="B667" s="35"/>
    </row>
    <row r="668" spans="2:2" ht="15.75" customHeight="1">
      <c r="B668" s="35"/>
    </row>
    <row r="669" spans="2:2" ht="15.75" customHeight="1">
      <c r="B669" s="35"/>
    </row>
    <row r="670" spans="2:2" ht="15.75" customHeight="1">
      <c r="B670" s="35"/>
    </row>
    <row r="671" spans="2:2" ht="15.75" customHeight="1">
      <c r="B671" s="35"/>
    </row>
    <row r="672" spans="2:2" ht="15.75" customHeight="1">
      <c r="B672" s="35"/>
    </row>
    <row r="673" spans="2:2" ht="15.75" customHeight="1">
      <c r="B673" s="35"/>
    </row>
    <row r="674" spans="2:2" ht="15.75" customHeight="1">
      <c r="B674" s="35"/>
    </row>
    <row r="675" spans="2:2" ht="15.75" customHeight="1">
      <c r="B675" s="35"/>
    </row>
    <row r="676" spans="2:2" ht="15.75" customHeight="1">
      <c r="B676" s="35"/>
    </row>
    <row r="677" spans="2:2" ht="15.75" customHeight="1">
      <c r="B677" s="35"/>
    </row>
    <row r="678" spans="2:2" ht="15.75" customHeight="1">
      <c r="B678" s="35"/>
    </row>
    <row r="679" spans="2:2" ht="15.75" customHeight="1">
      <c r="B679" s="35"/>
    </row>
    <row r="680" spans="2:2" ht="15.75" customHeight="1">
      <c r="B680" s="35"/>
    </row>
    <row r="681" spans="2:2" ht="15.75" customHeight="1">
      <c r="B681" s="35"/>
    </row>
    <row r="682" spans="2:2" ht="15.75" customHeight="1">
      <c r="B682" s="35"/>
    </row>
    <row r="683" spans="2:2" ht="15.75" customHeight="1">
      <c r="B683" s="35"/>
    </row>
    <row r="684" spans="2:2" ht="15.75" customHeight="1">
      <c r="B684" s="35"/>
    </row>
    <row r="685" spans="2:2" ht="15.75" customHeight="1">
      <c r="B685" s="35"/>
    </row>
    <row r="686" spans="2:2" ht="15.75" customHeight="1">
      <c r="B686" s="35"/>
    </row>
    <row r="687" spans="2:2" ht="15.75" customHeight="1">
      <c r="B687" s="35"/>
    </row>
    <row r="688" spans="2:2" ht="15.75" customHeight="1">
      <c r="B688" s="35"/>
    </row>
    <row r="689" spans="2:2" ht="15.75" customHeight="1">
      <c r="B689" s="35"/>
    </row>
    <row r="690" spans="2:2" ht="15.75" customHeight="1">
      <c r="B690" s="35"/>
    </row>
    <row r="691" spans="2:2" ht="15.75" customHeight="1">
      <c r="B691" s="35"/>
    </row>
    <row r="692" spans="2:2" ht="15.75" customHeight="1">
      <c r="B692" s="35"/>
    </row>
    <row r="693" spans="2:2" ht="15.75" customHeight="1">
      <c r="B693" s="35"/>
    </row>
    <row r="694" spans="2:2" ht="15.75" customHeight="1">
      <c r="B694" s="35"/>
    </row>
    <row r="695" spans="2:2" ht="15.75" customHeight="1">
      <c r="B695" s="35"/>
    </row>
    <row r="696" spans="2:2" ht="15.75" customHeight="1">
      <c r="B696" s="35"/>
    </row>
    <row r="697" spans="2:2" ht="15.75" customHeight="1">
      <c r="B697" s="35"/>
    </row>
    <row r="698" spans="2:2" ht="15.75" customHeight="1">
      <c r="B698" s="35"/>
    </row>
    <row r="699" spans="2:2" ht="15.75" customHeight="1">
      <c r="B699" s="35"/>
    </row>
    <row r="700" spans="2:2" ht="15.75" customHeight="1">
      <c r="B700" s="35"/>
    </row>
    <row r="701" spans="2:2" ht="15.75" customHeight="1">
      <c r="B701" s="35"/>
    </row>
    <row r="702" spans="2:2" ht="15.75" customHeight="1">
      <c r="B702" s="35"/>
    </row>
    <row r="703" spans="2:2" ht="15.75" customHeight="1">
      <c r="B703" s="35"/>
    </row>
    <row r="704" spans="2:2" ht="15.75" customHeight="1">
      <c r="B704" s="35"/>
    </row>
    <row r="705" spans="2:2" ht="15.75" customHeight="1">
      <c r="B705" s="35"/>
    </row>
    <row r="706" spans="2:2" ht="15.75" customHeight="1">
      <c r="B706" s="35"/>
    </row>
    <row r="707" spans="2:2" ht="15.75" customHeight="1">
      <c r="B707" s="35"/>
    </row>
    <row r="708" spans="2:2" ht="15.75" customHeight="1">
      <c r="B708" s="35"/>
    </row>
    <row r="709" spans="2:2" ht="15.75" customHeight="1">
      <c r="B709" s="35"/>
    </row>
    <row r="710" spans="2:2" ht="15.75" customHeight="1">
      <c r="B710" s="35"/>
    </row>
    <row r="711" spans="2:2" ht="15.75" customHeight="1">
      <c r="B711" s="35"/>
    </row>
    <row r="712" spans="2:2" ht="15.75" customHeight="1">
      <c r="B712" s="35"/>
    </row>
    <row r="713" spans="2:2" ht="15.75" customHeight="1">
      <c r="B713" s="35"/>
    </row>
    <row r="714" spans="2:2" ht="15.75" customHeight="1">
      <c r="B714" s="35"/>
    </row>
    <row r="715" spans="2:2" ht="15.75" customHeight="1">
      <c r="B715" s="35"/>
    </row>
    <row r="716" spans="2:2" ht="15.75" customHeight="1">
      <c r="B716" s="35"/>
    </row>
    <row r="717" spans="2:2" ht="15.75" customHeight="1">
      <c r="B717" s="35"/>
    </row>
    <row r="718" spans="2:2" ht="15.75" customHeight="1">
      <c r="B718" s="35"/>
    </row>
    <row r="719" spans="2:2" ht="15.75" customHeight="1">
      <c r="B719" s="35"/>
    </row>
    <row r="720" spans="2:2" ht="15.75" customHeight="1">
      <c r="B720" s="35"/>
    </row>
    <row r="721" spans="2:2" ht="15.75" customHeight="1">
      <c r="B721" s="35"/>
    </row>
    <row r="722" spans="2:2" ht="15.75" customHeight="1">
      <c r="B722" s="35"/>
    </row>
    <row r="723" spans="2:2" ht="15.75" customHeight="1">
      <c r="B723" s="35"/>
    </row>
    <row r="724" spans="2:2" ht="15.75" customHeight="1">
      <c r="B724" s="35"/>
    </row>
    <row r="725" spans="2:2" ht="15.75" customHeight="1">
      <c r="B725" s="35"/>
    </row>
    <row r="726" spans="2:2" ht="15.75" customHeight="1">
      <c r="B726" s="35"/>
    </row>
    <row r="727" spans="2:2" ht="15.75" customHeight="1">
      <c r="B727" s="35"/>
    </row>
    <row r="728" spans="2:2" ht="15.75" customHeight="1">
      <c r="B728" s="35"/>
    </row>
    <row r="729" spans="2:2" ht="15.75" customHeight="1">
      <c r="B729" s="35"/>
    </row>
    <row r="730" spans="2:2" ht="15.75" customHeight="1">
      <c r="B730" s="35"/>
    </row>
    <row r="731" spans="2:2" ht="15.75" customHeight="1">
      <c r="B731" s="35"/>
    </row>
    <row r="732" spans="2:2" ht="15.75" customHeight="1">
      <c r="B732" s="35"/>
    </row>
    <row r="733" spans="2:2" ht="15.75" customHeight="1">
      <c r="B733" s="35"/>
    </row>
    <row r="734" spans="2:2" ht="15.75" customHeight="1">
      <c r="B734" s="35"/>
    </row>
    <row r="735" spans="2:2" ht="15.75" customHeight="1">
      <c r="B735" s="35"/>
    </row>
    <row r="736" spans="2:2" ht="15.75" customHeight="1">
      <c r="B736" s="35"/>
    </row>
    <row r="737" spans="2:2" ht="15.75" customHeight="1">
      <c r="B737" s="35"/>
    </row>
    <row r="738" spans="2:2" ht="15.75" customHeight="1">
      <c r="B738" s="35"/>
    </row>
    <row r="739" spans="2:2" ht="15.75" customHeight="1">
      <c r="B739" s="35"/>
    </row>
    <row r="740" spans="2:2" ht="15.75" customHeight="1">
      <c r="B740" s="35"/>
    </row>
    <row r="741" spans="2:2" ht="15.75" customHeight="1">
      <c r="B741" s="35"/>
    </row>
    <row r="742" spans="2:2" ht="15.75" customHeight="1">
      <c r="B742" s="35"/>
    </row>
    <row r="743" spans="2:2" ht="15.75" customHeight="1">
      <c r="B743" s="35"/>
    </row>
    <row r="744" spans="2:2" ht="15.75" customHeight="1">
      <c r="B744" s="35"/>
    </row>
    <row r="745" spans="2:2" ht="15.75" customHeight="1">
      <c r="B745" s="35"/>
    </row>
    <row r="746" spans="2:2" ht="15.75" customHeight="1">
      <c r="B746" s="35"/>
    </row>
    <row r="747" spans="2:2" ht="15.75" customHeight="1">
      <c r="B747" s="35"/>
    </row>
    <row r="748" spans="2:2" ht="15.75" customHeight="1">
      <c r="B748" s="35"/>
    </row>
    <row r="749" spans="2:2" ht="15.75" customHeight="1">
      <c r="B749" s="35"/>
    </row>
    <row r="750" spans="2:2" ht="15.75" customHeight="1">
      <c r="B750" s="35"/>
    </row>
    <row r="751" spans="2:2" ht="15.75" customHeight="1">
      <c r="B751" s="35"/>
    </row>
    <row r="752" spans="2:2" ht="15.75" customHeight="1">
      <c r="B752" s="35"/>
    </row>
    <row r="753" spans="2:2" ht="15.75" customHeight="1">
      <c r="B753" s="35"/>
    </row>
    <row r="754" spans="2:2" ht="15.75" customHeight="1">
      <c r="B754" s="35"/>
    </row>
    <row r="755" spans="2:2" ht="15.75" customHeight="1">
      <c r="B755" s="35"/>
    </row>
    <row r="756" spans="2:2" ht="15.75" customHeight="1">
      <c r="B756" s="35"/>
    </row>
    <row r="757" spans="2:2" ht="15.75" customHeight="1">
      <c r="B757" s="35"/>
    </row>
    <row r="758" spans="2:2" ht="15.75" customHeight="1">
      <c r="B758" s="35"/>
    </row>
    <row r="759" spans="2:2" ht="15.75" customHeight="1">
      <c r="B759" s="35"/>
    </row>
    <row r="760" spans="2:2" ht="15.75" customHeight="1">
      <c r="B760" s="35"/>
    </row>
    <row r="761" spans="2:2" ht="15.75" customHeight="1">
      <c r="B761" s="35"/>
    </row>
    <row r="762" spans="2:2" ht="15.75" customHeight="1">
      <c r="B762" s="35"/>
    </row>
    <row r="763" spans="2:2" ht="15.75" customHeight="1">
      <c r="B763" s="35"/>
    </row>
    <row r="764" spans="2:2" ht="15.75" customHeight="1">
      <c r="B764" s="35"/>
    </row>
    <row r="765" spans="2:2" ht="15.75" customHeight="1">
      <c r="B765" s="35"/>
    </row>
    <row r="766" spans="2:2" ht="15.75" customHeight="1">
      <c r="B766" s="35"/>
    </row>
    <row r="767" spans="2:2" ht="15.75" customHeight="1">
      <c r="B767" s="35"/>
    </row>
    <row r="768" spans="2:2" ht="15.75" customHeight="1">
      <c r="B768" s="35"/>
    </row>
    <row r="769" spans="2:2" ht="15.75" customHeight="1">
      <c r="B769" s="35"/>
    </row>
    <row r="770" spans="2:2" ht="15.75" customHeight="1">
      <c r="B770" s="35"/>
    </row>
    <row r="771" spans="2:2" ht="15.75" customHeight="1">
      <c r="B771" s="35"/>
    </row>
    <row r="772" spans="2:2" ht="15.75" customHeight="1">
      <c r="B772" s="35"/>
    </row>
    <row r="773" spans="2:2" ht="15.75" customHeight="1">
      <c r="B773" s="35"/>
    </row>
    <row r="774" spans="2:2" ht="15.75" customHeight="1">
      <c r="B774" s="35"/>
    </row>
    <row r="775" spans="2:2" ht="15.75" customHeight="1">
      <c r="B775" s="35"/>
    </row>
    <row r="776" spans="2:2" ht="15.75" customHeight="1">
      <c r="B776" s="35"/>
    </row>
    <row r="777" spans="2:2" ht="15.75" customHeight="1">
      <c r="B777" s="35"/>
    </row>
    <row r="778" spans="2:2" ht="15.75" customHeight="1">
      <c r="B778" s="35"/>
    </row>
    <row r="779" spans="2:2" ht="15.75" customHeight="1">
      <c r="B779" s="35"/>
    </row>
    <row r="780" spans="2:2" ht="15.75" customHeight="1">
      <c r="B780" s="35"/>
    </row>
    <row r="781" spans="2:2" ht="15.75" customHeight="1">
      <c r="B781" s="35"/>
    </row>
    <row r="782" spans="2:2" ht="15.75" customHeight="1">
      <c r="B782" s="35"/>
    </row>
    <row r="783" spans="2:2" ht="15.75" customHeight="1">
      <c r="B783" s="35"/>
    </row>
    <row r="784" spans="2:2" ht="15.75" customHeight="1">
      <c r="B784" s="35"/>
    </row>
    <row r="785" spans="2:2" ht="15.75" customHeight="1">
      <c r="B785" s="35"/>
    </row>
    <row r="786" spans="2:2" ht="15.75" customHeight="1">
      <c r="B786" s="35"/>
    </row>
    <row r="787" spans="2:2" ht="15.75" customHeight="1">
      <c r="B787" s="35"/>
    </row>
    <row r="788" spans="2:2" ht="15.75" customHeight="1">
      <c r="B788" s="35"/>
    </row>
    <row r="789" spans="2:2" ht="15.75" customHeight="1">
      <c r="B789" s="35"/>
    </row>
    <row r="790" spans="2:2" ht="15.75" customHeight="1">
      <c r="B790" s="35"/>
    </row>
    <row r="791" spans="2:2" ht="15.75" customHeight="1">
      <c r="B791" s="35"/>
    </row>
    <row r="792" spans="2:2" ht="15.75" customHeight="1">
      <c r="B792" s="35"/>
    </row>
    <row r="793" spans="2:2" ht="15.75" customHeight="1">
      <c r="B793" s="35"/>
    </row>
    <row r="794" spans="2:2" ht="15.75" customHeight="1">
      <c r="B794" s="35"/>
    </row>
    <row r="795" spans="2:2" ht="15.75" customHeight="1">
      <c r="B795" s="35"/>
    </row>
    <row r="796" spans="2:2" ht="15.75" customHeight="1">
      <c r="B796" s="35"/>
    </row>
    <row r="797" spans="2:2" ht="15.75" customHeight="1">
      <c r="B797" s="35"/>
    </row>
    <row r="798" spans="2:2" ht="15.75" customHeight="1">
      <c r="B798" s="35"/>
    </row>
    <row r="799" spans="2:2" ht="15.75" customHeight="1">
      <c r="B799" s="35"/>
    </row>
    <row r="800" spans="2:2" ht="15.75" customHeight="1">
      <c r="B800" s="35"/>
    </row>
    <row r="801" spans="2:2" ht="15.75" customHeight="1">
      <c r="B801" s="35"/>
    </row>
    <row r="802" spans="2:2" ht="15.75" customHeight="1">
      <c r="B802" s="35"/>
    </row>
    <row r="803" spans="2:2" ht="15.75" customHeight="1">
      <c r="B803" s="35"/>
    </row>
    <row r="804" spans="2:2" ht="15.75" customHeight="1">
      <c r="B804" s="35"/>
    </row>
    <row r="805" spans="2:2" ht="15.75" customHeight="1">
      <c r="B805" s="35"/>
    </row>
    <row r="806" spans="2:2" ht="15.75" customHeight="1">
      <c r="B806" s="35"/>
    </row>
    <row r="807" spans="2:2" ht="15.75" customHeight="1">
      <c r="B807" s="35"/>
    </row>
    <row r="808" spans="2:2" ht="15.75" customHeight="1">
      <c r="B808" s="35"/>
    </row>
    <row r="809" spans="2:2" ht="15.75" customHeight="1">
      <c r="B809" s="35"/>
    </row>
    <row r="810" spans="2:2" ht="15.75" customHeight="1">
      <c r="B810" s="35"/>
    </row>
    <row r="811" spans="2:2" ht="15.75" customHeight="1">
      <c r="B811" s="35"/>
    </row>
    <row r="812" spans="2:2" ht="15.75" customHeight="1">
      <c r="B812" s="35"/>
    </row>
    <row r="813" spans="2:2" ht="15.75" customHeight="1">
      <c r="B813" s="35"/>
    </row>
    <row r="814" spans="2:2" ht="15.75" customHeight="1">
      <c r="B814" s="35"/>
    </row>
    <row r="815" spans="2:2" ht="15.75" customHeight="1">
      <c r="B815" s="35"/>
    </row>
    <row r="816" spans="2:2" ht="15.75" customHeight="1">
      <c r="B816" s="35"/>
    </row>
    <row r="817" spans="2:2" ht="15.75" customHeight="1">
      <c r="B817" s="35"/>
    </row>
    <row r="818" spans="2:2" ht="15.75" customHeight="1">
      <c r="B818" s="35"/>
    </row>
    <row r="819" spans="2:2" ht="15.75" customHeight="1">
      <c r="B819" s="35"/>
    </row>
    <row r="820" spans="2:2" ht="15.75" customHeight="1">
      <c r="B820" s="35"/>
    </row>
    <row r="821" spans="2:2" ht="15.75" customHeight="1">
      <c r="B821" s="35"/>
    </row>
    <row r="822" spans="2:2" ht="15.75" customHeight="1">
      <c r="B822" s="35"/>
    </row>
    <row r="823" spans="2:2" ht="15.75" customHeight="1">
      <c r="B823" s="35"/>
    </row>
    <row r="824" spans="2:2" ht="15.75" customHeight="1">
      <c r="B824" s="35"/>
    </row>
    <row r="825" spans="2:2" ht="15.75" customHeight="1">
      <c r="B825" s="35"/>
    </row>
    <row r="826" spans="2:2" ht="15.75" customHeight="1">
      <c r="B826" s="35"/>
    </row>
    <row r="827" spans="2:2" ht="15.75" customHeight="1">
      <c r="B827" s="35"/>
    </row>
    <row r="828" spans="2:2" ht="15.75" customHeight="1">
      <c r="B828" s="35"/>
    </row>
    <row r="829" spans="2:2" ht="15.75" customHeight="1">
      <c r="B829" s="35"/>
    </row>
    <row r="830" spans="2:2" ht="15.75" customHeight="1">
      <c r="B830" s="35"/>
    </row>
    <row r="831" spans="2:2" ht="15.75" customHeight="1">
      <c r="B831" s="35"/>
    </row>
    <row r="832" spans="2:2" ht="15.75" customHeight="1">
      <c r="B832" s="35"/>
    </row>
    <row r="833" spans="2:2" ht="15.75" customHeight="1">
      <c r="B833" s="35"/>
    </row>
    <row r="834" spans="2:2" ht="15.75" customHeight="1">
      <c r="B834" s="35"/>
    </row>
    <row r="835" spans="2:2" ht="15.75" customHeight="1">
      <c r="B835" s="35"/>
    </row>
    <row r="836" spans="2:2" ht="15.75" customHeight="1">
      <c r="B836" s="35"/>
    </row>
    <row r="837" spans="2:2" ht="15.75" customHeight="1">
      <c r="B837" s="35"/>
    </row>
    <row r="838" spans="2:2" ht="15.75" customHeight="1">
      <c r="B838" s="35"/>
    </row>
    <row r="839" spans="2:2" ht="15.75" customHeight="1">
      <c r="B839" s="35"/>
    </row>
    <row r="840" spans="2:2" ht="15.75" customHeight="1">
      <c r="B840" s="35"/>
    </row>
    <row r="841" spans="2:2" ht="15.75" customHeight="1">
      <c r="B841" s="35"/>
    </row>
    <row r="842" spans="2:2" ht="15.75" customHeight="1">
      <c r="B842" s="35"/>
    </row>
    <row r="843" spans="2:2" ht="15.75" customHeight="1">
      <c r="B843" s="35"/>
    </row>
    <row r="844" spans="2:2" ht="15.75" customHeight="1">
      <c r="B844" s="35"/>
    </row>
    <row r="845" spans="2:2" ht="15.75" customHeight="1">
      <c r="B845" s="35"/>
    </row>
    <row r="846" spans="2:2" ht="15.75" customHeight="1">
      <c r="B846" s="35"/>
    </row>
    <row r="847" spans="2:2" ht="15.75" customHeight="1">
      <c r="B847" s="35"/>
    </row>
    <row r="848" spans="2:2" ht="15.75" customHeight="1">
      <c r="B848" s="35"/>
    </row>
    <row r="849" spans="2:2" ht="15.75" customHeight="1">
      <c r="B849" s="35"/>
    </row>
    <row r="850" spans="2:2" ht="15.75" customHeight="1">
      <c r="B850" s="35"/>
    </row>
    <row r="851" spans="2:2" ht="15.75" customHeight="1">
      <c r="B851" s="35"/>
    </row>
    <row r="852" spans="2:2" ht="15.75" customHeight="1">
      <c r="B852" s="35"/>
    </row>
    <row r="853" spans="2:2" ht="15.75" customHeight="1">
      <c r="B853" s="35"/>
    </row>
    <row r="854" spans="2:2" ht="15.75" customHeight="1">
      <c r="B854" s="35"/>
    </row>
    <row r="855" spans="2:2" ht="15.75" customHeight="1">
      <c r="B855" s="35"/>
    </row>
    <row r="856" spans="2:2" ht="15.75" customHeight="1">
      <c r="B856" s="35"/>
    </row>
    <row r="857" spans="2:2" ht="15.75" customHeight="1">
      <c r="B857" s="35"/>
    </row>
    <row r="858" spans="2:2" ht="15.75" customHeight="1">
      <c r="B858" s="35"/>
    </row>
    <row r="859" spans="2:2" ht="15.75" customHeight="1">
      <c r="B859" s="35"/>
    </row>
    <row r="860" spans="2:2" ht="15.75" customHeight="1">
      <c r="B860" s="35"/>
    </row>
    <row r="861" spans="2:2" ht="15.75" customHeight="1">
      <c r="B861" s="35"/>
    </row>
    <row r="862" spans="2:2" ht="15.75" customHeight="1">
      <c r="B862" s="35"/>
    </row>
    <row r="863" spans="2:2" ht="15.75" customHeight="1">
      <c r="B863" s="35"/>
    </row>
    <row r="864" spans="2:2" ht="15.75" customHeight="1">
      <c r="B864" s="35"/>
    </row>
    <row r="865" spans="2:2" ht="15.75" customHeight="1">
      <c r="B865" s="35"/>
    </row>
    <row r="866" spans="2:2" ht="15.75" customHeight="1">
      <c r="B866" s="35"/>
    </row>
    <row r="867" spans="2:2" ht="15.75" customHeight="1">
      <c r="B867" s="35"/>
    </row>
    <row r="868" spans="2:2" ht="15.75" customHeight="1">
      <c r="B868" s="35"/>
    </row>
    <row r="869" spans="2:2" ht="15.75" customHeight="1">
      <c r="B869" s="35"/>
    </row>
    <row r="870" spans="2:2" ht="15.75" customHeight="1">
      <c r="B870" s="35"/>
    </row>
    <row r="871" spans="2:2" ht="15.75" customHeight="1">
      <c r="B871" s="35"/>
    </row>
    <row r="872" spans="2:2" ht="15.75" customHeight="1">
      <c r="B872" s="35"/>
    </row>
    <row r="873" spans="2:2" ht="15.75" customHeight="1">
      <c r="B873" s="35"/>
    </row>
    <row r="874" spans="2:2" ht="15.75" customHeight="1">
      <c r="B874" s="35"/>
    </row>
    <row r="875" spans="2:2" ht="15.75" customHeight="1">
      <c r="B875" s="35"/>
    </row>
    <row r="876" spans="2:2" ht="15.75" customHeight="1">
      <c r="B876" s="35"/>
    </row>
    <row r="877" spans="2:2" ht="15.75" customHeight="1">
      <c r="B877" s="35"/>
    </row>
    <row r="878" spans="2:2" ht="15.75" customHeight="1">
      <c r="B878" s="35"/>
    </row>
    <row r="879" spans="2:2" ht="15.75" customHeight="1">
      <c r="B879" s="35"/>
    </row>
    <row r="880" spans="2:2" ht="15.75" customHeight="1">
      <c r="B880" s="35"/>
    </row>
    <row r="881" spans="2:2" ht="15.75" customHeight="1">
      <c r="B881" s="35"/>
    </row>
    <row r="882" spans="2:2" ht="15.75" customHeight="1">
      <c r="B882" s="35"/>
    </row>
    <row r="883" spans="2:2" ht="15.75" customHeight="1">
      <c r="B883" s="35"/>
    </row>
    <row r="884" spans="2:2" ht="15.75" customHeight="1">
      <c r="B884" s="35"/>
    </row>
    <row r="885" spans="2:2" ht="15.75" customHeight="1">
      <c r="B885" s="35"/>
    </row>
    <row r="886" spans="2:2" ht="15.75" customHeight="1">
      <c r="B886" s="35"/>
    </row>
    <row r="887" spans="2:2" ht="15.75" customHeight="1">
      <c r="B887" s="35"/>
    </row>
    <row r="888" spans="2:2" ht="15.75" customHeight="1">
      <c r="B888" s="35"/>
    </row>
    <row r="889" spans="2:2" ht="15.75" customHeight="1">
      <c r="B889" s="35"/>
    </row>
    <row r="890" spans="2:2" ht="15.75" customHeight="1">
      <c r="B890" s="35"/>
    </row>
    <row r="891" spans="2:2" ht="15.75" customHeight="1">
      <c r="B891" s="35"/>
    </row>
    <row r="892" spans="2:2" ht="15.75" customHeight="1">
      <c r="B892" s="35"/>
    </row>
    <row r="893" spans="2:2" ht="15.75" customHeight="1">
      <c r="B893" s="35"/>
    </row>
    <row r="894" spans="2:2" ht="15.75" customHeight="1">
      <c r="B894" s="35"/>
    </row>
    <row r="895" spans="2:2" ht="15.75" customHeight="1">
      <c r="B895" s="35"/>
    </row>
    <row r="896" spans="2:2" ht="15.75" customHeight="1">
      <c r="B896" s="35"/>
    </row>
    <row r="897" spans="2:2" ht="15.75" customHeight="1">
      <c r="B897" s="35"/>
    </row>
    <row r="898" spans="2:2" ht="15.75" customHeight="1">
      <c r="B898" s="35"/>
    </row>
    <row r="899" spans="2:2" ht="15.75" customHeight="1">
      <c r="B899" s="35"/>
    </row>
    <row r="900" spans="2:2" ht="15.75" customHeight="1">
      <c r="B900" s="35"/>
    </row>
    <row r="901" spans="2:2" ht="15.75" customHeight="1">
      <c r="B901" s="35"/>
    </row>
    <row r="902" spans="2:2" ht="15.75" customHeight="1">
      <c r="B902" s="35"/>
    </row>
    <row r="903" spans="2:2" ht="15.75" customHeight="1">
      <c r="B903" s="35"/>
    </row>
    <row r="904" spans="2:2" ht="15.75" customHeight="1">
      <c r="B904" s="35"/>
    </row>
    <row r="905" spans="2:2" ht="15.75" customHeight="1">
      <c r="B905" s="35"/>
    </row>
    <row r="906" spans="2:2" ht="15.75" customHeight="1">
      <c r="B906" s="35"/>
    </row>
    <row r="907" spans="2:2" ht="15.75" customHeight="1">
      <c r="B907" s="35"/>
    </row>
    <row r="908" spans="2:2" ht="15.75" customHeight="1">
      <c r="B908" s="35"/>
    </row>
    <row r="909" spans="2:2" ht="15.75" customHeight="1">
      <c r="B909" s="35"/>
    </row>
    <row r="910" spans="2:2" ht="15.75" customHeight="1">
      <c r="B910" s="35"/>
    </row>
    <row r="911" spans="2:2" ht="15.75" customHeight="1">
      <c r="B911" s="35"/>
    </row>
    <row r="912" spans="2:2" ht="15.75" customHeight="1">
      <c r="B912" s="35"/>
    </row>
    <row r="913" spans="2:2" ht="15.75" customHeight="1">
      <c r="B913" s="35"/>
    </row>
    <row r="914" spans="2:2" ht="15.75" customHeight="1">
      <c r="B914" s="35"/>
    </row>
    <row r="915" spans="2:2" ht="15.75" customHeight="1">
      <c r="B915" s="35"/>
    </row>
    <row r="916" spans="2:2" ht="15.75" customHeight="1">
      <c r="B916" s="35"/>
    </row>
    <row r="917" spans="2:2" ht="15.75" customHeight="1">
      <c r="B917" s="35"/>
    </row>
    <row r="918" spans="2:2" ht="15.75" customHeight="1">
      <c r="B918" s="35"/>
    </row>
    <row r="919" spans="2:2" ht="15.75" customHeight="1">
      <c r="B919" s="35"/>
    </row>
    <row r="920" spans="2:2" ht="15.75" customHeight="1">
      <c r="B920" s="35"/>
    </row>
    <row r="921" spans="2:2" ht="15.75" customHeight="1">
      <c r="B921" s="35"/>
    </row>
    <row r="922" spans="2:2" ht="15.75" customHeight="1">
      <c r="B922" s="35"/>
    </row>
    <row r="923" spans="2:2" ht="15.75" customHeight="1">
      <c r="B923" s="35"/>
    </row>
    <row r="924" spans="2:2" ht="15.75" customHeight="1">
      <c r="B924" s="35"/>
    </row>
    <row r="925" spans="2:2" ht="15.75" customHeight="1">
      <c r="B925" s="35"/>
    </row>
    <row r="926" spans="2:2" ht="15.75" customHeight="1">
      <c r="B926" s="35"/>
    </row>
    <row r="927" spans="2:2" ht="15.75" customHeight="1">
      <c r="B927" s="35"/>
    </row>
    <row r="928" spans="2:2" ht="15.75" customHeight="1">
      <c r="B928" s="35"/>
    </row>
    <row r="929" spans="2:2" ht="15.75" customHeight="1">
      <c r="B929" s="35"/>
    </row>
    <row r="930" spans="2:2" ht="15.75" customHeight="1">
      <c r="B930" s="35"/>
    </row>
    <row r="931" spans="2:2" ht="15.75" customHeight="1">
      <c r="B931" s="35"/>
    </row>
    <row r="932" spans="2:2" ht="15.75" customHeight="1">
      <c r="B932" s="35"/>
    </row>
    <row r="933" spans="2:2" ht="15.75" customHeight="1">
      <c r="B933" s="35"/>
    </row>
    <row r="934" spans="2:2" ht="15.75" customHeight="1">
      <c r="B934" s="35"/>
    </row>
    <row r="935" spans="2:2" ht="15.75" customHeight="1">
      <c r="B935" s="35"/>
    </row>
    <row r="936" spans="2:2" ht="15.75" customHeight="1">
      <c r="B936" s="35"/>
    </row>
    <row r="937" spans="2:2" ht="15.75" customHeight="1">
      <c r="B937" s="35"/>
    </row>
    <row r="938" spans="2:2" ht="15.75" customHeight="1">
      <c r="B938" s="35"/>
    </row>
    <row r="939" spans="2:2" ht="15.75" customHeight="1">
      <c r="B939" s="35"/>
    </row>
    <row r="940" spans="2:2" ht="15.75" customHeight="1">
      <c r="B940" s="35"/>
    </row>
    <row r="941" spans="2:2" ht="15.75" customHeight="1">
      <c r="B941" s="35"/>
    </row>
    <row r="942" spans="2:2" ht="15.75" customHeight="1">
      <c r="B942" s="35"/>
    </row>
    <row r="943" spans="2:2" ht="15.75" customHeight="1">
      <c r="B943" s="35"/>
    </row>
    <row r="944" spans="2:2" ht="15.75" customHeight="1">
      <c r="B944" s="35"/>
    </row>
    <row r="945" spans="2:2" ht="15.75" customHeight="1">
      <c r="B945" s="35"/>
    </row>
    <row r="946" spans="2:2" ht="15.75" customHeight="1">
      <c r="B946" s="35"/>
    </row>
    <row r="947" spans="2:2" ht="15.75" customHeight="1">
      <c r="B947" s="35"/>
    </row>
    <row r="948" spans="2:2" ht="15.75" customHeight="1">
      <c r="B948" s="35"/>
    </row>
    <row r="949" spans="2:2" ht="15.75" customHeight="1">
      <c r="B949" s="35"/>
    </row>
    <row r="950" spans="2:2" ht="15.75" customHeight="1">
      <c r="B950" s="35"/>
    </row>
    <row r="951" spans="2:2" ht="15.75" customHeight="1">
      <c r="B951" s="35"/>
    </row>
    <row r="952" spans="2:2" ht="15.75" customHeight="1">
      <c r="B952" s="35"/>
    </row>
    <row r="953" spans="2:2" ht="15.75" customHeight="1">
      <c r="B953" s="35"/>
    </row>
    <row r="954" spans="2:2" ht="15.75" customHeight="1">
      <c r="B954" s="35"/>
    </row>
    <row r="955" spans="2:2" ht="15.75" customHeight="1">
      <c r="B955" s="35"/>
    </row>
    <row r="956" spans="2:2" ht="15.75" customHeight="1">
      <c r="B956" s="35"/>
    </row>
    <row r="957" spans="2:2" ht="15.75" customHeight="1">
      <c r="B957" s="35"/>
    </row>
    <row r="958" spans="2:2" ht="15.75" customHeight="1">
      <c r="B958" s="35"/>
    </row>
    <row r="959" spans="2:2" ht="15.75" customHeight="1">
      <c r="B959" s="35"/>
    </row>
    <row r="960" spans="2:2" ht="15.75" customHeight="1">
      <c r="B960" s="35"/>
    </row>
    <row r="961" spans="2:2" ht="15.75" customHeight="1">
      <c r="B961" s="35"/>
    </row>
    <row r="962" spans="2:2" ht="15.75" customHeight="1">
      <c r="B962" s="35"/>
    </row>
    <row r="963" spans="2:2" ht="15.75" customHeight="1">
      <c r="B963" s="35"/>
    </row>
    <row r="964" spans="2:2" ht="15.75" customHeight="1">
      <c r="B964" s="35"/>
    </row>
    <row r="965" spans="2:2" ht="15.75" customHeight="1">
      <c r="B965" s="35"/>
    </row>
    <row r="966" spans="2:2" ht="15.75" customHeight="1">
      <c r="B966" s="35"/>
    </row>
    <row r="967" spans="2:2" ht="15.75" customHeight="1">
      <c r="B967" s="35"/>
    </row>
    <row r="968" spans="2:2" ht="15.75" customHeight="1">
      <c r="B968" s="35"/>
    </row>
    <row r="969" spans="2:2" ht="15.75" customHeight="1">
      <c r="B969" s="35"/>
    </row>
    <row r="970" spans="2:2" ht="15.75" customHeight="1">
      <c r="B970" s="35"/>
    </row>
    <row r="971" spans="2:2" ht="15.75" customHeight="1">
      <c r="B971" s="35"/>
    </row>
    <row r="972" spans="2:2" ht="15.75" customHeight="1">
      <c r="B972" s="35"/>
    </row>
    <row r="973" spans="2:2" ht="15.75" customHeight="1">
      <c r="B973" s="35"/>
    </row>
    <row r="974" spans="2:2" ht="15.75" customHeight="1">
      <c r="B974" s="35"/>
    </row>
    <row r="975" spans="2:2" ht="15.75" customHeight="1">
      <c r="B975" s="35"/>
    </row>
    <row r="976" spans="2:2" ht="15.75" customHeight="1">
      <c r="B976" s="35"/>
    </row>
    <row r="977" spans="2:2" ht="15.75" customHeight="1">
      <c r="B977" s="35"/>
    </row>
    <row r="978" spans="2:2" ht="15.75" customHeight="1">
      <c r="B978" s="35"/>
    </row>
    <row r="979" spans="2:2" ht="15.75" customHeight="1">
      <c r="B979" s="35"/>
    </row>
    <row r="980" spans="2:2" ht="15.75" customHeight="1">
      <c r="B980" s="35"/>
    </row>
    <row r="981" spans="2:2" ht="15.75" customHeight="1">
      <c r="B981" s="35"/>
    </row>
    <row r="982" spans="2:2" ht="15.75" customHeight="1">
      <c r="B982" s="35"/>
    </row>
    <row r="983" spans="2:2" ht="15.75" customHeight="1">
      <c r="B983" s="35"/>
    </row>
    <row r="984" spans="2:2" ht="15.75" customHeight="1">
      <c r="B984" s="35"/>
    </row>
    <row r="985" spans="2:2" ht="15.75" customHeight="1">
      <c r="B985" s="35"/>
    </row>
    <row r="986" spans="2:2" ht="15.75" customHeight="1">
      <c r="B986" s="35"/>
    </row>
    <row r="987" spans="2:2" ht="15.75" customHeight="1">
      <c r="B987" s="35"/>
    </row>
    <row r="988" spans="2:2" ht="15.75" customHeight="1">
      <c r="B988" s="35"/>
    </row>
    <row r="989" spans="2:2" ht="15.75" customHeight="1">
      <c r="B989" s="35"/>
    </row>
    <row r="990" spans="2:2" ht="15.75" customHeight="1">
      <c r="B990" s="35"/>
    </row>
    <row r="991" spans="2:2" ht="15.75" customHeight="1">
      <c r="B991" s="35"/>
    </row>
    <row r="992" spans="2:2" ht="15.75" customHeight="1">
      <c r="B992" s="35"/>
    </row>
    <row r="993" spans="2:2" ht="15.75" customHeight="1">
      <c r="B993" s="35"/>
    </row>
    <row r="994" spans="2:2" ht="15.75" customHeight="1">
      <c r="B994" s="35"/>
    </row>
    <row r="995" spans="2:2" ht="15.75" customHeight="1">
      <c r="B995" s="35"/>
    </row>
    <row r="996" spans="2:2" ht="15.75" customHeight="1">
      <c r="B996" s="35"/>
    </row>
    <row r="997" spans="2:2" ht="15.75" customHeight="1">
      <c r="B997" s="35"/>
    </row>
    <row r="998" spans="2:2" ht="15.75" customHeight="1">
      <c r="B998" s="35"/>
    </row>
    <row r="999" spans="2:2" ht="15.75" customHeight="1">
      <c r="B999" s="35"/>
    </row>
    <row r="1000" spans="2:2" ht="15.75" customHeight="1">
      <c r="B1000" s="35"/>
    </row>
    <row r="1001" spans="2:2" ht="15.75" customHeight="1">
      <c r="B1001" s="35"/>
    </row>
    <row r="1002" spans="2:2" ht="15.75" customHeight="1">
      <c r="B1002" s="35"/>
    </row>
    <row r="1003" spans="2:2" ht="15.75" customHeight="1">
      <c r="B1003" s="35"/>
    </row>
    <row r="1004" spans="2:2" ht="15.75" customHeight="1">
      <c r="B1004" s="35"/>
    </row>
    <row r="1005" spans="2:2" ht="15.75" customHeight="1">
      <c r="B1005" s="35"/>
    </row>
    <row r="1006" spans="2:2" ht="15.75" customHeight="1">
      <c r="B1006" s="35"/>
    </row>
    <row r="1007" spans="2:2" ht="15.75" customHeight="1">
      <c r="B1007" s="35"/>
    </row>
    <row r="1008" spans="2:2" ht="15.75" customHeight="1">
      <c r="B1008" s="35"/>
    </row>
    <row r="1009" spans="2:2" ht="15" customHeight="1">
      <c r="B1009" s="35"/>
    </row>
    <row r="1010" spans="2:2" ht="15" customHeight="1">
      <c r="B1010" s="35"/>
    </row>
    <row r="1011" spans="2:2" ht="15" customHeight="1">
      <c r="B1011" s="35"/>
    </row>
    <row r="1012" spans="2:2" ht="15" customHeight="1">
      <c r="B1012" s="35"/>
    </row>
    <row r="1013" spans="2:2" ht="15" customHeight="1">
      <c r="B1013" s="35"/>
    </row>
    <row r="1014" spans="2:2" ht="15" customHeight="1">
      <c r="B1014" s="35"/>
    </row>
    <row r="1015" spans="2:2" ht="15" customHeight="1">
      <c r="B1015" s="35"/>
    </row>
    <row r="1016" spans="2:2" ht="15" customHeight="1">
      <c r="B1016" s="35"/>
    </row>
    <row r="1017" spans="2:2" ht="15" customHeight="1">
      <c r="B1017" s="35"/>
    </row>
    <row r="1018" spans="2:2" ht="15" customHeight="1">
      <c r="B1018" s="35"/>
    </row>
    <row r="1019" spans="2:2" ht="15" customHeight="1">
      <c r="B1019" s="35"/>
    </row>
    <row r="1020" spans="2:2" ht="15" customHeight="1">
      <c r="B1020" s="35"/>
    </row>
    <row r="1021" spans="2:2" ht="15" customHeight="1">
      <c r="B1021" s="35"/>
    </row>
    <row r="1022" spans="2:2" ht="15" customHeight="1">
      <c r="B1022" s="35"/>
    </row>
  </sheetData>
  <autoFilter ref="A44:AC120" xr:uid="{00000000-0009-0000-0000-000007000000}"/>
  <mergeCells count="1">
    <mergeCell ref="B1:B2"/>
  </mergeCells>
  <conditionalFormatting sqref="M1:M111118">
    <cfRule type="cellIs" dxfId="30" priority="3" operator="lessThan">
      <formula>0</formula>
    </cfRule>
  </conditionalFormatting>
  <conditionalFormatting sqref="M1:M1048576">
    <cfRule type="cellIs" dxfId="29" priority="1" operator="greaterThan">
      <formula>0</formula>
    </cfRule>
    <cfRule type="cellIs" dxfId="28" priority="2" operator="equal">
      <formula>0</formula>
    </cfRule>
  </conditionalFormatting>
  <conditionalFormatting sqref="O44">
    <cfRule type="cellIs" dxfId="27" priority="102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I30:I31" formulaRange="1"/>
    <ignoredError sqref="I33 P54:P62 P80:P91 P113 Q80 Q48 S46 U48 Q100:Q106 S102 Q113 S106:U106 Q114 Q115:Q120 S113:S114 S115:S120 S100 L71 L108 S51:S53 S66 U70 Q85 Q89 Q94 U103 U72 P94:P106 U50:U52 S50 P63:P68 Q51:Q53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700-000000000000}">
          <x14:formula1>
            <xm:f>'Условные сокращения'!$B$27:$B$30</xm:f>
          </x14:formula1>
          <xm:sqref>N84 N55:N58 N69:N71 N76:N79 N117:N118 N108 N66 N95 N114 N48:N50 N81:N82 N98 N111</xm:sqref>
        </x14:dataValidation>
        <x14:dataValidation type="list" allowBlank="1" showInputMessage="1" showErrorMessage="1" xr:uid="{00000000-0002-0000-0700-000001000000}">
          <x14:formula1>
            <xm:f>'Условные сокращения'!$N$3:$N$8</xm:f>
          </x14:formula1>
          <xm:sqref>N103 N62 N51:N53 N88 N119</xm:sqref>
        </x14:dataValidation>
        <x14:dataValidation type="list" allowBlank="1" showInputMessage="1" showErrorMessage="1" xr:uid="{00000000-0002-0000-0700-000002000000}">
          <x14:formula1>
            <xm:f>'Условные сокращения'!$I$11:$I$14</xm:f>
          </x14:formula1>
          <xm:sqref>N91</xm:sqref>
        </x14:dataValidation>
        <x14:dataValidation type="list" allowBlank="1" showInputMessage="1" showErrorMessage="1" xr:uid="{00000000-0002-0000-0700-000003000000}">
          <x14:formula1>
            <xm:f>'Условные сокращения'!$M$11:$M$12</xm:f>
          </x14:formula1>
          <xm:sqref>N67 N64 N72 N90 N96:N97</xm:sqref>
        </x14:dataValidation>
        <x14:dataValidation type="list" allowBlank="1" showInputMessage="1" showErrorMessage="1" xr:uid="{00000000-0002-0000-0700-000004000000}">
          <x14:formula1>
            <xm:f>'Условные сокращения'!$M$41:$M$45</xm:f>
          </x14:formula1>
          <xm:sqref>N93 N105</xm:sqref>
        </x14:dataValidation>
        <x14:dataValidation type="list" allowBlank="1" showInputMessage="1" showErrorMessage="1" xr:uid="{00000000-0002-0000-0700-000005000000}">
          <x14:formula1>
            <xm:f>'Условные сокращения'!$B$35:$B$37</xm:f>
          </x14:formula1>
          <xm:sqref>N83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8">
    <tabColor theme="3" tint="0.39997558519241921"/>
    <outlinePr summaryBelow="0" summaryRight="0"/>
  </sheetPr>
  <dimension ref="B1:U1000"/>
  <sheetViews>
    <sheetView topLeftCell="A7" zoomScale="40" zoomScaleNormal="40" workbookViewId="0">
      <selection activeCell="B49" sqref="B49"/>
    </sheetView>
  </sheetViews>
  <sheetFormatPr defaultColWidth="11.09765625" defaultRowHeight="15" customHeight="1" outlineLevelRow="1"/>
  <cols>
    <col min="1" max="1" width="3.59765625" style="66" bestFit="1" customWidth="1"/>
    <col min="2" max="2" width="95.59765625" style="66" customWidth="1"/>
    <col min="3" max="3" width="19.59765625" style="66" bestFit="1" customWidth="1"/>
    <col min="4" max="4" width="18.59765625" style="69" customWidth="1"/>
    <col min="5" max="5" width="9.09765625" style="69" customWidth="1"/>
    <col min="6" max="6" width="16.5" style="69" customWidth="1"/>
    <col min="7" max="7" width="21.09765625" style="66" hidden="1" customWidth="1"/>
    <col min="8" max="8" width="25" style="69" hidden="1" customWidth="1"/>
    <col min="9" max="9" width="37" style="69" customWidth="1"/>
    <col min="10" max="10" width="12.59765625" style="69" customWidth="1"/>
    <col min="11" max="11" width="14.59765625" style="66" customWidth="1"/>
    <col min="12" max="12" width="12.59765625" style="69" customWidth="1"/>
    <col min="13" max="13" width="22.59765625" customWidth="1"/>
    <col min="14" max="15" width="22.59765625" style="66" customWidth="1"/>
    <col min="16" max="16" width="10.5" style="66" customWidth="1"/>
    <col min="17" max="17" width="47.59765625" style="66" customWidth="1"/>
    <col min="18" max="18" width="10.5" style="66" bestFit="1" customWidth="1"/>
    <col min="19" max="19" width="42.09765625" style="66" customWidth="1"/>
    <col min="20" max="20" width="10.5" style="66" bestFit="1" customWidth="1"/>
    <col min="21" max="21" width="48.59765625" style="66" customWidth="1"/>
    <col min="22" max="31" width="10.5" style="66" bestFit="1" customWidth="1"/>
    <col min="32" max="32" width="11.09765625" style="66" bestFit="1"/>
    <col min="33" max="16384" width="11.09765625" style="66"/>
  </cols>
  <sheetData>
    <row r="1" spans="2:2" ht="63" customHeight="1">
      <c r="B1" s="51" t="s">
        <v>18</v>
      </c>
    </row>
    <row r="3" spans="2:2" ht="15.75" customHeight="1">
      <c r="B3" s="35"/>
    </row>
    <row r="4" spans="2:2" ht="15.75" customHeight="1">
      <c r="B4" s="35"/>
    </row>
    <row r="5" spans="2:2" ht="15.75" customHeight="1">
      <c r="B5" s="35"/>
    </row>
    <row r="6" spans="2:2" ht="15.75" customHeight="1">
      <c r="B6" s="35"/>
    </row>
    <row r="7" spans="2:2" ht="15.75" customHeight="1">
      <c r="B7" s="35"/>
    </row>
    <row r="8" spans="2:2" ht="15.75" customHeight="1">
      <c r="B8" s="35"/>
    </row>
    <row r="9" spans="2:2" ht="15.75" customHeight="1">
      <c r="B9" s="35"/>
    </row>
    <row r="10" spans="2:2" ht="15.75" customHeight="1">
      <c r="B10" s="35"/>
    </row>
    <row r="11" spans="2:2" ht="15.75" customHeight="1">
      <c r="B11" s="35"/>
    </row>
    <row r="12" spans="2:2" ht="15.75" customHeight="1">
      <c r="B12" s="35"/>
    </row>
    <row r="13" spans="2:2" ht="15.75" customHeight="1">
      <c r="B13" s="35"/>
    </row>
    <row r="14" spans="2:2" ht="15.75" customHeight="1">
      <c r="B14" s="35"/>
    </row>
    <row r="15" spans="2:2" ht="15.6" customHeight="1">
      <c r="B15" s="35"/>
    </row>
    <row r="16" spans="2:2" ht="15.6" customHeight="1">
      <c r="B16" s="35"/>
    </row>
    <row r="17" spans="2:14" ht="15.6" customHeight="1">
      <c r="B17" s="35"/>
    </row>
    <row r="18" spans="2:14" ht="15.6" customHeight="1">
      <c r="B18" s="35"/>
    </row>
    <row r="19" spans="2:14" ht="15.6" customHeight="1">
      <c r="B19" s="35"/>
    </row>
    <row r="20" spans="2:14" ht="15.6" customHeight="1">
      <c r="B20" s="35"/>
    </row>
    <row r="21" spans="2:14" ht="15.6" customHeight="1">
      <c r="B21" s="35"/>
    </row>
    <row r="22" spans="2:14" ht="15.6" customHeight="1">
      <c r="B22" s="35"/>
    </row>
    <row r="23" spans="2:14" ht="15.6" customHeight="1">
      <c r="B23" s="35"/>
    </row>
    <row r="24" spans="2:14" ht="15.6" customHeight="1">
      <c r="B24" s="35"/>
    </row>
    <row r="25" spans="2:14" ht="15.75" customHeight="1">
      <c r="B25" s="35"/>
    </row>
    <row r="26" spans="2:14" ht="15.75" customHeight="1">
      <c r="B26" s="35"/>
    </row>
    <row r="27" spans="2:14" ht="15.75" customHeight="1">
      <c r="B27" s="35"/>
    </row>
    <row r="28" spans="2:14" ht="15.75" customHeight="1">
      <c r="B28" s="35"/>
    </row>
    <row r="29" spans="2:14" ht="15.75" customHeight="1">
      <c r="B29" s="35"/>
    </row>
    <row r="30" spans="2:14" ht="15.75" customHeight="1">
      <c r="B30" s="35"/>
    </row>
    <row r="31" spans="2:14" ht="15.75" customHeight="1">
      <c r="B31" s="35"/>
    </row>
    <row r="32" spans="2:14" ht="15.75" customHeight="1">
      <c r="B32" s="35"/>
      <c r="N32" s="26">
        <f>COUNTA(N33:N7031)</f>
        <v>19</v>
      </c>
    </row>
    <row r="33" spans="2:21" ht="15.75" customHeight="1">
      <c r="B33" s="35"/>
    </row>
    <row r="34" spans="2:21" ht="15.75" customHeight="1">
      <c r="B34" s="35"/>
    </row>
    <row r="35" spans="2:21" ht="15.75" customHeight="1">
      <c r="B35" s="35"/>
    </row>
    <row r="36" spans="2:21" ht="18" thickBot="1">
      <c r="B36" s="67"/>
      <c r="G36" s="20">
        <f>Расчет!$F$2</f>
        <v>45017</v>
      </c>
      <c r="H36" s="20">
        <f>Расчет!$H$2</f>
        <v>45444</v>
      </c>
      <c r="I36" s="354">
        <v>45657</v>
      </c>
      <c r="J36" s="66"/>
      <c r="L36" s="29">
        <f ca="1">TODAY()</f>
        <v>46038</v>
      </c>
    </row>
    <row r="37" spans="2:21" ht="41.25" customHeight="1" thickBot="1">
      <c r="B37" s="30" t="s">
        <v>21</v>
      </c>
      <c r="C37" s="123" t="s">
        <v>22</v>
      </c>
      <c r="D37" s="124" t="s">
        <v>10</v>
      </c>
      <c r="E37" s="125" t="s">
        <v>11</v>
      </c>
      <c r="F37" s="126" t="s">
        <v>12</v>
      </c>
      <c r="G37" s="55" t="s">
        <v>23</v>
      </c>
      <c r="H37" s="287" t="s">
        <v>23</v>
      </c>
      <c r="I37" s="287" t="s">
        <v>23</v>
      </c>
      <c r="J37" s="169">
        <v>2026</v>
      </c>
      <c r="K37" s="169" t="s">
        <v>638</v>
      </c>
      <c r="L37" s="127" t="s">
        <v>24</v>
      </c>
    </row>
    <row r="38" spans="2:21" ht="15.75" customHeight="1">
      <c r="B38" s="68" t="str">
        <f>B58</f>
        <v>Аномалии и события (Хранение информации о событиях)</v>
      </c>
      <c r="C38" s="120" t="str">
        <f>C58</f>
        <v>А</v>
      </c>
      <c r="D38" s="140">
        <f t="shared" ref="D38:L38" si="0">AVERAGE(D59:D59)</f>
        <v>5</v>
      </c>
      <c r="E38" s="141">
        <f t="shared" si="0"/>
        <v>5</v>
      </c>
      <c r="F38" s="142">
        <f t="shared" si="0"/>
        <v>0</v>
      </c>
      <c r="G38" s="132" t="e">
        <f t="shared" si="0"/>
        <v>#DIV/0!</v>
      </c>
      <c r="H38" s="132" t="e">
        <f t="shared" si="0"/>
        <v>#DIV/0!</v>
      </c>
      <c r="I38" s="133" t="e">
        <f>AVERAGE(I59:I59)</f>
        <v>#DIV/0!</v>
      </c>
      <c r="J38" s="132" t="e">
        <f>AVERAGE(J59:J59)</f>
        <v>#DIV/0!</v>
      </c>
      <c r="K38" s="132">
        <f t="shared" si="0"/>
        <v>0</v>
      </c>
      <c r="L38" s="133">
        <f t="shared" si="0"/>
        <v>0</v>
      </c>
      <c r="M38">
        <f>L38-K38</f>
        <v>0</v>
      </c>
    </row>
    <row r="39" spans="2:21" ht="15.75" customHeight="1">
      <c r="B39" s="25" t="str">
        <f>B44</f>
        <v>SIEM (внедрение системы как СЗИ)</v>
      </c>
      <c r="C39" s="35" t="str">
        <f>C44</f>
        <v>SIEM</v>
      </c>
      <c r="D39" s="143">
        <f t="shared" ref="D39:L39" si="1">AVERAGE(D45:D57)</f>
        <v>4.9038461538461542</v>
      </c>
      <c r="E39" s="144">
        <f t="shared" si="1"/>
        <v>3.5615384615384613</v>
      </c>
      <c r="F39" s="145">
        <f t="shared" si="1"/>
        <v>0.12307692307692308</v>
      </c>
      <c r="G39" s="146" t="e">
        <f t="shared" si="1"/>
        <v>#DIV/0!</v>
      </c>
      <c r="H39" s="146" t="e">
        <f t="shared" si="1"/>
        <v>#DIV/0!</v>
      </c>
      <c r="I39" s="134" t="e">
        <f>AVERAGE(I45:I57)</f>
        <v>#DIV/0!</v>
      </c>
      <c r="J39" s="146" t="e">
        <f>AVERAGE(J45:J57)</f>
        <v>#DIV/0!</v>
      </c>
      <c r="K39" s="146">
        <f t="shared" si="1"/>
        <v>0.12307692307692308</v>
      </c>
      <c r="L39" s="134">
        <f t="shared" si="1"/>
        <v>0</v>
      </c>
      <c r="M39">
        <f>L39-K39</f>
        <v>-0.12307692307692308</v>
      </c>
    </row>
    <row r="40" spans="2:21" ht="15.75" customHeight="1" thickBot="1">
      <c r="B40" s="121" t="str">
        <f>B60</f>
        <v>Мониторинг - Процессы</v>
      </c>
      <c r="C40" s="122" t="str">
        <f>C60</f>
        <v>ПР</v>
      </c>
      <c r="D40" s="147">
        <f t="shared" ref="D40:L40" si="2">AVERAGE(D61:D66)</f>
        <v>4</v>
      </c>
      <c r="E40" s="148">
        <f t="shared" si="2"/>
        <v>2.6</v>
      </c>
      <c r="F40" s="149">
        <f t="shared" si="2"/>
        <v>0</v>
      </c>
      <c r="G40" s="135" t="e">
        <f t="shared" si="2"/>
        <v>#DIV/0!</v>
      </c>
      <c r="H40" s="135" t="e">
        <f t="shared" si="2"/>
        <v>#DIV/0!</v>
      </c>
      <c r="I40" s="136" t="e">
        <f>AVERAGE(I61:I66)</f>
        <v>#DIV/0!</v>
      </c>
      <c r="J40" s="135" t="e">
        <f>AVERAGE(J61:J66)</f>
        <v>#DIV/0!</v>
      </c>
      <c r="K40" s="135">
        <f t="shared" si="2"/>
        <v>0</v>
      </c>
      <c r="L40" s="136">
        <f t="shared" si="2"/>
        <v>0</v>
      </c>
      <c r="M40">
        <f>L40-K40</f>
        <v>0</v>
      </c>
    </row>
    <row r="41" spans="2:21" ht="15.75" customHeight="1">
      <c r="D41" s="66"/>
      <c r="E41" s="66"/>
      <c r="F41" s="66"/>
      <c r="H41" s="146"/>
      <c r="I41" s="146"/>
      <c r="J41" s="146"/>
      <c r="K41" s="146"/>
      <c r="L41" s="146"/>
    </row>
    <row r="42" spans="2:21" ht="15.75" customHeight="1">
      <c r="D42" s="66"/>
      <c r="E42" s="66"/>
      <c r="F42" s="66"/>
      <c r="H42" s="146"/>
      <c r="I42" s="146"/>
      <c r="J42" s="146"/>
      <c r="K42" s="146"/>
      <c r="L42" s="146"/>
    </row>
    <row r="43" spans="2:21" ht="15.75" customHeight="1">
      <c r="B43" s="35"/>
      <c r="K43" s="69"/>
      <c r="M43" s="100" t="s">
        <v>444</v>
      </c>
      <c r="N43" s="35"/>
      <c r="O43" s="316"/>
      <c r="P43" s="100">
        <v>1</v>
      </c>
      <c r="Q43" s="71" t="s">
        <v>287</v>
      </c>
      <c r="R43" s="272"/>
      <c r="S43" s="71" t="s">
        <v>287</v>
      </c>
      <c r="T43" s="272"/>
      <c r="U43" s="71" t="s">
        <v>287</v>
      </c>
    </row>
    <row r="44" spans="2:21" ht="15.75" customHeight="1">
      <c r="B44" s="70" t="s">
        <v>648</v>
      </c>
      <c r="C44" s="74" t="s">
        <v>287</v>
      </c>
      <c r="D44" s="71"/>
      <c r="E44" s="71"/>
      <c r="F44" s="71"/>
      <c r="G44" s="74"/>
      <c r="H44" s="71"/>
      <c r="I44" s="71"/>
      <c r="J44" s="71"/>
      <c r="K44" s="71"/>
      <c r="L44" s="71"/>
      <c r="P44" s="366">
        <f>VLOOKUP(B44,Приоритет!$G$9:$K$52,5,0)</f>
        <v>6</v>
      </c>
      <c r="Q44" s="273" t="s">
        <v>589</v>
      </c>
      <c r="R44" s="366">
        <v>212</v>
      </c>
      <c r="S44" s="273" t="s">
        <v>590</v>
      </c>
      <c r="T44" s="366">
        <v>312</v>
      </c>
      <c r="U44" s="273" t="s">
        <v>591</v>
      </c>
    </row>
    <row r="45" spans="2:21" ht="92.85" customHeight="1" outlineLevel="1">
      <c r="B45" s="46" t="s">
        <v>308</v>
      </c>
      <c r="C45" s="446" t="s">
        <v>309</v>
      </c>
      <c r="D45" s="39">
        <v>5</v>
      </c>
      <c r="E45" s="40">
        <v>5</v>
      </c>
      <c r="F45" s="41">
        <v>0</v>
      </c>
      <c r="G45" s="47"/>
      <c r="H45" s="47"/>
      <c r="I45" s="347"/>
      <c r="J45" s="324"/>
      <c r="K45" s="48">
        <v>0</v>
      </c>
      <c r="L45" s="288">
        <f>N45/(100%)*5</f>
        <v>0</v>
      </c>
      <c r="M45">
        <f t="shared" ref="M45:M57" si="3">L45-K45</f>
        <v>0</v>
      </c>
      <c r="N45" s="105">
        <v>0</v>
      </c>
      <c r="P45" s="364">
        <f>P44+0.01</f>
        <v>6.01</v>
      </c>
      <c r="Q45" s="248" t="str">
        <f>IF(($L45-$F45)&gt;=0,"",
" - Организовать мониторинг событий в журналах ОС и прикладного ПО;"&amp;"
   - Использовать для мониторинга имеющиеся средства (журналы, zabbix и т.п). Определить их состав, возможности, степень утилизации, достаточность для текущих задач ИБ.")</f>
        <v/>
      </c>
      <c r="R45" s="364">
        <f>R44+0.01</f>
        <v>212.01</v>
      </c>
      <c r="S45" s="248" t="str">
        <f>IF(($L45-$E45)&gt;=0,"",
" - Создать подразделение мониторинга (SOC);
  - Приобрести лицензии SIEM не менее чем на 50% парка серверов, сетевого оборудования и не менее 10% АРМ;"&amp;"
  - Создать инфраструктуру мониторинга")</f>
        <v xml:space="preserve"> - Создать подразделение мониторинга (SOC);
  - Приобрести лицензии SIEM не менее чем на 50% парка серверов, сетевого оборудования и не менее 10% АРМ;
  - Создать инфраструктуру мониторинга</v>
      </c>
      <c r="T45" s="364">
        <f>T44+0.01</f>
        <v>312.01</v>
      </c>
      <c r="U45" s="248" t="str">
        <f>IF(($L45-$D45)&gt;=0,""," - Приобрести лицензии SIEM, достаточные для полного покрытия мониторингом всех ИА.")</f>
        <v xml:space="preserve"> - Приобрести лицензии SIEM, достаточные для полного покрытия мониторингом всех ИА.</v>
      </c>
    </row>
    <row r="46" spans="2:21" ht="92.85" customHeight="1" outlineLevel="1">
      <c r="B46" s="256" t="s">
        <v>317</v>
      </c>
      <c r="C46" s="446" t="s">
        <v>310</v>
      </c>
      <c r="D46" s="39">
        <v>4.75</v>
      </c>
      <c r="E46" s="40">
        <v>4.5</v>
      </c>
      <c r="F46" s="41">
        <v>0</v>
      </c>
      <c r="G46" s="47"/>
      <c r="H46" s="47"/>
      <c r="I46" s="347"/>
      <c r="J46" s="324"/>
      <c r="K46" s="48">
        <v>0</v>
      </c>
      <c r="L46" s="288">
        <f>N46/(100%)*5</f>
        <v>0</v>
      </c>
      <c r="M46">
        <f t="shared" si="3"/>
        <v>0</v>
      </c>
      <c r="N46" s="105">
        <v>0</v>
      </c>
      <c r="P46" s="364">
        <f t="shared" ref="P46:P57" si="4">P45+0.01</f>
        <v>6.02</v>
      </c>
      <c r="Q46" s="248" t="str">
        <f>IF(($L46-$F46)&gt;=0,"",
" - Организовать регулярный мониторинг событий ИБ с использованием имеющихся средств.")</f>
        <v/>
      </c>
      <c r="R46" s="364">
        <f t="shared" ref="R46:R57" si="5">R45+0.01</f>
        <v>212.01999999999998</v>
      </c>
      <c r="S46" s="248" t="str">
        <f>IF(($L46-$E46)&gt;=0,"",
" - Подключить к SIEM все критичные ИС, публичные ИС, критичное сетевое оборудование;
   - Подключить к SIEM не менее 50% серверов, сетевого оборудования, не менее 10% АРМ")</f>
        <v xml:space="preserve"> - Подключить к SIEM все критичные ИС, публичные ИС, критичное сетевое оборудование;
   - Подключить к SIEM не менее 50% серверов, сетевого оборудования, не менее 10% АРМ</v>
      </c>
      <c r="T46" s="364">
        <f t="shared" ref="T46:T57" si="6">T45+0.01</f>
        <v>312.02</v>
      </c>
      <c r="U46" s="248" t="str">
        <f>IF(($L46-$D46)&gt;=0,""," - Подключить к SIEM 100% серверов, сетевого оборудования, 100% АРМ")</f>
        <v xml:space="preserve"> - Подключить к SIEM 100% серверов, сетевого оборудования, 100% АРМ</v>
      </c>
    </row>
    <row r="47" spans="2:21" ht="95.85" customHeight="1" outlineLevel="1">
      <c r="B47" s="46" t="s">
        <v>554</v>
      </c>
      <c r="C47" s="446" t="s">
        <v>377</v>
      </c>
      <c r="D47" s="39">
        <v>5</v>
      </c>
      <c r="E47" s="40">
        <v>3.2</v>
      </c>
      <c r="F47" s="41">
        <v>0</v>
      </c>
      <c r="G47" s="47"/>
      <c r="H47" s="47"/>
      <c r="I47" s="47"/>
      <c r="J47" s="324"/>
      <c r="K47" s="48">
        <v>0</v>
      </c>
      <c r="L47" s="47">
        <f t="shared" ref="L47:L57" si="7">VALUE(LEFT(N47,3))</f>
        <v>0</v>
      </c>
      <c r="M47">
        <f t="shared" si="3"/>
        <v>0</v>
      </c>
      <c r="N47" s="66" t="s">
        <v>283</v>
      </c>
      <c r="P47" s="364">
        <f t="shared" si="4"/>
        <v>6.0299999999999994</v>
      </c>
      <c r="Q47" s="248" t="str">
        <f>IF(($L47-$F47)&gt;=0,"",
" - Организовать мониторинг событий в журналах ОС и прикладного ПО;"&amp;"
   - Использовать для мониторинга имеющиеся средства (журналы, zabbix и т.п). Определить их состав, возможности, степень утилизации, достаточность для текущих задач ИБ.")</f>
        <v/>
      </c>
      <c r="R47" s="364">
        <f t="shared" si="5"/>
        <v>212.02999999999997</v>
      </c>
      <c r="S47" s="248" t="str">
        <f>IF(($L47-$E47)&gt;=0,"",
" - Настроить SIEM в соответствии с рекомендациями вендора;
  -  Разработать решающие правила, учитывающие особенности инфраструктуры Общества")</f>
        <v xml:space="preserve"> - Настроить SIEM в соответствии с рекомендациями вендора;
  -  Разработать решающие правила, учитывающие особенности инфраструктуры Общества</v>
      </c>
      <c r="T47" s="364">
        <f t="shared" si="6"/>
        <v>312.02999999999997</v>
      </c>
      <c r="U47" s="248" t="str">
        <f>IF(($L47-$D47)&gt;=0,""," - Проводить анализ эффективности решающих правил;
 - Реализовать процесс разработки решающих правил;
 -  Проводить доработку решающих правил с учетом произошедших инцидентов")</f>
        <v xml:space="preserve"> - Проводить анализ эффективности решающих правил;
 - Реализовать процесс разработки решающих правил;
 -  Проводить доработку решающих правил с учетом произошедших инцидентов</v>
      </c>
    </row>
    <row r="48" spans="2:21" ht="121.35" customHeight="1" outlineLevel="1">
      <c r="B48" s="46" t="s">
        <v>198</v>
      </c>
      <c r="C48" s="446" t="s">
        <v>311</v>
      </c>
      <c r="D48" s="39">
        <v>5</v>
      </c>
      <c r="E48" s="40">
        <v>3.2</v>
      </c>
      <c r="F48" s="41">
        <v>0</v>
      </c>
      <c r="G48" s="47"/>
      <c r="H48" s="47"/>
      <c r="I48" s="47"/>
      <c r="J48" s="324"/>
      <c r="K48" s="48">
        <v>0</v>
      </c>
      <c r="L48" s="47">
        <f t="shared" si="7"/>
        <v>0</v>
      </c>
      <c r="M48">
        <f t="shared" si="3"/>
        <v>0</v>
      </c>
      <c r="N48" s="35" t="s">
        <v>256</v>
      </c>
      <c r="P48" s="364">
        <f t="shared" si="4"/>
        <v>6.0399999999999991</v>
      </c>
      <c r="Q48" s="248" t="str">
        <f t="shared" ref="Q48:Q54" si="8">IF(($L48-$F48)&gt;=0,"",)</f>
        <v/>
      </c>
      <c r="R48" s="364">
        <f t="shared" si="5"/>
        <v>212.03999999999996</v>
      </c>
      <c r="S48" s="248">
        <f>IF(($L48-$E48)&gt;=0,"",)</f>
        <v>0</v>
      </c>
      <c r="T48" s="364">
        <f>T47+0.01</f>
        <v>312.03999999999996</v>
      </c>
      <c r="U48" s="248" t="str">
        <f>IF(($L48-$D48)&gt;=0,"","")</f>
        <v/>
      </c>
    </row>
    <row r="49" spans="2:21" ht="86.85" customHeight="1" outlineLevel="1">
      <c r="B49" s="46" t="s">
        <v>318</v>
      </c>
      <c r="C49" s="446" t="s">
        <v>312</v>
      </c>
      <c r="D49" s="39">
        <v>5</v>
      </c>
      <c r="E49" s="40">
        <v>3.2</v>
      </c>
      <c r="F49" s="41">
        <v>0</v>
      </c>
      <c r="G49" s="47"/>
      <c r="H49" s="47"/>
      <c r="I49" s="47"/>
      <c r="J49" s="324"/>
      <c r="K49" s="48">
        <v>0</v>
      </c>
      <c r="L49" s="47">
        <f t="shared" si="7"/>
        <v>0</v>
      </c>
      <c r="M49">
        <f t="shared" si="3"/>
        <v>0</v>
      </c>
      <c r="N49" s="35" t="s">
        <v>256</v>
      </c>
      <c r="P49" s="364">
        <f t="shared" si="4"/>
        <v>6.0499999999999989</v>
      </c>
      <c r="Q49" s="248" t="str">
        <f t="shared" si="8"/>
        <v/>
      </c>
      <c r="R49" s="364">
        <f t="shared" si="5"/>
        <v>212.04999999999995</v>
      </c>
      <c r="S49" s="248" t="str">
        <f>IF(($L49-$E49)&gt;=0,"",
" - Получить в Блоке ИБ ПАО Ростелеком ТТР и реализовать рекомендуемые решения (в ограниченном объеме с учетом возможностей организации на уровне КБ2)")</f>
        <v xml:space="preserve"> - Получить в Блоке ИБ ПАО Ростелеком ТТР и реализовать рекомендуемые решения (в ограниченном объеме с учетом возможностей организации на уровне КБ2)</v>
      </c>
      <c r="T49" s="364">
        <f t="shared" si="6"/>
        <v>312.04999999999995</v>
      </c>
      <c r="U49" s="248" t="str">
        <f>IF(($L49-$D49)&gt;=0,""," - Получить от Блока ИБ ТТР и реализовать рекомендуемые решения (в полном объеме)")</f>
        <v xml:space="preserve"> - Получить от Блока ИБ ТТР и реализовать рекомендуемые решения (в полном объеме)</v>
      </c>
    </row>
    <row r="50" spans="2:21" ht="50.1" customHeight="1" outlineLevel="1">
      <c r="B50" s="256" t="s">
        <v>201</v>
      </c>
      <c r="C50" s="446" t="s">
        <v>313</v>
      </c>
      <c r="D50" s="39">
        <v>5</v>
      </c>
      <c r="E50" s="40">
        <v>3.2</v>
      </c>
      <c r="F50" s="41">
        <v>0</v>
      </c>
      <c r="G50" s="47"/>
      <c r="H50" s="47"/>
      <c r="I50" s="47"/>
      <c r="J50" s="324"/>
      <c r="K50" s="48">
        <v>0</v>
      </c>
      <c r="L50" s="47">
        <f t="shared" si="7"/>
        <v>0</v>
      </c>
      <c r="M50">
        <f t="shared" si="3"/>
        <v>0</v>
      </c>
      <c r="N50" s="35" t="s">
        <v>256</v>
      </c>
      <c r="P50" s="364">
        <f t="shared" si="4"/>
        <v>6.0599999999999987</v>
      </c>
      <c r="Q50" s="248" t="str">
        <f t="shared" si="8"/>
        <v/>
      </c>
      <c r="R50" s="364">
        <f t="shared" si="5"/>
        <v>212.05999999999995</v>
      </c>
      <c r="S50" s="248" t="str">
        <f>IF(($L50-$E50)&gt;=0,"",
" - Подключить к SIEM сетевые устройства: не менее 50%. Разработать решающие правила для сетевых событий.")</f>
        <v xml:space="preserve"> - Подключить к SIEM сетевые устройства: не менее 50%. Разработать решающие правила для сетевых событий.</v>
      </c>
      <c r="T50" s="364">
        <f t="shared" si="6"/>
        <v>312.05999999999995</v>
      </c>
      <c r="U50" s="248" t="str">
        <f>IF(($L50-$D50)&gt;=0,""," - Подключить к SIEM сетевые устройства: 100%. Оценивать и дорабатывать решающие правила для сетевых событий.")</f>
        <v xml:space="preserve"> - Подключить к SIEM сетевые устройства: 100%. Оценивать и дорабатывать решающие правила для сетевых событий.</v>
      </c>
    </row>
    <row r="51" spans="2:21" ht="51.6" customHeight="1" outlineLevel="1">
      <c r="B51" s="256" t="s">
        <v>307</v>
      </c>
      <c r="C51" s="446" t="s">
        <v>314</v>
      </c>
      <c r="D51" s="39">
        <v>5</v>
      </c>
      <c r="E51" s="40">
        <v>3.2</v>
      </c>
      <c r="F51" s="41">
        <v>0</v>
      </c>
      <c r="G51" s="47"/>
      <c r="H51" s="47"/>
      <c r="I51" s="47"/>
      <c r="J51" s="324"/>
      <c r="K51" s="48">
        <v>0</v>
      </c>
      <c r="L51" s="47">
        <f t="shared" si="7"/>
        <v>0</v>
      </c>
      <c r="M51">
        <f t="shared" si="3"/>
        <v>0</v>
      </c>
      <c r="N51" s="35" t="s">
        <v>256</v>
      </c>
      <c r="P51" s="364">
        <f t="shared" si="4"/>
        <v>6.0699999999999985</v>
      </c>
      <c r="Q51" s="248" t="str">
        <f t="shared" si="8"/>
        <v/>
      </c>
      <c r="R51" s="364">
        <f t="shared" si="5"/>
        <v>212.06999999999994</v>
      </c>
      <c r="S51" s="248" t="str">
        <f>IF(($L51-$E51)&gt;=0,"",
" - Подключить к SIEM операц.системы: не менее 50%. Разработать решающие правила для ОС")</f>
        <v xml:space="preserve"> - Подключить к SIEM операц.системы: не менее 50%. Разработать решающие правила для ОС</v>
      </c>
      <c r="T51" s="364">
        <f t="shared" si="6"/>
        <v>312.06999999999994</v>
      </c>
      <c r="U51" s="248" t="str">
        <f>IF(($L51-$D51)&gt;=0,""," - Подключить к SIEM операц.системы: не менее 100%. Разработать решающие правила для ОС")</f>
        <v xml:space="preserve"> - Подключить к SIEM операц.системы: не менее 100%. Разработать решающие правила для ОС</v>
      </c>
    </row>
    <row r="52" spans="2:21" ht="36" customHeight="1" outlineLevel="1">
      <c r="B52" s="256" t="s">
        <v>379</v>
      </c>
      <c r="C52" s="446" t="s">
        <v>315</v>
      </c>
      <c r="D52" s="39">
        <v>5</v>
      </c>
      <c r="E52" s="40">
        <v>3.2</v>
      </c>
      <c r="F52" s="41">
        <v>0</v>
      </c>
      <c r="G52" s="47"/>
      <c r="H52" s="47"/>
      <c r="I52" s="47"/>
      <c r="J52" s="324"/>
      <c r="K52" s="48">
        <v>0</v>
      </c>
      <c r="L52" s="47">
        <f t="shared" si="7"/>
        <v>0</v>
      </c>
      <c r="M52">
        <f t="shared" si="3"/>
        <v>0</v>
      </c>
      <c r="N52" s="35" t="s">
        <v>256</v>
      </c>
      <c r="P52" s="364">
        <f t="shared" si="4"/>
        <v>6.0799999999999983</v>
      </c>
      <c r="Q52" s="248" t="str">
        <f t="shared" si="8"/>
        <v/>
      </c>
      <c r="R52" s="364">
        <f t="shared" si="5"/>
        <v>212.07999999999993</v>
      </c>
      <c r="S52" s="267" t="str">
        <f>IF(($L52-$E52)&gt;=0,"",
" - Подключить к SIEM СУБД: не менее 50%. Разработать решающие правила для СУБД")</f>
        <v xml:space="preserve"> - Подключить к SIEM СУБД: не менее 50%. Разработать решающие правила для СУБД</v>
      </c>
      <c r="T52" s="364">
        <f t="shared" si="6"/>
        <v>312.07999999999993</v>
      </c>
      <c r="U52" s="267" t="str">
        <f>IF(($L52-$D52)&gt;=0,""," - Подключить к SIEM СУБД: не менее 100%. Разработать решающие правила для СУБД")</f>
        <v xml:space="preserve"> - Подключить к SIEM СУБД: не менее 100%. Разработать решающие правила для СУБД</v>
      </c>
    </row>
    <row r="53" spans="2:21" ht="33.6" customHeight="1" outlineLevel="1">
      <c r="B53" s="256" t="s">
        <v>380</v>
      </c>
      <c r="C53" s="446" t="s">
        <v>316</v>
      </c>
      <c r="D53" s="39">
        <v>5</v>
      </c>
      <c r="E53" s="40">
        <v>3.2</v>
      </c>
      <c r="F53" s="41">
        <v>0</v>
      </c>
      <c r="G53" s="47"/>
      <c r="H53" s="47"/>
      <c r="I53" s="47"/>
      <c r="J53" s="324"/>
      <c r="K53" s="48">
        <v>0</v>
      </c>
      <c r="L53" s="47">
        <f t="shared" si="7"/>
        <v>0</v>
      </c>
      <c r="M53">
        <f t="shared" si="3"/>
        <v>0</v>
      </c>
      <c r="N53" s="35" t="s">
        <v>256</v>
      </c>
      <c r="P53" s="364">
        <f t="shared" si="4"/>
        <v>6.0899999999999981</v>
      </c>
      <c r="Q53" s="248" t="str">
        <f t="shared" si="8"/>
        <v/>
      </c>
      <c r="R53" s="364">
        <f t="shared" si="5"/>
        <v>212.08999999999992</v>
      </c>
      <c r="S53" s="267" t="str">
        <f>IF(($L53-$E53)&gt;=0,"",
" - Подключить к SIEM прикладные ИС: не менее 50%. Разработать решающие правила для прикладных ИС")</f>
        <v xml:space="preserve"> - Подключить к SIEM прикладные ИС: не менее 50%. Разработать решающие правила для прикладных ИС</v>
      </c>
      <c r="T53" s="364">
        <f t="shared" si="6"/>
        <v>312.08999999999992</v>
      </c>
      <c r="U53" s="267" t="str">
        <f>IF(($L53-$D53)&gt;=0,""," - Подключить к SIEM прикладные ИС: не менее 100%. Разработать решающие правила для прикладных ИС")</f>
        <v xml:space="preserve"> - Подключить к SIEM прикладные ИС: не менее 100%. Разработать решающие правила для прикладных ИС</v>
      </c>
    </row>
    <row r="54" spans="2:21" ht="48" customHeight="1" outlineLevel="1">
      <c r="B54" s="256" t="s">
        <v>382</v>
      </c>
      <c r="C54" s="446" t="s">
        <v>378</v>
      </c>
      <c r="D54" s="39">
        <v>5</v>
      </c>
      <c r="E54" s="40">
        <v>3.2</v>
      </c>
      <c r="F54" s="41">
        <v>0</v>
      </c>
      <c r="G54" s="47"/>
      <c r="H54" s="47"/>
      <c r="I54" s="47"/>
      <c r="J54" s="324"/>
      <c r="K54" s="48">
        <v>0</v>
      </c>
      <c r="L54" s="47">
        <f t="shared" si="7"/>
        <v>0</v>
      </c>
      <c r="M54">
        <f t="shared" si="3"/>
        <v>0</v>
      </c>
      <c r="N54" s="35" t="s">
        <v>256</v>
      </c>
      <c r="P54" s="364">
        <f t="shared" si="4"/>
        <v>6.0999999999999979</v>
      </c>
      <c r="Q54" s="248" t="str">
        <f t="shared" si="8"/>
        <v/>
      </c>
      <c r="R54" s="364">
        <f t="shared" si="5"/>
        <v>212.09999999999991</v>
      </c>
      <c r="S54" s="267" t="str">
        <f>IF(($L54-$E54)&gt;=0,"",
" - Подключить к SIEM СЗИ: не менее 50%. Разработать решающие правила для СЗИ")</f>
        <v xml:space="preserve"> - Подключить к SIEM СЗИ: не менее 50%. Разработать решающие правила для СЗИ</v>
      </c>
      <c r="T54" s="364">
        <f t="shared" si="6"/>
        <v>312.09999999999991</v>
      </c>
      <c r="U54" s="267" t="str">
        <f>IF(($L54-$D54)&gt;=0,""," - Подключить к SIEM СЗИ: не менее 100%. Разработать решающие правила для СЗИ")</f>
        <v xml:space="preserve"> - Подключить к SIEM СЗИ: не менее 100%. Разработать решающие правила для СЗИ</v>
      </c>
    </row>
    <row r="55" spans="2:21" ht="117" customHeight="1" outlineLevel="1">
      <c r="B55" s="256" t="s">
        <v>854</v>
      </c>
      <c r="C55" s="446" t="s">
        <v>381</v>
      </c>
      <c r="D55" s="39">
        <v>5</v>
      </c>
      <c r="E55" s="40">
        <v>3.2</v>
      </c>
      <c r="F55" s="41">
        <v>1.6</v>
      </c>
      <c r="G55" s="47"/>
      <c r="H55" s="47"/>
      <c r="I55" s="47"/>
      <c r="J55" s="324"/>
      <c r="K55" s="48">
        <v>1.6</v>
      </c>
      <c r="L55" s="47">
        <f t="shared" si="7"/>
        <v>0</v>
      </c>
      <c r="M55">
        <f t="shared" si="3"/>
        <v>-1.6</v>
      </c>
      <c r="N55" s="35" t="s">
        <v>256</v>
      </c>
      <c r="P55" s="364">
        <f t="shared" si="4"/>
        <v>6.1099999999999977</v>
      </c>
      <c r="Q55" s="248" t="str">
        <f>IF(($L55-$F55)&gt;=0,"",
" - Составить перчень привилегированных пользователей и групп;
  -  Разработать решающие правила SIEM для выявления действий привилегированных пользователей;"&amp;"
  -  Контролировать действия привилегированных пользователей в критичных ИС")</f>
        <v xml:space="preserve"> - Составить перчень привилегированных пользователей и групп;
  -  Разработать решающие правила SIEM для выявления действий привилегированных пользователей;
  -  Контролировать действия привилегированных пользователей в критичных ИС</v>
      </c>
      <c r="R55" s="364">
        <f t="shared" si="5"/>
        <v>212.1099999999999</v>
      </c>
      <c r="S55" s="248" t="str">
        <f>IF(($L55-$E55)&gt;=0,"",
" - Контролировать действия привилегированных пользователей во всех ИС, находящихся на мониторинге.")</f>
        <v xml:space="preserve"> - Контролировать действия привилегированных пользователей во всех ИС, находящихся на мониторинге.</v>
      </c>
      <c r="T55" s="364">
        <f t="shared" si="6"/>
        <v>312.1099999999999</v>
      </c>
      <c r="U55" s="248" t="str">
        <f>IF(($L55-$D55)&gt;=0,""," - Повышать эффективность решающих правил с учетом инцидентов.")</f>
        <v xml:space="preserve"> - Повышать эффективность решающих правил с учетом инцидентов.</v>
      </c>
    </row>
    <row r="56" spans="2:21" ht="128.1" customHeight="1" outlineLevel="1">
      <c r="B56" s="256" t="s">
        <v>949</v>
      </c>
      <c r="C56" s="446" t="s">
        <v>383</v>
      </c>
      <c r="D56" s="39">
        <v>4</v>
      </c>
      <c r="E56" s="40">
        <v>3</v>
      </c>
      <c r="F56" s="41">
        <v>0</v>
      </c>
      <c r="G56" s="47"/>
      <c r="H56" s="47"/>
      <c r="I56" s="47"/>
      <c r="J56" s="324"/>
      <c r="K56" s="48">
        <v>0</v>
      </c>
      <c r="L56" s="47">
        <f t="shared" si="7"/>
        <v>0</v>
      </c>
      <c r="M56">
        <f t="shared" si="3"/>
        <v>0</v>
      </c>
      <c r="N56" s="35" t="s">
        <v>245</v>
      </c>
      <c r="P56" s="364">
        <f t="shared" si="4"/>
        <v>6.1199999999999974</v>
      </c>
      <c r="Q56" s="248" t="str">
        <f>IF(($L56-$F56)&gt;=0,"",)</f>
        <v/>
      </c>
      <c r="R56" s="364">
        <f t="shared" si="5"/>
        <v>212.11999999999989</v>
      </c>
      <c r="S56" s="248" t="str">
        <f>IF(($L56-$E56)&gt;=0,"",
" - Организовать контроль непрерывности мониторинга;
  -  Обеспечить восстановление мониторинга при сбоях в срок не более чем 6 часов;"&amp;"
  -  Обеспечить сохранность данных об инцидентах в случае сбоев;
  -  Обеспечить переключение источников событий на резервный SIEM в случае сбоев.")</f>
        <v xml:space="preserve"> - Организовать контроль непрерывности мониторинга;
  -  Обеспечить восстановление мониторинга при сбоях в срок не более чем 6 часов;
  -  Обеспечить сохранность данных об инцидентах в случае сбоев;
  -  Обеспечить переключение источников событий на резервный SIEM в случае сбоев.</v>
      </c>
      <c r="T56" s="364">
        <f t="shared" si="6"/>
        <v>312.11999999999989</v>
      </c>
      <c r="U56" s="248" t="str">
        <f>IF(($L56-$D56)&gt;=0,""," - Приобрести лицензии SIEM, достаточные для полного покрытия мониторингом всех ИА.")</f>
        <v xml:space="preserve"> - Приобрести лицензии SIEM, достаточные для полного покрытия мониторингом всех ИА.</v>
      </c>
    </row>
    <row r="57" spans="2:21" ht="156" customHeight="1" outlineLevel="1">
      <c r="B57" s="256" t="s">
        <v>950</v>
      </c>
      <c r="C57" s="446" t="s">
        <v>497</v>
      </c>
      <c r="D57" s="39">
        <v>5</v>
      </c>
      <c r="E57" s="40">
        <v>5</v>
      </c>
      <c r="F57" s="41">
        <v>0</v>
      </c>
      <c r="G57" s="47"/>
      <c r="H57" s="47"/>
      <c r="I57" s="47"/>
      <c r="J57" s="324"/>
      <c r="K57" s="48">
        <v>0</v>
      </c>
      <c r="L57" s="47">
        <f t="shared" si="7"/>
        <v>0</v>
      </c>
      <c r="M57">
        <f t="shared" si="3"/>
        <v>0</v>
      </c>
      <c r="N57" s="35" t="s">
        <v>822</v>
      </c>
      <c r="O57" s="446"/>
      <c r="P57" s="364">
        <f t="shared" si="4"/>
        <v>6.1299999999999972</v>
      </c>
      <c r="Q57" s="248" t="str">
        <f>IF(($L57-$F57)&gt;=0,"",
"")</f>
        <v/>
      </c>
      <c r="R57" s="364">
        <f t="shared" si="5"/>
        <v>212.12999999999988</v>
      </c>
      <c r="S57" s="248" t="str">
        <f>IF(($L57-$E57)&gt;=0,"", " - Информировать персонал SOC о поставщиках, их услугах, порядке взаимодействия с ними, бизнес-процессах в которых такие услуги используются;"&amp;"
  -  Определить порядок взаимодействия с поставщиком при мониторинге (если поставщик предоставляет услугу мониторинга или самостоятельно ведет такой мониторинг) и обмена информацией об инцидентах."&amp;"
 - Разработать решающие правила  SIEM для контроля внешних услуг и подрядчиков;
  - Поставить на мониторинг SIEM внешние услуги;"&amp;"
  -  Поставить на мониторинг SIEM поставщиков, имеющих доступ к внутренней инфраструктуре (например, внешняя техподдержка) и используемые ими средства (удаленный доступ, административные учетные записи, обслуживаемые ИС)")</f>
        <v xml:space="preserve"> - Информировать персонал SOC о поставщиках, их услугах, порядке взаимодействия с ними, бизнес-процессах в которых такие услуги используются;
  -  Определить порядок взаимодействия с поставщиком при мониторинге (если поставщик предоставляет услугу мониторинга или самостоятельно ведет такой мониторинг) и обмена информацией об инцидентах.
 - Разработать решающие правила  SIEM для контроля внешних услуг и подрядчиков;
  - Поставить на мониторинг SIEM внешние услуги;
  -  Поставить на мониторинг SIEM поставщиков, имеющих доступ к внутренней инфраструктуре (например, внешняя техподдержка) и используемые ими средства (удаленный доступ, административные учетные записи, обслуживаемые ИС)</v>
      </c>
      <c r="T57" s="364">
        <f t="shared" si="6"/>
        <v>312.12999999999988</v>
      </c>
      <c r="U57" s="248" t="str">
        <f>IF(($L57-$D57)&gt;=0,"","")</f>
        <v/>
      </c>
    </row>
    <row r="58" spans="2:21" ht="29.85" customHeight="1">
      <c r="B58" s="70" t="s">
        <v>649</v>
      </c>
      <c r="C58" s="74" t="s">
        <v>197</v>
      </c>
      <c r="D58" s="71"/>
      <c r="E58" s="71"/>
      <c r="F58" s="71"/>
      <c r="G58" s="74"/>
      <c r="H58" s="71"/>
      <c r="I58" s="71"/>
      <c r="J58" s="71"/>
      <c r="K58" s="71"/>
      <c r="L58" s="71"/>
      <c r="N58" s="35"/>
      <c r="P58" s="366">
        <f>VLOOKUP(B58,Приоритет!$G$9:$K$52,5,0)</f>
        <v>20</v>
      </c>
      <c r="Q58" s="44" t="s">
        <v>196</v>
      </c>
      <c r="R58" s="366">
        <v>200</v>
      </c>
      <c r="S58" s="44" t="s">
        <v>196</v>
      </c>
      <c r="T58" s="366">
        <v>300</v>
      </c>
      <c r="U58" s="44" t="s">
        <v>196</v>
      </c>
    </row>
    <row r="59" spans="2:21" ht="69.599999999999994" customHeight="1" outlineLevel="1">
      <c r="B59" s="256" t="s">
        <v>199</v>
      </c>
      <c r="C59" s="66" t="s">
        <v>200</v>
      </c>
      <c r="D59" s="39">
        <v>5</v>
      </c>
      <c r="E59" s="40">
        <v>5</v>
      </c>
      <c r="F59" s="41">
        <v>0</v>
      </c>
      <c r="G59" s="47"/>
      <c r="H59" s="47"/>
      <c r="I59" s="47"/>
      <c r="J59" s="324"/>
      <c r="K59" s="48">
        <v>0</v>
      </c>
      <c r="L59" s="47">
        <f>VALUE(LEFT(N59,3))</f>
        <v>0</v>
      </c>
      <c r="M59">
        <f t="shared" ref="M59:M65" si="9">L59-K59</f>
        <v>0</v>
      </c>
      <c r="N59" s="271" t="s">
        <v>256</v>
      </c>
      <c r="P59" s="364">
        <f>P58+0.1</f>
        <v>20.100000000000001</v>
      </c>
      <c r="Q59" s="35" t="str">
        <f>IF(($L59-$F59)&gt;=0,"",)</f>
        <v/>
      </c>
      <c r="R59" s="364">
        <f>R58+0.01</f>
        <v>200.01</v>
      </c>
      <c r="S59" s="248" t="str">
        <f>IF(($L59-$E59)&gt;=0,"",
" - Настроить БД SIEM для хранения информации о событиях не менее 6 месяцев. Выделить ресурсы, достаточные для хранения. Проконтролировать хранение событий не менее указанного срока.")</f>
        <v xml:space="preserve"> - Настроить БД SIEM для хранения информации о событиях не менее 6 месяцев. Выделить ресурсы, достаточные для хранения. Проконтролировать хранение событий не менее указанного срока.</v>
      </c>
      <c r="T59" s="364">
        <f>T58+0.01</f>
        <v>300.01</v>
      </c>
      <c r="U59" s="248" t="str">
        <f>IF(($L59-$D59)&gt;=0,"","")</f>
        <v/>
      </c>
    </row>
    <row r="60" spans="2:21" ht="29.85" customHeight="1">
      <c r="B60" s="70" t="s">
        <v>498</v>
      </c>
      <c r="C60" s="74" t="s">
        <v>39</v>
      </c>
      <c r="D60" s="71"/>
      <c r="E60" s="71"/>
      <c r="F60" s="71"/>
      <c r="G60" s="74"/>
      <c r="H60" s="71"/>
      <c r="I60" s="71"/>
      <c r="J60" s="71"/>
      <c r="K60" s="71"/>
      <c r="L60" s="71"/>
      <c r="M60">
        <f t="shared" si="9"/>
        <v>0</v>
      </c>
      <c r="N60" s="35"/>
      <c r="P60" s="366">
        <f>VLOOKUP(B60,Приоритет!$G$9:$K$52,5,0)</f>
        <v>21</v>
      </c>
      <c r="Q60" s="44" t="s">
        <v>498</v>
      </c>
      <c r="R60" s="366">
        <v>200</v>
      </c>
      <c r="S60" s="44" t="s">
        <v>498</v>
      </c>
      <c r="T60" s="366">
        <v>300</v>
      </c>
      <c r="U60" s="44" t="s">
        <v>498</v>
      </c>
    </row>
    <row r="61" spans="2:21" ht="74.099999999999994" customHeight="1" outlineLevel="1">
      <c r="B61" s="46" t="s">
        <v>40</v>
      </c>
      <c r="C61" s="66" t="s">
        <v>303</v>
      </c>
      <c r="D61" s="39">
        <v>4</v>
      </c>
      <c r="E61" s="40">
        <v>1</v>
      </c>
      <c r="F61" s="41">
        <v>0</v>
      </c>
      <c r="G61" s="47"/>
      <c r="H61" s="47"/>
      <c r="I61" s="47"/>
      <c r="J61" s="324"/>
      <c r="K61" s="48">
        <v>0</v>
      </c>
      <c r="L61" s="47">
        <f>VALUE(LEFT(N61,3))</f>
        <v>0</v>
      </c>
      <c r="M61">
        <f t="shared" si="9"/>
        <v>0</v>
      </c>
      <c r="N61" s="35" t="s">
        <v>245</v>
      </c>
      <c r="P61" s="364">
        <f>P60+0.01</f>
        <v>21.01</v>
      </c>
      <c r="Q61" s="275" t="str">
        <f>IF(($L61-$F61)&gt;=0,"",)</f>
        <v/>
      </c>
      <c r="R61" s="66">
        <f>R60+0.01</f>
        <v>200.01</v>
      </c>
      <c r="S61" s="248" t="str">
        <f>IF(($L61-$E61)&gt;=0,"",
" - Организовать процесс анализа информации об угрозах, направлемой РТК, ФСТЭК и НКЦКИ. Выполнять проверку применимости угроз и мер защиты в Обществе. Выполнять рекомендуемые меры.")</f>
        <v xml:space="preserve"> - Организовать процесс анализа информации об угрозах, направлемой РТК, ФСТЭК и НКЦКИ. Выполнять проверку применимости угроз и мер защиты в Обществе. Выполнять рекомендуемые меры.</v>
      </c>
      <c r="T61" s="66">
        <f>T60+0.01</f>
        <v>300.01</v>
      </c>
      <c r="U61" s="248" t="str">
        <f>IF(($L61-$D61)&gt;=0,""," - Организовать получение данных от  поставщиков информации об угрозах и из открытых источников. Реализовать процесс анализа угроз и защиты от релевантных угроз.")</f>
        <v xml:space="preserve"> - Организовать получение данных от  поставщиков информации об угрозах и из открытых источников. Реализовать процесс анализа угроз и защиты от релевантных угроз.</v>
      </c>
    </row>
    <row r="62" spans="2:21" ht="67.349999999999994" customHeight="1" outlineLevel="1">
      <c r="B62" s="256" t="s">
        <v>41</v>
      </c>
      <c r="C62" s="66" t="s">
        <v>304</v>
      </c>
      <c r="D62" s="39">
        <v>4</v>
      </c>
      <c r="E62" s="40">
        <v>4</v>
      </c>
      <c r="F62" s="41">
        <v>0</v>
      </c>
      <c r="G62" s="47"/>
      <c r="H62" s="47"/>
      <c r="I62" s="47"/>
      <c r="J62" s="324"/>
      <c r="K62" s="48">
        <v>0</v>
      </c>
      <c r="L62" s="47">
        <f>VALUE(LEFT(N62,3))</f>
        <v>0</v>
      </c>
      <c r="M62">
        <f t="shared" si="9"/>
        <v>0</v>
      </c>
      <c r="N62" s="35" t="s">
        <v>245</v>
      </c>
      <c r="P62" s="364">
        <f>P61+0.01</f>
        <v>21.020000000000003</v>
      </c>
      <c r="Q62" s="275" t="str">
        <f>IF(($L62-$F62)&gt;=0,"",)</f>
        <v/>
      </c>
      <c r="R62" s="66">
        <f>R61+0.01</f>
        <v>200.01999999999998</v>
      </c>
      <c r="S62" s="248" t="str">
        <f>IF(($L62-$E62)&gt;=0,"",
" - Регламентировать процесс мониторинга событий ИБ, определить критерии определения и классификации инцидентов, Определить порядок инициации реагирования на инцидент.")</f>
        <v xml:space="preserve"> - Регламентировать процесс мониторинга событий ИБ, определить критерии определения и классификации инцидентов, Определить порядок инициации реагирования на инцидент.</v>
      </c>
      <c r="T62" s="66">
        <f>T61+0.01</f>
        <v>300.02</v>
      </c>
      <c r="U62" s="248" t="str">
        <f>IF(($L62-$D62)&gt;=0,"","")</f>
        <v/>
      </c>
    </row>
    <row r="63" spans="2:21" ht="138" customHeight="1" outlineLevel="1">
      <c r="B63" s="256" t="s">
        <v>44</v>
      </c>
      <c r="C63" s="66" t="s">
        <v>305</v>
      </c>
      <c r="D63" s="39">
        <v>4</v>
      </c>
      <c r="E63" s="40">
        <v>3</v>
      </c>
      <c r="F63" s="41">
        <v>0</v>
      </c>
      <c r="G63" s="47"/>
      <c r="H63" s="47"/>
      <c r="I63" s="47"/>
      <c r="J63" s="324"/>
      <c r="K63" s="48">
        <v>0</v>
      </c>
      <c r="L63" s="47">
        <f>VALUE(LEFT(N63,3))</f>
        <v>0</v>
      </c>
      <c r="M63">
        <f t="shared" si="9"/>
        <v>0</v>
      </c>
      <c r="N63" s="35" t="s">
        <v>245</v>
      </c>
      <c r="P63" s="364">
        <f>P62+0.01</f>
        <v>21.030000000000005</v>
      </c>
      <c r="Q63" s="275" t="str">
        <f>IF(($L63-$F63)&gt;=0,"",)</f>
        <v/>
      </c>
      <c r="R63" s="66">
        <f>R62+0.01</f>
        <v>200.02999999999997</v>
      </c>
      <c r="S63" s="248" t="str">
        <f>IF(($L63-$E63)&gt;=0,"",
" - Получить типовые решающие правила SIEM от разработчика SIEM и из других доступных источников. Адаптировать решающие правила для применения в инфрастурктуре организации.")</f>
        <v xml:space="preserve"> - Получить типовые решающие правила SIEM от разработчика SIEM и из других доступных источников. Адаптировать решающие правила для применения в инфрастурктуре организации.</v>
      </c>
      <c r="T63" s="66">
        <f>T62+0.01</f>
        <v>300.02999999999997</v>
      </c>
      <c r="U63" s="248" t="str">
        <f>IF(($L63-$D63)&gt;=0,""," - Организовать процесс разработки решающих правил;
 - Создать базу знаний или инструкции по разработке решающих правил;"&amp;"
 -  Составить план разработки решающих правил;
 -  Организовать процесс анализа журналов событий для разработки решающих правил SIEM;"&amp;"
 -  Применить результаты расследования инцидентов для разработки решающих правил.")</f>
        <v xml:space="preserve"> - Организовать процесс разработки решающих правил;
 - Создать базу знаний или инструкции по разработке решающих правил;
 -  Составить план разработки решающих правил;
 -  Организовать процесс анализа журналов событий для разработки решающих правил SIEM;
 -  Применить результаты расследования инцидентов для разработки решающих правил.</v>
      </c>
    </row>
    <row r="64" spans="2:21" ht="112.35" customHeight="1" outlineLevel="1">
      <c r="B64" s="256" t="s">
        <v>496</v>
      </c>
      <c r="C64" s="66" t="s">
        <v>730</v>
      </c>
      <c r="D64" s="39">
        <v>4</v>
      </c>
      <c r="E64" s="40">
        <v>2</v>
      </c>
      <c r="F64" s="41">
        <v>0</v>
      </c>
      <c r="G64" s="47"/>
      <c r="H64" s="47"/>
      <c r="I64" s="47"/>
      <c r="J64" s="324"/>
      <c r="K64" s="48">
        <v>0</v>
      </c>
      <c r="L64" s="47">
        <f>VALUE(LEFT(N64,3))</f>
        <v>0</v>
      </c>
      <c r="M64">
        <f t="shared" si="9"/>
        <v>0</v>
      </c>
      <c r="N64" s="35" t="s">
        <v>245</v>
      </c>
      <c r="P64" s="364">
        <f>P63+0.01</f>
        <v>21.040000000000006</v>
      </c>
      <c r="Q64" s="275" t="str">
        <f>IF(($L64-$F64)&gt;=0,"",)</f>
        <v/>
      </c>
      <c r="R64" s="66">
        <f>R63+0.01</f>
        <v>200.03999999999996</v>
      </c>
      <c r="S64" s="248" t="str">
        <f>IF(($L64-$E64)&gt;=0,"",
" - Провести инвентаризацию источников событий и подключить их к SIEM")</f>
        <v xml:space="preserve"> - Провести инвентаризацию источников событий и подключить их к SIEM</v>
      </c>
      <c r="T64" s="66">
        <f>T63+0.01</f>
        <v>300.03999999999996</v>
      </c>
      <c r="U64" s="248" t="str">
        <f>IF(($L64-$D64)&gt;=0,""," - Регламентировать порядок подключения источников информации к SIEM;"&amp;"
 -  Определить требования по обязательному подключению;
 -  Реализовать процесс подключения источников, с инвентаризацией и контролем неподключенных источников;"&amp;"
 - Установить SLA по подключению.")</f>
        <v xml:space="preserve"> - Регламентировать порядок подключения источников информации к SIEM;
 -  Определить требования по обязательному подключению;
 -  Реализовать процесс подключения источников, с инвентаризацией и контролем неподключенных источников;
 - Установить SLA по подключению.</v>
      </c>
    </row>
    <row r="65" spans="2:21" ht="71.099999999999994" customHeight="1" outlineLevel="1">
      <c r="B65" s="256" t="s">
        <v>45</v>
      </c>
      <c r="C65" s="66" t="s">
        <v>306</v>
      </c>
      <c r="D65" s="39">
        <v>4</v>
      </c>
      <c r="E65" s="40">
        <v>3</v>
      </c>
      <c r="F65" s="41">
        <v>0</v>
      </c>
      <c r="G65" s="47"/>
      <c r="H65" s="47"/>
      <c r="I65" s="47"/>
      <c r="J65" s="324"/>
      <c r="K65" s="48">
        <v>0</v>
      </c>
      <c r="L65" s="47">
        <f>VALUE(LEFT(N65,3))</f>
        <v>0</v>
      </c>
      <c r="M65">
        <f t="shared" si="9"/>
        <v>0</v>
      </c>
      <c r="N65" s="35" t="s">
        <v>245</v>
      </c>
      <c r="P65" s="364">
        <f>P64+0.01</f>
        <v>21.050000000000008</v>
      </c>
      <c r="Q65" s="275" t="str">
        <f>IF(($L65-$F65)&gt;=0,"",)</f>
        <v/>
      </c>
      <c r="R65" s="66">
        <f>R64+0.01</f>
        <v>200.04999999999995</v>
      </c>
      <c r="S65" s="248" t="str">
        <f>IF(($L65-$E65)&gt;=0,"",
" - Проводить аудит ИС для выявления неподключенных к SIEM источников;"&amp;"
   - Проверять, что источники подключены и успешно передают события.")</f>
        <v xml:space="preserve"> - Проводить аудит ИС для выявления неподключенных к SIEM источников;
   - Проверять, что источники подключены и успешно передают события.</v>
      </c>
      <c r="T65" s="66">
        <f>T64+0.01</f>
        <v>300.04999999999995</v>
      </c>
      <c r="U65" s="248" t="str">
        <f>IF(($L65-$D65)&gt;=0,""," - Регламентировать процесс контроля источников")</f>
        <v xml:space="preserve"> - Регламентировать процесс контроля источников</v>
      </c>
    </row>
    <row r="66" spans="2:21" ht="15.75" customHeight="1">
      <c r="D66" s="66"/>
      <c r="E66" s="66"/>
      <c r="F66" s="66"/>
      <c r="H66" s="66"/>
      <c r="I66" s="66"/>
      <c r="J66" s="66"/>
      <c r="L66" s="66"/>
      <c r="M66" s="66"/>
    </row>
    <row r="67" spans="2:21" ht="15.75" customHeight="1">
      <c r="B67" s="35"/>
    </row>
    <row r="68" spans="2:21" ht="15.75" customHeight="1">
      <c r="B68" s="35"/>
    </row>
    <row r="69" spans="2:21" ht="15.75" customHeight="1">
      <c r="B69" s="35"/>
    </row>
    <row r="70" spans="2:21" ht="15.75" customHeight="1">
      <c r="B70" s="35"/>
    </row>
    <row r="71" spans="2:21" ht="15.75" customHeight="1">
      <c r="B71" s="35"/>
    </row>
    <row r="72" spans="2:21" ht="15.75" customHeight="1">
      <c r="B72" s="35"/>
    </row>
    <row r="73" spans="2:21" ht="15.75" customHeight="1">
      <c r="B73" s="35"/>
    </row>
    <row r="74" spans="2:21" ht="15.75" customHeight="1">
      <c r="B74" s="35"/>
    </row>
    <row r="75" spans="2:21" ht="15.75" customHeight="1">
      <c r="B75" s="35"/>
    </row>
    <row r="76" spans="2:21" ht="15.75" customHeight="1">
      <c r="B76" s="35"/>
    </row>
    <row r="77" spans="2:21" ht="15.75" customHeight="1">
      <c r="B77" s="35"/>
    </row>
    <row r="78" spans="2:21" ht="15.75" customHeight="1">
      <c r="B78" s="35"/>
    </row>
    <row r="79" spans="2:21" ht="15.75" customHeight="1">
      <c r="B79" s="35"/>
    </row>
    <row r="80" spans="2:21" ht="15.75" customHeight="1">
      <c r="B80" s="35"/>
    </row>
    <row r="81" spans="2:2" ht="15.75" customHeight="1">
      <c r="B81" s="35"/>
    </row>
    <row r="82" spans="2:2" ht="15.75" customHeight="1">
      <c r="B82" s="35"/>
    </row>
    <row r="83" spans="2:2" ht="15.75" customHeight="1">
      <c r="B83" s="35"/>
    </row>
    <row r="84" spans="2:2" ht="15.75" customHeight="1">
      <c r="B84" s="35"/>
    </row>
    <row r="85" spans="2:2" ht="15.75" customHeight="1">
      <c r="B85" s="35"/>
    </row>
    <row r="86" spans="2:2" ht="15.75" customHeight="1">
      <c r="B86" s="35"/>
    </row>
    <row r="87" spans="2:2" ht="15.75" customHeight="1">
      <c r="B87" s="35"/>
    </row>
    <row r="88" spans="2:2" ht="15.75" customHeight="1">
      <c r="B88" s="35"/>
    </row>
    <row r="89" spans="2:2" ht="15.75" customHeight="1">
      <c r="B89" s="35"/>
    </row>
    <row r="90" spans="2:2" ht="15.75" customHeight="1">
      <c r="B90" s="35"/>
    </row>
    <row r="91" spans="2:2" ht="15.75" customHeight="1">
      <c r="B91" s="35"/>
    </row>
    <row r="92" spans="2:2" ht="15.75" customHeight="1">
      <c r="B92" s="35"/>
    </row>
    <row r="93" spans="2:2" ht="15.75" customHeight="1">
      <c r="B93" s="35"/>
    </row>
    <row r="94" spans="2:2" ht="15.75" customHeight="1">
      <c r="B94" s="35"/>
    </row>
    <row r="95" spans="2:2" ht="15.75" customHeight="1">
      <c r="B95" s="35"/>
    </row>
    <row r="96" spans="2:2" ht="15.75" customHeight="1">
      <c r="B96" s="35"/>
    </row>
    <row r="97" spans="2:2" ht="15.75" customHeight="1">
      <c r="B97" s="35"/>
    </row>
    <row r="98" spans="2:2" ht="15.75" customHeight="1">
      <c r="B98" s="35"/>
    </row>
    <row r="99" spans="2:2" ht="15.75" customHeight="1">
      <c r="B99" s="35"/>
    </row>
    <row r="100" spans="2:2" ht="15.75" customHeight="1">
      <c r="B100" s="35"/>
    </row>
    <row r="101" spans="2:2" ht="15.75" customHeight="1">
      <c r="B101" s="35"/>
    </row>
    <row r="102" spans="2:2" ht="15.75" customHeight="1">
      <c r="B102" s="35"/>
    </row>
    <row r="103" spans="2:2" ht="15.75" customHeight="1">
      <c r="B103" s="35"/>
    </row>
    <row r="104" spans="2:2" ht="15.75" customHeight="1">
      <c r="B104" s="35"/>
    </row>
    <row r="105" spans="2:2" ht="15.75" customHeight="1">
      <c r="B105" s="35"/>
    </row>
    <row r="106" spans="2:2" ht="15.75" customHeight="1">
      <c r="B106" s="35"/>
    </row>
    <row r="107" spans="2:2" ht="15.75" customHeight="1">
      <c r="B107" s="35"/>
    </row>
    <row r="108" spans="2:2" ht="15.75" customHeight="1">
      <c r="B108" s="35"/>
    </row>
    <row r="109" spans="2:2" ht="15.75" customHeight="1">
      <c r="B109" s="35"/>
    </row>
    <row r="110" spans="2:2" ht="15.75" customHeight="1">
      <c r="B110" s="35"/>
    </row>
    <row r="111" spans="2:2" ht="15.75" customHeight="1">
      <c r="B111" s="35"/>
    </row>
    <row r="112" spans="2:2" ht="15.75" customHeight="1">
      <c r="B112" s="35"/>
    </row>
    <row r="113" spans="2:2" ht="15.75" customHeight="1">
      <c r="B113" s="35"/>
    </row>
    <row r="114" spans="2:2" ht="15.75" customHeight="1">
      <c r="B114" s="35"/>
    </row>
    <row r="115" spans="2:2" ht="15.75" customHeight="1">
      <c r="B115" s="35"/>
    </row>
    <row r="116" spans="2:2" ht="15.75" customHeight="1">
      <c r="B116" s="35"/>
    </row>
    <row r="117" spans="2:2" ht="15.75" customHeight="1">
      <c r="B117" s="35"/>
    </row>
    <row r="118" spans="2:2" ht="15.75" customHeight="1">
      <c r="B118" s="35"/>
    </row>
    <row r="119" spans="2:2" ht="15.75" customHeight="1">
      <c r="B119" s="35"/>
    </row>
    <row r="120" spans="2:2" ht="15.75" customHeight="1">
      <c r="B120" s="35"/>
    </row>
    <row r="121" spans="2:2" ht="15.75" customHeight="1">
      <c r="B121" s="35"/>
    </row>
    <row r="122" spans="2:2" ht="15.75" customHeight="1">
      <c r="B122" s="35"/>
    </row>
    <row r="123" spans="2:2" ht="15.75" customHeight="1">
      <c r="B123" s="35"/>
    </row>
    <row r="124" spans="2:2" ht="15.75" customHeight="1">
      <c r="B124" s="35"/>
    </row>
    <row r="125" spans="2:2" ht="15.75" customHeight="1">
      <c r="B125" s="35"/>
    </row>
    <row r="126" spans="2:2" ht="15.75" customHeight="1">
      <c r="B126" s="35"/>
    </row>
    <row r="127" spans="2:2" ht="15.75" customHeight="1">
      <c r="B127" s="35"/>
    </row>
    <row r="128" spans="2:2" ht="15.75" customHeight="1">
      <c r="B128" s="35"/>
    </row>
    <row r="129" spans="2:2" ht="15.75" customHeight="1">
      <c r="B129" s="35"/>
    </row>
    <row r="130" spans="2:2" ht="15.75" customHeight="1">
      <c r="B130" s="35"/>
    </row>
    <row r="131" spans="2:2" ht="15.75" customHeight="1">
      <c r="B131" s="35"/>
    </row>
    <row r="132" spans="2:2" ht="15.75" customHeight="1">
      <c r="B132" s="35"/>
    </row>
    <row r="133" spans="2:2" ht="15.75" customHeight="1">
      <c r="B133" s="35"/>
    </row>
    <row r="134" spans="2:2" ht="15.75" customHeight="1">
      <c r="B134" s="35"/>
    </row>
    <row r="135" spans="2:2" ht="15.75" customHeight="1">
      <c r="B135" s="35"/>
    </row>
    <row r="136" spans="2:2" ht="15.75" customHeight="1">
      <c r="B136" s="35"/>
    </row>
    <row r="137" spans="2:2" ht="15.75" customHeight="1">
      <c r="B137" s="35"/>
    </row>
    <row r="138" spans="2:2" ht="15.75" customHeight="1">
      <c r="B138" s="35"/>
    </row>
    <row r="139" spans="2:2" ht="15.75" customHeight="1">
      <c r="B139" s="35"/>
    </row>
    <row r="140" spans="2:2" ht="15.75" customHeight="1">
      <c r="B140" s="35"/>
    </row>
    <row r="141" spans="2:2" ht="15.75" customHeight="1">
      <c r="B141" s="35"/>
    </row>
    <row r="142" spans="2:2" ht="15.75" customHeight="1">
      <c r="B142" s="35"/>
    </row>
    <row r="143" spans="2:2" ht="15.75" customHeight="1">
      <c r="B143" s="35"/>
    </row>
    <row r="144" spans="2:2" ht="15.75" customHeight="1">
      <c r="B144" s="35"/>
    </row>
    <row r="145" spans="2:2" ht="15.75" customHeight="1">
      <c r="B145" s="35"/>
    </row>
    <row r="146" spans="2:2" ht="15.75" customHeight="1">
      <c r="B146" s="35"/>
    </row>
    <row r="147" spans="2:2" ht="15.75" customHeight="1">
      <c r="B147" s="35"/>
    </row>
    <row r="148" spans="2:2" ht="15.75" customHeight="1">
      <c r="B148" s="35"/>
    </row>
    <row r="149" spans="2:2" ht="15.75" customHeight="1">
      <c r="B149" s="35"/>
    </row>
    <row r="150" spans="2:2" ht="15.75" customHeight="1">
      <c r="B150" s="35"/>
    </row>
    <row r="151" spans="2:2" ht="15.75" customHeight="1">
      <c r="B151" s="35"/>
    </row>
    <row r="152" spans="2:2" ht="15.75" customHeight="1">
      <c r="B152" s="35"/>
    </row>
    <row r="153" spans="2:2" ht="15.75" customHeight="1">
      <c r="B153" s="35"/>
    </row>
    <row r="154" spans="2:2" ht="15.75" customHeight="1">
      <c r="B154" s="35"/>
    </row>
    <row r="155" spans="2:2" ht="15.75" customHeight="1">
      <c r="B155" s="35"/>
    </row>
    <row r="156" spans="2:2" ht="15.75" customHeight="1">
      <c r="B156" s="35"/>
    </row>
    <row r="157" spans="2:2" ht="15.75" customHeight="1">
      <c r="B157" s="35"/>
    </row>
    <row r="158" spans="2:2" ht="15.75" customHeight="1">
      <c r="B158" s="35"/>
    </row>
    <row r="159" spans="2:2" ht="15.75" customHeight="1">
      <c r="B159" s="35"/>
    </row>
    <row r="160" spans="2:2" ht="15.75" customHeight="1">
      <c r="B160" s="35"/>
    </row>
    <row r="161" spans="2:2" ht="15.75" customHeight="1">
      <c r="B161" s="35"/>
    </row>
    <row r="162" spans="2:2" ht="15.75" customHeight="1">
      <c r="B162" s="35"/>
    </row>
    <row r="163" spans="2:2" ht="15.75" customHeight="1">
      <c r="B163" s="35"/>
    </row>
    <row r="164" spans="2:2" ht="15.75" customHeight="1">
      <c r="B164" s="35"/>
    </row>
    <row r="165" spans="2:2" ht="15.75" customHeight="1">
      <c r="B165" s="35"/>
    </row>
    <row r="166" spans="2:2" ht="15.75" customHeight="1">
      <c r="B166" s="35"/>
    </row>
    <row r="167" spans="2:2" ht="15.75" customHeight="1">
      <c r="B167" s="35"/>
    </row>
    <row r="168" spans="2:2" ht="15.75" customHeight="1">
      <c r="B168" s="35"/>
    </row>
    <row r="169" spans="2:2" ht="15.75" customHeight="1">
      <c r="B169" s="35"/>
    </row>
    <row r="170" spans="2:2" ht="15.75" customHeight="1">
      <c r="B170" s="35"/>
    </row>
    <row r="171" spans="2:2" ht="15.75" customHeight="1">
      <c r="B171" s="35"/>
    </row>
    <row r="172" spans="2:2" ht="15.75" customHeight="1">
      <c r="B172" s="35"/>
    </row>
    <row r="173" spans="2:2" ht="15.75" customHeight="1">
      <c r="B173" s="35"/>
    </row>
    <row r="174" spans="2:2" ht="15.75" customHeight="1">
      <c r="B174" s="35"/>
    </row>
    <row r="175" spans="2:2" ht="15.75" customHeight="1">
      <c r="B175" s="35"/>
    </row>
    <row r="176" spans="2:2" ht="15.75" customHeight="1">
      <c r="B176" s="35"/>
    </row>
    <row r="177" spans="2:2" ht="15.75" customHeight="1">
      <c r="B177" s="35"/>
    </row>
    <row r="178" spans="2:2" ht="15.75" customHeight="1">
      <c r="B178" s="35"/>
    </row>
    <row r="179" spans="2:2" ht="15.75" customHeight="1">
      <c r="B179" s="35"/>
    </row>
    <row r="180" spans="2:2" ht="15.75" customHeight="1">
      <c r="B180" s="35"/>
    </row>
    <row r="181" spans="2:2" ht="15.75" customHeight="1">
      <c r="B181" s="35"/>
    </row>
    <row r="182" spans="2:2" ht="15.75" customHeight="1">
      <c r="B182" s="35"/>
    </row>
    <row r="183" spans="2:2" ht="15.75" customHeight="1">
      <c r="B183" s="35"/>
    </row>
    <row r="184" spans="2:2" ht="15.75" customHeight="1">
      <c r="B184" s="35"/>
    </row>
    <row r="185" spans="2:2" ht="15.75" customHeight="1">
      <c r="B185" s="35"/>
    </row>
    <row r="186" spans="2:2" ht="15.75" customHeight="1">
      <c r="B186" s="35"/>
    </row>
    <row r="187" spans="2:2" ht="15.75" customHeight="1">
      <c r="B187" s="35"/>
    </row>
    <row r="188" spans="2:2" ht="15.75" customHeight="1">
      <c r="B188" s="35"/>
    </row>
    <row r="189" spans="2:2" ht="15.75" customHeight="1">
      <c r="B189" s="35"/>
    </row>
    <row r="190" spans="2:2" ht="15.75" customHeight="1">
      <c r="B190" s="35"/>
    </row>
    <row r="191" spans="2:2" ht="15.75" customHeight="1">
      <c r="B191" s="35"/>
    </row>
    <row r="192" spans="2:2" ht="15.75" customHeight="1">
      <c r="B192" s="35"/>
    </row>
    <row r="193" spans="2:2" ht="15.75" customHeight="1">
      <c r="B193" s="35"/>
    </row>
    <row r="194" spans="2:2" ht="15.75" customHeight="1">
      <c r="B194" s="35"/>
    </row>
    <row r="195" spans="2:2" ht="15.75" customHeight="1">
      <c r="B195" s="35"/>
    </row>
    <row r="196" spans="2:2" ht="15.75" customHeight="1">
      <c r="B196" s="35"/>
    </row>
    <row r="197" spans="2:2" ht="15.75" customHeight="1">
      <c r="B197" s="35"/>
    </row>
    <row r="198" spans="2:2" ht="15.75" customHeight="1">
      <c r="B198" s="35"/>
    </row>
    <row r="199" spans="2:2" ht="15.75" customHeight="1">
      <c r="B199" s="35"/>
    </row>
    <row r="200" spans="2:2" ht="15.75" customHeight="1">
      <c r="B200" s="35"/>
    </row>
    <row r="201" spans="2:2" ht="15.75" customHeight="1">
      <c r="B201" s="35"/>
    </row>
    <row r="202" spans="2:2" ht="15.75" customHeight="1">
      <c r="B202" s="35"/>
    </row>
    <row r="203" spans="2:2" ht="15.75" customHeight="1">
      <c r="B203" s="35"/>
    </row>
    <row r="204" spans="2:2" ht="15.75" customHeight="1">
      <c r="B204" s="35"/>
    </row>
    <row r="205" spans="2:2" ht="15.75" customHeight="1">
      <c r="B205" s="35"/>
    </row>
    <row r="206" spans="2:2" ht="15.75" customHeight="1">
      <c r="B206" s="35"/>
    </row>
    <row r="207" spans="2:2" ht="15.75" customHeight="1">
      <c r="B207" s="35"/>
    </row>
    <row r="208" spans="2:2" ht="15.75" customHeight="1">
      <c r="B208" s="35"/>
    </row>
    <row r="209" spans="2:2" ht="15.75" customHeight="1">
      <c r="B209" s="35"/>
    </row>
    <row r="210" spans="2:2" ht="15.75" customHeight="1">
      <c r="B210" s="35"/>
    </row>
    <row r="211" spans="2:2" ht="15.75" customHeight="1">
      <c r="B211" s="35"/>
    </row>
    <row r="212" spans="2:2" ht="15.75" customHeight="1">
      <c r="B212" s="35"/>
    </row>
    <row r="213" spans="2:2" ht="15.75" customHeight="1">
      <c r="B213" s="35"/>
    </row>
    <row r="214" spans="2:2" ht="15.75" customHeight="1">
      <c r="B214" s="35"/>
    </row>
    <row r="215" spans="2:2" ht="15.75" customHeight="1">
      <c r="B215" s="35"/>
    </row>
    <row r="216" spans="2:2" ht="15.75" customHeight="1">
      <c r="B216" s="35"/>
    </row>
    <row r="217" spans="2:2" ht="15.75" customHeight="1">
      <c r="B217" s="35"/>
    </row>
    <row r="218" spans="2:2" ht="15.75" customHeight="1">
      <c r="B218" s="35"/>
    </row>
    <row r="219" spans="2:2" ht="15.75" customHeight="1">
      <c r="B219" s="35"/>
    </row>
    <row r="220" spans="2:2" ht="15.75" customHeight="1">
      <c r="B220" s="35"/>
    </row>
    <row r="221" spans="2:2" ht="15.75" customHeight="1">
      <c r="B221" s="35"/>
    </row>
    <row r="222" spans="2:2" ht="15.75" customHeight="1">
      <c r="B222" s="35"/>
    </row>
    <row r="223" spans="2:2" ht="15.75" customHeight="1">
      <c r="B223" s="35"/>
    </row>
    <row r="224" spans="2:2" ht="15.75" customHeight="1">
      <c r="B224" s="35"/>
    </row>
    <row r="225" spans="2:2" ht="15.75" customHeight="1">
      <c r="B225" s="35"/>
    </row>
    <row r="226" spans="2:2" ht="15.75" customHeight="1">
      <c r="B226" s="35"/>
    </row>
    <row r="227" spans="2:2" ht="15.75" customHeight="1">
      <c r="B227" s="35"/>
    </row>
    <row r="228" spans="2:2" ht="15.75" customHeight="1">
      <c r="B228" s="35"/>
    </row>
    <row r="229" spans="2:2" ht="15.75" customHeight="1">
      <c r="B229" s="35"/>
    </row>
    <row r="230" spans="2:2" ht="15.75" customHeight="1">
      <c r="B230" s="35"/>
    </row>
    <row r="231" spans="2:2" ht="15.75" customHeight="1">
      <c r="B231" s="35"/>
    </row>
    <row r="232" spans="2:2" ht="15.75" customHeight="1">
      <c r="B232" s="35"/>
    </row>
    <row r="233" spans="2:2" ht="15.75" customHeight="1">
      <c r="B233" s="35"/>
    </row>
    <row r="234" spans="2:2" ht="15.75" customHeight="1">
      <c r="B234" s="35"/>
    </row>
    <row r="235" spans="2:2" ht="15.75" customHeight="1">
      <c r="B235" s="35"/>
    </row>
    <row r="236" spans="2:2" ht="15.75" customHeight="1">
      <c r="B236" s="35"/>
    </row>
    <row r="237" spans="2:2" ht="15.75" customHeight="1">
      <c r="B237" s="35"/>
    </row>
    <row r="238" spans="2:2" ht="15.75" customHeight="1">
      <c r="B238" s="35"/>
    </row>
    <row r="239" spans="2:2" ht="15.75" customHeight="1">
      <c r="B239" s="35"/>
    </row>
    <row r="240" spans="2:2" ht="15.75" customHeight="1">
      <c r="B240" s="35"/>
    </row>
    <row r="241" spans="2:2" ht="15.75" customHeight="1">
      <c r="B241" s="35"/>
    </row>
    <row r="242" spans="2:2" ht="15.75" customHeight="1">
      <c r="B242" s="35"/>
    </row>
    <row r="243" spans="2:2" ht="15.75" customHeight="1">
      <c r="B243" s="35"/>
    </row>
    <row r="244" spans="2:2" ht="15.75" customHeight="1">
      <c r="B244" s="35"/>
    </row>
    <row r="245" spans="2:2" ht="15.75" customHeight="1">
      <c r="B245" s="35"/>
    </row>
    <row r="246" spans="2:2" ht="15.75" customHeight="1">
      <c r="B246" s="35"/>
    </row>
    <row r="247" spans="2:2" ht="15.75" customHeight="1">
      <c r="B247" s="35"/>
    </row>
    <row r="248" spans="2:2" ht="15.75" customHeight="1">
      <c r="B248" s="35"/>
    </row>
    <row r="249" spans="2:2" ht="15.75" customHeight="1">
      <c r="B249" s="35"/>
    </row>
    <row r="250" spans="2:2" ht="15.75" customHeight="1">
      <c r="B250" s="35"/>
    </row>
    <row r="251" spans="2:2" ht="15.75" customHeight="1">
      <c r="B251" s="35"/>
    </row>
    <row r="252" spans="2:2" ht="15.75" customHeight="1">
      <c r="B252" s="35"/>
    </row>
    <row r="253" spans="2:2" ht="15.75" customHeight="1">
      <c r="B253" s="35"/>
    </row>
    <row r="254" spans="2:2" ht="15.75" customHeight="1">
      <c r="B254" s="35"/>
    </row>
    <row r="255" spans="2:2" ht="15.75" customHeight="1">
      <c r="B255" s="35"/>
    </row>
    <row r="256" spans="2:2" ht="15.75" customHeight="1">
      <c r="B256" s="35"/>
    </row>
    <row r="257" spans="2:2" ht="15.75" customHeight="1">
      <c r="B257" s="35"/>
    </row>
    <row r="258" spans="2:2" ht="15.75" customHeight="1">
      <c r="B258" s="35"/>
    </row>
    <row r="259" spans="2:2" ht="15.75" customHeight="1">
      <c r="B259" s="35"/>
    </row>
    <row r="260" spans="2:2" ht="15.75" customHeight="1">
      <c r="B260" s="35"/>
    </row>
    <row r="261" spans="2:2" ht="15.75" customHeight="1">
      <c r="B261" s="35"/>
    </row>
    <row r="262" spans="2:2" ht="15.75" customHeight="1">
      <c r="B262" s="35"/>
    </row>
    <row r="263" spans="2:2" ht="15.75" customHeight="1">
      <c r="B263" s="35"/>
    </row>
    <row r="264" spans="2:2" ht="15.75" customHeight="1">
      <c r="B264" s="35"/>
    </row>
    <row r="265" spans="2:2" ht="15.75" customHeight="1">
      <c r="B265" s="35"/>
    </row>
    <row r="266" spans="2:2" ht="15.75" customHeight="1">
      <c r="B266" s="35"/>
    </row>
    <row r="267" spans="2:2" ht="15.75" customHeight="1">
      <c r="B267" s="35"/>
    </row>
    <row r="268" spans="2:2" ht="15.75" customHeight="1">
      <c r="B268" s="35"/>
    </row>
    <row r="269" spans="2:2" ht="15.75" customHeight="1">
      <c r="B269" s="35"/>
    </row>
    <row r="270" spans="2:2" ht="15.75" customHeight="1">
      <c r="B270" s="35"/>
    </row>
    <row r="271" spans="2:2" ht="15.75" customHeight="1">
      <c r="B271" s="35"/>
    </row>
    <row r="272" spans="2:2" ht="15.75" customHeight="1">
      <c r="B272" s="35"/>
    </row>
    <row r="273" spans="2:2" ht="15.75" customHeight="1">
      <c r="B273" s="35"/>
    </row>
    <row r="274" spans="2:2" ht="15.75" customHeight="1">
      <c r="B274" s="35"/>
    </row>
    <row r="275" spans="2:2" ht="15.75" customHeight="1">
      <c r="B275" s="35"/>
    </row>
    <row r="276" spans="2:2" ht="15.75" customHeight="1">
      <c r="B276" s="35"/>
    </row>
    <row r="277" spans="2:2" ht="15.75" customHeight="1">
      <c r="B277" s="35"/>
    </row>
    <row r="278" spans="2:2" ht="15.75" customHeight="1">
      <c r="B278" s="35"/>
    </row>
    <row r="279" spans="2:2" ht="15.75" customHeight="1">
      <c r="B279" s="35"/>
    </row>
    <row r="280" spans="2:2" ht="15.75" customHeight="1">
      <c r="B280" s="35"/>
    </row>
    <row r="281" spans="2:2" ht="15.75" customHeight="1">
      <c r="B281" s="35"/>
    </row>
    <row r="282" spans="2:2" ht="15.75" customHeight="1">
      <c r="B282" s="35"/>
    </row>
    <row r="283" spans="2:2" ht="15.75" customHeight="1">
      <c r="B283" s="35"/>
    </row>
    <row r="284" spans="2:2" ht="15.75" customHeight="1">
      <c r="B284" s="35"/>
    </row>
    <row r="285" spans="2:2" ht="15.75" customHeight="1">
      <c r="B285" s="35"/>
    </row>
    <row r="286" spans="2:2" ht="15.75" customHeight="1">
      <c r="B286" s="35"/>
    </row>
    <row r="287" spans="2:2" ht="15.75" customHeight="1">
      <c r="B287" s="35"/>
    </row>
    <row r="288" spans="2:2" ht="15.75" customHeight="1">
      <c r="B288" s="35"/>
    </row>
    <row r="289" spans="2:2" ht="15.75" customHeight="1">
      <c r="B289" s="35"/>
    </row>
    <row r="290" spans="2:2" ht="15.75" customHeight="1">
      <c r="B290" s="35"/>
    </row>
    <row r="291" spans="2:2" ht="15.75" customHeight="1">
      <c r="B291" s="35"/>
    </row>
    <row r="292" spans="2:2" ht="15.75" customHeight="1">
      <c r="B292" s="35"/>
    </row>
    <row r="293" spans="2:2" ht="15.75" customHeight="1">
      <c r="B293" s="35"/>
    </row>
    <row r="294" spans="2:2" ht="15.75" customHeight="1">
      <c r="B294" s="35"/>
    </row>
    <row r="295" spans="2:2" ht="15.75" customHeight="1">
      <c r="B295" s="35"/>
    </row>
    <row r="296" spans="2:2" ht="15.75" customHeight="1">
      <c r="B296" s="35"/>
    </row>
    <row r="297" spans="2:2" ht="15.75" customHeight="1">
      <c r="B297" s="35"/>
    </row>
    <row r="298" spans="2:2" ht="15.75" customHeight="1">
      <c r="B298" s="35"/>
    </row>
    <row r="299" spans="2:2" ht="15.75" customHeight="1">
      <c r="B299" s="35"/>
    </row>
    <row r="300" spans="2:2" ht="15.75" customHeight="1">
      <c r="B300" s="35"/>
    </row>
    <row r="301" spans="2:2" ht="15.75" customHeight="1">
      <c r="B301" s="35"/>
    </row>
    <row r="302" spans="2:2" ht="15.75" customHeight="1">
      <c r="B302" s="35"/>
    </row>
    <row r="303" spans="2:2" ht="15.75" customHeight="1">
      <c r="B303" s="35"/>
    </row>
    <row r="304" spans="2:2" ht="15.75" customHeight="1">
      <c r="B304" s="35"/>
    </row>
    <row r="305" spans="2:2" ht="15.75" customHeight="1">
      <c r="B305" s="35"/>
    </row>
    <row r="306" spans="2:2" ht="15.75" customHeight="1">
      <c r="B306" s="35"/>
    </row>
    <row r="307" spans="2:2" ht="15.75" customHeight="1">
      <c r="B307" s="35"/>
    </row>
    <row r="308" spans="2:2" ht="15.75" customHeight="1">
      <c r="B308" s="35"/>
    </row>
    <row r="309" spans="2:2" ht="15.75" customHeight="1">
      <c r="B309" s="35"/>
    </row>
    <row r="310" spans="2:2" ht="15.75" customHeight="1">
      <c r="B310" s="35"/>
    </row>
    <row r="311" spans="2:2" ht="15.75" customHeight="1">
      <c r="B311" s="35"/>
    </row>
    <row r="312" spans="2:2" ht="15.75" customHeight="1">
      <c r="B312" s="35"/>
    </row>
    <row r="313" spans="2:2" ht="15.75" customHeight="1">
      <c r="B313" s="35"/>
    </row>
    <row r="314" spans="2:2" ht="15.75" customHeight="1">
      <c r="B314" s="35"/>
    </row>
    <row r="315" spans="2:2" ht="15.75" customHeight="1">
      <c r="B315" s="35"/>
    </row>
    <row r="316" spans="2:2" ht="15.75" customHeight="1">
      <c r="B316" s="35"/>
    </row>
    <row r="317" spans="2:2" ht="15.75" customHeight="1">
      <c r="B317" s="35"/>
    </row>
    <row r="318" spans="2:2" ht="15.75" customHeight="1">
      <c r="B318" s="35"/>
    </row>
    <row r="319" spans="2:2" ht="15.75" customHeight="1">
      <c r="B319" s="35"/>
    </row>
    <row r="320" spans="2:2" ht="15.75" customHeight="1">
      <c r="B320" s="35"/>
    </row>
    <row r="321" spans="2:2" ht="15.75" customHeight="1">
      <c r="B321" s="35"/>
    </row>
    <row r="322" spans="2:2" ht="15.75" customHeight="1">
      <c r="B322" s="35"/>
    </row>
    <row r="323" spans="2:2" ht="15.75" customHeight="1">
      <c r="B323" s="35"/>
    </row>
    <row r="324" spans="2:2" ht="15.75" customHeight="1">
      <c r="B324" s="35"/>
    </row>
    <row r="325" spans="2:2" ht="15.75" customHeight="1">
      <c r="B325" s="35"/>
    </row>
    <row r="326" spans="2:2" ht="15.75" customHeight="1">
      <c r="B326" s="35"/>
    </row>
    <row r="327" spans="2:2" ht="15.75" customHeight="1">
      <c r="B327" s="35"/>
    </row>
    <row r="328" spans="2:2" ht="15.75" customHeight="1">
      <c r="B328" s="35"/>
    </row>
    <row r="329" spans="2:2" ht="15.75" customHeight="1">
      <c r="B329" s="35"/>
    </row>
    <row r="330" spans="2:2" ht="15.75" customHeight="1">
      <c r="B330" s="35"/>
    </row>
    <row r="331" spans="2:2" ht="15.75" customHeight="1">
      <c r="B331" s="35"/>
    </row>
    <row r="332" spans="2:2" ht="15.75" customHeight="1">
      <c r="B332" s="35"/>
    </row>
    <row r="333" spans="2:2" ht="15.75" customHeight="1">
      <c r="B333" s="35"/>
    </row>
    <row r="334" spans="2:2" ht="15.75" customHeight="1">
      <c r="B334" s="35"/>
    </row>
    <row r="335" spans="2:2" ht="15.75" customHeight="1">
      <c r="B335" s="35"/>
    </row>
    <row r="336" spans="2:2" ht="15.75" customHeight="1">
      <c r="B336" s="35"/>
    </row>
    <row r="337" spans="2:2" ht="15.75" customHeight="1">
      <c r="B337" s="35"/>
    </row>
    <row r="338" spans="2:2" ht="15.75" customHeight="1">
      <c r="B338" s="35"/>
    </row>
    <row r="339" spans="2:2" ht="15.75" customHeight="1">
      <c r="B339" s="35"/>
    </row>
    <row r="340" spans="2:2" ht="15.75" customHeight="1">
      <c r="B340" s="35"/>
    </row>
    <row r="341" spans="2:2" ht="15.75" customHeight="1">
      <c r="B341" s="35"/>
    </row>
    <row r="342" spans="2:2" ht="15.75" customHeight="1">
      <c r="B342" s="35"/>
    </row>
    <row r="343" spans="2:2" ht="15.75" customHeight="1">
      <c r="B343" s="35"/>
    </row>
    <row r="344" spans="2:2" ht="15.75" customHeight="1">
      <c r="B344" s="35"/>
    </row>
    <row r="345" spans="2:2" ht="15.75" customHeight="1">
      <c r="B345" s="35"/>
    </row>
    <row r="346" spans="2:2" ht="15.75" customHeight="1">
      <c r="B346" s="35"/>
    </row>
    <row r="347" spans="2:2" ht="15.75" customHeight="1">
      <c r="B347" s="35"/>
    </row>
    <row r="348" spans="2:2" ht="15.75" customHeight="1">
      <c r="B348" s="35"/>
    </row>
    <row r="349" spans="2:2" ht="15.75" customHeight="1">
      <c r="B349" s="35"/>
    </row>
    <row r="350" spans="2:2" ht="15.75" customHeight="1">
      <c r="B350" s="35"/>
    </row>
    <row r="351" spans="2:2" ht="15.75" customHeight="1">
      <c r="B351" s="35"/>
    </row>
    <row r="352" spans="2:2" ht="15.75" customHeight="1">
      <c r="B352" s="35"/>
    </row>
    <row r="353" spans="2:2" ht="15.75" customHeight="1">
      <c r="B353" s="35"/>
    </row>
    <row r="354" spans="2:2" ht="15.75" customHeight="1">
      <c r="B354" s="35"/>
    </row>
    <row r="355" spans="2:2" ht="15.75" customHeight="1">
      <c r="B355" s="35"/>
    </row>
    <row r="356" spans="2:2" ht="15.75" customHeight="1">
      <c r="B356" s="35"/>
    </row>
    <row r="357" spans="2:2" ht="15.75" customHeight="1">
      <c r="B357" s="35"/>
    </row>
    <row r="358" spans="2:2" ht="15.75" customHeight="1">
      <c r="B358" s="35"/>
    </row>
    <row r="359" spans="2:2" ht="15.75" customHeight="1">
      <c r="B359" s="35"/>
    </row>
    <row r="360" spans="2:2" ht="15.75" customHeight="1">
      <c r="B360" s="35"/>
    </row>
    <row r="361" spans="2:2" ht="15.75" customHeight="1">
      <c r="B361" s="35"/>
    </row>
    <row r="362" spans="2:2" ht="15.75" customHeight="1">
      <c r="B362" s="35"/>
    </row>
    <row r="363" spans="2:2" ht="15.75" customHeight="1">
      <c r="B363" s="35"/>
    </row>
    <row r="364" spans="2:2" ht="15.75" customHeight="1">
      <c r="B364" s="35"/>
    </row>
    <row r="365" spans="2:2" ht="15.75" customHeight="1">
      <c r="B365" s="35"/>
    </row>
    <row r="366" spans="2:2" ht="15.75" customHeight="1">
      <c r="B366" s="35"/>
    </row>
    <row r="367" spans="2:2" ht="15.75" customHeight="1">
      <c r="B367" s="35"/>
    </row>
    <row r="368" spans="2:2" ht="15.75" customHeight="1">
      <c r="B368" s="35"/>
    </row>
    <row r="369" spans="2:2" ht="15.75" customHeight="1">
      <c r="B369" s="35"/>
    </row>
    <row r="370" spans="2:2" ht="15.75" customHeight="1">
      <c r="B370" s="35"/>
    </row>
    <row r="371" spans="2:2" ht="15.75" customHeight="1">
      <c r="B371" s="35"/>
    </row>
    <row r="372" spans="2:2" ht="15.75" customHeight="1">
      <c r="B372" s="35"/>
    </row>
    <row r="373" spans="2:2" ht="15.75" customHeight="1">
      <c r="B373" s="35"/>
    </row>
    <row r="374" spans="2:2" ht="15.75" customHeight="1">
      <c r="B374" s="35"/>
    </row>
    <row r="375" spans="2:2" ht="15.75" customHeight="1">
      <c r="B375" s="35"/>
    </row>
    <row r="376" spans="2:2" ht="15.75" customHeight="1">
      <c r="B376" s="35"/>
    </row>
    <row r="377" spans="2:2" ht="15.75" customHeight="1">
      <c r="B377" s="35"/>
    </row>
    <row r="378" spans="2:2" ht="15.75" customHeight="1">
      <c r="B378" s="35"/>
    </row>
    <row r="379" spans="2:2" ht="15.75" customHeight="1">
      <c r="B379" s="35"/>
    </row>
    <row r="380" spans="2:2" ht="15.75" customHeight="1">
      <c r="B380" s="35"/>
    </row>
    <row r="381" spans="2:2" ht="15.75" customHeight="1">
      <c r="B381" s="35"/>
    </row>
    <row r="382" spans="2:2" ht="15.75" customHeight="1">
      <c r="B382" s="35"/>
    </row>
    <row r="383" spans="2:2" ht="15.75" customHeight="1">
      <c r="B383" s="35"/>
    </row>
    <row r="384" spans="2:2" ht="15.75" customHeight="1">
      <c r="B384" s="35"/>
    </row>
    <row r="385" spans="2:2" ht="15.75" customHeight="1">
      <c r="B385" s="35"/>
    </row>
    <row r="386" spans="2:2" ht="15.75" customHeight="1">
      <c r="B386" s="35"/>
    </row>
    <row r="387" spans="2:2" ht="15.75" customHeight="1">
      <c r="B387" s="35"/>
    </row>
    <row r="388" spans="2:2" ht="15.75" customHeight="1">
      <c r="B388" s="35"/>
    </row>
    <row r="389" spans="2:2" ht="15.75" customHeight="1">
      <c r="B389" s="35"/>
    </row>
    <row r="390" spans="2:2" ht="15.75" customHeight="1">
      <c r="B390" s="35"/>
    </row>
    <row r="391" spans="2:2" ht="15.75" customHeight="1">
      <c r="B391" s="35"/>
    </row>
    <row r="392" spans="2:2" ht="15.75" customHeight="1">
      <c r="B392" s="35"/>
    </row>
    <row r="393" spans="2:2" ht="15.75" customHeight="1">
      <c r="B393" s="35"/>
    </row>
    <row r="394" spans="2:2" ht="15.75" customHeight="1">
      <c r="B394" s="35"/>
    </row>
    <row r="395" spans="2:2" ht="15.75" customHeight="1">
      <c r="B395" s="35"/>
    </row>
    <row r="396" spans="2:2" ht="15.75" customHeight="1">
      <c r="B396" s="35"/>
    </row>
    <row r="397" spans="2:2" ht="15.75" customHeight="1">
      <c r="B397" s="35"/>
    </row>
    <row r="398" spans="2:2" ht="15.75" customHeight="1">
      <c r="B398" s="35"/>
    </row>
    <row r="399" spans="2:2" ht="15.75" customHeight="1">
      <c r="B399" s="35"/>
    </row>
    <row r="400" spans="2:2" ht="15.75" customHeight="1">
      <c r="B400" s="35"/>
    </row>
    <row r="401" spans="2:2" ht="15.75" customHeight="1">
      <c r="B401" s="35"/>
    </row>
    <row r="402" spans="2:2" ht="15.75" customHeight="1">
      <c r="B402" s="35"/>
    </row>
    <row r="403" spans="2:2" ht="15.75" customHeight="1">
      <c r="B403" s="35"/>
    </row>
    <row r="404" spans="2:2" ht="15.75" customHeight="1">
      <c r="B404" s="35"/>
    </row>
    <row r="405" spans="2:2" ht="15.75" customHeight="1">
      <c r="B405" s="35"/>
    </row>
    <row r="406" spans="2:2" ht="15.75" customHeight="1">
      <c r="B406" s="35"/>
    </row>
    <row r="407" spans="2:2" ht="15.75" customHeight="1">
      <c r="B407" s="35"/>
    </row>
    <row r="408" spans="2:2" ht="15.75" customHeight="1">
      <c r="B408" s="35"/>
    </row>
    <row r="409" spans="2:2" ht="15.75" customHeight="1">
      <c r="B409" s="35"/>
    </row>
    <row r="410" spans="2:2" ht="15.75" customHeight="1">
      <c r="B410" s="35"/>
    </row>
    <row r="411" spans="2:2" ht="15.75" customHeight="1">
      <c r="B411" s="35"/>
    </row>
    <row r="412" spans="2:2" ht="15.75" customHeight="1">
      <c r="B412" s="35"/>
    </row>
    <row r="413" spans="2:2" ht="15.75" customHeight="1">
      <c r="B413" s="35"/>
    </row>
    <row r="414" spans="2:2" ht="15.75" customHeight="1">
      <c r="B414" s="35"/>
    </row>
    <row r="415" spans="2:2" ht="15.75" customHeight="1">
      <c r="B415" s="35"/>
    </row>
    <row r="416" spans="2:2" ht="15.75" customHeight="1">
      <c r="B416" s="35"/>
    </row>
    <row r="417" spans="2:2" ht="15.75" customHeight="1">
      <c r="B417" s="35"/>
    </row>
    <row r="418" spans="2:2" ht="15.75" customHeight="1">
      <c r="B418" s="35"/>
    </row>
    <row r="419" spans="2:2" ht="15.75" customHeight="1">
      <c r="B419" s="35"/>
    </row>
    <row r="420" spans="2:2" ht="15.75" customHeight="1">
      <c r="B420" s="35"/>
    </row>
    <row r="421" spans="2:2" ht="15.75" customHeight="1">
      <c r="B421" s="35"/>
    </row>
    <row r="422" spans="2:2" ht="15.75" customHeight="1">
      <c r="B422" s="35"/>
    </row>
    <row r="423" spans="2:2" ht="15.75" customHeight="1">
      <c r="B423" s="35"/>
    </row>
    <row r="424" spans="2:2" ht="15.75" customHeight="1">
      <c r="B424" s="35"/>
    </row>
    <row r="425" spans="2:2" ht="15.75" customHeight="1">
      <c r="B425" s="35"/>
    </row>
    <row r="426" spans="2:2" ht="15.75" customHeight="1">
      <c r="B426" s="35"/>
    </row>
    <row r="427" spans="2:2" ht="15.75" customHeight="1">
      <c r="B427" s="35"/>
    </row>
    <row r="428" spans="2:2" ht="15.75" customHeight="1">
      <c r="B428" s="35"/>
    </row>
    <row r="429" spans="2:2" ht="15.75" customHeight="1">
      <c r="B429" s="35"/>
    </row>
    <row r="430" spans="2:2" ht="15.75" customHeight="1">
      <c r="B430" s="35"/>
    </row>
    <row r="431" spans="2:2" ht="15.75" customHeight="1">
      <c r="B431" s="35"/>
    </row>
    <row r="432" spans="2:2" ht="15.75" customHeight="1">
      <c r="B432" s="35"/>
    </row>
    <row r="433" spans="2:2" ht="15.75" customHeight="1">
      <c r="B433" s="35"/>
    </row>
    <row r="434" spans="2:2" ht="15.75" customHeight="1">
      <c r="B434" s="35"/>
    </row>
    <row r="435" spans="2:2" ht="15.75" customHeight="1">
      <c r="B435" s="35"/>
    </row>
    <row r="436" spans="2:2" ht="15.75" customHeight="1">
      <c r="B436" s="35"/>
    </row>
    <row r="437" spans="2:2" ht="15.75" customHeight="1">
      <c r="B437" s="35"/>
    </row>
    <row r="438" spans="2:2" ht="15.75" customHeight="1">
      <c r="B438" s="35"/>
    </row>
    <row r="439" spans="2:2" ht="15.75" customHeight="1">
      <c r="B439" s="35"/>
    </row>
    <row r="440" spans="2:2" ht="15.75" customHeight="1">
      <c r="B440" s="35"/>
    </row>
    <row r="441" spans="2:2" ht="15.75" customHeight="1">
      <c r="B441" s="35"/>
    </row>
    <row r="442" spans="2:2" ht="15.75" customHeight="1">
      <c r="B442" s="35"/>
    </row>
    <row r="443" spans="2:2" ht="15.75" customHeight="1">
      <c r="B443" s="35"/>
    </row>
    <row r="444" spans="2:2" ht="15.75" customHeight="1">
      <c r="B444" s="35"/>
    </row>
    <row r="445" spans="2:2" ht="15.75" customHeight="1">
      <c r="B445" s="35"/>
    </row>
    <row r="446" spans="2:2" ht="15.75" customHeight="1">
      <c r="B446" s="35"/>
    </row>
    <row r="447" spans="2:2" ht="15.75" customHeight="1">
      <c r="B447" s="35"/>
    </row>
    <row r="448" spans="2:2" ht="15.75" customHeight="1">
      <c r="B448" s="35"/>
    </row>
    <row r="449" spans="2:2" ht="15.75" customHeight="1">
      <c r="B449" s="35"/>
    </row>
    <row r="450" spans="2:2" ht="15.75" customHeight="1">
      <c r="B450" s="35"/>
    </row>
    <row r="451" spans="2:2" ht="15.75" customHeight="1">
      <c r="B451" s="35"/>
    </row>
    <row r="452" spans="2:2" ht="15.75" customHeight="1">
      <c r="B452" s="35"/>
    </row>
    <row r="453" spans="2:2" ht="15.75" customHeight="1">
      <c r="B453" s="35"/>
    </row>
    <row r="454" spans="2:2" ht="15.75" customHeight="1">
      <c r="B454" s="35"/>
    </row>
    <row r="455" spans="2:2" ht="15.75" customHeight="1">
      <c r="B455" s="35"/>
    </row>
    <row r="456" spans="2:2" ht="15.75" customHeight="1">
      <c r="B456" s="35"/>
    </row>
    <row r="457" spans="2:2" ht="15.75" customHeight="1">
      <c r="B457" s="35"/>
    </row>
    <row r="458" spans="2:2" ht="15.75" customHeight="1">
      <c r="B458" s="35"/>
    </row>
    <row r="459" spans="2:2" ht="15.75" customHeight="1">
      <c r="B459" s="35"/>
    </row>
    <row r="460" spans="2:2" ht="15.75" customHeight="1">
      <c r="B460" s="35"/>
    </row>
    <row r="461" spans="2:2" ht="15.75" customHeight="1">
      <c r="B461" s="35"/>
    </row>
    <row r="462" spans="2:2" ht="15.75" customHeight="1">
      <c r="B462" s="35"/>
    </row>
    <row r="463" spans="2:2" ht="15.75" customHeight="1">
      <c r="B463" s="35"/>
    </row>
    <row r="464" spans="2:2" ht="15.75" customHeight="1">
      <c r="B464" s="35"/>
    </row>
    <row r="465" spans="2:2" ht="15.75" customHeight="1">
      <c r="B465" s="35"/>
    </row>
    <row r="466" spans="2:2" ht="15.75" customHeight="1">
      <c r="B466" s="35"/>
    </row>
    <row r="467" spans="2:2" ht="15.75" customHeight="1">
      <c r="B467" s="35"/>
    </row>
    <row r="468" spans="2:2" ht="15.75" customHeight="1">
      <c r="B468" s="35"/>
    </row>
    <row r="469" spans="2:2" ht="15.75" customHeight="1">
      <c r="B469" s="35"/>
    </row>
    <row r="470" spans="2:2" ht="15.75" customHeight="1">
      <c r="B470" s="35"/>
    </row>
    <row r="471" spans="2:2" ht="15.75" customHeight="1">
      <c r="B471" s="35"/>
    </row>
    <row r="472" spans="2:2" ht="15.75" customHeight="1">
      <c r="B472" s="35"/>
    </row>
    <row r="473" spans="2:2" ht="15.75" customHeight="1">
      <c r="B473" s="35"/>
    </row>
    <row r="474" spans="2:2" ht="15.75" customHeight="1">
      <c r="B474" s="35"/>
    </row>
    <row r="475" spans="2:2" ht="15.75" customHeight="1">
      <c r="B475" s="35"/>
    </row>
    <row r="476" spans="2:2" ht="15.75" customHeight="1">
      <c r="B476" s="35"/>
    </row>
    <row r="477" spans="2:2" ht="15.75" customHeight="1">
      <c r="B477" s="35"/>
    </row>
    <row r="478" spans="2:2" ht="15.75" customHeight="1">
      <c r="B478" s="35"/>
    </row>
    <row r="479" spans="2:2" ht="15.75" customHeight="1">
      <c r="B479" s="35"/>
    </row>
    <row r="480" spans="2:2" ht="15.75" customHeight="1">
      <c r="B480" s="35"/>
    </row>
    <row r="481" spans="2:2" ht="15.75" customHeight="1">
      <c r="B481" s="35"/>
    </row>
    <row r="482" spans="2:2" ht="15.75" customHeight="1">
      <c r="B482" s="35"/>
    </row>
    <row r="483" spans="2:2" ht="15.75" customHeight="1">
      <c r="B483" s="35"/>
    </row>
    <row r="484" spans="2:2" ht="15.75" customHeight="1">
      <c r="B484" s="35"/>
    </row>
    <row r="485" spans="2:2" ht="15.75" customHeight="1">
      <c r="B485" s="35"/>
    </row>
    <row r="486" spans="2:2" ht="15.75" customHeight="1">
      <c r="B486" s="35"/>
    </row>
    <row r="487" spans="2:2" ht="15.75" customHeight="1">
      <c r="B487" s="35"/>
    </row>
    <row r="488" spans="2:2" ht="15.75" customHeight="1">
      <c r="B488" s="35"/>
    </row>
    <row r="489" spans="2:2" ht="15.75" customHeight="1">
      <c r="B489" s="35"/>
    </row>
    <row r="490" spans="2:2" ht="15.75" customHeight="1">
      <c r="B490" s="35"/>
    </row>
    <row r="491" spans="2:2" ht="15.75" customHeight="1">
      <c r="B491" s="35"/>
    </row>
    <row r="492" spans="2:2" ht="15.75" customHeight="1">
      <c r="B492" s="35"/>
    </row>
    <row r="493" spans="2:2" ht="15.75" customHeight="1">
      <c r="B493" s="35"/>
    </row>
    <row r="494" spans="2:2" ht="15.75" customHeight="1">
      <c r="B494" s="35"/>
    </row>
    <row r="495" spans="2:2" ht="15.75" customHeight="1">
      <c r="B495" s="35"/>
    </row>
    <row r="496" spans="2:2" ht="15.75" customHeight="1">
      <c r="B496" s="35"/>
    </row>
    <row r="497" spans="2:2" ht="15.75" customHeight="1">
      <c r="B497" s="35"/>
    </row>
    <row r="498" spans="2:2" ht="15.75" customHeight="1">
      <c r="B498" s="35"/>
    </row>
    <row r="499" spans="2:2" ht="15.75" customHeight="1">
      <c r="B499" s="35"/>
    </row>
    <row r="500" spans="2:2" ht="15.75" customHeight="1">
      <c r="B500" s="35"/>
    </row>
    <row r="501" spans="2:2" ht="15.75" customHeight="1">
      <c r="B501" s="35"/>
    </row>
    <row r="502" spans="2:2" ht="15.75" customHeight="1">
      <c r="B502" s="35"/>
    </row>
    <row r="503" spans="2:2" ht="15.75" customHeight="1">
      <c r="B503" s="35"/>
    </row>
    <row r="504" spans="2:2" ht="15.75" customHeight="1">
      <c r="B504" s="35"/>
    </row>
    <row r="505" spans="2:2" ht="15.75" customHeight="1">
      <c r="B505" s="35"/>
    </row>
    <row r="506" spans="2:2" ht="15.75" customHeight="1">
      <c r="B506" s="35"/>
    </row>
    <row r="507" spans="2:2" ht="15.75" customHeight="1">
      <c r="B507" s="35"/>
    </row>
    <row r="508" spans="2:2" ht="15.75" customHeight="1">
      <c r="B508" s="35"/>
    </row>
    <row r="509" spans="2:2" ht="15.75" customHeight="1">
      <c r="B509" s="35"/>
    </row>
    <row r="510" spans="2:2" ht="15.75" customHeight="1">
      <c r="B510" s="35"/>
    </row>
    <row r="511" spans="2:2" ht="15.75" customHeight="1">
      <c r="B511" s="35"/>
    </row>
    <row r="512" spans="2:2" ht="15.75" customHeight="1">
      <c r="B512" s="35"/>
    </row>
    <row r="513" spans="2:2" ht="15.75" customHeight="1">
      <c r="B513" s="35"/>
    </row>
    <row r="514" spans="2:2" ht="15.75" customHeight="1">
      <c r="B514" s="35"/>
    </row>
    <row r="515" spans="2:2" ht="15.75" customHeight="1">
      <c r="B515" s="35"/>
    </row>
    <row r="516" spans="2:2" ht="15.75" customHeight="1">
      <c r="B516" s="35"/>
    </row>
    <row r="517" spans="2:2" ht="15.75" customHeight="1">
      <c r="B517" s="35"/>
    </row>
    <row r="518" spans="2:2" ht="15.75" customHeight="1">
      <c r="B518" s="35"/>
    </row>
    <row r="519" spans="2:2" ht="15.75" customHeight="1">
      <c r="B519" s="35"/>
    </row>
    <row r="520" spans="2:2" ht="15.75" customHeight="1">
      <c r="B520" s="35"/>
    </row>
    <row r="521" spans="2:2" ht="15.75" customHeight="1">
      <c r="B521" s="35"/>
    </row>
    <row r="522" spans="2:2" ht="15.75" customHeight="1">
      <c r="B522" s="35"/>
    </row>
    <row r="523" spans="2:2" ht="15.75" customHeight="1">
      <c r="B523" s="35"/>
    </row>
    <row r="524" spans="2:2" ht="15.75" customHeight="1">
      <c r="B524" s="35"/>
    </row>
    <row r="525" spans="2:2" ht="15.75" customHeight="1">
      <c r="B525" s="35"/>
    </row>
    <row r="526" spans="2:2" ht="15.75" customHeight="1">
      <c r="B526" s="35"/>
    </row>
    <row r="527" spans="2:2" ht="15.75" customHeight="1">
      <c r="B527" s="35"/>
    </row>
    <row r="528" spans="2:2" ht="15.75" customHeight="1">
      <c r="B528" s="35"/>
    </row>
    <row r="529" spans="2:2" ht="15.75" customHeight="1">
      <c r="B529" s="35"/>
    </row>
    <row r="530" spans="2:2" ht="15.75" customHeight="1">
      <c r="B530" s="35"/>
    </row>
    <row r="531" spans="2:2" ht="15.75" customHeight="1">
      <c r="B531" s="35"/>
    </row>
    <row r="532" spans="2:2" ht="15.75" customHeight="1">
      <c r="B532" s="35"/>
    </row>
    <row r="533" spans="2:2" ht="15.75" customHeight="1">
      <c r="B533" s="35"/>
    </row>
    <row r="534" spans="2:2" ht="15.75" customHeight="1">
      <c r="B534" s="35"/>
    </row>
    <row r="535" spans="2:2" ht="15.75" customHeight="1">
      <c r="B535" s="35"/>
    </row>
    <row r="536" spans="2:2" ht="15.75" customHeight="1">
      <c r="B536" s="35"/>
    </row>
    <row r="537" spans="2:2" ht="15.75" customHeight="1">
      <c r="B537" s="35"/>
    </row>
    <row r="538" spans="2:2" ht="15.75" customHeight="1">
      <c r="B538" s="35"/>
    </row>
    <row r="539" spans="2:2" ht="15.75" customHeight="1">
      <c r="B539" s="35"/>
    </row>
    <row r="540" spans="2:2" ht="15.75" customHeight="1">
      <c r="B540" s="35"/>
    </row>
    <row r="541" spans="2:2" ht="15.75" customHeight="1">
      <c r="B541" s="35"/>
    </row>
    <row r="542" spans="2:2" ht="15.75" customHeight="1">
      <c r="B542" s="35"/>
    </row>
    <row r="543" spans="2:2" ht="15.75" customHeight="1">
      <c r="B543" s="35"/>
    </row>
    <row r="544" spans="2:2" ht="15.75" customHeight="1">
      <c r="B544" s="35"/>
    </row>
    <row r="545" spans="2:2" ht="15.75" customHeight="1">
      <c r="B545" s="35"/>
    </row>
    <row r="546" spans="2:2" ht="15.75" customHeight="1">
      <c r="B546" s="35"/>
    </row>
    <row r="547" spans="2:2" ht="15.75" customHeight="1">
      <c r="B547" s="35"/>
    </row>
    <row r="548" spans="2:2" ht="15.75" customHeight="1">
      <c r="B548" s="35"/>
    </row>
    <row r="549" spans="2:2" ht="15.75" customHeight="1">
      <c r="B549" s="35"/>
    </row>
    <row r="550" spans="2:2" ht="15.75" customHeight="1">
      <c r="B550" s="35"/>
    </row>
    <row r="551" spans="2:2" ht="15.75" customHeight="1">
      <c r="B551" s="35"/>
    </row>
    <row r="552" spans="2:2" ht="15.75" customHeight="1">
      <c r="B552" s="35"/>
    </row>
    <row r="553" spans="2:2" ht="15.75" customHeight="1">
      <c r="B553" s="35"/>
    </row>
    <row r="554" spans="2:2" ht="15.75" customHeight="1">
      <c r="B554" s="35"/>
    </row>
    <row r="555" spans="2:2" ht="15.75" customHeight="1">
      <c r="B555" s="35"/>
    </row>
    <row r="556" spans="2:2" ht="15.75" customHeight="1">
      <c r="B556" s="35"/>
    </row>
    <row r="557" spans="2:2" ht="15.75" customHeight="1">
      <c r="B557" s="35"/>
    </row>
    <row r="558" spans="2:2" ht="15.75" customHeight="1">
      <c r="B558" s="35"/>
    </row>
    <row r="559" spans="2:2" ht="15.75" customHeight="1">
      <c r="B559" s="35"/>
    </row>
    <row r="560" spans="2:2" ht="15.75" customHeight="1">
      <c r="B560" s="35"/>
    </row>
    <row r="561" spans="2:2" ht="15.75" customHeight="1">
      <c r="B561" s="35"/>
    </row>
    <row r="562" spans="2:2" ht="15.75" customHeight="1">
      <c r="B562" s="35"/>
    </row>
    <row r="563" spans="2:2" ht="15.75" customHeight="1">
      <c r="B563" s="35"/>
    </row>
    <row r="564" spans="2:2" ht="15.75" customHeight="1">
      <c r="B564" s="35"/>
    </row>
    <row r="565" spans="2:2" ht="15.75" customHeight="1">
      <c r="B565" s="35"/>
    </row>
    <row r="566" spans="2:2" ht="15.75" customHeight="1">
      <c r="B566" s="35"/>
    </row>
    <row r="567" spans="2:2" ht="15.75" customHeight="1">
      <c r="B567" s="35"/>
    </row>
    <row r="568" spans="2:2" ht="15.75" customHeight="1">
      <c r="B568" s="35"/>
    </row>
    <row r="569" spans="2:2" ht="15.75" customHeight="1">
      <c r="B569" s="35"/>
    </row>
    <row r="570" spans="2:2" ht="15.75" customHeight="1">
      <c r="B570" s="35"/>
    </row>
    <row r="571" spans="2:2" ht="15.75" customHeight="1">
      <c r="B571" s="35"/>
    </row>
    <row r="572" spans="2:2" ht="15.75" customHeight="1">
      <c r="B572" s="35"/>
    </row>
    <row r="573" spans="2:2" ht="15.75" customHeight="1">
      <c r="B573" s="35"/>
    </row>
    <row r="574" spans="2:2" ht="15.75" customHeight="1">
      <c r="B574" s="35"/>
    </row>
    <row r="575" spans="2:2" ht="15.75" customHeight="1">
      <c r="B575" s="35"/>
    </row>
    <row r="576" spans="2:2" ht="15.75" customHeight="1">
      <c r="B576" s="35"/>
    </row>
    <row r="577" spans="2:2" ht="15.75" customHeight="1">
      <c r="B577" s="35"/>
    </row>
    <row r="578" spans="2:2" ht="15.75" customHeight="1">
      <c r="B578" s="35"/>
    </row>
    <row r="579" spans="2:2" ht="15.75" customHeight="1">
      <c r="B579" s="35"/>
    </row>
    <row r="580" spans="2:2" ht="15.75" customHeight="1">
      <c r="B580" s="35"/>
    </row>
    <row r="581" spans="2:2" ht="15.75" customHeight="1">
      <c r="B581" s="35"/>
    </row>
    <row r="582" spans="2:2" ht="15.75" customHeight="1">
      <c r="B582" s="35"/>
    </row>
    <row r="583" spans="2:2" ht="15.75" customHeight="1">
      <c r="B583" s="35"/>
    </row>
    <row r="584" spans="2:2" ht="15.75" customHeight="1">
      <c r="B584" s="35"/>
    </row>
    <row r="585" spans="2:2" ht="15.75" customHeight="1">
      <c r="B585" s="35"/>
    </row>
    <row r="586" spans="2:2" ht="15.75" customHeight="1">
      <c r="B586" s="35"/>
    </row>
    <row r="587" spans="2:2" ht="15.75" customHeight="1">
      <c r="B587" s="35"/>
    </row>
    <row r="588" spans="2:2" ht="15.75" customHeight="1">
      <c r="B588" s="35"/>
    </row>
    <row r="589" spans="2:2" ht="15.75" customHeight="1">
      <c r="B589" s="35"/>
    </row>
    <row r="590" spans="2:2" ht="15.75" customHeight="1">
      <c r="B590" s="35"/>
    </row>
    <row r="591" spans="2:2" ht="15.75" customHeight="1">
      <c r="B591" s="35"/>
    </row>
    <row r="592" spans="2:2" ht="15.75" customHeight="1">
      <c r="B592" s="35"/>
    </row>
    <row r="593" spans="2:2" ht="15.75" customHeight="1">
      <c r="B593" s="35"/>
    </row>
    <row r="594" spans="2:2" ht="15.75" customHeight="1">
      <c r="B594" s="35"/>
    </row>
    <row r="595" spans="2:2" ht="15.75" customHeight="1">
      <c r="B595" s="35"/>
    </row>
    <row r="596" spans="2:2" ht="15.75" customHeight="1">
      <c r="B596" s="35"/>
    </row>
    <row r="597" spans="2:2" ht="15.75" customHeight="1">
      <c r="B597" s="35"/>
    </row>
    <row r="598" spans="2:2" ht="15.75" customHeight="1">
      <c r="B598" s="35"/>
    </row>
    <row r="599" spans="2:2" ht="15.75" customHeight="1">
      <c r="B599" s="35"/>
    </row>
    <row r="600" spans="2:2" ht="15.75" customHeight="1">
      <c r="B600" s="35"/>
    </row>
    <row r="601" spans="2:2" ht="15.75" customHeight="1">
      <c r="B601" s="35"/>
    </row>
    <row r="602" spans="2:2" ht="15.75" customHeight="1">
      <c r="B602" s="35"/>
    </row>
    <row r="603" spans="2:2" ht="15.75" customHeight="1">
      <c r="B603" s="35"/>
    </row>
    <row r="604" spans="2:2" ht="15.75" customHeight="1">
      <c r="B604" s="35"/>
    </row>
    <row r="605" spans="2:2" ht="15.75" customHeight="1">
      <c r="B605" s="35"/>
    </row>
    <row r="606" spans="2:2" ht="15.75" customHeight="1">
      <c r="B606" s="35"/>
    </row>
    <row r="607" spans="2:2" ht="15.75" customHeight="1">
      <c r="B607" s="35"/>
    </row>
    <row r="608" spans="2:2" ht="15.75" customHeight="1">
      <c r="B608" s="35"/>
    </row>
    <row r="609" spans="2:2" ht="15.75" customHeight="1">
      <c r="B609" s="35"/>
    </row>
    <row r="610" spans="2:2" ht="15.75" customHeight="1">
      <c r="B610" s="35"/>
    </row>
    <row r="611" spans="2:2" ht="15.75" customHeight="1">
      <c r="B611" s="35"/>
    </row>
    <row r="612" spans="2:2" ht="15.75" customHeight="1">
      <c r="B612" s="35"/>
    </row>
    <row r="613" spans="2:2" ht="15.75" customHeight="1">
      <c r="B613" s="35"/>
    </row>
    <row r="614" spans="2:2" ht="15.75" customHeight="1">
      <c r="B614" s="35"/>
    </row>
    <row r="615" spans="2:2" ht="15.75" customHeight="1">
      <c r="B615" s="35"/>
    </row>
    <row r="616" spans="2:2" ht="15.75" customHeight="1">
      <c r="B616" s="35"/>
    </row>
    <row r="617" spans="2:2" ht="15.75" customHeight="1">
      <c r="B617" s="35"/>
    </row>
    <row r="618" spans="2:2" ht="15.75" customHeight="1">
      <c r="B618" s="35"/>
    </row>
    <row r="619" spans="2:2" ht="15.75" customHeight="1">
      <c r="B619" s="35"/>
    </row>
    <row r="620" spans="2:2" ht="15.75" customHeight="1">
      <c r="B620" s="35"/>
    </row>
    <row r="621" spans="2:2" ht="15.75" customHeight="1">
      <c r="B621" s="35"/>
    </row>
    <row r="622" spans="2:2" ht="15.75" customHeight="1">
      <c r="B622" s="35"/>
    </row>
    <row r="623" spans="2:2" ht="15.75" customHeight="1">
      <c r="B623" s="35"/>
    </row>
    <row r="624" spans="2:2" ht="15.75" customHeight="1">
      <c r="B624" s="35"/>
    </row>
    <row r="625" spans="2:2" ht="15.75" customHeight="1">
      <c r="B625" s="35"/>
    </row>
    <row r="626" spans="2:2" ht="15.75" customHeight="1">
      <c r="B626" s="35"/>
    </row>
    <row r="627" spans="2:2" ht="15.75" customHeight="1">
      <c r="B627" s="35"/>
    </row>
    <row r="628" spans="2:2" ht="15.75" customHeight="1">
      <c r="B628" s="35"/>
    </row>
    <row r="629" spans="2:2" ht="15.75" customHeight="1">
      <c r="B629" s="35"/>
    </row>
    <row r="630" spans="2:2" ht="15.75" customHeight="1">
      <c r="B630" s="35"/>
    </row>
    <row r="631" spans="2:2" ht="15.75" customHeight="1">
      <c r="B631" s="35"/>
    </row>
    <row r="632" spans="2:2" ht="15.75" customHeight="1">
      <c r="B632" s="35"/>
    </row>
    <row r="633" spans="2:2" ht="15.75" customHeight="1">
      <c r="B633" s="35"/>
    </row>
    <row r="634" spans="2:2" ht="15.75" customHeight="1">
      <c r="B634" s="35"/>
    </row>
    <row r="635" spans="2:2" ht="15.75" customHeight="1">
      <c r="B635" s="35"/>
    </row>
    <row r="636" spans="2:2" ht="15.75" customHeight="1">
      <c r="B636" s="35"/>
    </row>
    <row r="637" spans="2:2" ht="15.75" customHeight="1">
      <c r="B637" s="35"/>
    </row>
    <row r="638" spans="2:2" ht="15.75" customHeight="1">
      <c r="B638" s="35"/>
    </row>
    <row r="639" spans="2:2" ht="15.75" customHeight="1">
      <c r="B639" s="35"/>
    </row>
    <row r="640" spans="2:2" ht="15.75" customHeight="1">
      <c r="B640" s="35"/>
    </row>
    <row r="641" spans="2:2" ht="15.75" customHeight="1">
      <c r="B641" s="35"/>
    </row>
    <row r="642" spans="2:2" ht="15.75" customHeight="1">
      <c r="B642" s="35"/>
    </row>
    <row r="643" spans="2:2" ht="15.75" customHeight="1">
      <c r="B643" s="35"/>
    </row>
    <row r="644" spans="2:2" ht="15.75" customHeight="1">
      <c r="B644" s="35"/>
    </row>
    <row r="645" spans="2:2" ht="15.75" customHeight="1">
      <c r="B645" s="35"/>
    </row>
    <row r="646" spans="2:2" ht="15.75" customHeight="1">
      <c r="B646" s="35"/>
    </row>
    <row r="647" spans="2:2" ht="15.75" customHeight="1">
      <c r="B647" s="35"/>
    </row>
    <row r="648" spans="2:2" ht="15.75" customHeight="1">
      <c r="B648" s="35"/>
    </row>
    <row r="649" spans="2:2" ht="15.75" customHeight="1">
      <c r="B649" s="35"/>
    </row>
    <row r="650" spans="2:2" ht="15.75" customHeight="1">
      <c r="B650" s="35"/>
    </row>
    <row r="651" spans="2:2" ht="15.75" customHeight="1">
      <c r="B651" s="35"/>
    </row>
    <row r="652" spans="2:2" ht="15.75" customHeight="1">
      <c r="B652" s="35"/>
    </row>
    <row r="653" spans="2:2" ht="15.75" customHeight="1">
      <c r="B653" s="35"/>
    </row>
    <row r="654" spans="2:2" ht="15.75" customHeight="1">
      <c r="B654" s="35"/>
    </row>
    <row r="655" spans="2:2" ht="15.75" customHeight="1">
      <c r="B655" s="35"/>
    </row>
    <row r="656" spans="2:2" ht="15.75" customHeight="1">
      <c r="B656" s="35"/>
    </row>
    <row r="657" spans="2:2" ht="15.75" customHeight="1">
      <c r="B657" s="35"/>
    </row>
    <row r="658" spans="2:2" ht="15.75" customHeight="1">
      <c r="B658" s="35"/>
    </row>
    <row r="659" spans="2:2" ht="15.75" customHeight="1">
      <c r="B659" s="35"/>
    </row>
    <row r="660" spans="2:2" ht="15.75" customHeight="1">
      <c r="B660" s="35"/>
    </row>
    <row r="661" spans="2:2" ht="15.75" customHeight="1">
      <c r="B661" s="35"/>
    </row>
    <row r="662" spans="2:2" ht="15.75" customHeight="1">
      <c r="B662" s="35"/>
    </row>
    <row r="663" spans="2:2" ht="15.75" customHeight="1">
      <c r="B663" s="35"/>
    </row>
    <row r="664" spans="2:2" ht="15.75" customHeight="1">
      <c r="B664" s="35"/>
    </row>
    <row r="665" spans="2:2" ht="15.75" customHeight="1">
      <c r="B665" s="35"/>
    </row>
    <row r="666" spans="2:2" ht="15.75" customHeight="1">
      <c r="B666" s="35"/>
    </row>
    <row r="667" spans="2:2" ht="15.75" customHeight="1">
      <c r="B667" s="35"/>
    </row>
    <row r="668" spans="2:2" ht="15.75" customHeight="1">
      <c r="B668" s="35"/>
    </row>
    <row r="669" spans="2:2" ht="15.75" customHeight="1">
      <c r="B669" s="35"/>
    </row>
    <row r="670" spans="2:2" ht="15.75" customHeight="1">
      <c r="B670" s="35"/>
    </row>
    <row r="671" spans="2:2" ht="15.75" customHeight="1">
      <c r="B671" s="35"/>
    </row>
    <row r="672" spans="2:2" ht="15.75" customHeight="1">
      <c r="B672" s="35"/>
    </row>
    <row r="673" spans="2:2" ht="15.75" customHeight="1">
      <c r="B673" s="35"/>
    </row>
    <row r="674" spans="2:2" ht="15.75" customHeight="1">
      <c r="B674" s="35"/>
    </row>
    <row r="675" spans="2:2" ht="15.75" customHeight="1">
      <c r="B675" s="35"/>
    </row>
    <row r="676" spans="2:2" ht="15.75" customHeight="1">
      <c r="B676" s="35"/>
    </row>
    <row r="677" spans="2:2" ht="15.75" customHeight="1">
      <c r="B677" s="35"/>
    </row>
    <row r="678" spans="2:2" ht="15.75" customHeight="1">
      <c r="B678" s="35"/>
    </row>
    <row r="679" spans="2:2" ht="15.75" customHeight="1">
      <c r="B679" s="35"/>
    </row>
    <row r="680" spans="2:2" ht="15.75" customHeight="1">
      <c r="B680" s="35"/>
    </row>
    <row r="681" spans="2:2" ht="15.75" customHeight="1">
      <c r="B681" s="35"/>
    </row>
    <row r="682" spans="2:2" ht="15.75" customHeight="1">
      <c r="B682" s="35"/>
    </row>
    <row r="683" spans="2:2" ht="15.75" customHeight="1">
      <c r="B683" s="35"/>
    </row>
    <row r="684" spans="2:2" ht="15.75" customHeight="1">
      <c r="B684" s="35"/>
    </row>
    <row r="685" spans="2:2" ht="15.75" customHeight="1">
      <c r="B685" s="35"/>
    </row>
    <row r="686" spans="2:2" ht="15.75" customHeight="1">
      <c r="B686" s="35"/>
    </row>
    <row r="687" spans="2:2" ht="15.75" customHeight="1">
      <c r="B687" s="35"/>
    </row>
    <row r="688" spans="2:2" ht="15.75" customHeight="1">
      <c r="B688" s="35"/>
    </row>
    <row r="689" spans="2:2" ht="15.75" customHeight="1">
      <c r="B689" s="35"/>
    </row>
    <row r="690" spans="2:2" ht="15.75" customHeight="1">
      <c r="B690" s="35"/>
    </row>
    <row r="691" spans="2:2" ht="15.75" customHeight="1">
      <c r="B691" s="35"/>
    </row>
    <row r="692" spans="2:2" ht="15.75" customHeight="1">
      <c r="B692" s="35"/>
    </row>
    <row r="693" spans="2:2" ht="15.75" customHeight="1">
      <c r="B693" s="35"/>
    </row>
    <row r="694" spans="2:2" ht="15.75" customHeight="1">
      <c r="B694" s="35"/>
    </row>
    <row r="695" spans="2:2" ht="15.75" customHeight="1">
      <c r="B695" s="35"/>
    </row>
    <row r="696" spans="2:2" ht="15.75" customHeight="1">
      <c r="B696" s="35"/>
    </row>
    <row r="697" spans="2:2" ht="15.75" customHeight="1">
      <c r="B697" s="35"/>
    </row>
    <row r="698" spans="2:2" ht="15.75" customHeight="1">
      <c r="B698" s="35"/>
    </row>
    <row r="699" spans="2:2" ht="15.75" customHeight="1">
      <c r="B699" s="35"/>
    </row>
    <row r="700" spans="2:2" ht="15.75" customHeight="1">
      <c r="B700" s="35"/>
    </row>
    <row r="701" spans="2:2" ht="15.75" customHeight="1">
      <c r="B701" s="35"/>
    </row>
    <row r="702" spans="2:2" ht="15.75" customHeight="1">
      <c r="B702" s="35"/>
    </row>
    <row r="703" spans="2:2" ht="15.75" customHeight="1">
      <c r="B703" s="35"/>
    </row>
    <row r="704" spans="2:2" ht="15.75" customHeight="1">
      <c r="B704" s="35"/>
    </row>
    <row r="705" spans="2:2" ht="15.75" customHeight="1">
      <c r="B705" s="35"/>
    </row>
    <row r="706" spans="2:2" ht="15.75" customHeight="1">
      <c r="B706" s="35"/>
    </row>
    <row r="707" spans="2:2" ht="15.75" customHeight="1">
      <c r="B707" s="35"/>
    </row>
    <row r="708" spans="2:2" ht="15.75" customHeight="1">
      <c r="B708" s="35"/>
    </row>
    <row r="709" spans="2:2" ht="15.75" customHeight="1">
      <c r="B709" s="35"/>
    </row>
    <row r="710" spans="2:2" ht="15.75" customHeight="1">
      <c r="B710" s="35"/>
    </row>
    <row r="711" spans="2:2" ht="15.75" customHeight="1">
      <c r="B711" s="35"/>
    </row>
    <row r="712" spans="2:2" ht="15.75" customHeight="1">
      <c r="B712" s="35"/>
    </row>
    <row r="713" spans="2:2" ht="15.75" customHeight="1">
      <c r="B713" s="35"/>
    </row>
    <row r="714" spans="2:2" ht="15.75" customHeight="1">
      <c r="B714" s="35"/>
    </row>
    <row r="715" spans="2:2" ht="15.75" customHeight="1">
      <c r="B715" s="35"/>
    </row>
    <row r="716" spans="2:2" ht="15.75" customHeight="1">
      <c r="B716" s="35"/>
    </row>
    <row r="717" spans="2:2" ht="15.75" customHeight="1">
      <c r="B717" s="35"/>
    </row>
    <row r="718" spans="2:2" ht="15.75" customHeight="1">
      <c r="B718" s="35"/>
    </row>
    <row r="719" spans="2:2" ht="15.75" customHeight="1">
      <c r="B719" s="35"/>
    </row>
    <row r="720" spans="2:2" ht="15.75" customHeight="1">
      <c r="B720" s="35"/>
    </row>
    <row r="721" spans="2:2" ht="15.75" customHeight="1">
      <c r="B721" s="35"/>
    </row>
    <row r="722" spans="2:2" ht="15.75" customHeight="1">
      <c r="B722" s="35"/>
    </row>
    <row r="723" spans="2:2" ht="15.75" customHeight="1">
      <c r="B723" s="35"/>
    </row>
    <row r="724" spans="2:2" ht="15.75" customHeight="1">
      <c r="B724" s="35"/>
    </row>
    <row r="725" spans="2:2" ht="15.75" customHeight="1">
      <c r="B725" s="35"/>
    </row>
    <row r="726" spans="2:2" ht="15.75" customHeight="1">
      <c r="B726" s="35"/>
    </row>
    <row r="727" spans="2:2" ht="15.75" customHeight="1">
      <c r="B727" s="35"/>
    </row>
    <row r="728" spans="2:2" ht="15.75" customHeight="1">
      <c r="B728" s="35"/>
    </row>
    <row r="729" spans="2:2" ht="15.75" customHeight="1">
      <c r="B729" s="35"/>
    </row>
    <row r="730" spans="2:2" ht="15.75" customHeight="1">
      <c r="B730" s="35"/>
    </row>
    <row r="731" spans="2:2" ht="15.75" customHeight="1">
      <c r="B731" s="35"/>
    </row>
    <row r="732" spans="2:2" ht="15.75" customHeight="1">
      <c r="B732" s="35"/>
    </row>
    <row r="733" spans="2:2" ht="15.75" customHeight="1">
      <c r="B733" s="35"/>
    </row>
    <row r="734" spans="2:2" ht="15.75" customHeight="1">
      <c r="B734" s="35"/>
    </row>
    <row r="735" spans="2:2" ht="15.75" customHeight="1">
      <c r="B735" s="35"/>
    </row>
    <row r="736" spans="2:2" ht="15.75" customHeight="1">
      <c r="B736" s="35"/>
    </row>
    <row r="737" spans="2:2" ht="15.75" customHeight="1">
      <c r="B737" s="35"/>
    </row>
    <row r="738" spans="2:2" ht="15.75" customHeight="1">
      <c r="B738" s="35"/>
    </row>
    <row r="739" spans="2:2" ht="15.75" customHeight="1">
      <c r="B739" s="35"/>
    </row>
    <row r="740" spans="2:2" ht="15.75" customHeight="1">
      <c r="B740" s="35"/>
    </row>
    <row r="741" spans="2:2" ht="15.75" customHeight="1">
      <c r="B741" s="35"/>
    </row>
    <row r="742" spans="2:2" ht="15.75" customHeight="1">
      <c r="B742" s="35"/>
    </row>
    <row r="743" spans="2:2" ht="15.75" customHeight="1">
      <c r="B743" s="35"/>
    </row>
    <row r="744" spans="2:2" ht="15.75" customHeight="1">
      <c r="B744" s="35"/>
    </row>
    <row r="745" spans="2:2" ht="15.75" customHeight="1">
      <c r="B745" s="35"/>
    </row>
    <row r="746" spans="2:2" ht="15.75" customHeight="1">
      <c r="B746" s="35"/>
    </row>
    <row r="747" spans="2:2" ht="15.75" customHeight="1">
      <c r="B747" s="35"/>
    </row>
    <row r="748" spans="2:2" ht="15.75" customHeight="1">
      <c r="B748" s="35"/>
    </row>
    <row r="749" spans="2:2" ht="15.75" customHeight="1">
      <c r="B749" s="35"/>
    </row>
    <row r="750" spans="2:2" ht="15.75" customHeight="1">
      <c r="B750" s="35"/>
    </row>
    <row r="751" spans="2:2" ht="15.75" customHeight="1">
      <c r="B751" s="35"/>
    </row>
    <row r="752" spans="2:2" ht="15.75" customHeight="1">
      <c r="B752" s="35"/>
    </row>
    <row r="753" spans="2:2" ht="15.75" customHeight="1">
      <c r="B753" s="35"/>
    </row>
    <row r="754" spans="2:2" ht="15.75" customHeight="1">
      <c r="B754" s="35"/>
    </row>
    <row r="755" spans="2:2" ht="15.75" customHeight="1">
      <c r="B755" s="35"/>
    </row>
    <row r="756" spans="2:2" ht="15.75" customHeight="1">
      <c r="B756" s="35"/>
    </row>
    <row r="757" spans="2:2" ht="15.75" customHeight="1">
      <c r="B757" s="35"/>
    </row>
    <row r="758" spans="2:2" ht="15.75" customHeight="1">
      <c r="B758" s="35"/>
    </row>
    <row r="759" spans="2:2" ht="15.75" customHeight="1">
      <c r="B759" s="35"/>
    </row>
    <row r="760" spans="2:2" ht="15.75" customHeight="1">
      <c r="B760" s="35"/>
    </row>
    <row r="761" spans="2:2" ht="15.75" customHeight="1">
      <c r="B761" s="35"/>
    </row>
    <row r="762" spans="2:2" ht="15.75" customHeight="1">
      <c r="B762" s="35"/>
    </row>
    <row r="763" spans="2:2" ht="15.75" customHeight="1">
      <c r="B763" s="35"/>
    </row>
    <row r="764" spans="2:2" ht="15.75" customHeight="1">
      <c r="B764" s="35"/>
    </row>
    <row r="765" spans="2:2" ht="15.75" customHeight="1">
      <c r="B765" s="35"/>
    </row>
    <row r="766" spans="2:2" ht="15.75" customHeight="1">
      <c r="B766" s="35"/>
    </row>
    <row r="767" spans="2:2" ht="15.75" customHeight="1">
      <c r="B767" s="35"/>
    </row>
    <row r="768" spans="2:2" ht="15.75" customHeight="1">
      <c r="B768" s="35"/>
    </row>
    <row r="769" spans="2:2" ht="15.75" customHeight="1">
      <c r="B769" s="35"/>
    </row>
    <row r="770" spans="2:2" ht="15.75" customHeight="1">
      <c r="B770" s="35"/>
    </row>
    <row r="771" spans="2:2" ht="15.75" customHeight="1">
      <c r="B771" s="35"/>
    </row>
    <row r="772" spans="2:2" ht="15.75" customHeight="1">
      <c r="B772" s="35"/>
    </row>
    <row r="773" spans="2:2" ht="15.75" customHeight="1">
      <c r="B773" s="35"/>
    </row>
    <row r="774" spans="2:2" ht="15.75" customHeight="1">
      <c r="B774" s="35"/>
    </row>
    <row r="775" spans="2:2" ht="15.75" customHeight="1">
      <c r="B775" s="35"/>
    </row>
    <row r="776" spans="2:2" ht="15.75" customHeight="1">
      <c r="B776" s="35"/>
    </row>
    <row r="777" spans="2:2" ht="15.75" customHeight="1">
      <c r="B777" s="35"/>
    </row>
    <row r="778" spans="2:2" ht="15.75" customHeight="1">
      <c r="B778" s="35"/>
    </row>
    <row r="779" spans="2:2" ht="15.75" customHeight="1">
      <c r="B779" s="35"/>
    </row>
    <row r="780" spans="2:2" ht="15.75" customHeight="1">
      <c r="B780" s="35"/>
    </row>
    <row r="781" spans="2:2" ht="15.75" customHeight="1">
      <c r="B781" s="35"/>
    </row>
    <row r="782" spans="2:2" ht="15.75" customHeight="1">
      <c r="B782" s="35"/>
    </row>
    <row r="783" spans="2:2" ht="15.75" customHeight="1">
      <c r="B783" s="35"/>
    </row>
    <row r="784" spans="2:2" ht="15.75" customHeight="1">
      <c r="B784" s="35"/>
    </row>
    <row r="785" spans="2:2" ht="15.75" customHeight="1">
      <c r="B785" s="35"/>
    </row>
    <row r="786" spans="2:2" ht="15.75" customHeight="1">
      <c r="B786" s="35"/>
    </row>
    <row r="787" spans="2:2" ht="15.75" customHeight="1">
      <c r="B787" s="35"/>
    </row>
    <row r="788" spans="2:2" ht="15.75" customHeight="1">
      <c r="B788" s="35"/>
    </row>
    <row r="789" spans="2:2" ht="15.75" customHeight="1">
      <c r="B789" s="35"/>
    </row>
    <row r="790" spans="2:2" ht="15.75" customHeight="1">
      <c r="B790" s="35"/>
    </row>
    <row r="791" spans="2:2" ht="15.75" customHeight="1">
      <c r="B791" s="35"/>
    </row>
    <row r="792" spans="2:2" ht="15.75" customHeight="1">
      <c r="B792" s="35"/>
    </row>
    <row r="793" spans="2:2" ht="15.75" customHeight="1">
      <c r="B793" s="35"/>
    </row>
    <row r="794" spans="2:2" ht="15.75" customHeight="1">
      <c r="B794" s="35"/>
    </row>
    <row r="795" spans="2:2" ht="15.75" customHeight="1">
      <c r="B795" s="35"/>
    </row>
    <row r="796" spans="2:2" ht="15.75" customHeight="1">
      <c r="B796" s="35"/>
    </row>
    <row r="797" spans="2:2" ht="15.75" customHeight="1">
      <c r="B797" s="35"/>
    </row>
    <row r="798" spans="2:2" ht="15.75" customHeight="1">
      <c r="B798" s="35"/>
    </row>
    <row r="799" spans="2:2" ht="15.75" customHeight="1">
      <c r="B799" s="35"/>
    </row>
    <row r="800" spans="2:2" ht="15.75" customHeight="1">
      <c r="B800" s="35"/>
    </row>
    <row r="801" spans="2:2" ht="15.75" customHeight="1">
      <c r="B801" s="35"/>
    </row>
    <row r="802" spans="2:2" ht="15.75" customHeight="1">
      <c r="B802" s="35"/>
    </row>
    <row r="803" spans="2:2" ht="15.75" customHeight="1">
      <c r="B803" s="35"/>
    </row>
    <row r="804" spans="2:2" ht="15.75" customHeight="1">
      <c r="B804" s="35"/>
    </row>
    <row r="805" spans="2:2" ht="15.75" customHeight="1">
      <c r="B805" s="35"/>
    </row>
    <row r="806" spans="2:2" ht="15.75" customHeight="1">
      <c r="B806" s="35"/>
    </row>
    <row r="807" spans="2:2" ht="15.75" customHeight="1">
      <c r="B807" s="35"/>
    </row>
    <row r="808" spans="2:2" ht="15.75" customHeight="1">
      <c r="B808" s="35"/>
    </row>
    <row r="809" spans="2:2" ht="15.75" customHeight="1">
      <c r="B809" s="35"/>
    </row>
    <row r="810" spans="2:2" ht="15.75" customHeight="1">
      <c r="B810" s="35"/>
    </row>
    <row r="811" spans="2:2" ht="15.75" customHeight="1">
      <c r="B811" s="35"/>
    </row>
    <row r="812" spans="2:2" ht="15.75" customHeight="1">
      <c r="B812" s="35"/>
    </row>
    <row r="813" spans="2:2" ht="15.75" customHeight="1">
      <c r="B813" s="35"/>
    </row>
    <row r="814" spans="2:2" ht="15.75" customHeight="1">
      <c r="B814" s="35"/>
    </row>
    <row r="815" spans="2:2" ht="15.75" customHeight="1">
      <c r="B815" s="35"/>
    </row>
    <row r="816" spans="2:2" ht="15.75" customHeight="1">
      <c r="B816" s="35"/>
    </row>
    <row r="817" spans="2:2" ht="15.75" customHeight="1">
      <c r="B817" s="35"/>
    </row>
    <row r="818" spans="2:2" ht="15.75" customHeight="1">
      <c r="B818" s="35"/>
    </row>
    <row r="819" spans="2:2" ht="15.75" customHeight="1">
      <c r="B819" s="35"/>
    </row>
    <row r="820" spans="2:2" ht="15.75" customHeight="1">
      <c r="B820" s="35"/>
    </row>
    <row r="821" spans="2:2" ht="15.75" customHeight="1">
      <c r="B821" s="35"/>
    </row>
    <row r="822" spans="2:2" ht="15.75" customHeight="1">
      <c r="B822" s="35"/>
    </row>
    <row r="823" spans="2:2" ht="15.75" customHeight="1">
      <c r="B823" s="35"/>
    </row>
    <row r="824" spans="2:2" ht="15.75" customHeight="1">
      <c r="B824" s="35"/>
    </row>
    <row r="825" spans="2:2" ht="15.75" customHeight="1">
      <c r="B825" s="35"/>
    </row>
    <row r="826" spans="2:2" ht="15.75" customHeight="1">
      <c r="B826" s="35"/>
    </row>
    <row r="827" spans="2:2" ht="15.75" customHeight="1">
      <c r="B827" s="35"/>
    </row>
    <row r="828" spans="2:2" ht="15.75" customHeight="1">
      <c r="B828" s="35"/>
    </row>
    <row r="829" spans="2:2" ht="15.75" customHeight="1">
      <c r="B829" s="35"/>
    </row>
    <row r="830" spans="2:2" ht="15.75" customHeight="1">
      <c r="B830" s="35"/>
    </row>
    <row r="831" spans="2:2" ht="15.75" customHeight="1">
      <c r="B831" s="35"/>
    </row>
    <row r="832" spans="2:2" ht="15.75" customHeight="1">
      <c r="B832" s="35"/>
    </row>
    <row r="833" spans="2:2" ht="15.75" customHeight="1">
      <c r="B833" s="35"/>
    </row>
    <row r="834" spans="2:2" ht="15.75" customHeight="1">
      <c r="B834" s="35"/>
    </row>
    <row r="835" spans="2:2" ht="15.75" customHeight="1">
      <c r="B835" s="35"/>
    </row>
    <row r="836" spans="2:2" ht="15.75" customHeight="1">
      <c r="B836" s="35"/>
    </row>
    <row r="837" spans="2:2" ht="15.75" customHeight="1">
      <c r="B837" s="35"/>
    </row>
    <row r="838" spans="2:2" ht="15.75" customHeight="1">
      <c r="B838" s="35"/>
    </row>
    <row r="839" spans="2:2" ht="15.75" customHeight="1">
      <c r="B839" s="35"/>
    </row>
    <row r="840" spans="2:2" ht="15.75" customHeight="1">
      <c r="B840" s="35"/>
    </row>
    <row r="841" spans="2:2" ht="15.75" customHeight="1">
      <c r="B841" s="35"/>
    </row>
    <row r="842" spans="2:2" ht="15.75" customHeight="1">
      <c r="B842" s="35"/>
    </row>
    <row r="843" spans="2:2" ht="15.75" customHeight="1">
      <c r="B843" s="35"/>
    </row>
    <row r="844" spans="2:2" ht="15.75" customHeight="1">
      <c r="B844" s="35"/>
    </row>
    <row r="845" spans="2:2" ht="15.75" customHeight="1">
      <c r="B845" s="35"/>
    </row>
    <row r="846" spans="2:2" ht="15.75" customHeight="1">
      <c r="B846" s="35"/>
    </row>
    <row r="847" spans="2:2" ht="15.75" customHeight="1">
      <c r="B847" s="35"/>
    </row>
    <row r="848" spans="2:2" ht="15.75" customHeight="1">
      <c r="B848" s="35"/>
    </row>
    <row r="849" spans="2:2" ht="15.75" customHeight="1">
      <c r="B849" s="35"/>
    </row>
    <row r="850" spans="2:2" ht="15.75" customHeight="1">
      <c r="B850" s="35"/>
    </row>
    <row r="851" spans="2:2" ht="15.75" customHeight="1">
      <c r="B851" s="35"/>
    </row>
    <row r="852" spans="2:2" ht="15.75" customHeight="1">
      <c r="B852" s="35"/>
    </row>
    <row r="853" spans="2:2" ht="15.75" customHeight="1">
      <c r="B853" s="35"/>
    </row>
    <row r="854" spans="2:2" ht="15.75" customHeight="1">
      <c r="B854" s="35"/>
    </row>
    <row r="855" spans="2:2" ht="15.75" customHeight="1">
      <c r="B855" s="35"/>
    </row>
    <row r="856" spans="2:2" ht="15.75" customHeight="1">
      <c r="B856" s="35"/>
    </row>
    <row r="857" spans="2:2" ht="15.75" customHeight="1">
      <c r="B857" s="35"/>
    </row>
    <row r="858" spans="2:2" ht="15.75" customHeight="1">
      <c r="B858" s="35"/>
    </row>
    <row r="859" spans="2:2" ht="15.75" customHeight="1">
      <c r="B859" s="35"/>
    </row>
    <row r="860" spans="2:2" ht="15.75" customHeight="1">
      <c r="B860" s="35"/>
    </row>
    <row r="861" spans="2:2" ht="15.75" customHeight="1">
      <c r="B861" s="35"/>
    </row>
    <row r="862" spans="2:2" ht="15.75" customHeight="1">
      <c r="B862" s="35"/>
    </row>
    <row r="863" spans="2:2" ht="15.75" customHeight="1">
      <c r="B863" s="35"/>
    </row>
    <row r="864" spans="2:2" ht="15.75" customHeight="1">
      <c r="B864" s="35"/>
    </row>
    <row r="865" spans="2:2" ht="15.75" customHeight="1">
      <c r="B865" s="35"/>
    </row>
    <row r="866" spans="2:2" ht="15.75" customHeight="1">
      <c r="B866" s="35"/>
    </row>
    <row r="867" spans="2:2" ht="15.75" customHeight="1">
      <c r="B867" s="35"/>
    </row>
    <row r="868" spans="2:2" ht="15.75" customHeight="1">
      <c r="B868" s="35"/>
    </row>
    <row r="869" spans="2:2" ht="15.75" customHeight="1">
      <c r="B869" s="35"/>
    </row>
    <row r="870" spans="2:2" ht="15.75" customHeight="1">
      <c r="B870" s="35"/>
    </row>
    <row r="871" spans="2:2" ht="15.75" customHeight="1">
      <c r="B871" s="35"/>
    </row>
    <row r="872" spans="2:2" ht="15.75" customHeight="1">
      <c r="B872" s="35"/>
    </row>
    <row r="873" spans="2:2" ht="15.75" customHeight="1">
      <c r="B873" s="35"/>
    </row>
    <row r="874" spans="2:2" ht="15.75" customHeight="1">
      <c r="B874" s="35"/>
    </row>
    <row r="875" spans="2:2" ht="15.75" customHeight="1">
      <c r="B875" s="35"/>
    </row>
    <row r="876" spans="2:2" ht="15.75" customHeight="1">
      <c r="B876" s="35"/>
    </row>
    <row r="877" spans="2:2" ht="15.75" customHeight="1">
      <c r="B877" s="35"/>
    </row>
    <row r="878" spans="2:2" ht="15.75" customHeight="1">
      <c r="B878" s="35"/>
    </row>
    <row r="879" spans="2:2" ht="15.75" customHeight="1">
      <c r="B879" s="35"/>
    </row>
    <row r="880" spans="2:2" ht="15.75" customHeight="1">
      <c r="B880" s="35"/>
    </row>
    <row r="881" spans="2:2" ht="15.75" customHeight="1">
      <c r="B881" s="35"/>
    </row>
    <row r="882" spans="2:2" ht="15.75" customHeight="1">
      <c r="B882" s="35"/>
    </row>
    <row r="883" spans="2:2" ht="15.75" customHeight="1">
      <c r="B883" s="35"/>
    </row>
    <row r="884" spans="2:2" ht="15.75" customHeight="1">
      <c r="B884" s="35"/>
    </row>
    <row r="885" spans="2:2" ht="15.75" customHeight="1">
      <c r="B885" s="35"/>
    </row>
    <row r="886" spans="2:2" ht="15.75" customHeight="1">
      <c r="B886" s="35"/>
    </row>
    <row r="887" spans="2:2" ht="15.75" customHeight="1">
      <c r="B887" s="35"/>
    </row>
    <row r="888" spans="2:2" ht="15.75" customHeight="1">
      <c r="B888" s="35"/>
    </row>
    <row r="889" spans="2:2" ht="15.75" customHeight="1">
      <c r="B889" s="35"/>
    </row>
    <row r="890" spans="2:2" ht="15.75" customHeight="1">
      <c r="B890" s="35"/>
    </row>
    <row r="891" spans="2:2" ht="15.75" customHeight="1">
      <c r="B891" s="35"/>
    </row>
    <row r="892" spans="2:2" ht="15.75" customHeight="1">
      <c r="B892" s="35"/>
    </row>
    <row r="893" spans="2:2" ht="15.75" customHeight="1">
      <c r="B893" s="35"/>
    </row>
    <row r="894" spans="2:2" ht="15.75" customHeight="1">
      <c r="B894" s="35"/>
    </row>
    <row r="895" spans="2:2" ht="15.75" customHeight="1">
      <c r="B895" s="35"/>
    </row>
    <row r="896" spans="2:2" ht="15.75" customHeight="1">
      <c r="B896" s="35"/>
    </row>
    <row r="897" spans="2:2" ht="15.75" customHeight="1">
      <c r="B897" s="35"/>
    </row>
    <row r="898" spans="2:2" ht="15.75" customHeight="1">
      <c r="B898" s="35"/>
    </row>
    <row r="899" spans="2:2" ht="15.75" customHeight="1">
      <c r="B899" s="35"/>
    </row>
    <row r="900" spans="2:2" ht="15.75" customHeight="1">
      <c r="B900" s="35"/>
    </row>
    <row r="901" spans="2:2" ht="15.75" customHeight="1">
      <c r="B901" s="35"/>
    </row>
    <row r="902" spans="2:2" ht="15.75" customHeight="1">
      <c r="B902" s="35"/>
    </row>
    <row r="903" spans="2:2" ht="15.75" customHeight="1">
      <c r="B903" s="35"/>
    </row>
    <row r="904" spans="2:2" ht="15.75" customHeight="1">
      <c r="B904" s="35"/>
    </row>
    <row r="905" spans="2:2" ht="15.75" customHeight="1">
      <c r="B905" s="35"/>
    </row>
    <row r="906" spans="2:2" ht="15.75" customHeight="1">
      <c r="B906" s="35"/>
    </row>
    <row r="907" spans="2:2" ht="15.75" customHeight="1">
      <c r="B907" s="35"/>
    </row>
    <row r="908" spans="2:2" ht="15.75" customHeight="1">
      <c r="B908" s="35"/>
    </row>
    <row r="909" spans="2:2" ht="15.75" customHeight="1">
      <c r="B909" s="35"/>
    </row>
    <row r="910" spans="2:2" ht="15.75" customHeight="1">
      <c r="B910" s="35"/>
    </row>
    <row r="911" spans="2:2" ht="15.75" customHeight="1">
      <c r="B911" s="35"/>
    </row>
    <row r="912" spans="2:2" ht="15.75" customHeight="1">
      <c r="B912" s="35"/>
    </row>
    <row r="913" spans="2:2" ht="15.75" customHeight="1">
      <c r="B913" s="35"/>
    </row>
    <row r="914" spans="2:2" ht="15.75" customHeight="1">
      <c r="B914" s="35"/>
    </row>
    <row r="915" spans="2:2" ht="15.75" customHeight="1">
      <c r="B915" s="35"/>
    </row>
    <row r="916" spans="2:2" ht="15.75" customHeight="1">
      <c r="B916" s="35"/>
    </row>
    <row r="917" spans="2:2" ht="15.75" customHeight="1">
      <c r="B917" s="35"/>
    </row>
    <row r="918" spans="2:2" ht="15.75" customHeight="1">
      <c r="B918" s="35"/>
    </row>
    <row r="919" spans="2:2" ht="15.75" customHeight="1">
      <c r="B919" s="35"/>
    </row>
    <row r="920" spans="2:2" ht="15.75" customHeight="1">
      <c r="B920" s="35"/>
    </row>
    <row r="921" spans="2:2" ht="15.75" customHeight="1">
      <c r="B921" s="35"/>
    </row>
    <row r="922" spans="2:2" ht="15.75" customHeight="1">
      <c r="B922" s="35"/>
    </row>
    <row r="923" spans="2:2" ht="15.75" customHeight="1">
      <c r="B923" s="35"/>
    </row>
    <row r="924" spans="2:2" ht="15.75" customHeight="1">
      <c r="B924" s="35"/>
    </row>
    <row r="925" spans="2:2" ht="15.75" customHeight="1">
      <c r="B925" s="35"/>
    </row>
    <row r="926" spans="2:2" ht="15.75" customHeight="1">
      <c r="B926" s="35"/>
    </row>
    <row r="927" spans="2:2" ht="15.75" customHeight="1">
      <c r="B927" s="35"/>
    </row>
    <row r="928" spans="2:2" ht="15.75" customHeight="1">
      <c r="B928" s="35"/>
    </row>
    <row r="929" spans="2:2" ht="15.75" customHeight="1">
      <c r="B929" s="35"/>
    </row>
    <row r="930" spans="2:2" ht="15.75" customHeight="1">
      <c r="B930" s="35"/>
    </row>
    <row r="931" spans="2:2" ht="15.75" customHeight="1">
      <c r="B931" s="35"/>
    </row>
    <row r="932" spans="2:2" ht="15.75" customHeight="1">
      <c r="B932" s="35"/>
    </row>
    <row r="933" spans="2:2" ht="15.75" customHeight="1">
      <c r="B933" s="35"/>
    </row>
    <row r="934" spans="2:2" ht="15.75" customHeight="1">
      <c r="B934" s="35"/>
    </row>
    <row r="935" spans="2:2" ht="15.75" customHeight="1">
      <c r="B935" s="35"/>
    </row>
    <row r="936" spans="2:2" ht="15.75" customHeight="1">
      <c r="B936" s="35"/>
    </row>
    <row r="937" spans="2:2" ht="15.75" customHeight="1">
      <c r="B937" s="35"/>
    </row>
    <row r="938" spans="2:2" ht="15.75" customHeight="1">
      <c r="B938" s="35"/>
    </row>
    <row r="939" spans="2:2" ht="15.75" customHeight="1">
      <c r="B939" s="35"/>
    </row>
    <row r="940" spans="2:2" ht="15.75" customHeight="1">
      <c r="B940" s="35"/>
    </row>
    <row r="941" spans="2:2" ht="15.75" customHeight="1">
      <c r="B941" s="35"/>
    </row>
    <row r="942" spans="2:2" ht="15.75" customHeight="1">
      <c r="B942" s="35"/>
    </row>
    <row r="943" spans="2:2" ht="15.75" customHeight="1">
      <c r="B943" s="35"/>
    </row>
    <row r="944" spans="2:2" ht="15.75" customHeight="1">
      <c r="B944" s="35"/>
    </row>
    <row r="945" spans="2:2" ht="15.75" customHeight="1">
      <c r="B945" s="35"/>
    </row>
    <row r="946" spans="2:2" ht="15.75" customHeight="1">
      <c r="B946" s="35"/>
    </row>
    <row r="947" spans="2:2" ht="15.75" customHeight="1">
      <c r="B947" s="35"/>
    </row>
    <row r="948" spans="2:2" ht="15.75" customHeight="1">
      <c r="B948" s="35"/>
    </row>
    <row r="949" spans="2:2" ht="15.75" customHeight="1">
      <c r="B949" s="35"/>
    </row>
    <row r="950" spans="2:2" ht="15.75" customHeight="1">
      <c r="B950" s="35"/>
    </row>
    <row r="951" spans="2:2" ht="15.75" customHeight="1">
      <c r="B951" s="35"/>
    </row>
    <row r="952" spans="2:2" ht="15.75" customHeight="1">
      <c r="B952" s="35"/>
    </row>
    <row r="953" spans="2:2" ht="15.75" customHeight="1">
      <c r="B953" s="35"/>
    </row>
    <row r="954" spans="2:2" ht="15.75" customHeight="1">
      <c r="B954" s="35"/>
    </row>
    <row r="955" spans="2:2" ht="15.75" customHeight="1">
      <c r="B955" s="35"/>
    </row>
    <row r="956" spans="2:2" ht="15.75" customHeight="1">
      <c r="B956" s="35"/>
    </row>
    <row r="957" spans="2:2" ht="15.75" customHeight="1">
      <c r="B957" s="35"/>
    </row>
    <row r="958" spans="2:2" ht="15.75" customHeight="1">
      <c r="B958" s="35"/>
    </row>
    <row r="959" spans="2:2" ht="15.75" customHeight="1">
      <c r="B959" s="35"/>
    </row>
    <row r="960" spans="2:2" ht="15.75" customHeight="1">
      <c r="B960" s="35"/>
    </row>
    <row r="961" spans="2:2" ht="15.75" customHeight="1">
      <c r="B961" s="35"/>
    </row>
    <row r="962" spans="2:2" ht="15.75" customHeight="1">
      <c r="B962" s="35"/>
    </row>
    <row r="963" spans="2:2" ht="15.75" customHeight="1">
      <c r="B963" s="35"/>
    </row>
    <row r="964" spans="2:2" ht="15.75" customHeight="1">
      <c r="B964" s="35"/>
    </row>
    <row r="965" spans="2:2" ht="15.75" customHeight="1">
      <c r="B965" s="35"/>
    </row>
    <row r="966" spans="2:2" ht="15.75" customHeight="1">
      <c r="B966" s="35"/>
    </row>
    <row r="967" spans="2:2" ht="15.75" customHeight="1">
      <c r="B967" s="35"/>
    </row>
    <row r="968" spans="2:2" ht="15.75" customHeight="1">
      <c r="B968" s="35"/>
    </row>
    <row r="969" spans="2:2" ht="15.75" customHeight="1">
      <c r="B969" s="35"/>
    </row>
    <row r="970" spans="2:2" ht="15.75" customHeight="1">
      <c r="B970" s="35"/>
    </row>
    <row r="971" spans="2:2" ht="15.75" customHeight="1">
      <c r="B971" s="35"/>
    </row>
    <row r="972" spans="2:2" ht="15.75" customHeight="1">
      <c r="B972" s="35"/>
    </row>
    <row r="973" spans="2:2" ht="15.75" customHeight="1">
      <c r="B973" s="35"/>
    </row>
    <row r="974" spans="2:2" ht="15.75" customHeight="1">
      <c r="B974" s="35"/>
    </row>
    <row r="975" spans="2:2" ht="15.75" customHeight="1">
      <c r="B975" s="35"/>
    </row>
    <row r="976" spans="2:2" ht="15.75" customHeight="1">
      <c r="B976" s="35"/>
    </row>
    <row r="977" spans="2:2" ht="15.75" customHeight="1">
      <c r="B977" s="35"/>
    </row>
    <row r="978" spans="2:2" ht="15.75" customHeight="1">
      <c r="B978" s="35"/>
    </row>
    <row r="979" spans="2:2" ht="15.75" customHeight="1">
      <c r="B979" s="35"/>
    </row>
    <row r="980" spans="2:2" ht="15.75" customHeight="1">
      <c r="B980" s="35"/>
    </row>
    <row r="981" spans="2:2" ht="15.75" customHeight="1">
      <c r="B981" s="35"/>
    </row>
    <row r="982" spans="2:2" ht="15.75" customHeight="1">
      <c r="B982" s="35"/>
    </row>
    <row r="983" spans="2:2" ht="15.75" customHeight="1">
      <c r="B983" s="35"/>
    </row>
    <row r="984" spans="2:2" ht="15.75" customHeight="1">
      <c r="B984" s="35"/>
    </row>
    <row r="985" spans="2:2" ht="15.75" customHeight="1">
      <c r="B985" s="35"/>
    </row>
    <row r="986" spans="2:2" ht="15.75" customHeight="1">
      <c r="B986" s="35"/>
    </row>
    <row r="987" spans="2:2" ht="15.75" customHeight="1">
      <c r="B987" s="35"/>
    </row>
    <row r="988" spans="2:2" ht="15.75" customHeight="1">
      <c r="B988" s="35"/>
    </row>
    <row r="989" spans="2:2" ht="15.75" customHeight="1">
      <c r="B989" s="35"/>
    </row>
    <row r="990" spans="2:2" ht="15.75" customHeight="1">
      <c r="B990" s="35"/>
    </row>
    <row r="991" spans="2:2" ht="15.75" customHeight="1">
      <c r="B991" s="35"/>
    </row>
    <row r="992" spans="2:2" ht="15.75" customHeight="1">
      <c r="B992" s="35"/>
    </row>
    <row r="993" spans="2:2" ht="15" customHeight="1">
      <c r="B993" s="35"/>
    </row>
    <row r="994" spans="2:2" ht="15" customHeight="1">
      <c r="B994" s="35"/>
    </row>
    <row r="995" spans="2:2" ht="15" customHeight="1">
      <c r="B995" s="35"/>
    </row>
    <row r="996" spans="2:2" ht="15" customHeight="1">
      <c r="B996" s="35"/>
    </row>
    <row r="997" spans="2:2" ht="15" customHeight="1">
      <c r="B997" s="35"/>
    </row>
    <row r="998" spans="2:2" ht="15" customHeight="1">
      <c r="B998" s="35"/>
    </row>
    <row r="999" spans="2:2" ht="15" customHeight="1">
      <c r="B999" s="35"/>
    </row>
    <row r="1000" spans="2:2" ht="15" customHeight="1">
      <c r="B1000" s="35"/>
    </row>
  </sheetData>
  <autoFilter ref="B43:Q65" xr:uid="{00000000-0009-0000-0000-000008000000}"/>
  <conditionalFormatting sqref="M1:M1048576">
    <cfRule type="cellIs" dxfId="26" priority="1" operator="greaterThan">
      <formula>0</formula>
    </cfRule>
    <cfRule type="cellIs" dxfId="25" priority="2" operator="equal">
      <formula>0</formula>
    </cfRule>
  </conditionalFormatting>
  <conditionalFormatting sqref="M38:M65">
    <cfRule type="cellIs" dxfId="24" priority="3" operator="lessThan">
      <formula>0</formula>
    </cfRule>
  </conditionalFormatting>
  <conditionalFormatting sqref="O43:P43">
    <cfRule type="cellIs" dxfId="23" priority="4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P59 Q61:Q65 Q56 Q48:Q54 Q45:Q47 Q55 S45:S56 S59 S61:S6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800-000000000000}">
          <x14:formula1>
            <xm:f>'Условные сокращения'!$B$27:$B$30</xm:f>
          </x14:formula1>
          <xm:sqref>N59 N48:N55</xm:sqref>
        </x14:dataValidation>
        <x14:dataValidation type="list" allowBlank="1" showInputMessage="1" showErrorMessage="1" xr:uid="{00000000-0002-0000-0800-000001000000}">
          <x14:formula1>
            <xm:f>'Условные сокращения'!$I$11:$I$14</xm:f>
          </x14:formula1>
          <xm:sqref>N47</xm:sqref>
        </x14:dataValidation>
        <x14:dataValidation type="list" allowBlank="1" showInputMessage="1" showErrorMessage="1" xr:uid="{00000000-0002-0000-0800-000002000000}">
          <x14:formula1>
            <xm:f>'Условные сокращения'!$N$3:$N$8</xm:f>
          </x14:formula1>
          <xm:sqref>N61:N65 N56</xm:sqref>
        </x14:dataValidation>
        <x14:dataValidation type="list" allowBlank="1" showInputMessage="1" showErrorMessage="1" xr:uid="{00000000-0002-0000-0800-000003000000}">
          <x14:formula1>
            <xm:f>'Условные сокращения'!$B$48:$B$51</xm:f>
          </x14:formula1>
          <xm:sqref>N57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9">
    <tabColor theme="3" tint="0.39997558519241921"/>
    <outlinePr summaryBelow="0" summaryRight="0"/>
  </sheetPr>
  <dimension ref="B1:U998"/>
  <sheetViews>
    <sheetView zoomScale="55" zoomScaleNormal="55" workbookViewId="0">
      <selection activeCell="L21" sqref="L21"/>
    </sheetView>
  </sheetViews>
  <sheetFormatPr defaultColWidth="11.09765625" defaultRowHeight="15" customHeight="1" outlineLevelRow="1"/>
  <cols>
    <col min="1" max="1" width="3.09765625" style="66" bestFit="1" customWidth="1"/>
    <col min="2" max="2" width="91.59765625" style="66" bestFit="1" customWidth="1"/>
    <col min="3" max="3" width="19.5" style="66" bestFit="1" customWidth="1"/>
    <col min="4" max="4" width="18" style="78" customWidth="1"/>
    <col min="5" max="5" width="10" style="78" customWidth="1"/>
    <col min="6" max="6" width="14.5" style="78" customWidth="1"/>
    <col min="7" max="7" width="20.09765625" style="66" hidden="1" customWidth="1"/>
    <col min="8" max="8" width="11.5" style="78" hidden="1" customWidth="1"/>
    <col min="9" max="9" width="16.09765625" style="78" customWidth="1"/>
    <col min="10" max="10" width="10.5" style="78" customWidth="1"/>
    <col min="11" max="11" width="18.59765625" style="66" customWidth="1"/>
    <col min="12" max="12" width="18" style="78" customWidth="1"/>
    <col min="13" max="13" width="8.59765625" customWidth="1"/>
    <col min="14" max="14" width="19.3984375" style="35" customWidth="1"/>
    <col min="15" max="15" width="24.09765625" style="66" customWidth="1"/>
    <col min="16" max="16" width="10.5" style="66" customWidth="1"/>
    <col min="17" max="17" width="51.09765625" style="66" customWidth="1"/>
    <col min="18" max="18" width="9.59765625" style="66" customWidth="1"/>
    <col min="19" max="19" width="59.09765625" style="66" customWidth="1"/>
    <col min="20" max="20" width="10.5" style="66" bestFit="1" customWidth="1"/>
    <col min="21" max="21" width="66.59765625" style="66" customWidth="1"/>
    <col min="22" max="31" width="10.5" style="66" bestFit="1" customWidth="1"/>
    <col min="32" max="32" width="11.09765625" style="66" bestFit="1"/>
    <col min="33" max="16384" width="11.09765625" style="66"/>
  </cols>
  <sheetData>
    <row r="1" spans="2:14" ht="69" customHeight="1">
      <c r="B1" s="51" t="s">
        <v>19</v>
      </c>
      <c r="N1" s="26">
        <f>COUNTA(N2:N6997)</f>
        <v>26</v>
      </c>
    </row>
    <row r="3" spans="2:14" ht="15.75" customHeight="1">
      <c r="B3" s="35"/>
    </row>
    <row r="4" spans="2:14" ht="15.75" customHeight="1">
      <c r="B4" s="35"/>
    </row>
    <row r="5" spans="2:14" ht="15.75" customHeight="1">
      <c r="B5" s="35"/>
    </row>
    <row r="6" spans="2:14" ht="15.75" customHeight="1">
      <c r="B6" s="35"/>
    </row>
    <row r="7" spans="2:14" ht="15.75" customHeight="1">
      <c r="B7" s="35"/>
    </row>
    <row r="8" spans="2:14" ht="15.75" customHeight="1">
      <c r="B8" s="35"/>
    </row>
    <row r="9" spans="2:14" ht="15.75" customHeight="1">
      <c r="B9" s="35"/>
    </row>
    <row r="10" spans="2:14" ht="15.75" customHeight="1">
      <c r="B10" s="35"/>
    </row>
    <row r="11" spans="2:14" ht="15.75" customHeight="1">
      <c r="B11" s="35"/>
    </row>
    <row r="12" spans="2:14" ht="15.75" customHeight="1">
      <c r="B12" s="35"/>
    </row>
    <row r="13" spans="2:14" ht="15.75" customHeight="1">
      <c r="B13" s="35"/>
    </row>
    <row r="14" spans="2:14" ht="15.75" customHeight="1">
      <c r="B14" s="35"/>
    </row>
    <row r="15" spans="2:14" ht="15.75" customHeight="1">
      <c r="B15" s="35"/>
    </row>
    <row r="16" spans="2:14" ht="15.75" customHeight="1">
      <c r="B16" s="35"/>
    </row>
    <row r="17" spans="2:17" ht="15.75" customHeight="1">
      <c r="B17" s="35"/>
    </row>
    <row r="18" spans="2:17" ht="15.75" customHeight="1">
      <c r="B18" s="35"/>
    </row>
    <row r="19" spans="2:17" ht="15.75" customHeight="1">
      <c r="B19" s="35"/>
    </row>
    <row r="20" spans="2:17" ht="15.75" customHeight="1">
      <c r="B20" s="35"/>
    </row>
    <row r="21" spans="2:17" ht="15.75" customHeight="1">
      <c r="B21" s="35"/>
    </row>
    <row r="22" spans="2:17" ht="15.75" customHeight="1">
      <c r="B22" s="35"/>
    </row>
    <row r="23" spans="2:17" ht="15.75" customHeight="1">
      <c r="B23" s="35"/>
    </row>
    <row r="24" spans="2:17" ht="15.75" customHeight="1">
      <c r="B24" s="35"/>
    </row>
    <row r="25" spans="2:17" ht="15.75" customHeight="1">
      <c r="B25" s="35"/>
    </row>
    <row r="26" spans="2:17" ht="15.75" customHeight="1">
      <c r="B26" s="35"/>
    </row>
    <row r="27" spans="2:17" ht="15.75" customHeight="1">
      <c r="B27" s="35"/>
    </row>
    <row r="28" spans="2:17" ht="15.75" customHeight="1" thickBot="1">
      <c r="B28" s="35"/>
      <c r="G28" s="20">
        <f>Расчет!$F$2</f>
        <v>45017</v>
      </c>
      <c r="H28" s="20">
        <f>Расчет!$H$2</f>
        <v>45444</v>
      </c>
      <c r="I28" s="20" t="s">
        <v>731</v>
      </c>
      <c r="J28" s="20"/>
      <c r="L28" s="29">
        <f ca="1">TODAY()</f>
        <v>46038</v>
      </c>
    </row>
    <row r="29" spans="2:17" ht="38.1" customHeight="1" thickBot="1">
      <c r="B29" s="30" t="s">
        <v>21</v>
      </c>
      <c r="C29" s="31" t="s">
        <v>22</v>
      </c>
      <c r="D29" s="32" t="s">
        <v>10</v>
      </c>
      <c r="E29" s="76" t="s">
        <v>11</v>
      </c>
      <c r="F29" s="77" t="s">
        <v>12</v>
      </c>
      <c r="G29" s="55" t="s">
        <v>23</v>
      </c>
      <c r="H29" s="287" t="s">
        <v>23</v>
      </c>
      <c r="I29" s="287" t="s">
        <v>23</v>
      </c>
      <c r="J29" s="169">
        <v>2026</v>
      </c>
      <c r="K29" s="169" t="s">
        <v>638</v>
      </c>
      <c r="L29" s="33" t="s">
        <v>24</v>
      </c>
    </row>
    <row r="30" spans="2:17" ht="15.75" customHeight="1">
      <c r="B30" s="68" t="str">
        <f>B38</f>
        <v>Планирование реагирования</v>
      </c>
      <c r="C30" s="120" t="str">
        <f>C38</f>
        <v>ПЛР</v>
      </c>
      <c r="D30" s="140">
        <f t="shared" ref="D30:L30" si="0">AVERAGE(D39:D42)</f>
        <v>4.5</v>
      </c>
      <c r="E30" s="141">
        <f t="shared" si="0"/>
        <v>3.0999999999999996</v>
      </c>
      <c r="F30" s="142">
        <f t="shared" si="0"/>
        <v>0.5</v>
      </c>
      <c r="G30" s="132" t="e">
        <f t="shared" si="0"/>
        <v>#DIV/0!</v>
      </c>
      <c r="H30" s="132" t="e">
        <f t="shared" si="0"/>
        <v>#DIV/0!</v>
      </c>
      <c r="I30" s="132" t="e">
        <f>AVERAGE(I39:I42)</f>
        <v>#DIV/0!</v>
      </c>
      <c r="J30" s="132" t="e">
        <f>AVERAGE(J39:J42)</f>
        <v>#DIV/0!</v>
      </c>
      <c r="K30" s="132">
        <f t="shared" si="0"/>
        <v>0.5</v>
      </c>
      <c r="L30" s="132">
        <f t="shared" si="0"/>
        <v>0</v>
      </c>
      <c r="M30">
        <f t="shared" ref="M30:M49" si="1">L30-K30</f>
        <v>-0.5</v>
      </c>
    </row>
    <row r="31" spans="2:17" ht="15.75" customHeight="1">
      <c r="B31" s="25" t="str">
        <f>B43</f>
        <v>Коммуникации (реагирование на инциденты)</v>
      </c>
      <c r="C31" s="35" t="str">
        <f>C43</f>
        <v>КМНК</v>
      </c>
      <c r="D31" s="143">
        <f t="shared" ref="D31:L31" si="2">AVERAGE(D44:D48)</f>
        <v>5</v>
      </c>
      <c r="E31" s="144">
        <f t="shared" si="2"/>
        <v>3.2</v>
      </c>
      <c r="F31" s="145">
        <f t="shared" si="2"/>
        <v>0.64</v>
      </c>
      <c r="G31" s="146" t="e">
        <f t="shared" si="2"/>
        <v>#DIV/0!</v>
      </c>
      <c r="H31" s="146" t="e">
        <f t="shared" si="2"/>
        <v>#DIV/0!</v>
      </c>
      <c r="I31" s="146" t="e">
        <f>AVERAGE(I44:I48)</f>
        <v>#DIV/0!</v>
      </c>
      <c r="J31" s="146" t="e">
        <f>AVERAGE(J44:J48)</f>
        <v>#DIV/0!</v>
      </c>
      <c r="K31" s="146">
        <f t="shared" si="2"/>
        <v>0.64</v>
      </c>
      <c r="L31" s="146">
        <f t="shared" si="2"/>
        <v>0.32</v>
      </c>
      <c r="M31">
        <f t="shared" si="1"/>
        <v>-0.32</v>
      </c>
    </row>
    <row r="32" spans="2:17" ht="15.75" customHeight="1">
      <c r="B32" s="25" t="str">
        <f>B49</f>
        <v>Анализ и расследование</v>
      </c>
      <c r="C32" s="35" t="str">
        <f>C49</f>
        <v>АНЛЗ</v>
      </c>
      <c r="D32" s="143">
        <f t="shared" ref="D32:L32" si="3">AVERAGE(D50:D54)</f>
        <v>4.5999999999999996</v>
      </c>
      <c r="E32" s="144">
        <f t="shared" si="3"/>
        <v>3.84</v>
      </c>
      <c r="F32" s="145">
        <f t="shared" si="3"/>
        <v>1.04</v>
      </c>
      <c r="G32" s="146" t="e">
        <f t="shared" si="3"/>
        <v>#DIV/0!</v>
      </c>
      <c r="H32" s="146" t="e">
        <f t="shared" si="3"/>
        <v>#DIV/0!</v>
      </c>
      <c r="I32" s="146" t="e">
        <f>AVERAGE(I50:I54)</f>
        <v>#DIV/0!</v>
      </c>
      <c r="J32" s="146" t="e">
        <f>AVERAGE(J50:J54)</f>
        <v>#DIV/0!</v>
      </c>
      <c r="K32" s="146">
        <f t="shared" si="3"/>
        <v>1.04</v>
      </c>
      <c r="L32" s="146">
        <f t="shared" si="3"/>
        <v>0.72</v>
      </c>
      <c r="M32">
        <f>L32-K32</f>
        <v>-0.32000000000000006</v>
      </c>
      <c r="Q32" s="248"/>
    </row>
    <row r="33" spans="2:21" ht="15.75" customHeight="1" thickBot="1">
      <c r="B33" s="37" t="str">
        <f>B55</f>
        <v>Плейбуки по реагированию</v>
      </c>
      <c r="C33" s="38" t="str">
        <f>C55</f>
        <v>PB</v>
      </c>
      <c r="D33" s="147">
        <f>AVERAGE(D57:D71)</f>
        <v>4.9090909090909092</v>
      </c>
      <c r="E33" s="148">
        <f>AVERAGE(E48:E49)</f>
        <v>3.2</v>
      </c>
      <c r="F33" s="149">
        <f t="shared" ref="F33:L33" si="4">AVERAGE(F56:F67)</f>
        <v>1.6666666666666667</v>
      </c>
      <c r="G33" s="135" t="e">
        <f t="shared" si="4"/>
        <v>#DIV/0!</v>
      </c>
      <c r="H33" s="135" t="e">
        <f t="shared" si="4"/>
        <v>#DIV/0!</v>
      </c>
      <c r="I33" s="135" t="e">
        <f t="shared" si="4"/>
        <v>#DIV/0!</v>
      </c>
      <c r="J33" s="135" t="e">
        <f t="shared" si="4"/>
        <v>#DIV/0!</v>
      </c>
      <c r="K33" s="135">
        <f t="shared" si="4"/>
        <v>1.6666666666666667</v>
      </c>
      <c r="L33" s="135">
        <f t="shared" si="4"/>
        <v>0</v>
      </c>
      <c r="M33">
        <f t="shared" si="1"/>
        <v>-1.6666666666666667</v>
      </c>
      <c r="Q33" s="248"/>
    </row>
    <row r="34" spans="2:21" ht="15.75" customHeight="1">
      <c r="D34" s="66"/>
      <c r="E34" s="66"/>
      <c r="F34" s="66"/>
      <c r="H34" s="66"/>
      <c r="I34" s="66"/>
      <c r="J34" s="66"/>
      <c r="L34" s="66"/>
      <c r="M34" s="66"/>
      <c r="Q34" s="248"/>
    </row>
    <row r="35" spans="2:21" ht="15.75" customHeight="1">
      <c r="B35" s="35"/>
      <c r="K35" s="78"/>
      <c r="M35">
        <f t="shared" si="1"/>
        <v>0</v>
      </c>
      <c r="Q35" s="248"/>
    </row>
    <row r="36" spans="2:21" ht="15.6" customHeight="1">
      <c r="B36" s="35"/>
      <c r="K36" s="78"/>
      <c r="M36">
        <f t="shared" si="1"/>
        <v>0</v>
      </c>
      <c r="Q36" s="236"/>
      <c r="R36" s="236"/>
      <c r="S36" s="236"/>
      <c r="T36" s="236"/>
      <c r="U36" s="236"/>
    </row>
    <row r="37" spans="2:21" customFormat="1" ht="17.399999999999999">
      <c r="B37" s="79"/>
      <c r="C37" s="66"/>
      <c r="D37" s="78"/>
      <c r="E37" s="78"/>
      <c r="F37" s="78"/>
      <c r="G37" s="66"/>
      <c r="H37" s="78"/>
      <c r="I37" s="78"/>
      <c r="J37" s="78"/>
      <c r="K37" s="78"/>
      <c r="L37" s="78"/>
      <c r="M37" s="100" t="s">
        <v>444</v>
      </c>
      <c r="N37" s="35"/>
      <c r="O37" s="362"/>
      <c r="P37" s="100">
        <v>1</v>
      </c>
      <c r="Q37" s="366" t="s">
        <v>589</v>
      </c>
      <c r="R37" s="367"/>
      <c r="S37" s="367" t="s">
        <v>655</v>
      </c>
      <c r="T37" s="367"/>
      <c r="U37" s="366" t="s">
        <v>591</v>
      </c>
    </row>
    <row r="38" spans="2:21" ht="29.85" customHeight="1">
      <c r="B38" s="70" t="s">
        <v>202</v>
      </c>
      <c r="C38" s="74" t="s">
        <v>280</v>
      </c>
      <c r="D38" s="71"/>
      <c r="E38" s="71"/>
      <c r="F38" s="71"/>
      <c r="G38" s="74"/>
      <c r="H38" s="71"/>
      <c r="I38" s="71"/>
      <c r="J38" s="71"/>
      <c r="K38" s="71"/>
      <c r="L38" s="71"/>
      <c r="M38">
        <f t="shared" si="1"/>
        <v>0</v>
      </c>
      <c r="N38" s="66"/>
      <c r="P38" s="366">
        <f>VLOOKUP(B38,Приоритет!$G$9:$K$52,5,0)</f>
        <v>7</v>
      </c>
      <c r="Q38" s="273" t="s">
        <v>202</v>
      </c>
      <c r="R38" s="366">
        <f>P38+200</f>
        <v>207</v>
      </c>
      <c r="S38" s="273" t="s">
        <v>202</v>
      </c>
      <c r="T38" s="366">
        <f>P38+300</f>
        <v>307</v>
      </c>
      <c r="U38" s="273" t="s">
        <v>202</v>
      </c>
    </row>
    <row r="39" spans="2:21" ht="113.1" customHeight="1" outlineLevel="1">
      <c r="B39" s="46" t="s">
        <v>952</v>
      </c>
      <c r="C39" s="446" t="s">
        <v>812</v>
      </c>
      <c r="D39" s="39">
        <v>4</v>
      </c>
      <c r="E39" s="40">
        <v>3</v>
      </c>
      <c r="F39" s="41">
        <v>1</v>
      </c>
      <c r="G39" s="73"/>
      <c r="H39" s="73"/>
      <c r="I39" s="47"/>
      <c r="J39" s="325"/>
      <c r="K39" s="172">
        <v>1</v>
      </c>
      <c r="L39" s="47">
        <f>VALUE(LEFT(N39,3))</f>
        <v>0</v>
      </c>
      <c r="M39">
        <f>L39-K39</f>
        <v>-1</v>
      </c>
      <c r="N39" s="35" t="s">
        <v>245</v>
      </c>
      <c r="P39" s="364">
        <f>P38+0.01</f>
        <v>7.01</v>
      </c>
      <c r="Q39" s="248" t="str">
        <f>IF(($L39-$F39)&gt;=0,"",
" - Назначить ответственных за решение инцидентов ИБ, включая ответственного за коммуникации внутри и со сторонними компаниями;"&amp;"
  -  Составить и актуализировать список заинтересованных лиц, которые должны получить уведомление об инциденте;"&amp;"
  -  Для критичных инцидентов определить SLA и порядок действий по реагированию;
  -  Автоматизировать процесс реагирования на инциденты ИБ с применением не специализированных средств.")</f>
        <v xml:space="preserve"> - Назначить ответственных за решение инцидентов ИБ, включая ответственного за коммуникации внутри и со сторонними компаниями;
  -  Составить и актуализировать список заинтересованных лиц, которые должны получить уведомление об инциденте;
  -  Для критичных инцидентов определить SLA и порядок действий по реагированию;
  -  Автоматизировать процесс реагирования на инциденты ИБ с применением не специализированных средств.</v>
      </c>
      <c r="R39" s="364">
        <f>R38+0.01</f>
        <v>207.01</v>
      </c>
      <c r="S39" s="248" t="str">
        <f>IF(($L39-$E39)&gt;=0,"",
" - Разработать или Получить в Блоке ИБ ПАО Ростелеком типовое описание процесса реагирования на инциденты ИБ (Политика, Регламенты, процедуры реагирования на инциденты ИБ);"&amp;"
  -  Определить ответственность за координацию процесса работы с инцидентами и документирование результатов в процессе решения инцидента;"&amp;"
  -  Составить список заинтересованных лиц, которые должны получить уведомление об инциденте, актуализиировать и пересматривать его не реже раза в год;"&amp;"
 -  Для всех инцидентов определить SLA по реагированию, механизмы обращения, минимальная информация для создания инцидента/Процедуру довести до всех работников Общества;"&amp;"
 -  Определить роли и обязанности, план коммуникации по поводу инцидента;
 - Составить план реагирования на инциденты, включая сценарии реагирования с привлечением юристов, специалистов по ИТ и ИБ, служб PR, HR и аналитиков;"&amp;"
 -  Разработать учебные сценарии по реагированию, включающие взаимодействие заинтересованных лиц и позволяющие тестировать постановку задач, процессы коммуникации и принятия решений;"&amp;"
 -  Разработать сценарии реагирования для разных событий безопасности: подозрительной активности, обнаруженной уязвимости, утечки информации;"&amp;"
 -  Для автоматизации процесса внедрить специализированное ПО: SIEM, IRP/ServiceDesk.")</f>
        <v xml:space="preserve"> - Разработать или Получить в Блоке ИБ ПАО Ростелеком типовое описание процесса реагирования на инциденты ИБ (Политика, Регламенты, процедуры реагирования на инциденты ИБ);
  -  Определить ответственность за координацию процесса работы с инцидентами и документирование результатов в процессе решения инцидента;
  -  Составить список заинтересованных лиц, которые должны получить уведомление об инциденте, актуализиировать и пересматривать его не реже раза в год;
 -  Для всех инцидентов определить SLA по реагированию, механизмы обращения, минимальная информация для создания инцидента/Процедуру довести до всех работников Общества;
 -  Определить роли и обязанности, план коммуникации по поводу инцидента;
 - Составить план реагирования на инциденты, включая сценарии реагирования с привлечением юристов, специалистов по ИТ и ИБ, служб PR, HR и аналитиков;
 -  Разработать учебные сценарии по реагированию, включающие взаимодействие заинтересованных лиц и позволяющие тестировать постановку задач, процессы коммуникации и принятия решений;
 -  Разработать сценарии реагирования для разных событий безопасности: подозрительной активности, обнаруженной уязвимости, утечки информации;
 -  Для автоматизации процесса внедрить специализированное ПО: SIEM, IRP/ServiceDesk.</v>
      </c>
      <c r="T39" s="364">
        <f>T38+0.01</f>
        <v>307.01</v>
      </c>
      <c r="U39" s="248" t="str">
        <f>IF(($L39-$D39)&gt;=0,"",
" -  Разработать КПЭ по процессу реагирования на инциденты ИБ для руководства ИБ;"&amp;"
 -  Разработать метрики по процессу;
 -  Назначить сервис-менеджеров процесса;"&amp;"
 -  Создать средство визуального мониторинга параметров процесса;
 -  Реализовать мониторинг параметров процесса;
 -  Реализовать реагирование на факты отклонения параметров процесса от определенных показателей")</f>
        <v xml:space="preserve"> -  Разработать КПЭ по процессу реагирования на инциденты ИБ для руководства ИБ;
 -  Разработать метрики по процессу;
 -  Назначить сервис-менеджеров процесса;
 -  Создать средство визуального мониторинга параметров процесса;
 -  Реализовать мониторинг параметров процесса;
 -  Реализовать реагирование на факты отклонения параметров процесса от определенных показателей</v>
      </c>
    </row>
    <row r="40" spans="2:21" ht="149.85" customHeight="1" outlineLevel="1">
      <c r="B40" s="256" t="s">
        <v>951</v>
      </c>
      <c r="C40" s="446" t="s">
        <v>813</v>
      </c>
      <c r="D40" s="39">
        <v>4</v>
      </c>
      <c r="E40" s="40">
        <v>3</v>
      </c>
      <c r="F40" s="41">
        <v>1</v>
      </c>
      <c r="G40" s="47"/>
      <c r="H40" s="47"/>
      <c r="I40" s="47"/>
      <c r="J40" s="324"/>
      <c r="K40" s="48">
        <v>1</v>
      </c>
      <c r="L40" s="47">
        <f>VALUE(LEFT(N40,3))</f>
        <v>0</v>
      </c>
      <c r="M40">
        <f>L40-K40</f>
        <v>-1</v>
      </c>
      <c r="N40" s="35" t="s">
        <v>245</v>
      </c>
      <c r="P40" s="364">
        <f>P39+0.01</f>
        <v>7.02</v>
      </c>
      <c r="Q40" s="248" t="str">
        <f>IF(($L40-$F40)&gt;=0,"",
" - В Обществе неформально определить категории инцидентов ИБ")</f>
        <v xml:space="preserve"> - В Обществе неформально определить категории инцидентов ИБ</v>
      </c>
      <c r="R40" s="364">
        <f>R39+0.01</f>
        <v>207.01999999999998</v>
      </c>
      <c r="S40" s="248" t="str">
        <f>IF(($L40-$E40)&gt;=0,"",
"- Формализовать критерии определения критичности инцидентов ИБ; 
- Определить мандаты на действия участников процесса;
  -  Официально сформировать ГЭР и ОКУ;"&amp;"
  -  Не реже 1 раза в год проводить учения в формате штабных игр.")</f>
        <v>- Формализовать критерии определения критичности инцидентов ИБ; 
- Определить мандаты на действия участников процесса;
  -  Официально сформировать ГЭР и ОКУ;
  -  Не реже 1 раза в год проводить учения в формате штабных игр.</v>
      </c>
      <c r="T40" s="364">
        <f>T39+0.01</f>
        <v>307.02</v>
      </c>
      <c r="U40" s="248" t="str">
        <f>IF(($L40-$D40)&gt;=0,"",
" - Реализовать возможность корректировки категорий инцидента ИБ в процессе реагирования")</f>
        <v xml:space="preserve"> - Реализовать возможность корректировки категорий инцидента ИБ в процессе реагирования</v>
      </c>
    </row>
    <row r="41" spans="2:21" ht="75.599999999999994" customHeight="1" outlineLevel="1">
      <c r="B41" s="46" t="s">
        <v>214</v>
      </c>
      <c r="C41" s="446" t="s">
        <v>814</v>
      </c>
      <c r="D41" s="39">
        <v>5</v>
      </c>
      <c r="E41" s="40">
        <v>3.2</v>
      </c>
      <c r="F41" s="41">
        <v>0</v>
      </c>
      <c r="G41" s="73"/>
      <c r="H41" s="73"/>
      <c r="I41" s="47"/>
      <c r="J41" s="325"/>
      <c r="K41" s="172">
        <v>0</v>
      </c>
      <c r="L41" s="47">
        <f>VALUE(LEFT(N41,3))</f>
        <v>0</v>
      </c>
      <c r="M41">
        <f>L41-K41</f>
        <v>0</v>
      </c>
      <c r="N41" s="104" t="s">
        <v>283</v>
      </c>
      <c r="P41" s="364">
        <f>P40+0.01</f>
        <v>7.0299999999999994</v>
      </c>
      <c r="Q41" s="248" t="str">
        <f>IF(($L41-$F41)&gt;=0,"","")</f>
        <v/>
      </c>
      <c r="R41" s="364">
        <f>R40+0.01</f>
        <v>207.02999999999997</v>
      </c>
      <c r="S41" s="248" t="str">
        <f>IF(($L41-$E41)&gt;=0,"",
" - Категории инцидентов определить в ВНД;
  -  Категорию инцидента ИБ определять в автоматическом режиме")</f>
        <v xml:space="preserve"> - Категории инцидентов определить в ВНД;
  -  Категорию инцидента ИБ определять в автоматическом режиме</v>
      </c>
      <c r="T41" s="364">
        <f>T40+0.01</f>
        <v>307.02999999999997</v>
      </c>
      <c r="U41" s="248" t="str">
        <f>IF(($L41-$D41)&gt;=0,"",
" -  Разработать ВНД, определяющий мандаты на действия;"&amp;"
 -  Пересматривать состав ГЭР и ОКУ не реже 1 раза в полгода;
 -  Разработать обучающий курс для ГЭР и ОКУ;"&amp;"
 -  Проводить обучение членов ГЭР и ОКУ не реже 1 раза в год.")</f>
        <v xml:space="preserve"> -  Разработать ВНД, определяющий мандаты на действия;
 -  Пересматривать состав ГЭР и ОКУ не реже 1 раза в полгода;
 -  Разработать обучающий курс для ГЭР и ОКУ;
 -  Проводить обучение членов ГЭР и ОКУ не реже 1 раза в год.</v>
      </c>
    </row>
    <row r="42" spans="2:21" ht="53.1" customHeight="1" outlineLevel="1">
      <c r="B42" s="256" t="s">
        <v>964</v>
      </c>
      <c r="C42" s="446" t="s">
        <v>815</v>
      </c>
      <c r="D42" s="39">
        <v>5</v>
      </c>
      <c r="E42" s="40">
        <v>3.2</v>
      </c>
      <c r="F42" s="41">
        <v>0</v>
      </c>
      <c r="G42" s="73"/>
      <c r="H42" s="69"/>
      <c r="I42" s="47"/>
      <c r="J42" s="325"/>
      <c r="K42" s="172">
        <v>0</v>
      </c>
      <c r="L42" s="47">
        <f>VALUE(LEFT(N42,3))</f>
        <v>0</v>
      </c>
      <c r="M42">
        <f t="shared" si="1"/>
        <v>0</v>
      </c>
      <c r="N42" s="237" t="s">
        <v>283</v>
      </c>
      <c r="P42" s="364">
        <f>P41+0.01</f>
        <v>7.0399999999999991</v>
      </c>
      <c r="Q42" s="248" t="str">
        <f>IF(($L42-$F42)&gt;=0,"","")</f>
        <v/>
      </c>
      <c r="R42" s="364">
        <f>R41+0.01</f>
        <v>207.03999999999996</v>
      </c>
      <c r="S42" s="248" t="str">
        <f>IF(($L42-$E42)&gt;=0,"",
" - Пост-анализ проводится обязательно для инцидентов критичности 'высокий' и выше. 
- По результатам вносятся изменения в порядок реагирования.")</f>
        <v xml:space="preserve"> - Пост-анализ проводится обязательно для инцидентов критичности 'высокий' и выше. 
- По результатам вносятся изменения в порядок реагирования.</v>
      </c>
      <c r="T42" s="364">
        <f>T41+0.01</f>
        <v>307.03999999999996</v>
      </c>
      <c r="U42" s="248" t="str">
        <f>IF(($L42-$D42)&gt;=0,"",
" - Все инциденты должны проходить этап пост-анализа;
  - Контролировать и получать подтверждения об изменении процесса по результатам пост-анализа.")</f>
        <v xml:space="preserve"> - Все инциденты должны проходить этап пост-анализа;
  - Контролировать и получать подтверждения об изменении процесса по результатам пост-анализа.</v>
      </c>
    </row>
    <row r="43" spans="2:21" ht="29.85" customHeight="1">
      <c r="B43" s="70" t="s">
        <v>650</v>
      </c>
      <c r="C43" s="75" t="s">
        <v>204</v>
      </c>
      <c r="D43" s="71"/>
      <c r="E43" s="71"/>
      <c r="F43" s="71"/>
      <c r="G43" s="75"/>
      <c r="H43" s="71"/>
      <c r="I43" s="71"/>
      <c r="J43" s="180"/>
      <c r="K43" s="180"/>
      <c r="L43" s="71"/>
      <c r="M43">
        <f t="shared" si="1"/>
        <v>0</v>
      </c>
      <c r="N43" s="66"/>
      <c r="P43" s="366">
        <f>VLOOKUP(B43,Приоритет!$G$9:$K$52,5,0)</f>
        <v>37</v>
      </c>
      <c r="Q43" s="44" t="s">
        <v>203</v>
      </c>
      <c r="R43" s="366">
        <f>P43+200</f>
        <v>237</v>
      </c>
      <c r="S43" s="44" t="s">
        <v>203</v>
      </c>
      <c r="T43" s="366">
        <f>P43+300</f>
        <v>337</v>
      </c>
      <c r="U43" s="44" t="s">
        <v>203</v>
      </c>
    </row>
    <row r="44" spans="2:21" ht="103.35" customHeight="1" outlineLevel="1">
      <c r="B44" s="256" t="s">
        <v>500</v>
      </c>
      <c r="C44" s="446" t="s">
        <v>205</v>
      </c>
      <c r="D44" s="39">
        <v>5</v>
      </c>
      <c r="E44" s="40">
        <v>3.2</v>
      </c>
      <c r="F44" s="41">
        <v>0</v>
      </c>
      <c r="G44" s="73"/>
      <c r="H44" s="73"/>
      <c r="I44" s="47"/>
      <c r="J44" s="325"/>
      <c r="K44" s="172">
        <v>0</v>
      </c>
      <c r="L44" s="47">
        <f>VALUE(LEFT(N44,3))</f>
        <v>0</v>
      </c>
      <c r="M44">
        <f t="shared" si="1"/>
        <v>0</v>
      </c>
      <c r="N44" s="237" t="s">
        <v>283</v>
      </c>
      <c r="P44" s="364">
        <f>P43+0.01</f>
        <v>37.01</v>
      </c>
      <c r="Q44" s="248" t="str">
        <f>IF(($L44-$F44)&gt;=0,"","")</f>
        <v/>
      </c>
      <c r="R44" s="364">
        <f>R43+0.01</f>
        <v>237.01</v>
      </c>
      <c r="S44" s="248" t="str">
        <f>IF(($L44-$E44)&gt;=0,"",
" - Составить список участников процессов реагирования на инциденты;
  -  Определить зоны ответственности и полномочия при реагировании на инциденты, довести до участников и согласовать с ними;"&amp;"
  -  Составить список контактных данных и довести до всех участников.")</f>
        <v xml:space="preserve"> - Составить список участников процессов реагирования на инциденты;
  -  Определить зоны ответственности и полномочия при реагировании на инциденты, довести до участников и согласовать с ними;
  -  Составить список контактных данных и довести до всех участников.</v>
      </c>
      <c r="T44" s="364">
        <f>T43+0.01</f>
        <v>337.01</v>
      </c>
      <c r="U44" s="248" t="str">
        <f>IF(($L44-$D44)&gt;=0,"",
" - Постоянно актуализировать список участников процессов реагирования на инциденты, их контактных данных.")</f>
        <v xml:space="preserve"> - Постоянно актуализировать список участников процессов реагирования на инциденты, их контактных данных.</v>
      </c>
    </row>
    <row r="45" spans="2:21" ht="57" customHeight="1" outlineLevel="1">
      <c r="B45" s="256" t="s">
        <v>502</v>
      </c>
      <c r="C45" s="446" t="s">
        <v>206</v>
      </c>
      <c r="D45" s="39">
        <v>5</v>
      </c>
      <c r="E45" s="40">
        <v>3.2</v>
      </c>
      <c r="F45" s="41">
        <v>0</v>
      </c>
      <c r="G45" s="73"/>
      <c r="H45" s="73"/>
      <c r="I45" s="47"/>
      <c r="J45" s="325"/>
      <c r="K45" s="172">
        <v>0</v>
      </c>
      <c r="L45" s="47">
        <f>VALUE(LEFT(N45,3))</f>
        <v>0</v>
      </c>
      <c r="M45">
        <f>L45-K45</f>
        <v>0</v>
      </c>
      <c r="N45" s="237" t="s">
        <v>283</v>
      </c>
      <c r="P45" s="364">
        <f>P44+0.01</f>
        <v>37.019999999999996</v>
      </c>
      <c r="Q45" s="248" t="str">
        <f>IF(($L45-$F45)&gt;=0,"","")</f>
        <v/>
      </c>
      <c r="R45" s="364">
        <f>R44+0.01</f>
        <v>237.01999999999998</v>
      </c>
      <c r="S45" s="248" t="str">
        <f>IF(($L45-$E45)&gt;=0,"",
" - Определить основные и резервные каналы коммуникации и приоритет их использования/Провести тестирование каналов коммуникации. ")</f>
        <v xml:space="preserve"> - Определить основные и резервные каналы коммуникации и приоритет их использования/Провести тестирование каналов коммуникации. </v>
      </c>
      <c r="T45" s="364">
        <f>T44+0.01</f>
        <v>337.02</v>
      </c>
      <c r="U45" s="248" t="str">
        <f>IF(($L45-$D45)&gt;=0,"",
" - Проводить периодическую проверку каналов коммуникации.")</f>
        <v xml:space="preserve"> - Проводить периодическую проверку каналов коммуникации.</v>
      </c>
    </row>
    <row r="46" spans="2:21" ht="54" customHeight="1" outlineLevel="1">
      <c r="B46" s="46" t="s">
        <v>855</v>
      </c>
      <c r="C46" s="446" t="s">
        <v>207</v>
      </c>
      <c r="D46" s="39">
        <v>5</v>
      </c>
      <c r="E46" s="40">
        <v>3.2</v>
      </c>
      <c r="F46" s="41">
        <v>0</v>
      </c>
      <c r="G46" s="73"/>
      <c r="H46" s="73"/>
      <c r="I46" s="47"/>
      <c r="J46" s="325"/>
      <c r="K46" s="172">
        <v>0</v>
      </c>
      <c r="L46" s="47">
        <f>VALUE(LEFT(N46,3))</f>
        <v>0</v>
      </c>
      <c r="M46">
        <f>L46-K46</f>
        <v>0</v>
      </c>
      <c r="N46" s="237" t="s">
        <v>283</v>
      </c>
      <c r="P46" s="364">
        <f>P45+0.01</f>
        <v>37.029999999999994</v>
      </c>
      <c r="Q46" s="248" t="str">
        <f>IF(($L46-$F46)&gt;=0,"","")</f>
        <v/>
      </c>
      <c r="R46" s="364">
        <f>R45+0.01</f>
        <v>237.02999999999997</v>
      </c>
      <c r="S46" s="248" t="str">
        <f>IF(($L46-$E46)&gt;=0,"",
" - Определить критерии и порядок эскалации инцидентов;
  -  Определить маршруты эскалации;
  - Регламентировать процесс эскалации.")</f>
        <v xml:space="preserve"> - Определить критерии и порядок эскалации инцидентов;
  -  Определить маршруты эскалации;
  - Регламентировать процесс эскалации.</v>
      </c>
      <c r="T46" s="364">
        <f>T45+0.01</f>
        <v>337.03</v>
      </c>
      <c r="U46" s="248" t="str">
        <f>IF(($L46-$D46)&gt;=0,"",
" - Контролировать и оценивать эффективность процесса  реагирования на инциденты при эскалациях.")</f>
        <v xml:space="preserve"> - Контролировать и оценивать эффективность процесса  реагирования на инциденты при эскалациях.</v>
      </c>
    </row>
    <row r="47" spans="2:21" ht="70.349999999999994" customHeight="1" outlineLevel="1">
      <c r="B47" s="46" t="s">
        <v>953</v>
      </c>
      <c r="C47" s="446" t="s">
        <v>501</v>
      </c>
      <c r="D47" s="39">
        <v>5</v>
      </c>
      <c r="E47" s="40">
        <v>3.2</v>
      </c>
      <c r="F47" s="41">
        <v>1.6</v>
      </c>
      <c r="G47" s="73"/>
      <c r="H47" s="73"/>
      <c r="I47" s="47"/>
      <c r="J47" s="325"/>
      <c r="K47" s="172">
        <v>1.6</v>
      </c>
      <c r="L47" s="47">
        <f>VALUE(LEFT(N47,3))</f>
        <v>1.6</v>
      </c>
      <c r="M47">
        <f>L47-K47</f>
        <v>0</v>
      </c>
      <c r="N47" s="237" t="s">
        <v>285</v>
      </c>
      <c r="P47" s="364">
        <f>P46+0.01</f>
        <v>37.039999999999992</v>
      </c>
      <c r="Q47" s="248" t="str">
        <f>IF(($L47-$F47)&gt;=0," - Взаимодействовать с регуляторами по инциденту ИБ в установленных законом случаях",)</f>
        <v xml:space="preserve"> - Взаимодействовать с регуляторами по инциденту ИБ в установленных законом случаях</v>
      </c>
      <c r="R47" s="364">
        <f>R46+0.01</f>
        <v>237.03999999999996</v>
      </c>
      <c r="S47" s="248" t="str">
        <f>IF(($L47-$E47)&gt;=0,"",
" - Регламентировать процесс взаимодействия с регуляторами;
  -  Определить ответственных за взаимодействие;
 -  Определить состав и объем предоставляемой информации об инцидентах.")</f>
        <v xml:space="preserve"> - Регламентировать процесс взаимодействия с регуляторами;
  -  Определить ответственных за взаимодействие;
 -  Определить состав и объем предоставляемой информации об инцидентах.</v>
      </c>
      <c r="T47" s="364">
        <f>T46+0.01</f>
        <v>337.03999999999996</v>
      </c>
      <c r="U47" s="248" t="str">
        <f>IF(($L47-$D47)&gt;=0,"","")</f>
        <v/>
      </c>
    </row>
    <row r="48" spans="2:21" ht="77.099999999999994" customHeight="1" outlineLevel="1">
      <c r="B48" s="256" t="s">
        <v>208</v>
      </c>
      <c r="C48" s="446" t="s">
        <v>209</v>
      </c>
      <c r="D48" s="39">
        <v>5</v>
      </c>
      <c r="E48" s="40">
        <v>3.2</v>
      </c>
      <c r="F48" s="41">
        <v>1.6</v>
      </c>
      <c r="G48" s="73"/>
      <c r="H48" s="73"/>
      <c r="I48" s="47"/>
      <c r="J48" s="325"/>
      <c r="K48" s="172">
        <v>1.6</v>
      </c>
      <c r="L48" s="47">
        <f>VALUE(LEFT(N48,3))</f>
        <v>0</v>
      </c>
      <c r="M48">
        <f t="shared" si="1"/>
        <v>-1.6</v>
      </c>
      <c r="N48" s="237" t="s">
        <v>283</v>
      </c>
      <c r="P48" s="364">
        <f>P47+0.01</f>
        <v>37.04999999999999</v>
      </c>
      <c r="Q48" s="248">
        <f>IF(($L48-$F48)&gt;=0," - Составить план коммуникаций при значимых инцидентах, довести его до всех участников",)</f>
        <v>0</v>
      </c>
      <c r="R48" s="364">
        <f>R47+0.01</f>
        <v>237.04999999999995</v>
      </c>
      <c r="S48" s="248" t="str">
        <f>IF(($L48-$E48)&gt;=0,"",
" - Актуализировать план коммуникаций значимых инцидентов не реже чем раз в полгода.")</f>
        <v xml:space="preserve"> - Актуализировать план коммуникаций значимых инцидентов не реже чем раз в полгода.</v>
      </c>
      <c r="T48" s="364">
        <f>T47+0.01</f>
        <v>337.04999999999995</v>
      </c>
      <c r="U48" s="248" t="str">
        <f>IF(($L48-$D48)&gt;=0,"",
" - Актуализировать план коммуникаций значимых инцидентов не реже чем раз в 3 месяца;"&amp;"
 -  Анализировать эффективность каналов коммуникаций при значимых инцидентах.")</f>
        <v xml:space="preserve"> - Актуализировать план коммуникаций значимых инцидентов не реже чем раз в 3 месяца;
 -  Анализировать эффективность каналов коммуникаций при значимых инцидентах.</v>
      </c>
    </row>
    <row r="49" spans="2:21" ht="29.85" customHeight="1">
      <c r="B49" s="70" t="s">
        <v>503</v>
      </c>
      <c r="C49" s="74" t="s">
        <v>210</v>
      </c>
      <c r="D49" s="71"/>
      <c r="E49" s="71"/>
      <c r="F49" s="71"/>
      <c r="G49" s="74"/>
      <c r="H49" s="71"/>
      <c r="I49" s="71"/>
      <c r="J49" s="180"/>
      <c r="K49" s="180"/>
      <c r="L49" s="71"/>
      <c r="M49">
        <f t="shared" si="1"/>
        <v>0</v>
      </c>
      <c r="N49" s="66"/>
      <c r="P49" s="366">
        <f>VLOOKUP(B49,Приоритет!$G$9:$K$52,5,0)</f>
        <v>30</v>
      </c>
      <c r="Q49" s="44" t="s">
        <v>503</v>
      </c>
      <c r="R49" s="366">
        <f>P49+200</f>
        <v>230</v>
      </c>
      <c r="S49" s="44" t="s">
        <v>503</v>
      </c>
      <c r="T49" s="366">
        <f>P49+300</f>
        <v>330</v>
      </c>
      <c r="U49" s="44" t="s">
        <v>503</v>
      </c>
    </row>
    <row r="50" spans="2:21" ht="72.599999999999994" customHeight="1" outlineLevel="1">
      <c r="B50" s="46" t="s">
        <v>954</v>
      </c>
      <c r="C50" s="66" t="s">
        <v>211</v>
      </c>
      <c r="D50" s="39">
        <v>5</v>
      </c>
      <c r="E50" s="40">
        <v>5</v>
      </c>
      <c r="F50" s="41">
        <v>0</v>
      </c>
      <c r="G50" s="73"/>
      <c r="H50" s="73"/>
      <c r="I50" s="47"/>
      <c r="J50" s="325"/>
      <c r="K50" s="172">
        <v>0</v>
      </c>
      <c r="L50" s="47">
        <f>VALUE(LEFT(N50,3))</f>
        <v>0</v>
      </c>
      <c r="M50">
        <f>L50-K50</f>
        <v>0</v>
      </c>
      <c r="N50" s="104" t="s">
        <v>283</v>
      </c>
      <c r="P50" s="364">
        <f>P49+0.01</f>
        <v>30.01</v>
      </c>
      <c r="Q50" s="248" t="str">
        <f>IF(($L50-$F50)&gt;=0,"","")</f>
        <v/>
      </c>
      <c r="R50" s="364">
        <f>R49+0.01</f>
        <v>230.01</v>
      </c>
      <c r="S50" s="248" t="str">
        <f>IF(($L50-$E50)&gt;=0,"",
" - Создать подразделение (выделить штатную должность), отвечающее за расследование инцидентов ИБ либо заключить сервисный договор.")</f>
        <v xml:space="preserve"> - Создать подразделение (выделить штатную должность), отвечающее за расследование инцидентов ИБ либо заключить сервисный договор.</v>
      </c>
      <c r="T50" s="364">
        <f>T49+0.01</f>
        <v>330.01</v>
      </c>
      <c r="U50" s="248">
        <f>IF(($L50-$D50)&gt;=0,"",)</f>
        <v>0</v>
      </c>
    </row>
    <row r="51" spans="2:21" ht="96" customHeight="1" outlineLevel="1">
      <c r="B51" s="256" t="s">
        <v>42</v>
      </c>
      <c r="C51" s="66" t="s">
        <v>212</v>
      </c>
      <c r="D51" s="39">
        <v>4</v>
      </c>
      <c r="E51" s="40">
        <v>3</v>
      </c>
      <c r="F51" s="41">
        <v>1</v>
      </c>
      <c r="G51" s="73"/>
      <c r="H51" s="73"/>
      <c r="I51" s="47"/>
      <c r="J51" s="325"/>
      <c r="K51" s="172">
        <v>1</v>
      </c>
      <c r="L51" s="47">
        <f>VALUE(LEFT(N51,3))</f>
        <v>1</v>
      </c>
      <c r="M51">
        <f>L51-K51</f>
        <v>0</v>
      </c>
      <c r="N51" s="35" t="s">
        <v>273</v>
      </c>
      <c r="P51" s="364">
        <f>P50+0.01</f>
        <v>30.020000000000003</v>
      </c>
      <c r="Q51" s="248" t="str">
        <f>IF(($L51-$F51)&gt;=0,"","")</f>
        <v/>
      </c>
      <c r="R51" s="364">
        <f>R50+0.01</f>
        <v>230.01999999999998</v>
      </c>
      <c r="S51" s="248" t="str">
        <f>IF(($L51-$E51)&gt;=0,"",
" - Разработать и задокументировать процесс расследования инцидентов, довести до сведения заинтересованных лиц;
  - Расследование инцидентов должно проводиться с использованием средств автоматизации;"&amp;"
 -  Создать единую базу знаний по расследованиям. Результаты расследований и артефакты хранить в единой базе знаний.")</f>
        <v xml:space="preserve"> - Разработать и задокументировать процесс расследования инцидентов, довести до сведения заинтересованных лиц;
  - Расследование инцидентов должно проводиться с использованием средств автоматизации;
 -  Создать единую базу знаний по расследованиям. Результаты расследований и артефакты хранить в единой базе знаний.</v>
      </c>
      <c r="T51" s="364">
        <f>T50+0.01</f>
        <v>330.02</v>
      </c>
      <c r="U51" s="248" t="str">
        <f>IF(($L51-$D51)&gt;=0,"",
" - Определить метрики процесса реагирования на инциденты и  расследования;
  -  На постоянной основе проводить мониторинг процесса по утвержденным метрикам и показателям;"&amp;"
  -  Интегрировать процесс расследования инцидентов в единый процесс управления инцидентами ИБ")</f>
        <v xml:space="preserve"> - Определить метрики процесса реагирования на инциденты и  расследования;
  -  На постоянной основе проводить мониторинг процесса по утвержденным метрикам и показателям;
  -  Интегрировать процесс расследования инцидентов в единый процесс управления инцидентами ИБ</v>
      </c>
    </row>
    <row r="52" spans="2:21" ht="199.35" customHeight="1" outlineLevel="1">
      <c r="B52" s="256" t="s">
        <v>505</v>
      </c>
      <c r="C52" s="66" t="s">
        <v>213</v>
      </c>
      <c r="D52" s="39">
        <v>5</v>
      </c>
      <c r="E52" s="40">
        <v>5</v>
      </c>
      <c r="F52" s="41">
        <v>3.2</v>
      </c>
      <c r="G52" s="73"/>
      <c r="H52" s="73"/>
      <c r="I52" s="47"/>
      <c r="J52" s="325"/>
      <c r="K52" s="172">
        <v>3.2</v>
      </c>
      <c r="L52" s="47">
        <f>VALUE(LEFT(N52,3))</f>
        <v>1.6</v>
      </c>
      <c r="M52">
        <f>L52-K52</f>
        <v>-1.6</v>
      </c>
      <c r="N52" s="237" t="s">
        <v>285</v>
      </c>
      <c r="P52" s="364">
        <f>P51+0.01</f>
        <v>30.030000000000005</v>
      </c>
      <c r="Q52" s="248" t="str">
        <f>IF(($L52-$F52)&gt;=0,"",
" - Обеспечить проведение анализа причин возникновения критичных инцидентов ИБ;"&amp;"
 -  По результатам анализа, разрабатывать рекомендации по предотвращению аналогичных инцидентов в будущем ")</f>
        <v xml:space="preserve"> - Обеспечить проведение анализа причин возникновения критичных инцидентов ИБ;
 -  По результатам анализа, разрабатывать рекомендации по предотвращению аналогичных инцидентов в будущем </v>
      </c>
      <c r="R52" s="364">
        <f>R51+0.01</f>
        <v>230.02999999999997</v>
      </c>
      <c r="S52" s="248" t="str">
        <f>IF(($L52-$E52)&gt;=0,"",
" - Проводить анализ причин возникновения инцидентов уровня, 'высокий', 'критичный';"&amp;"
 -  Результаты анализа хранить в единой базе знаний;
 - По результатам анализа причин возникновения инцидентов разрабатывать рекомендации по устранению таких причин/"&amp;" Рекомендации доводятся до ответственных подразделений/осуществляется контроль за выполнением рекомендаций;"&amp;"
 - Автоматизировать контроль и учет мероприятий по устранению причин инцидентов и выполнению рекомендаций;"&amp;"
 - Определить метрики процесса устранения причин инцидентов. На постоянной основе проводить мониторинг процесса по утвержденным метрикам и показателям.")</f>
        <v xml:space="preserve"> - Проводить анализ причин возникновения инцидентов уровня, 'высокий', 'критичный';
 -  Результаты анализа хранить в единой базе знаний;
 - По результатам анализа причин возникновения инцидентов разрабатывать рекомендации по устранению таких причин/ Рекомендации доводятся до ответственных подразделений/осуществляется контроль за выполнением рекомендаций;
 - Автоматизировать контроль и учет мероприятий по устранению причин инцидентов и выполнению рекомендаций;
 - Определить метрики процесса устранения причин инцидентов. На постоянной основе проводить мониторинг процесса по утвержденным метрикам и показателям.</v>
      </c>
      <c r="T52" s="364">
        <f>T51+0.01</f>
        <v>330.03</v>
      </c>
      <c r="U52" s="248" t="str">
        <f>IF(($L52-$D52)&gt;=0,"","")</f>
        <v/>
      </c>
    </row>
    <row r="53" spans="2:21" ht="146.85" customHeight="1" outlineLevel="1">
      <c r="B53" s="256" t="s">
        <v>43</v>
      </c>
      <c r="C53" s="66" t="s">
        <v>215</v>
      </c>
      <c r="D53" s="39">
        <v>4</v>
      </c>
      <c r="E53" s="40">
        <v>3</v>
      </c>
      <c r="F53" s="41">
        <v>1</v>
      </c>
      <c r="G53" s="73"/>
      <c r="H53" s="73"/>
      <c r="I53" s="47"/>
      <c r="J53" s="325"/>
      <c r="K53" s="172">
        <v>1</v>
      </c>
      <c r="L53" s="47">
        <f>VALUE(LEFT(N53,3))</f>
        <v>1</v>
      </c>
      <c r="M53">
        <f>L53-K53</f>
        <v>0</v>
      </c>
      <c r="N53" s="35" t="s">
        <v>273</v>
      </c>
      <c r="P53" s="364">
        <f>P52+0.01</f>
        <v>30.040000000000006</v>
      </c>
      <c r="Q53" s="248" t="str">
        <f>IF(($L53-$F53)&gt;=0,"","Проводится анализ критичных инцидентов ИБ на ИС классов MissionCritical и BusinesCritical в режиме рабочих встреч с подразделениями ИТ, с составлением протоколов, содержащих первоочередные меры митигации")</f>
        <v/>
      </c>
      <c r="R53" s="364">
        <f>R52+0.01</f>
        <v>230.03999999999996</v>
      </c>
      <c r="S53" s="248" t="str">
        <f>IF(($L53-$E53)&gt;=0,"",
" - Формализовать и утвердить процесс пост-анализа инцидентов ИБ;
  -  Довести процесс до заинтересованных лиц;"&amp;"
 -  Создать единую базу знаний инцидентов ИБ;
 - Проводить оценку и анализ инцидентов ИБ;
 - По результатам расследования инцидентов разрабатывать рекомендации по устранению выявленных уязвимостей и предотвращению аналогичных инцидентов в будущем;"&amp;"
 - Разрабатывать рекомендации по улучшению применяемы")</f>
        <v xml:space="preserve"> - Формализовать и утвердить процесс пост-анализа инцидентов ИБ;
  -  Довести процесс до заинтересованных лиц;
 -  Создать единую базу знаний инцидентов ИБ;
 - Проводить оценку и анализ инцидентов ИБ;
 - По результатам расследования инцидентов разрабатывать рекомендации по устранению выявленных уязвимостей и предотвращению аналогичных инцидентов в будущем;
 - Разрабатывать рекомендации по улучшению применяемы</v>
      </c>
      <c r="T53" s="364">
        <f>T52+0.01</f>
        <v>330.03999999999996</v>
      </c>
      <c r="U53" s="248" t="str">
        <f>IF(($L53-$D53)&gt;=0,"",
" - Обеспечить проведение пост-анализа инцидентов ИБ с применением средств автоматизации;"&amp;"
  -  Обеспечить контроль за выполнением рекомендаций и оценку эффективности выполненных мероприятий;"&amp;"
  -  На постоянной основе проводить мониторинг процесса по утвержденным метрикам и показателям;
  - Назначить ответственных за соблюдением сроков проведения утвержденных мероприятий.")</f>
        <v xml:space="preserve"> - Обеспечить проведение пост-анализа инцидентов ИБ с применением средств автоматизации;
  -  Обеспечить контроль за выполнением рекомендаций и оценку эффективности выполненных мероприятий;
  -  На постоянной основе проводить мониторинг процесса по утвержденным метрикам и показателям;
  - Назначить ответственных за соблюдением сроков проведения утвержденных мероприятий.</v>
      </c>
    </row>
    <row r="54" spans="2:21" ht="186" customHeight="1" outlineLevel="1">
      <c r="B54" s="46" t="s">
        <v>959</v>
      </c>
      <c r="C54" s="66" t="s">
        <v>504</v>
      </c>
      <c r="D54" s="39">
        <v>5</v>
      </c>
      <c r="E54" s="40">
        <v>3.2</v>
      </c>
      <c r="F54" s="41">
        <v>0</v>
      </c>
      <c r="G54" s="73"/>
      <c r="H54" s="73"/>
      <c r="I54" s="47"/>
      <c r="J54" s="325"/>
      <c r="K54" s="172">
        <v>0</v>
      </c>
      <c r="L54" s="47">
        <f>VALUE(LEFT(N54,3))</f>
        <v>0</v>
      </c>
      <c r="M54">
        <f>L54-K54</f>
        <v>0</v>
      </c>
      <c r="N54" s="128" t="s">
        <v>283</v>
      </c>
      <c r="P54" s="364">
        <f>P53+0.01</f>
        <v>30.050000000000008</v>
      </c>
      <c r="Q54" s="248" t="str">
        <f>IF(($L54-$F54)&gt;=0,"","")</f>
        <v/>
      </c>
      <c r="R54" s="364">
        <f>R53+0.01</f>
        <v>230.04999999999995</v>
      </c>
      <c r="S54" s="248" t="str">
        <f>IF(($L54-$E54)&gt;=0,"",
" - Разработать и утвердить методику и программу проведения киберучений по реагированию на инциденты;"&amp;"
 -  Учебные сценарии должны включать взаимодействие заинтересованных лиц и позволяют тестировать постановку задач, процессы коммуникации и принятия решений;"&amp;"
 -  Обеспечить ежегодное планирование и проведения киберучений")</f>
        <v xml:space="preserve"> - Разработать и утвердить методику и программу проведения киберучений по реагированию на инциденты;
 -  Учебные сценарии должны включать взаимодействие заинтересованных лиц и позволяют тестировать постановку задач, процессы коммуникации и принятия решений;
 -  Обеспечить ежегодное планирование и проведения киберучений</v>
      </c>
      <c r="T54" s="364">
        <f>T53+0.01</f>
        <v>330.04999999999995</v>
      </c>
      <c r="U54" s="248" t="str">
        <f>IF(($L54-$D54)&gt;=0,"",
" - Обеспечить формализацию процесса проведения киберучений;
  - Разработать сценарии кибератак, основанных на актуальных для Общества угрозах и уязвимостях;"&amp;"
 -  Обеспечить проведение предварительных тренингов или семинаров для участников киберучений;"&amp;"
 - При проведении киберучений необходимо применять средства автоматизации. Все действия участников должны быть поставленны на мониторинг, для последующего анализа;"&amp;"
 -  По результатам киберучений необходимо проводить оценку и анализ, составлять детализированные отчеты, в которых описывать выполненные действия, успешные практики и выявленные недостатки"&amp;"
Должны быть предоставлены рекомендации для улучшения процесов ИБ и реагирования на инциденты ИБ.")</f>
        <v xml:space="preserve"> - Обеспечить формализацию процесса проведения киберучений;
  - Разработать сценарии кибератак, основанных на актуальных для Общества угрозах и уязвимостях;
 -  Обеспечить проведение предварительных тренингов или семинаров для участников киберучений;
 - При проведении киберучений необходимо применять средства автоматизации. Все действия участников должны быть поставленны на мониторинг, для последующего анализа;
 -  По результатам киберучений необходимо проводить оценку и анализ, составлять детализированные отчеты, в которых описывать выполненные действия, успешные практики и выявленные недостатки
Должны быть предоставлены рекомендации для улучшения процесов ИБ и реагирования на инциденты ИБ.</v>
      </c>
    </row>
    <row r="55" spans="2:21" ht="35.4" customHeight="1">
      <c r="B55" s="70" t="s">
        <v>654</v>
      </c>
      <c r="C55" s="74" t="s">
        <v>281</v>
      </c>
      <c r="D55" s="71"/>
      <c r="E55" s="71"/>
      <c r="F55" s="71"/>
      <c r="G55" s="74"/>
      <c r="H55" s="71"/>
      <c r="I55" s="71"/>
      <c r="J55" s="180"/>
      <c r="K55" s="180"/>
      <c r="L55" s="71"/>
      <c r="N55" s="66"/>
      <c r="P55" s="366">
        <f>VLOOKUP(B55,Приоритет!$G$9:$K$52,5,0)</f>
        <v>27</v>
      </c>
      <c r="Q55" s="44" t="s">
        <v>279</v>
      </c>
      <c r="R55" s="366">
        <f>P55+200</f>
        <v>227</v>
      </c>
      <c r="S55" s="44" t="s">
        <v>279</v>
      </c>
      <c r="T55" s="366">
        <f>P55+300</f>
        <v>327</v>
      </c>
      <c r="U55" s="44" t="s">
        <v>279</v>
      </c>
    </row>
    <row r="56" spans="2:21" ht="45.6" customHeight="1" outlineLevel="1">
      <c r="B56" s="46" t="s">
        <v>499</v>
      </c>
      <c r="C56" s="66" t="s">
        <v>983</v>
      </c>
      <c r="D56" s="39">
        <v>5</v>
      </c>
      <c r="E56" s="40">
        <v>5</v>
      </c>
      <c r="F56" s="41">
        <v>5</v>
      </c>
      <c r="G56" s="73"/>
      <c r="H56" s="73"/>
      <c r="I56" s="47"/>
      <c r="J56" s="325"/>
      <c r="K56" s="172">
        <v>5</v>
      </c>
      <c r="L56" s="47">
        <f t="shared" ref="L56:L67" si="5">VALUE(LEFT(N56,3))</f>
        <v>0</v>
      </c>
      <c r="M56">
        <f>L56-K56</f>
        <v>-5</v>
      </c>
      <c r="N56" s="237" t="s">
        <v>256</v>
      </c>
      <c r="P56" s="364">
        <f>P55+0.01</f>
        <v>27.01</v>
      </c>
      <c r="Q56" s="248" t="str">
        <f>IF(($L56-$F56)&gt;=0,"",
" - При разработке плейбуков учесть все имеющиеся информационные системы, каналы связи, подразделения и филиалы, категории пользователей, внешние сервисы и подрядчиков.")</f>
        <v xml:space="preserve"> - При разработке плейбуков учесть все имеющиеся информационные системы, каналы связи, подразделения и филиалы, категории пользователей, внешние сервисы и подрядчиков.</v>
      </c>
      <c r="R56" s="364">
        <f>R55+0.01</f>
        <v>227.01</v>
      </c>
      <c r="S56" s="248" t="str">
        <f>IF(($L56-$E56)&gt;=0,"","")</f>
        <v/>
      </c>
      <c r="T56" s="364">
        <f>T55+0.01</f>
        <v>327.01</v>
      </c>
      <c r="U56" s="248" t="str">
        <f>IF(($L56-$D56)&gt;=0,"","")</f>
        <v/>
      </c>
    </row>
    <row r="57" spans="2:21" ht="41.85" customHeight="1" outlineLevel="1">
      <c r="B57" s="256" t="s">
        <v>360</v>
      </c>
      <c r="C57" s="66" t="s">
        <v>984</v>
      </c>
      <c r="D57" s="39">
        <v>5</v>
      </c>
      <c r="E57" s="40">
        <v>5</v>
      </c>
      <c r="F57" s="41">
        <v>5</v>
      </c>
      <c r="G57" s="73"/>
      <c r="H57" s="73"/>
      <c r="I57" s="47"/>
      <c r="J57" s="325"/>
      <c r="K57" s="172">
        <v>5</v>
      </c>
      <c r="L57" s="47">
        <f t="shared" si="5"/>
        <v>0</v>
      </c>
      <c r="M57">
        <f>L57-K57</f>
        <v>-5</v>
      </c>
      <c r="N57" s="66" t="s">
        <v>260</v>
      </c>
      <c r="P57" s="364">
        <f t="shared" ref="P57:P67" si="6">P56+0.01</f>
        <v>27.020000000000003</v>
      </c>
      <c r="Q57" s="248" t="str">
        <f>IF(($L57-$F57)&gt;=0,"",
" - Разработать и простестировать плейбуки по реагированию на сработки АВЗ")</f>
        <v xml:space="preserve"> - Разработать и простестировать плейбуки по реагированию на сработки АВЗ</v>
      </c>
      <c r="R57" s="364">
        <f t="shared" ref="R57:R67" si="7">R56+0.01</f>
        <v>227.01999999999998</v>
      </c>
      <c r="S57" s="248">
        <f>IF(($L57-$E57)&gt;=0,"",)</f>
        <v>0</v>
      </c>
      <c r="T57" s="364">
        <f t="shared" ref="T57:T67" si="8">T56+0.01</f>
        <v>327.02</v>
      </c>
      <c r="U57" s="248">
        <f>IF(($L57-$D57)&gt;=0,"",)</f>
        <v>0</v>
      </c>
    </row>
    <row r="58" spans="2:21" ht="44.1" customHeight="1" outlineLevel="1">
      <c r="B58" s="256" t="s">
        <v>507</v>
      </c>
      <c r="C58" s="66" t="s">
        <v>985</v>
      </c>
      <c r="D58" s="39">
        <v>5</v>
      </c>
      <c r="E58" s="40">
        <v>5</v>
      </c>
      <c r="F58" s="41">
        <v>5</v>
      </c>
      <c r="G58" s="73"/>
      <c r="H58" s="73"/>
      <c r="I58" s="47"/>
      <c r="J58" s="325"/>
      <c r="K58" s="172">
        <v>5</v>
      </c>
      <c r="L58" s="47">
        <f t="shared" si="5"/>
        <v>0</v>
      </c>
      <c r="M58">
        <f t="shared" ref="M58:M67" si="9">L58-K58</f>
        <v>-5</v>
      </c>
      <c r="N58" s="35" t="s">
        <v>260</v>
      </c>
      <c r="P58" s="364">
        <f t="shared" si="6"/>
        <v>27.030000000000005</v>
      </c>
      <c r="Q58" s="248" t="str">
        <f>IF(($L58-$F58)&gt;=0,"",
" - Разработать и простестировать плейбуки по реагированию на сработки 2FA")</f>
        <v xml:space="preserve"> - Разработать и простестировать плейбуки по реагированию на сработки 2FA</v>
      </c>
      <c r="R58" s="364">
        <f t="shared" si="7"/>
        <v>227.02999999999997</v>
      </c>
      <c r="S58" s="248" t="str">
        <f>IF(($L58-$E58)&gt;=0,"","")</f>
        <v/>
      </c>
      <c r="T58" s="364">
        <f t="shared" si="8"/>
        <v>327.02999999999997</v>
      </c>
      <c r="U58" s="248" t="str">
        <f t="shared" ref="U58:U63" si="10">IF(($L58-$D58)&gt;=0,"","")</f>
        <v/>
      </c>
    </row>
    <row r="59" spans="2:21" ht="30" customHeight="1" outlineLevel="1">
      <c r="B59" s="256" t="s">
        <v>508</v>
      </c>
      <c r="C59" s="66" t="s">
        <v>986</v>
      </c>
      <c r="D59" s="39">
        <v>5</v>
      </c>
      <c r="E59" s="40">
        <v>5</v>
      </c>
      <c r="F59" s="41">
        <v>5</v>
      </c>
      <c r="G59" s="73"/>
      <c r="H59" s="73"/>
      <c r="I59" s="47"/>
      <c r="J59" s="325"/>
      <c r="K59" s="172">
        <v>5</v>
      </c>
      <c r="L59" s="47">
        <f t="shared" si="5"/>
        <v>0</v>
      </c>
      <c r="M59">
        <f t="shared" si="9"/>
        <v>-5</v>
      </c>
      <c r="N59" s="35" t="s">
        <v>260</v>
      </c>
      <c r="P59" s="364">
        <f t="shared" si="6"/>
        <v>27.040000000000006</v>
      </c>
      <c r="Q59" s="248" t="str">
        <f>IF(($L59-$F59)&gt;=0,"",
" - Разработать и простестировать плейбуки по реагированию на сработки RA VPN")</f>
        <v xml:space="preserve"> - Разработать и простестировать плейбуки по реагированию на сработки RA VPN</v>
      </c>
      <c r="R59" s="364">
        <f t="shared" si="7"/>
        <v>227.03999999999996</v>
      </c>
      <c r="S59" s="248" t="str">
        <f>IF(($L59-$E59)&gt;=0,"","")</f>
        <v/>
      </c>
      <c r="T59" s="364">
        <f t="shared" si="8"/>
        <v>327.03999999999996</v>
      </c>
      <c r="U59" s="248" t="str">
        <f t="shared" si="10"/>
        <v/>
      </c>
    </row>
    <row r="60" spans="2:21" ht="28.35" customHeight="1" outlineLevel="1">
      <c r="B60" s="256" t="s">
        <v>509</v>
      </c>
      <c r="C60" s="66" t="s">
        <v>987</v>
      </c>
      <c r="D60" s="39">
        <v>5</v>
      </c>
      <c r="E60" s="40">
        <v>5</v>
      </c>
      <c r="F60" s="41">
        <v>0</v>
      </c>
      <c r="G60" s="73"/>
      <c r="H60" s="73"/>
      <c r="I60" s="47"/>
      <c r="J60" s="325"/>
      <c r="K60" s="172">
        <v>0</v>
      </c>
      <c r="L60" s="47">
        <f t="shared" si="5"/>
        <v>0</v>
      </c>
      <c r="M60">
        <f t="shared" si="9"/>
        <v>0</v>
      </c>
      <c r="N60" s="35" t="s">
        <v>260</v>
      </c>
      <c r="P60" s="364">
        <f t="shared" si="6"/>
        <v>27.050000000000008</v>
      </c>
      <c r="Q60" s="248" t="str">
        <f t="shared" ref="Q60:Q67" si="11">IF(($L60-$F60)&gt;=0,"","")</f>
        <v/>
      </c>
      <c r="R60" s="364">
        <f t="shared" si="7"/>
        <v>227.04999999999995</v>
      </c>
      <c r="S60" s="248" t="str">
        <f>IF(($L60-$E60)&gt;=0,"",
" - Разработать и простестировать плейбуки по реагированию на сработки NGFW.")</f>
        <v xml:space="preserve"> - Разработать и простестировать плейбуки по реагированию на сработки NGFW.</v>
      </c>
      <c r="T60" s="364">
        <f t="shared" si="8"/>
        <v>327.04999999999995</v>
      </c>
      <c r="U60" s="248" t="str">
        <f t="shared" si="10"/>
        <v/>
      </c>
    </row>
    <row r="61" spans="2:21" ht="38.1" customHeight="1" outlineLevel="1">
      <c r="B61" s="256" t="s">
        <v>510</v>
      </c>
      <c r="C61" s="66" t="s">
        <v>988</v>
      </c>
      <c r="D61" s="39">
        <v>5</v>
      </c>
      <c r="E61" s="40">
        <v>5</v>
      </c>
      <c r="F61" s="41">
        <v>0</v>
      </c>
      <c r="G61" s="73"/>
      <c r="H61" s="73"/>
      <c r="I61" s="47"/>
      <c r="J61" s="325"/>
      <c r="K61" s="172">
        <v>0</v>
      </c>
      <c r="L61" s="47">
        <f t="shared" si="5"/>
        <v>0</v>
      </c>
      <c r="M61">
        <f t="shared" si="9"/>
        <v>0</v>
      </c>
      <c r="N61" s="35" t="s">
        <v>260</v>
      </c>
      <c r="P61" s="364">
        <f t="shared" si="6"/>
        <v>27.060000000000009</v>
      </c>
      <c r="Q61" s="248" t="str">
        <f t="shared" si="11"/>
        <v/>
      </c>
      <c r="R61" s="364">
        <f t="shared" si="7"/>
        <v>227.05999999999995</v>
      </c>
      <c r="S61" s="248" t="str">
        <f>IF(($L61-$E61)&gt;=0,"",
" - Разработать и простестировать плейбуки по реагированию на сработки Прокси-сервера.")</f>
        <v xml:space="preserve"> - Разработать и простестировать плейбуки по реагированию на сработки Прокси-сервера.</v>
      </c>
      <c r="T61" s="364">
        <f t="shared" si="8"/>
        <v>327.05999999999995</v>
      </c>
      <c r="U61" s="248" t="str">
        <f t="shared" si="10"/>
        <v/>
      </c>
    </row>
    <row r="62" spans="2:21" ht="44.1" customHeight="1" outlineLevel="1">
      <c r="B62" s="256" t="s">
        <v>511</v>
      </c>
      <c r="C62" s="66" t="s">
        <v>989</v>
      </c>
      <c r="D62" s="39">
        <v>5</v>
      </c>
      <c r="E62" s="40">
        <v>5</v>
      </c>
      <c r="F62" s="41">
        <v>0</v>
      </c>
      <c r="G62" s="73"/>
      <c r="H62" s="73"/>
      <c r="I62" s="47"/>
      <c r="J62" s="325"/>
      <c r="K62" s="172">
        <v>0</v>
      </c>
      <c r="L62" s="47">
        <f t="shared" si="5"/>
        <v>0</v>
      </c>
      <c r="M62">
        <f t="shared" si="9"/>
        <v>0</v>
      </c>
      <c r="N62" s="35" t="s">
        <v>260</v>
      </c>
      <c r="P62" s="364">
        <f t="shared" si="6"/>
        <v>27.070000000000011</v>
      </c>
      <c r="Q62" s="248" t="str">
        <f t="shared" si="11"/>
        <v/>
      </c>
      <c r="R62" s="364">
        <f t="shared" si="7"/>
        <v>227.06999999999994</v>
      </c>
      <c r="S62" s="248" t="str">
        <f>IF(($L62-$E62)&gt;=0,"",
" - Разработать и простестировать плейбуки по реагированию на сработки Anti-DDoS.")</f>
        <v xml:space="preserve"> - Разработать и простестировать плейбуки по реагированию на сработки Anti-DDoS.</v>
      </c>
      <c r="T62" s="364">
        <f t="shared" si="8"/>
        <v>327.06999999999994</v>
      </c>
      <c r="U62" s="248" t="str">
        <f t="shared" si="10"/>
        <v/>
      </c>
    </row>
    <row r="63" spans="2:21" ht="44.1" customHeight="1" outlineLevel="1">
      <c r="B63" s="256" t="s">
        <v>512</v>
      </c>
      <c r="C63" s="66" t="s">
        <v>990</v>
      </c>
      <c r="D63" s="39">
        <v>5</v>
      </c>
      <c r="E63" s="40">
        <v>5</v>
      </c>
      <c r="F63" s="41">
        <v>0</v>
      </c>
      <c r="G63" s="73"/>
      <c r="H63" s="73"/>
      <c r="I63" s="47"/>
      <c r="J63" s="325"/>
      <c r="K63" s="172">
        <v>0</v>
      </c>
      <c r="L63" s="47">
        <f t="shared" si="5"/>
        <v>0</v>
      </c>
      <c r="M63">
        <f>L63-K63</f>
        <v>0</v>
      </c>
      <c r="N63" s="35" t="s">
        <v>260</v>
      </c>
      <c r="P63" s="364">
        <f t="shared" si="6"/>
        <v>27.080000000000013</v>
      </c>
      <c r="Q63" s="248" t="str">
        <f t="shared" si="11"/>
        <v/>
      </c>
      <c r="R63" s="364">
        <f t="shared" si="7"/>
        <v>227.07999999999993</v>
      </c>
      <c r="S63" s="248" t="str">
        <f>IF(($L63-$E63)&gt;=0,"",
" - Разработать и простестировать плейбуки по реагированию на сработки Антиспам")</f>
        <v xml:space="preserve"> - Разработать и простестировать плейбуки по реагированию на сработки Антиспам</v>
      </c>
      <c r="T63" s="364">
        <f t="shared" si="8"/>
        <v>327.07999999999993</v>
      </c>
      <c r="U63" s="248" t="str">
        <f t="shared" si="10"/>
        <v/>
      </c>
    </row>
    <row r="64" spans="2:21" ht="36" customHeight="1" outlineLevel="1">
      <c r="B64" s="256" t="s">
        <v>513</v>
      </c>
      <c r="C64" s="66" t="s">
        <v>991</v>
      </c>
      <c r="D64" s="39">
        <v>5</v>
      </c>
      <c r="E64" s="40">
        <v>0</v>
      </c>
      <c r="F64" s="41">
        <v>0</v>
      </c>
      <c r="G64" s="73"/>
      <c r="H64" s="73"/>
      <c r="I64" s="47"/>
      <c r="J64" s="325"/>
      <c r="K64" s="172">
        <v>0</v>
      </c>
      <c r="L64" s="47">
        <f t="shared" si="5"/>
        <v>0</v>
      </c>
      <c r="M64">
        <f t="shared" si="9"/>
        <v>0</v>
      </c>
      <c r="N64" s="66" t="s">
        <v>260</v>
      </c>
      <c r="P64" s="364">
        <f t="shared" si="6"/>
        <v>27.090000000000014</v>
      </c>
      <c r="Q64" s="248" t="str">
        <f t="shared" si="11"/>
        <v/>
      </c>
      <c r="R64" s="364">
        <f t="shared" si="7"/>
        <v>227.08999999999992</v>
      </c>
      <c r="S64" s="248" t="str">
        <f>IF(($L64-$E64)&gt;=0,"","")</f>
        <v/>
      </c>
      <c r="T64" s="364">
        <f t="shared" si="8"/>
        <v>327.08999999999992</v>
      </c>
      <c r="U64" s="248" t="str">
        <f>IF(($L64-$D64)&gt;=0,"",
" - Разработать и простестировать плейбуки по реагированию на сработки PAM")</f>
        <v xml:space="preserve"> - Разработать и простестировать плейбуки по реагированию на сработки PAM</v>
      </c>
    </row>
    <row r="65" spans="2:21" ht="35.85" customHeight="1" outlineLevel="1">
      <c r="B65" s="256" t="s">
        <v>416</v>
      </c>
      <c r="C65" s="66" t="s">
        <v>992</v>
      </c>
      <c r="D65" s="39">
        <v>5</v>
      </c>
      <c r="E65" s="40">
        <v>0</v>
      </c>
      <c r="F65" s="41">
        <v>0</v>
      </c>
      <c r="G65" s="73"/>
      <c r="H65" s="73"/>
      <c r="I65" s="47"/>
      <c r="J65" s="325"/>
      <c r="K65" s="172">
        <v>0</v>
      </c>
      <c r="L65" s="47">
        <f t="shared" si="5"/>
        <v>0</v>
      </c>
      <c r="M65">
        <f t="shared" si="9"/>
        <v>0</v>
      </c>
      <c r="N65" s="66" t="s">
        <v>260</v>
      </c>
      <c r="P65" s="364">
        <f t="shared" si="6"/>
        <v>27.100000000000016</v>
      </c>
      <c r="Q65" s="248" t="str">
        <f t="shared" si="11"/>
        <v/>
      </c>
      <c r="R65" s="364">
        <f t="shared" si="7"/>
        <v>227.09999999999991</v>
      </c>
      <c r="S65" s="248" t="str">
        <f>IF(($L65-$E65)&gt;=0,"","")</f>
        <v/>
      </c>
      <c r="T65" s="364">
        <f t="shared" si="8"/>
        <v>327.09999999999991</v>
      </c>
      <c r="U65" s="248" t="str">
        <f>IF(($L65-$D65)&gt;=0,"",
" - Разработать и простестировать плейбуки по реагированию на сработки DLP")</f>
        <v xml:space="preserve"> - Разработать и простестировать плейбуки по реагированию на сработки DLP</v>
      </c>
    </row>
    <row r="66" spans="2:21" ht="36" customHeight="1" outlineLevel="1">
      <c r="B66" s="256" t="s">
        <v>514</v>
      </c>
      <c r="C66" s="66" t="s">
        <v>993</v>
      </c>
      <c r="D66" s="39">
        <v>5</v>
      </c>
      <c r="E66" s="40">
        <v>0</v>
      </c>
      <c r="F66" s="41">
        <v>0</v>
      </c>
      <c r="G66" s="73"/>
      <c r="H66" s="73"/>
      <c r="I66" s="47"/>
      <c r="J66" s="325"/>
      <c r="K66" s="172">
        <v>0</v>
      </c>
      <c r="L66" s="47">
        <f t="shared" si="5"/>
        <v>0</v>
      </c>
      <c r="M66">
        <f t="shared" si="9"/>
        <v>0</v>
      </c>
      <c r="N66" s="66" t="s">
        <v>260</v>
      </c>
      <c r="P66" s="364">
        <f t="shared" si="6"/>
        <v>27.110000000000017</v>
      </c>
      <c r="Q66" s="248" t="str">
        <f t="shared" si="11"/>
        <v/>
      </c>
      <c r="R66" s="364">
        <f t="shared" si="7"/>
        <v>227.1099999999999</v>
      </c>
      <c r="S66" s="248" t="str">
        <f>IF(($L66-$E66)&gt;=0,"","")</f>
        <v/>
      </c>
      <c r="T66" s="364">
        <f t="shared" si="8"/>
        <v>327.1099999999999</v>
      </c>
      <c r="U66" s="248" t="str">
        <f>IF(($L66-$D66)&gt;=0,"",
" - Разработать и простестировать плейбуки по реагированию на сработки WAF")</f>
        <v xml:space="preserve"> - Разработать и простестировать плейбуки по реагированию на сработки WAF</v>
      </c>
    </row>
    <row r="67" spans="2:21" ht="39" customHeight="1" outlineLevel="1">
      <c r="B67" s="46" t="s">
        <v>955</v>
      </c>
      <c r="C67" s="66" t="s">
        <v>994</v>
      </c>
      <c r="D67" s="39">
        <v>4</v>
      </c>
      <c r="E67" s="40">
        <v>3</v>
      </c>
      <c r="F67" s="41">
        <v>0</v>
      </c>
      <c r="G67" s="73"/>
      <c r="H67" s="73"/>
      <c r="I67" s="47"/>
      <c r="J67" s="325"/>
      <c r="K67" s="172">
        <v>0</v>
      </c>
      <c r="L67" s="47">
        <f t="shared" si="5"/>
        <v>0</v>
      </c>
      <c r="M67">
        <f t="shared" si="9"/>
        <v>0</v>
      </c>
      <c r="N67" s="35" t="s">
        <v>245</v>
      </c>
      <c r="P67" s="364">
        <f t="shared" si="6"/>
        <v>27.120000000000019</v>
      </c>
      <c r="Q67" s="248" t="str">
        <f t="shared" si="11"/>
        <v/>
      </c>
      <c r="R67" s="364">
        <f t="shared" si="7"/>
        <v>227.11999999999989</v>
      </c>
      <c r="S67" s="248" t="str">
        <f>IF(($L67-$E67)&gt;=0,"",
" - Разработать систему отчетности по выполнению плейбуков;
  - Разработать систему метрик для оценки процесса;"&amp;"  
  - Создать средства контроля и отчетности по рагированию на инциденты;
   - Реализовать мониторинг параметров процесса;
   - Реализовать реагирование на факты отклонения параметров процесса от определенных показателей.")</f>
        <v xml:space="preserve"> - Разработать систему отчетности по выполнению плейбуков;
  - Разработать систему метрик для оценки процесса;  
  - Создать средства контроля и отчетности по рагированию на инциденты;
   - Реализовать мониторинг параметров процесса;
   - Реализовать реагирование на факты отклонения параметров процесса от определенных показателей.</v>
      </c>
      <c r="T67" s="364">
        <f t="shared" si="8"/>
        <v>327.11999999999989</v>
      </c>
      <c r="U67" s="248" t="str">
        <f>IF(($L67-$D67)&gt;=0,"","")</f>
        <v/>
      </c>
    </row>
    <row r="68" spans="2:21" ht="15.75" customHeight="1"/>
    <row r="69" spans="2:21" ht="15.75" customHeight="1">
      <c r="D69" s="66"/>
      <c r="E69" s="66"/>
      <c r="F69" s="66"/>
      <c r="H69" s="66"/>
      <c r="I69" s="66"/>
      <c r="J69" s="66"/>
      <c r="L69" s="66"/>
      <c r="M69" s="66"/>
    </row>
    <row r="70" spans="2:21" ht="15.75" customHeight="1">
      <c r="D70" s="66"/>
      <c r="E70" s="66"/>
      <c r="F70" s="66"/>
      <c r="H70" s="66"/>
      <c r="I70" s="66"/>
      <c r="J70" s="66"/>
      <c r="L70" s="66"/>
      <c r="M70" s="66"/>
    </row>
    <row r="71" spans="2:21" ht="15.75" customHeight="1"/>
    <row r="72" spans="2:21" ht="15.75" customHeight="1">
      <c r="B72" s="35"/>
      <c r="M72" s="66"/>
    </row>
    <row r="73" spans="2:21" ht="15.75" customHeight="1">
      <c r="B73" s="35"/>
      <c r="M73" s="66"/>
    </row>
    <row r="74" spans="2:21" ht="15.75" customHeight="1">
      <c r="B74" s="35"/>
      <c r="M74" s="66"/>
    </row>
    <row r="75" spans="2:21" ht="15.75" customHeight="1">
      <c r="B75" s="35"/>
      <c r="M75" s="66"/>
    </row>
    <row r="76" spans="2:21" ht="15.75" customHeight="1">
      <c r="B76" s="35"/>
      <c r="M76" s="66"/>
    </row>
    <row r="77" spans="2:21" ht="15.75" customHeight="1">
      <c r="B77" s="35"/>
      <c r="M77" s="66"/>
    </row>
    <row r="78" spans="2:21" ht="15.75" customHeight="1">
      <c r="B78" s="35"/>
      <c r="M78" s="66"/>
    </row>
    <row r="79" spans="2:21" ht="15.75" customHeight="1">
      <c r="B79" s="35"/>
      <c r="M79" s="66"/>
    </row>
    <row r="80" spans="2:21" ht="15.75" customHeight="1">
      <c r="B80" s="35"/>
      <c r="M80" s="66"/>
    </row>
    <row r="81" spans="2:13" ht="15.75" customHeight="1">
      <c r="B81" s="35"/>
      <c r="M81" s="66"/>
    </row>
    <row r="82" spans="2:13" ht="15.75" customHeight="1">
      <c r="B82" s="35"/>
      <c r="M82" s="66"/>
    </row>
    <row r="83" spans="2:13" ht="15.75" customHeight="1">
      <c r="B83" s="35"/>
      <c r="M83" s="66"/>
    </row>
    <row r="84" spans="2:13" ht="15.75" customHeight="1">
      <c r="B84" s="35"/>
      <c r="M84" s="66"/>
    </row>
    <row r="85" spans="2:13" ht="15.75" customHeight="1">
      <c r="B85" s="35"/>
      <c r="M85" s="66"/>
    </row>
    <row r="86" spans="2:13" ht="15.75" customHeight="1">
      <c r="B86" s="35"/>
      <c r="M86" s="66"/>
    </row>
    <row r="87" spans="2:13" ht="15.75" customHeight="1">
      <c r="B87" s="35"/>
      <c r="M87" s="66"/>
    </row>
    <row r="88" spans="2:13" ht="15.75" customHeight="1">
      <c r="B88" s="35"/>
      <c r="M88" s="66"/>
    </row>
    <row r="89" spans="2:13" ht="15.75" customHeight="1">
      <c r="B89" s="35"/>
      <c r="M89" s="66"/>
    </row>
    <row r="90" spans="2:13" ht="15.75" customHeight="1">
      <c r="B90" s="35"/>
      <c r="M90" s="66"/>
    </row>
    <row r="91" spans="2:13" ht="15.75" customHeight="1">
      <c r="B91" s="35"/>
      <c r="M91" s="66"/>
    </row>
    <row r="92" spans="2:13" ht="15.75" customHeight="1">
      <c r="B92" s="35"/>
      <c r="M92" s="66"/>
    </row>
    <row r="93" spans="2:13" ht="15.75" customHeight="1">
      <c r="B93" s="35"/>
      <c r="M93" s="66"/>
    </row>
    <row r="94" spans="2:13" ht="15.75" customHeight="1">
      <c r="B94" s="35"/>
      <c r="M94" s="66"/>
    </row>
    <row r="95" spans="2:13" ht="15.75" customHeight="1">
      <c r="B95" s="35"/>
      <c r="M95" s="66"/>
    </row>
    <row r="96" spans="2:13" ht="15.75" customHeight="1">
      <c r="B96" s="35"/>
      <c r="M96" s="66"/>
    </row>
    <row r="97" spans="2:13" ht="15.75" customHeight="1">
      <c r="B97" s="35"/>
      <c r="M97" s="66"/>
    </row>
    <row r="98" spans="2:13" ht="15.75" customHeight="1">
      <c r="B98" s="35"/>
      <c r="M98" s="66"/>
    </row>
    <row r="99" spans="2:13" ht="15.75" customHeight="1">
      <c r="B99" s="35"/>
      <c r="M99" s="66"/>
    </row>
    <row r="100" spans="2:13" ht="15.75" customHeight="1">
      <c r="B100" s="35"/>
      <c r="M100" s="66"/>
    </row>
    <row r="101" spans="2:13" ht="15.75" customHeight="1">
      <c r="B101" s="35"/>
      <c r="M101" s="66"/>
    </row>
    <row r="102" spans="2:13" ht="15.75" customHeight="1">
      <c r="B102" s="35"/>
      <c r="M102" s="66"/>
    </row>
    <row r="103" spans="2:13" ht="15.75" customHeight="1">
      <c r="B103" s="35"/>
      <c r="M103" s="66"/>
    </row>
    <row r="104" spans="2:13" ht="15.75" customHeight="1">
      <c r="B104" s="35"/>
      <c r="M104" s="66"/>
    </row>
    <row r="105" spans="2:13" ht="15.75" customHeight="1">
      <c r="B105" s="35"/>
      <c r="M105" s="66"/>
    </row>
    <row r="106" spans="2:13" ht="15.75" customHeight="1">
      <c r="B106" s="35"/>
      <c r="M106" s="66"/>
    </row>
    <row r="107" spans="2:13" ht="15.75" customHeight="1">
      <c r="B107" s="35"/>
      <c r="M107" s="66"/>
    </row>
    <row r="108" spans="2:13" ht="15.75" customHeight="1">
      <c r="B108" s="35"/>
      <c r="M108" s="66"/>
    </row>
    <row r="109" spans="2:13" ht="15.75" customHeight="1">
      <c r="B109" s="35"/>
      <c r="M109" s="66"/>
    </row>
    <row r="110" spans="2:13" ht="15.75" customHeight="1">
      <c r="B110" s="35"/>
      <c r="M110" s="66"/>
    </row>
    <row r="111" spans="2:13" ht="15.75" customHeight="1">
      <c r="B111" s="35"/>
      <c r="M111" s="66"/>
    </row>
    <row r="112" spans="2:13" ht="15.75" customHeight="1">
      <c r="B112" s="35"/>
      <c r="M112" s="66"/>
    </row>
    <row r="113" spans="2:13" ht="15.75" customHeight="1">
      <c r="B113" s="35"/>
      <c r="M113" s="66"/>
    </row>
    <row r="114" spans="2:13" ht="15.75" customHeight="1">
      <c r="B114" s="35"/>
      <c r="M114" s="66"/>
    </row>
    <row r="115" spans="2:13" ht="15.75" customHeight="1">
      <c r="B115" s="35"/>
      <c r="M115" s="66"/>
    </row>
    <row r="116" spans="2:13" ht="15.75" customHeight="1">
      <c r="B116" s="35"/>
      <c r="M116" s="66"/>
    </row>
    <row r="117" spans="2:13" ht="15.75" customHeight="1">
      <c r="B117" s="35"/>
      <c r="M117" s="66"/>
    </row>
    <row r="118" spans="2:13" ht="15.75" customHeight="1">
      <c r="B118" s="35"/>
      <c r="M118" s="66"/>
    </row>
    <row r="119" spans="2:13" ht="15.75" customHeight="1">
      <c r="B119" s="35"/>
      <c r="M119" s="66"/>
    </row>
    <row r="120" spans="2:13" ht="15.75" customHeight="1">
      <c r="B120" s="35"/>
      <c r="M120" s="66"/>
    </row>
    <row r="121" spans="2:13" ht="15.75" customHeight="1">
      <c r="B121" s="35"/>
      <c r="M121" s="66"/>
    </row>
    <row r="122" spans="2:13" ht="15.75" customHeight="1">
      <c r="B122" s="35"/>
      <c r="M122" s="66"/>
    </row>
    <row r="123" spans="2:13" ht="15.75" customHeight="1">
      <c r="B123" s="35"/>
      <c r="M123" s="66"/>
    </row>
    <row r="124" spans="2:13" ht="15.75" customHeight="1">
      <c r="B124" s="35"/>
      <c r="M124" s="66"/>
    </row>
    <row r="125" spans="2:13" ht="15.75" customHeight="1">
      <c r="B125" s="35"/>
      <c r="M125" s="66"/>
    </row>
    <row r="126" spans="2:13" ht="15.75" customHeight="1">
      <c r="B126" s="35"/>
      <c r="M126" s="66"/>
    </row>
    <row r="127" spans="2:13" ht="15.75" customHeight="1">
      <c r="B127" s="35"/>
      <c r="M127" s="66"/>
    </row>
    <row r="128" spans="2:13" ht="15.75" customHeight="1">
      <c r="B128" s="35"/>
      <c r="M128" s="66"/>
    </row>
    <row r="129" spans="2:13" ht="15.75" customHeight="1">
      <c r="B129" s="35"/>
      <c r="M129" s="66"/>
    </row>
    <row r="130" spans="2:13" ht="15.75" customHeight="1">
      <c r="B130" s="35"/>
      <c r="M130" s="66"/>
    </row>
    <row r="131" spans="2:13" ht="15.75" customHeight="1">
      <c r="B131" s="35"/>
      <c r="M131" s="66"/>
    </row>
    <row r="132" spans="2:13" ht="15.75" customHeight="1">
      <c r="B132" s="35"/>
      <c r="M132" s="66"/>
    </row>
    <row r="133" spans="2:13" ht="15.75" customHeight="1">
      <c r="B133" s="35"/>
      <c r="M133" s="66"/>
    </row>
    <row r="134" spans="2:13" ht="15.75" customHeight="1">
      <c r="B134" s="35"/>
      <c r="M134" s="66"/>
    </row>
    <row r="135" spans="2:13" ht="15.75" customHeight="1">
      <c r="B135" s="35"/>
      <c r="M135" s="66"/>
    </row>
    <row r="136" spans="2:13" ht="15.75" customHeight="1">
      <c r="B136" s="35"/>
      <c r="M136" s="66"/>
    </row>
    <row r="137" spans="2:13" ht="15.75" customHeight="1">
      <c r="B137" s="35"/>
      <c r="M137" s="66"/>
    </row>
    <row r="138" spans="2:13" ht="15.75" customHeight="1">
      <c r="B138" s="35"/>
      <c r="M138" s="66"/>
    </row>
    <row r="139" spans="2:13" ht="15.75" customHeight="1">
      <c r="B139" s="35"/>
      <c r="M139" s="66"/>
    </row>
    <row r="140" spans="2:13" ht="15.75" customHeight="1">
      <c r="B140" s="35"/>
      <c r="M140" s="66"/>
    </row>
    <row r="141" spans="2:13" ht="15.75" customHeight="1">
      <c r="B141" s="35"/>
      <c r="M141" s="66"/>
    </row>
    <row r="142" spans="2:13" ht="15.75" customHeight="1">
      <c r="B142" s="35"/>
      <c r="M142" s="66"/>
    </row>
    <row r="143" spans="2:13" ht="15.75" customHeight="1">
      <c r="B143" s="35"/>
      <c r="M143" s="66"/>
    </row>
    <row r="144" spans="2:13" ht="15.75" customHeight="1">
      <c r="B144" s="35"/>
      <c r="M144" s="66"/>
    </row>
    <row r="145" spans="2:13" ht="15.75" customHeight="1">
      <c r="B145" s="35"/>
      <c r="M145" s="66"/>
    </row>
    <row r="146" spans="2:13" ht="15.75" customHeight="1">
      <c r="B146" s="35"/>
      <c r="M146" s="66"/>
    </row>
    <row r="147" spans="2:13" ht="15.75" customHeight="1">
      <c r="B147" s="35"/>
      <c r="M147" s="66"/>
    </row>
    <row r="148" spans="2:13" ht="15.75" customHeight="1">
      <c r="B148" s="35"/>
      <c r="M148" s="66"/>
    </row>
    <row r="149" spans="2:13" ht="15.75" customHeight="1">
      <c r="B149" s="35"/>
      <c r="M149" s="66"/>
    </row>
    <row r="150" spans="2:13" ht="15.75" customHeight="1">
      <c r="B150" s="35"/>
      <c r="M150" s="66"/>
    </row>
    <row r="151" spans="2:13" ht="15.75" customHeight="1">
      <c r="B151" s="35"/>
      <c r="M151" s="66"/>
    </row>
    <row r="152" spans="2:13" ht="15.75" customHeight="1">
      <c r="B152" s="35"/>
      <c r="M152" s="66"/>
    </row>
    <row r="153" spans="2:13" ht="15.75" customHeight="1">
      <c r="B153" s="35"/>
      <c r="M153" s="66"/>
    </row>
    <row r="154" spans="2:13" ht="15.75" customHeight="1">
      <c r="B154" s="35"/>
      <c r="M154" s="66"/>
    </row>
    <row r="155" spans="2:13" ht="15.75" customHeight="1">
      <c r="B155" s="35"/>
      <c r="M155" s="66"/>
    </row>
    <row r="156" spans="2:13" ht="15.75" customHeight="1">
      <c r="B156" s="35"/>
      <c r="M156" s="66"/>
    </row>
    <row r="157" spans="2:13" ht="15.75" customHeight="1">
      <c r="B157" s="35"/>
      <c r="M157" s="66"/>
    </row>
    <row r="158" spans="2:13" ht="15.75" customHeight="1">
      <c r="B158" s="35"/>
      <c r="M158" s="66"/>
    </row>
    <row r="159" spans="2:13" ht="15.75" customHeight="1">
      <c r="B159" s="35"/>
      <c r="M159" s="66"/>
    </row>
    <row r="160" spans="2:13" ht="15.75" customHeight="1">
      <c r="B160" s="35"/>
      <c r="M160" s="66"/>
    </row>
    <row r="161" spans="2:13" ht="15.75" customHeight="1">
      <c r="B161" s="35"/>
      <c r="M161" s="66"/>
    </row>
    <row r="162" spans="2:13" ht="15.75" customHeight="1">
      <c r="B162" s="35"/>
      <c r="M162" s="66"/>
    </row>
    <row r="163" spans="2:13" ht="15.75" customHeight="1">
      <c r="B163" s="35"/>
      <c r="M163" s="66"/>
    </row>
    <row r="164" spans="2:13" ht="15.75" customHeight="1">
      <c r="B164" s="35"/>
      <c r="M164" s="66"/>
    </row>
    <row r="165" spans="2:13" ht="15.75" customHeight="1">
      <c r="B165" s="35"/>
      <c r="M165" s="66"/>
    </row>
    <row r="166" spans="2:13" ht="15.75" customHeight="1">
      <c r="B166" s="35"/>
      <c r="M166" s="66"/>
    </row>
    <row r="167" spans="2:13" ht="15.75" customHeight="1">
      <c r="B167" s="35"/>
      <c r="M167" s="66"/>
    </row>
    <row r="168" spans="2:13" ht="15.75" customHeight="1">
      <c r="B168" s="35"/>
      <c r="M168" s="66"/>
    </row>
    <row r="169" spans="2:13" ht="15.75" customHeight="1">
      <c r="B169" s="35"/>
      <c r="M169" s="66"/>
    </row>
    <row r="170" spans="2:13" ht="15.75" customHeight="1">
      <c r="B170" s="35"/>
      <c r="M170" s="66"/>
    </row>
    <row r="171" spans="2:13" ht="15.75" customHeight="1">
      <c r="B171" s="35"/>
      <c r="M171" s="66"/>
    </row>
    <row r="172" spans="2:13" ht="15.75" customHeight="1">
      <c r="B172" s="35"/>
      <c r="M172" s="66"/>
    </row>
    <row r="173" spans="2:13" ht="15.75" customHeight="1">
      <c r="B173" s="35"/>
      <c r="M173" s="66"/>
    </row>
    <row r="174" spans="2:13" ht="15.75" customHeight="1">
      <c r="B174" s="35"/>
      <c r="M174" s="66"/>
    </row>
    <row r="175" spans="2:13" ht="15.75" customHeight="1">
      <c r="B175" s="35"/>
      <c r="M175" s="66"/>
    </row>
    <row r="176" spans="2:13" ht="15.75" customHeight="1">
      <c r="B176" s="35"/>
      <c r="M176" s="66"/>
    </row>
    <row r="177" spans="2:13" ht="15.75" customHeight="1">
      <c r="B177" s="35"/>
      <c r="M177" s="66"/>
    </row>
    <row r="178" spans="2:13" ht="15.75" customHeight="1">
      <c r="B178" s="35"/>
      <c r="M178" s="66"/>
    </row>
    <row r="179" spans="2:13" ht="15.75" customHeight="1">
      <c r="B179" s="35"/>
      <c r="M179" s="66"/>
    </row>
    <row r="180" spans="2:13" ht="15.75" customHeight="1">
      <c r="B180" s="35"/>
      <c r="M180" s="66"/>
    </row>
    <row r="181" spans="2:13" ht="15.75" customHeight="1">
      <c r="B181" s="35"/>
      <c r="M181" s="66"/>
    </row>
    <row r="182" spans="2:13" ht="15.75" customHeight="1">
      <c r="B182" s="35"/>
      <c r="M182" s="66"/>
    </row>
    <row r="183" spans="2:13" ht="15.75" customHeight="1">
      <c r="B183" s="35"/>
      <c r="M183" s="66"/>
    </row>
    <row r="184" spans="2:13" ht="15.75" customHeight="1">
      <c r="B184" s="35"/>
      <c r="M184" s="66"/>
    </row>
    <row r="185" spans="2:13" ht="15.75" customHeight="1">
      <c r="B185" s="35"/>
      <c r="M185" s="66"/>
    </row>
    <row r="186" spans="2:13" ht="15.75" customHeight="1">
      <c r="B186" s="35"/>
      <c r="M186" s="66"/>
    </row>
    <row r="187" spans="2:13" ht="15.75" customHeight="1">
      <c r="B187" s="35"/>
      <c r="M187" s="66"/>
    </row>
    <row r="188" spans="2:13" ht="15.75" customHeight="1">
      <c r="B188" s="35"/>
      <c r="M188" s="66"/>
    </row>
    <row r="189" spans="2:13" ht="15.75" customHeight="1">
      <c r="B189" s="35"/>
      <c r="M189" s="66"/>
    </row>
    <row r="190" spans="2:13" ht="15.75" customHeight="1">
      <c r="B190" s="35"/>
      <c r="M190" s="66"/>
    </row>
    <row r="191" spans="2:13" ht="15.75" customHeight="1">
      <c r="B191" s="35"/>
      <c r="M191" s="66"/>
    </row>
    <row r="192" spans="2:13" ht="15.75" customHeight="1">
      <c r="B192" s="35"/>
      <c r="M192" s="66"/>
    </row>
    <row r="193" spans="2:13" ht="15.75" customHeight="1">
      <c r="B193" s="35"/>
      <c r="M193" s="66"/>
    </row>
    <row r="194" spans="2:13" ht="15.75" customHeight="1">
      <c r="B194" s="35"/>
      <c r="M194" s="66"/>
    </row>
    <row r="195" spans="2:13" ht="15.75" customHeight="1">
      <c r="B195" s="35"/>
      <c r="M195" s="66"/>
    </row>
    <row r="196" spans="2:13" ht="15.75" customHeight="1">
      <c r="B196" s="35"/>
      <c r="M196" s="66"/>
    </row>
    <row r="197" spans="2:13" ht="15.75" customHeight="1">
      <c r="B197" s="35"/>
      <c r="M197" s="66"/>
    </row>
    <row r="198" spans="2:13" ht="15.75" customHeight="1">
      <c r="B198" s="35"/>
      <c r="M198" s="66"/>
    </row>
    <row r="199" spans="2:13" ht="15.75" customHeight="1">
      <c r="B199" s="35"/>
      <c r="M199" s="66"/>
    </row>
    <row r="200" spans="2:13" ht="15.75" customHeight="1">
      <c r="B200" s="35"/>
      <c r="M200" s="66"/>
    </row>
    <row r="201" spans="2:13" ht="15.75" customHeight="1">
      <c r="B201" s="35"/>
      <c r="M201" s="66"/>
    </row>
    <row r="202" spans="2:13" ht="15.75" customHeight="1">
      <c r="B202" s="35"/>
      <c r="M202" s="66"/>
    </row>
    <row r="203" spans="2:13" ht="15.75" customHeight="1">
      <c r="B203" s="35"/>
      <c r="M203" s="66"/>
    </row>
    <row r="204" spans="2:13" ht="15.75" customHeight="1">
      <c r="B204" s="35"/>
      <c r="M204" s="66"/>
    </row>
    <row r="205" spans="2:13" ht="15.75" customHeight="1">
      <c r="B205" s="35"/>
      <c r="M205" s="66"/>
    </row>
    <row r="206" spans="2:13" ht="15.75" customHeight="1">
      <c r="B206" s="35"/>
      <c r="M206" s="66"/>
    </row>
    <row r="207" spans="2:13" ht="15.75" customHeight="1">
      <c r="B207" s="35"/>
      <c r="M207" s="66"/>
    </row>
    <row r="208" spans="2:13" ht="15.75" customHeight="1">
      <c r="B208" s="35"/>
      <c r="M208" s="66"/>
    </row>
    <row r="209" spans="2:13" ht="15.75" customHeight="1">
      <c r="B209" s="35"/>
      <c r="M209" s="66"/>
    </row>
    <row r="210" spans="2:13" ht="15.75" customHeight="1">
      <c r="B210" s="35"/>
      <c r="M210" s="66"/>
    </row>
    <row r="211" spans="2:13" ht="15.75" customHeight="1">
      <c r="B211" s="35"/>
      <c r="M211" s="66"/>
    </row>
    <row r="212" spans="2:13" ht="15.75" customHeight="1">
      <c r="B212" s="35"/>
      <c r="M212" s="66"/>
    </row>
    <row r="213" spans="2:13" ht="15.75" customHeight="1">
      <c r="B213" s="35"/>
      <c r="M213" s="66"/>
    </row>
    <row r="214" spans="2:13" ht="15.75" customHeight="1">
      <c r="B214" s="35"/>
      <c r="M214" s="66"/>
    </row>
    <row r="215" spans="2:13" ht="15.75" customHeight="1">
      <c r="B215" s="35"/>
      <c r="M215" s="66"/>
    </row>
    <row r="216" spans="2:13" ht="15.75" customHeight="1">
      <c r="B216" s="35"/>
      <c r="M216" s="66"/>
    </row>
    <row r="217" spans="2:13" ht="15.75" customHeight="1">
      <c r="B217" s="35"/>
      <c r="M217" s="66"/>
    </row>
    <row r="218" spans="2:13" ht="15.75" customHeight="1">
      <c r="B218" s="35"/>
      <c r="M218" s="66"/>
    </row>
    <row r="219" spans="2:13" ht="15.75" customHeight="1">
      <c r="B219" s="35"/>
      <c r="M219" s="66"/>
    </row>
    <row r="220" spans="2:13" ht="15.75" customHeight="1">
      <c r="B220" s="35"/>
      <c r="M220" s="66"/>
    </row>
    <row r="221" spans="2:13" ht="15.75" customHeight="1">
      <c r="B221" s="35"/>
      <c r="M221" s="66"/>
    </row>
    <row r="222" spans="2:13" ht="15.75" customHeight="1">
      <c r="B222" s="35"/>
      <c r="M222" s="66"/>
    </row>
    <row r="223" spans="2:13" ht="15.75" customHeight="1">
      <c r="B223" s="35"/>
      <c r="M223" s="66"/>
    </row>
    <row r="224" spans="2:13" ht="15.75" customHeight="1">
      <c r="B224" s="35"/>
      <c r="M224" s="66"/>
    </row>
    <row r="225" spans="2:13" ht="15.75" customHeight="1">
      <c r="B225" s="35"/>
      <c r="M225" s="66"/>
    </row>
    <row r="226" spans="2:13" ht="15.75" customHeight="1">
      <c r="B226" s="35"/>
      <c r="M226" s="66"/>
    </row>
    <row r="227" spans="2:13" ht="15.75" customHeight="1">
      <c r="B227" s="35"/>
      <c r="M227" s="66"/>
    </row>
    <row r="228" spans="2:13" ht="15.75" customHeight="1">
      <c r="B228" s="35"/>
      <c r="M228" s="66"/>
    </row>
    <row r="229" spans="2:13" ht="15.75" customHeight="1">
      <c r="B229" s="35"/>
      <c r="M229" s="66"/>
    </row>
    <row r="230" spans="2:13" ht="15.75" customHeight="1">
      <c r="B230" s="35"/>
      <c r="M230" s="66"/>
    </row>
    <row r="231" spans="2:13" ht="15.75" customHeight="1">
      <c r="B231" s="35"/>
      <c r="M231" s="66"/>
    </row>
    <row r="232" spans="2:13" ht="15.75" customHeight="1">
      <c r="B232" s="35"/>
      <c r="M232" s="66"/>
    </row>
    <row r="233" spans="2:13" ht="15.75" customHeight="1">
      <c r="B233" s="35"/>
      <c r="M233" s="66"/>
    </row>
    <row r="234" spans="2:13" ht="15.75" customHeight="1">
      <c r="B234" s="35"/>
      <c r="M234" s="66"/>
    </row>
    <row r="235" spans="2:13" ht="15.75" customHeight="1">
      <c r="B235" s="35"/>
      <c r="M235" s="66"/>
    </row>
    <row r="236" spans="2:13" ht="15.75" customHeight="1">
      <c r="B236" s="35"/>
      <c r="M236" s="66"/>
    </row>
    <row r="237" spans="2:13" ht="15.75" customHeight="1">
      <c r="B237" s="35"/>
      <c r="M237" s="66"/>
    </row>
    <row r="238" spans="2:13" ht="15.75" customHeight="1">
      <c r="B238" s="35"/>
      <c r="M238" s="66"/>
    </row>
    <row r="239" spans="2:13" ht="15.75" customHeight="1">
      <c r="B239" s="35"/>
      <c r="M239" s="66"/>
    </row>
    <row r="240" spans="2:13" ht="15.75" customHeight="1">
      <c r="B240" s="35"/>
      <c r="M240" s="66"/>
    </row>
    <row r="241" spans="2:13" ht="15.75" customHeight="1">
      <c r="B241" s="35"/>
      <c r="M241" s="66"/>
    </row>
    <row r="242" spans="2:13" ht="15.75" customHeight="1">
      <c r="B242" s="35"/>
      <c r="M242" s="66"/>
    </row>
    <row r="243" spans="2:13" ht="15.75" customHeight="1">
      <c r="B243" s="35"/>
      <c r="M243" s="66"/>
    </row>
    <row r="244" spans="2:13" ht="15.75" customHeight="1">
      <c r="B244" s="35"/>
      <c r="M244" s="66"/>
    </row>
    <row r="245" spans="2:13" ht="15.75" customHeight="1">
      <c r="B245" s="35"/>
      <c r="M245" s="66"/>
    </row>
    <row r="246" spans="2:13" ht="15.75" customHeight="1">
      <c r="B246" s="35"/>
      <c r="M246" s="66"/>
    </row>
    <row r="247" spans="2:13" ht="15.75" customHeight="1">
      <c r="B247" s="35"/>
      <c r="M247" s="66"/>
    </row>
    <row r="248" spans="2:13" ht="15.75" customHeight="1">
      <c r="B248" s="35"/>
      <c r="M248" s="66"/>
    </row>
    <row r="249" spans="2:13" ht="15.75" customHeight="1">
      <c r="B249" s="35"/>
      <c r="M249" s="66"/>
    </row>
    <row r="250" spans="2:13" ht="15.75" customHeight="1">
      <c r="B250" s="35"/>
      <c r="M250" s="66"/>
    </row>
    <row r="251" spans="2:13" ht="15.75" customHeight="1">
      <c r="B251" s="35"/>
      <c r="M251" s="66"/>
    </row>
    <row r="252" spans="2:13" ht="15.75" customHeight="1">
      <c r="B252" s="35"/>
      <c r="M252" s="66"/>
    </row>
    <row r="253" spans="2:13" ht="15.75" customHeight="1">
      <c r="B253" s="35"/>
      <c r="M253" s="66"/>
    </row>
    <row r="254" spans="2:13" ht="15.75" customHeight="1">
      <c r="B254" s="35"/>
      <c r="M254" s="66"/>
    </row>
    <row r="255" spans="2:13" ht="15.75" customHeight="1">
      <c r="B255" s="35"/>
      <c r="M255" s="66"/>
    </row>
    <row r="256" spans="2:13" ht="15.75" customHeight="1">
      <c r="B256" s="35"/>
      <c r="M256" s="66"/>
    </row>
    <row r="257" spans="2:13" ht="15.75" customHeight="1">
      <c r="B257" s="35"/>
      <c r="M257" s="66"/>
    </row>
    <row r="258" spans="2:13" ht="15.75" customHeight="1">
      <c r="B258" s="35"/>
      <c r="M258" s="66"/>
    </row>
    <row r="259" spans="2:13" ht="15.75" customHeight="1">
      <c r="B259" s="35"/>
      <c r="M259" s="66"/>
    </row>
    <row r="260" spans="2:13" ht="15.75" customHeight="1">
      <c r="B260" s="35"/>
      <c r="M260" s="66"/>
    </row>
    <row r="261" spans="2:13" ht="15.75" customHeight="1">
      <c r="B261" s="35"/>
      <c r="M261" s="66"/>
    </row>
    <row r="262" spans="2:13" ht="15.75" customHeight="1">
      <c r="B262" s="35"/>
      <c r="M262" s="66"/>
    </row>
    <row r="263" spans="2:13" ht="15.75" customHeight="1">
      <c r="B263" s="35"/>
      <c r="M263" s="66"/>
    </row>
    <row r="264" spans="2:13" ht="15.75" customHeight="1">
      <c r="B264" s="35"/>
      <c r="M264" s="66"/>
    </row>
    <row r="265" spans="2:13" ht="15.75" customHeight="1">
      <c r="B265" s="35"/>
      <c r="M265" s="66"/>
    </row>
    <row r="266" spans="2:13" ht="15.75" customHeight="1">
      <c r="B266" s="35"/>
      <c r="M266" s="66"/>
    </row>
    <row r="267" spans="2:13" ht="15.75" customHeight="1">
      <c r="B267" s="35"/>
      <c r="M267" s="66"/>
    </row>
    <row r="268" spans="2:13" ht="15.75" customHeight="1">
      <c r="B268" s="35"/>
      <c r="M268" s="66"/>
    </row>
    <row r="269" spans="2:13" ht="15.75" customHeight="1">
      <c r="B269" s="35"/>
      <c r="M269" s="66"/>
    </row>
    <row r="270" spans="2:13" ht="15.75" customHeight="1">
      <c r="B270" s="35"/>
      <c r="M270" s="66"/>
    </row>
    <row r="271" spans="2:13" ht="15.75" customHeight="1">
      <c r="B271" s="35"/>
      <c r="M271" s="66"/>
    </row>
    <row r="272" spans="2:13" ht="15.75" customHeight="1">
      <c r="B272" s="35"/>
      <c r="M272" s="66"/>
    </row>
    <row r="273" spans="2:13" ht="15.75" customHeight="1">
      <c r="B273" s="35"/>
      <c r="M273" s="66"/>
    </row>
    <row r="274" spans="2:13" ht="15.75" customHeight="1">
      <c r="B274" s="35"/>
      <c r="M274" s="66"/>
    </row>
    <row r="275" spans="2:13" ht="15.75" customHeight="1">
      <c r="B275" s="35"/>
      <c r="M275" s="66"/>
    </row>
    <row r="276" spans="2:13" ht="15.75" customHeight="1">
      <c r="B276" s="35"/>
      <c r="M276" s="66"/>
    </row>
    <row r="277" spans="2:13" ht="15.75" customHeight="1">
      <c r="B277" s="35"/>
      <c r="M277" s="66"/>
    </row>
    <row r="278" spans="2:13" ht="15.75" customHeight="1">
      <c r="B278" s="35"/>
      <c r="M278" s="66"/>
    </row>
    <row r="279" spans="2:13" ht="15.75" customHeight="1">
      <c r="B279" s="35"/>
      <c r="M279" s="66"/>
    </row>
    <row r="280" spans="2:13" ht="15.75" customHeight="1">
      <c r="B280" s="35"/>
      <c r="M280" s="66"/>
    </row>
    <row r="281" spans="2:13" ht="15.75" customHeight="1">
      <c r="B281" s="35"/>
      <c r="M281" s="66"/>
    </row>
    <row r="282" spans="2:13" ht="15.75" customHeight="1">
      <c r="B282" s="35"/>
      <c r="M282" s="66"/>
    </row>
    <row r="283" spans="2:13" ht="15.75" customHeight="1">
      <c r="B283" s="35"/>
      <c r="M283" s="66"/>
    </row>
    <row r="284" spans="2:13" ht="15.75" customHeight="1">
      <c r="B284" s="35"/>
      <c r="M284" s="66"/>
    </row>
    <row r="285" spans="2:13" ht="15.75" customHeight="1">
      <c r="B285" s="35"/>
      <c r="M285" s="66"/>
    </row>
    <row r="286" spans="2:13" ht="15.75" customHeight="1">
      <c r="B286" s="35"/>
      <c r="M286" s="66"/>
    </row>
    <row r="287" spans="2:13" ht="15.75" customHeight="1">
      <c r="B287" s="35"/>
      <c r="M287" s="66"/>
    </row>
    <row r="288" spans="2:13" ht="15.75" customHeight="1">
      <c r="B288" s="35"/>
      <c r="M288" s="66"/>
    </row>
    <row r="289" spans="2:13" ht="15.75" customHeight="1">
      <c r="B289" s="35"/>
      <c r="M289" s="66"/>
    </row>
    <row r="290" spans="2:13" ht="15.75" customHeight="1">
      <c r="B290" s="35"/>
      <c r="M290" s="66"/>
    </row>
    <row r="291" spans="2:13" ht="15.75" customHeight="1">
      <c r="B291" s="35"/>
      <c r="M291" s="66"/>
    </row>
    <row r="292" spans="2:13" ht="15.75" customHeight="1">
      <c r="B292" s="35"/>
      <c r="M292" s="66"/>
    </row>
    <row r="293" spans="2:13" ht="15.75" customHeight="1">
      <c r="B293" s="35"/>
      <c r="M293" s="66"/>
    </row>
    <row r="294" spans="2:13" ht="15.75" customHeight="1">
      <c r="B294" s="35"/>
      <c r="M294" s="66"/>
    </row>
    <row r="295" spans="2:13" ht="15.75" customHeight="1">
      <c r="B295" s="35"/>
      <c r="M295" s="66"/>
    </row>
    <row r="296" spans="2:13" ht="15.75" customHeight="1">
      <c r="B296" s="35"/>
      <c r="M296" s="66"/>
    </row>
    <row r="297" spans="2:13" ht="15.75" customHeight="1">
      <c r="B297" s="35"/>
      <c r="M297" s="66"/>
    </row>
    <row r="298" spans="2:13" ht="15.75" customHeight="1">
      <c r="B298" s="35"/>
      <c r="M298" s="66"/>
    </row>
    <row r="299" spans="2:13" ht="15.75" customHeight="1">
      <c r="B299" s="35"/>
      <c r="M299" s="66"/>
    </row>
    <row r="300" spans="2:13" ht="15.75" customHeight="1">
      <c r="B300" s="35"/>
      <c r="M300" s="66"/>
    </row>
    <row r="301" spans="2:13" ht="15.75" customHeight="1">
      <c r="B301" s="35"/>
      <c r="M301" s="66"/>
    </row>
    <row r="302" spans="2:13" ht="15.75" customHeight="1">
      <c r="B302" s="35"/>
      <c r="M302" s="66"/>
    </row>
    <row r="303" spans="2:13" ht="15.75" customHeight="1">
      <c r="B303" s="35"/>
      <c r="M303" s="66"/>
    </row>
    <row r="304" spans="2:13" ht="15.75" customHeight="1">
      <c r="B304" s="35"/>
      <c r="M304" s="66"/>
    </row>
    <row r="305" spans="2:13" ht="15.75" customHeight="1">
      <c r="B305" s="35"/>
      <c r="M305" s="66"/>
    </row>
    <row r="306" spans="2:13" ht="15.75" customHeight="1">
      <c r="B306" s="35"/>
      <c r="M306" s="66"/>
    </row>
    <row r="307" spans="2:13" ht="15.75" customHeight="1">
      <c r="B307" s="35"/>
      <c r="M307" s="66"/>
    </row>
    <row r="308" spans="2:13" ht="15.75" customHeight="1">
      <c r="B308" s="35"/>
      <c r="M308" s="66"/>
    </row>
    <row r="309" spans="2:13" ht="15.75" customHeight="1">
      <c r="B309" s="35"/>
      <c r="M309" s="66"/>
    </row>
    <row r="310" spans="2:13" ht="15.75" customHeight="1">
      <c r="B310" s="35"/>
      <c r="M310" s="66"/>
    </row>
    <row r="311" spans="2:13" ht="15.75" customHeight="1">
      <c r="B311" s="35"/>
      <c r="M311" s="66"/>
    </row>
    <row r="312" spans="2:13" ht="15.75" customHeight="1">
      <c r="B312" s="35"/>
      <c r="M312" s="66"/>
    </row>
    <row r="313" spans="2:13" ht="15.75" customHeight="1">
      <c r="B313" s="35"/>
      <c r="M313" s="66"/>
    </row>
    <row r="314" spans="2:13" ht="15.75" customHeight="1">
      <c r="B314" s="35"/>
      <c r="M314" s="66"/>
    </row>
    <row r="315" spans="2:13" ht="15.75" customHeight="1">
      <c r="B315" s="35"/>
      <c r="M315" s="66"/>
    </row>
    <row r="316" spans="2:13" ht="15.75" customHeight="1">
      <c r="B316" s="35"/>
      <c r="M316" s="66"/>
    </row>
    <row r="317" spans="2:13" ht="15.75" customHeight="1">
      <c r="B317" s="35"/>
      <c r="M317" s="66"/>
    </row>
    <row r="318" spans="2:13" ht="15.75" customHeight="1">
      <c r="B318" s="35"/>
      <c r="M318" s="66"/>
    </row>
    <row r="319" spans="2:13" ht="15.75" customHeight="1">
      <c r="B319" s="35"/>
      <c r="M319" s="66"/>
    </row>
    <row r="320" spans="2:13" ht="15.75" customHeight="1">
      <c r="B320" s="35"/>
      <c r="M320" s="66"/>
    </row>
    <row r="321" spans="2:13" ht="15.75" customHeight="1">
      <c r="B321" s="35"/>
      <c r="M321" s="66"/>
    </row>
    <row r="322" spans="2:13" ht="15.75" customHeight="1">
      <c r="B322" s="35"/>
      <c r="M322" s="66"/>
    </row>
    <row r="323" spans="2:13" ht="15.75" customHeight="1">
      <c r="B323" s="35"/>
      <c r="M323" s="66"/>
    </row>
    <row r="324" spans="2:13" ht="15.75" customHeight="1">
      <c r="B324" s="35"/>
      <c r="M324" s="66"/>
    </row>
    <row r="325" spans="2:13" ht="15.75" customHeight="1">
      <c r="B325" s="35"/>
      <c r="M325" s="66"/>
    </row>
    <row r="326" spans="2:13" ht="15.75" customHeight="1">
      <c r="B326" s="35"/>
      <c r="M326" s="66"/>
    </row>
    <row r="327" spans="2:13" ht="15.75" customHeight="1">
      <c r="B327" s="35"/>
      <c r="M327" s="66"/>
    </row>
    <row r="328" spans="2:13" ht="15.75" customHeight="1">
      <c r="B328" s="35"/>
      <c r="M328" s="66"/>
    </row>
    <row r="329" spans="2:13" ht="15.75" customHeight="1">
      <c r="B329" s="35"/>
      <c r="M329" s="66"/>
    </row>
    <row r="330" spans="2:13" ht="15.75" customHeight="1">
      <c r="B330" s="35"/>
      <c r="M330" s="66"/>
    </row>
    <row r="331" spans="2:13" ht="15.75" customHeight="1">
      <c r="B331" s="35"/>
      <c r="M331" s="66"/>
    </row>
    <row r="332" spans="2:13" ht="15.75" customHeight="1">
      <c r="B332" s="35"/>
      <c r="M332" s="66"/>
    </row>
    <row r="333" spans="2:13" ht="15.75" customHeight="1">
      <c r="B333" s="35"/>
      <c r="M333" s="66"/>
    </row>
    <row r="334" spans="2:13" ht="15.75" customHeight="1">
      <c r="B334" s="35"/>
      <c r="M334" s="66"/>
    </row>
    <row r="335" spans="2:13" ht="15.75" customHeight="1">
      <c r="B335" s="35"/>
      <c r="M335" s="66"/>
    </row>
    <row r="336" spans="2:13" ht="15.75" customHeight="1">
      <c r="B336" s="35"/>
      <c r="M336" s="66"/>
    </row>
    <row r="337" spans="2:13" ht="15.75" customHeight="1">
      <c r="B337" s="35"/>
      <c r="M337" s="66"/>
    </row>
    <row r="338" spans="2:13" ht="15.75" customHeight="1">
      <c r="B338" s="35"/>
      <c r="M338" s="66"/>
    </row>
    <row r="339" spans="2:13" ht="15.75" customHeight="1">
      <c r="B339" s="35"/>
      <c r="M339" s="66"/>
    </row>
    <row r="340" spans="2:13" ht="15.75" customHeight="1">
      <c r="B340" s="35"/>
      <c r="M340" s="66"/>
    </row>
    <row r="341" spans="2:13" ht="15.75" customHeight="1">
      <c r="B341" s="35"/>
      <c r="M341" s="66"/>
    </row>
    <row r="342" spans="2:13" ht="15.75" customHeight="1">
      <c r="B342" s="35"/>
      <c r="M342" s="66"/>
    </row>
    <row r="343" spans="2:13" ht="15.75" customHeight="1">
      <c r="B343" s="35"/>
      <c r="M343" s="66"/>
    </row>
    <row r="344" spans="2:13" ht="15.75" customHeight="1">
      <c r="B344" s="35"/>
      <c r="M344" s="66"/>
    </row>
    <row r="345" spans="2:13" ht="15.75" customHeight="1">
      <c r="B345" s="35"/>
      <c r="M345" s="66"/>
    </row>
    <row r="346" spans="2:13" ht="15.75" customHeight="1">
      <c r="B346" s="35"/>
      <c r="M346" s="66"/>
    </row>
    <row r="347" spans="2:13" ht="15.75" customHeight="1">
      <c r="B347" s="35"/>
      <c r="M347" s="66"/>
    </row>
    <row r="348" spans="2:13" ht="15.75" customHeight="1">
      <c r="B348" s="35"/>
      <c r="M348" s="66"/>
    </row>
    <row r="349" spans="2:13" ht="15.75" customHeight="1">
      <c r="B349" s="35"/>
      <c r="M349" s="66"/>
    </row>
    <row r="350" spans="2:13" ht="15.75" customHeight="1">
      <c r="B350" s="35"/>
      <c r="M350" s="66"/>
    </row>
    <row r="351" spans="2:13" ht="15.75" customHeight="1">
      <c r="B351" s="35"/>
      <c r="M351" s="66"/>
    </row>
    <row r="352" spans="2:13" ht="15.75" customHeight="1">
      <c r="B352" s="35"/>
      <c r="M352" s="66"/>
    </row>
    <row r="353" spans="2:13" ht="15.75" customHeight="1">
      <c r="B353" s="35"/>
      <c r="M353" s="66"/>
    </row>
    <row r="354" spans="2:13" ht="15.75" customHeight="1">
      <c r="B354" s="35"/>
      <c r="M354" s="66"/>
    </row>
    <row r="355" spans="2:13" ht="15.75" customHeight="1">
      <c r="B355" s="35"/>
      <c r="M355" s="66"/>
    </row>
    <row r="356" spans="2:13" ht="15.75" customHeight="1">
      <c r="B356" s="35"/>
      <c r="M356" s="66"/>
    </row>
    <row r="357" spans="2:13" ht="15.75" customHeight="1">
      <c r="B357" s="35"/>
      <c r="M357" s="66"/>
    </row>
    <row r="358" spans="2:13" ht="15.75" customHeight="1">
      <c r="B358" s="35"/>
      <c r="M358" s="66"/>
    </row>
    <row r="359" spans="2:13" ht="15.75" customHeight="1">
      <c r="B359" s="35"/>
      <c r="M359" s="66"/>
    </row>
    <row r="360" spans="2:13" ht="15.75" customHeight="1">
      <c r="B360" s="35"/>
      <c r="M360" s="66"/>
    </row>
    <row r="361" spans="2:13" ht="15.75" customHeight="1">
      <c r="B361" s="35"/>
      <c r="M361" s="66"/>
    </row>
    <row r="362" spans="2:13" ht="15.75" customHeight="1">
      <c r="B362" s="35"/>
      <c r="M362" s="66"/>
    </row>
    <row r="363" spans="2:13" ht="15.75" customHeight="1">
      <c r="B363" s="35"/>
      <c r="M363" s="66"/>
    </row>
    <row r="364" spans="2:13" ht="15.75" customHeight="1">
      <c r="B364" s="35"/>
      <c r="M364" s="66"/>
    </row>
    <row r="365" spans="2:13" ht="15.75" customHeight="1">
      <c r="B365" s="35"/>
      <c r="M365" s="66"/>
    </row>
    <row r="366" spans="2:13" ht="15.75" customHeight="1">
      <c r="B366" s="35"/>
      <c r="M366" s="66"/>
    </row>
    <row r="367" spans="2:13" ht="15.75" customHeight="1">
      <c r="B367" s="35"/>
      <c r="M367" s="66"/>
    </row>
    <row r="368" spans="2:13" ht="15.75" customHeight="1">
      <c r="B368" s="35"/>
      <c r="M368" s="66"/>
    </row>
    <row r="369" spans="2:13" ht="15.75" customHeight="1">
      <c r="B369" s="35"/>
      <c r="M369" s="66"/>
    </row>
    <row r="370" spans="2:13" ht="15.75" customHeight="1">
      <c r="B370" s="35"/>
      <c r="M370" s="66"/>
    </row>
    <row r="371" spans="2:13" ht="15.75" customHeight="1">
      <c r="B371" s="35"/>
      <c r="M371" s="66"/>
    </row>
    <row r="372" spans="2:13" ht="15.75" customHeight="1">
      <c r="B372" s="35"/>
      <c r="M372" s="66"/>
    </row>
    <row r="373" spans="2:13" ht="15.75" customHeight="1">
      <c r="B373" s="35"/>
      <c r="M373" s="66"/>
    </row>
    <row r="374" spans="2:13" ht="15.75" customHeight="1">
      <c r="B374" s="35"/>
      <c r="M374" s="66"/>
    </row>
    <row r="375" spans="2:13" ht="15.75" customHeight="1">
      <c r="B375" s="35"/>
      <c r="M375" s="66"/>
    </row>
    <row r="376" spans="2:13" ht="15.75" customHeight="1">
      <c r="B376" s="35"/>
      <c r="M376" s="66"/>
    </row>
    <row r="377" spans="2:13" ht="15.75" customHeight="1">
      <c r="B377" s="35"/>
      <c r="M377" s="66"/>
    </row>
    <row r="378" spans="2:13" ht="15.75" customHeight="1">
      <c r="B378" s="35"/>
      <c r="M378" s="66"/>
    </row>
    <row r="379" spans="2:13" ht="15.75" customHeight="1">
      <c r="B379" s="35"/>
      <c r="M379" s="66"/>
    </row>
    <row r="380" spans="2:13" ht="15.75" customHeight="1">
      <c r="B380" s="35"/>
      <c r="M380" s="66"/>
    </row>
    <row r="381" spans="2:13" ht="15.75" customHeight="1">
      <c r="B381" s="35"/>
      <c r="M381" s="66"/>
    </row>
    <row r="382" spans="2:13" ht="15.75" customHeight="1">
      <c r="B382" s="35"/>
      <c r="M382" s="66"/>
    </row>
    <row r="383" spans="2:13" ht="15.75" customHeight="1">
      <c r="B383" s="35"/>
      <c r="M383" s="66"/>
    </row>
    <row r="384" spans="2:13" ht="15.75" customHeight="1">
      <c r="B384" s="35"/>
      <c r="M384" s="66"/>
    </row>
    <row r="385" spans="2:13" ht="15.75" customHeight="1">
      <c r="B385" s="35"/>
      <c r="M385" s="66"/>
    </row>
    <row r="386" spans="2:13" ht="15.75" customHeight="1">
      <c r="B386" s="35"/>
      <c r="M386" s="66"/>
    </row>
    <row r="387" spans="2:13" ht="15.75" customHeight="1">
      <c r="B387" s="35"/>
      <c r="M387" s="66"/>
    </row>
    <row r="388" spans="2:13" ht="15.75" customHeight="1">
      <c r="B388" s="35"/>
      <c r="M388" s="66"/>
    </row>
    <row r="389" spans="2:13" ht="15.75" customHeight="1">
      <c r="B389" s="35"/>
      <c r="M389" s="66"/>
    </row>
    <row r="390" spans="2:13" ht="15.75" customHeight="1">
      <c r="B390" s="35"/>
      <c r="M390" s="66"/>
    </row>
    <row r="391" spans="2:13" ht="15.75" customHeight="1">
      <c r="B391" s="35"/>
      <c r="M391" s="66"/>
    </row>
    <row r="392" spans="2:13" ht="15.75" customHeight="1">
      <c r="B392" s="35"/>
      <c r="M392" s="66"/>
    </row>
    <row r="393" spans="2:13" ht="15.75" customHeight="1">
      <c r="B393" s="35"/>
      <c r="M393" s="66"/>
    </row>
    <row r="394" spans="2:13" ht="15.75" customHeight="1">
      <c r="B394" s="35"/>
      <c r="M394" s="66"/>
    </row>
    <row r="395" spans="2:13" ht="15.75" customHeight="1">
      <c r="B395" s="35"/>
      <c r="M395" s="66"/>
    </row>
    <row r="396" spans="2:13" ht="15.75" customHeight="1">
      <c r="B396" s="35"/>
      <c r="M396" s="66"/>
    </row>
    <row r="397" spans="2:13" ht="15.75" customHeight="1">
      <c r="B397" s="35"/>
      <c r="M397" s="66"/>
    </row>
    <row r="398" spans="2:13" ht="15.75" customHeight="1">
      <c r="B398" s="35"/>
      <c r="M398" s="66"/>
    </row>
    <row r="399" spans="2:13" ht="15.75" customHeight="1">
      <c r="B399" s="35"/>
      <c r="M399" s="66"/>
    </row>
    <row r="400" spans="2:13" ht="15.75" customHeight="1">
      <c r="B400" s="35"/>
      <c r="M400" s="66"/>
    </row>
    <row r="401" spans="2:13" ht="15.75" customHeight="1">
      <c r="B401" s="35"/>
      <c r="M401" s="66"/>
    </row>
    <row r="402" spans="2:13" ht="15.75" customHeight="1">
      <c r="B402" s="35"/>
      <c r="M402" s="66"/>
    </row>
    <row r="403" spans="2:13" ht="15.75" customHeight="1">
      <c r="B403" s="35"/>
      <c r="M403" s="66"/>
    </row>
    <row r="404" spans="2:13" ht="15.75" customHeight="1">
      <c r="B404" s="35"/>
      <c r="M404" s="66"/>
    </row>
    <row r="405" spans="2:13" ht="15.75" customHeight="1">
      <c r="B405" s="35"/>
      <c r="M405" s="66"/>
    </row>
    <row r="406" spans="2:13" ht="15.75" customHeight="1">
      <c r="B406" s="35"/>
      <c r="M406" s="66"/>
    </row>
    <row r="407" spans="2:13" ht="15.75" customHeight="1">
      <c r="B407" s="35"/>
      <c r="M407" s="66"/>
    </row>
    <row r="408" spans="2:13" ht="15.75" customHeight="1">
      <c r="B408" s="35"/>
      <c r="M408" s="66"/>
    </row>
    <row r="409" spans="2:13" ht="15.75" customHeight="1">
      <c r="B409" s="35"/>
      <c r="M409" s="66"/>
    </row>
    <row r="410" spans="2:13" ht="15.75" customHeight="1">
      <c r="B410" s="35"/>
      <c r="M410" s="66"/>
    </row>
    <row r="411" spans="2:13" ht="15.75" customHeight="1">
      <c r="B411" s="35"/>
      <c r="M411" s="66"/>
    </row>
    <row r="412" spans="2:13" ht="15.75" customHeight="1">
      <c r="B412" s="35"/>
      <c r="M412" s="66"/>
    </row>
    <row r="413" spans="2:13" ht="15.75" customHeight="1">
      <c r="B413" s="35"/>
      <c r="M413" s="66"/>
    </row>
    <row r="414" spans="2:13" ht="15.75" customHeight="1">
      <c r="B414" s="35"/>
      <c r="M414" s="66"/>
    </row>
    <row r="415" spans="2:13" ht="15.75" customHeight="1">
      <c r="B415" s="35"/>
      <c r="M415" s="66"/>
    </row>
    <row r="416" spans="2:13" ht="15.75" customHeight="1">
      <c r="B416" s="35"/>
      <c r="M416" s="66"/>
    </row>
    <row r="417" spans="2:13" ht="15.75" customHeight="1">
      <c r="B417" s="35"/>
      <c r="M417" s="66"/>
    </row>
    <row r="418" spans="2:13" ht="15.75" customHeight="1">
      <c r="B418" s="35"/>
      <c r="M418" s="66"/>
    </row>
    <row r="419" spans="2:13" ht="15.75" customHeight="1">
      <c r="B419" s="35"/>
      <c r="M419" s="66"/>
    </row>
    <row r="420" spans="2:13" ht="15.75" customHeight="1">
      <c r="B420" s="35"/>
      <c r="M420" s="66"/>
    </row>
    <row r="421" spans="2:13" ht="15.75" customHeight="1">
      <c r="B421" s="35"/>
      <c r="M421" s="66"/>
    </row>
    <row r="422" spans="2:13" ht="15.75" customHeight="1">
      <c r="B422" s="35"/>
      <c r="M422" s="66"/>
    </row>
    <row r="423" spans="2:13" ht="15.75" customHeight="1">
      <c r="B423" s="35"/>
      <c r="M423" s="66"/>
    </row>
    <row r="424" spans="2:13" ht="15.75" customHeight="1">
      <c r="B424" s="35"/>
      <c r="M424" s="66"/>
    </row>
    <row r="425" spans="2:13" ht="15.75" customHeight="1">
      <c r="B425" s="35"/>
      <c r="M425" s="66"/>
    </row>
    <row r="426" spans="2:13" ht="15.75" customHeight="1">
      <c r="B426" s="35"/>
      <c r="M426" s="66"/>
    </row>
    <row r="427" spans="2:13" ht="15.75" customHeight="1">
      <c r="B427" s="35"/>
      <c r="M427" s="66"/>
    </row>
    <row r="428" spans="2:13" ht="15.75" customHeight="1">
      <c r="B428" s="35"/>
      <c r="M428" s="66"/>
    </row>
    <row r="429" spans="2:13" ht="15.75" customHeight="1">
      <c r="B429" s="35"/>
      <c r="M429" s="66"/>
    </row>
    <row r="430" spans="2:13" ht="15.75" customHeight="1">
      <c r="B430" s="35"/>
      <c r="M430" s="66"/>
    </row>
    <row r="431" spans="2:13" ht="15.75" customHeight="1">
      <c r="B431" s="35"/>
      <c r="M431" s="66"/>
    </row>
    <row r="432" spans="2:13" ht="15.75" customHeight="1">
      <c r="B432" s="35"/>
      <c r="M432" s="66"/>
    </row>
    <row r="433" spans="2:13" ht="15.75" customHeight="1">
      <c r="B433" s="35"/>
      <c r="M433" s="66"/>
    </row>
    <row r="434" spans="2:13" ht="15.75" customHeight="1">
      <c r="B434" s="35"/>
      <c r="M434" s="66"/>
    </row>
    <row r="435" spans="2:13" ht="15.75" customHeight="1">
      <c r="B435" s="35"/>
      <c r="M435" s="66"/>
    </row>
    <row r="436" spans="2:13" ht="15.75" customHeight="1">
      <c r="B436" s="35"/>
      <c r="M436" s="66"/>
    </row>
    <row r="437" spans="2:13" ht="15.75" customHeight="1">
      <c r="B437" s="35"/>
      <c r="M437" s="66"/>
    </row>
    <row r="438" spans="2:13" ht="15.75" customHeight="1">
      <c r="B438" s="35"/>
      <c r="M438" s="66"/>
    </row>
    <row r="439" spans="2:13" ht="15.75" customHeight="1">
      <c r="B439" s="35"/>
      <c r="M439" s="66"/>
    </row>
    <row r="440" spans="2:13" ht="15.75" customHeight="1">
      <c r="B440" s="35"/>
      <c r="M440" s="66"/>
    </row>
    <row r="441" spans="2:13" ht="15.75" customHeight="1">
      <c r="B441" s="35"/>
      <c r="M441" s="66"/>
    </row>
    <row r="442" spans="2:13" ht="15.75" customHeight="1">
      <c r="B442" s="35"/>
      <c r="M442" s="66"/>
    </row>
    <row r="443" spans="2:13" ht="15.75" customHeight="1">
      <c r="B443" s="35"/>
      <c r="M443" s="66"/>
    </row>
    <row r="444" spans="2:13" ht="15.75" customHeight="1">
      <c r="B444" s="35"/>
      <c r="M444" s="66"/>
    </row>
    <row r="445" spans="2:13" ht="15.75" customHeight="1">
      <c r="B445" s="35"/>
      <c r="M445" s="66"/>
    </row>
    <row r="446" spans="2:13" ht="15.75" customHeight="1">
      <c r="B446" s="35"/>
      <c r="M446" s="66"/>
    </row>
    <row r="447" spans="2:13" ht="15.75" customHeight="1">
      <c r="B447" s="35"/>
      <c r="M447" s="66"/>
    </row>
    <row r="448" spans="2:13" ht="15.75" customHeight="1">
      <c r="B448" s="35"/>
      <c r="M448" s="66"/>
    </row>
    <row r="449" spans="2:13" ht="15.75" customHeight="1">
      <c r="B449" s="35"/>
      <c r="M449" s="66"/>
    </row>
    <row r="450" spans="2:13" ht="15.75" customHeight="1">
      <c r="B450" s="35"/>
      <c r="M450" s="66"/>
    </row>
    <row r="451" spans="2:13" ht="15.75" customHeight="1">
      <c r="B451" s="35"/>
      <c r="M451" s="66"/>
    </row>
    <row r="452" spans="2:13" ht="15.75" customHeight="1">
      <c r="B452" s="35"/>
      <c r="M452" s="66"/>
    </row>
    <row r="453" spans="2:13" ht="15.75" customHeight="1">
      <c r="B453" s="35"/>
      <c r="M453" s="66"/>
    </row>
    <row r="454" spans="2:13" ht="15.75" customHeight="1">
      <c r="B454" s="35"/>
      <c r="M454" s="66"/>
    </row>
    <row r="455" spans="2:13" ht="15.75" customHeight="1">
      <c r="B455" s="35"/>
      <c r="M455" s="66"/>
    </row>
    <row r="456" spans="2:13" ht="15.75" customHeight="1">
      <c r="B456" s="35"/>
      <c r="M456" s="66"/>
    </row>
    <row r="457" spans="2:13" ht="15.75" customHeight="1">
      <c r="B457" s="35"/>
      <c r="M457" s="66"/>
    </row>
    <row r="458" spans="2:13" ht="15.75" customHeight="1">
      <c r="B458" s="35"/>
      <c r="M458" s="66"/>
    </row>
    <row r="459" spans="2:13" ht="15.75" customHeight="1">
      <c r="B459" s="35"/>
      <c r="M459" s="66"/>
    </row>
    <row r="460" spans="2:13" ht="15.75" customHeight="1">
      <c r="B460" s="35"/>
      <c r="M460" s="66"/>
    </row>
    <row r="461" spans="2:13" ht="15.75" customHeight="1">
      <c r="B461" s="35"/>
      <c r="M461" s="66"/>
    </row>
    <row r="462" spans="2:13" ht="15.75" customHeight="1">
      <c r="B462" s="35"/>
      <c r="M462" s="66"/>
    </row>
    <row r="463" spans="2:13" ht="15.75" customHeight="1">
      <c r="B463" s="35"/>
      <c r="M463" s="66"/>
    </row>
    <row r="464" spans="2:13" ht="15.75" customHeight="1">
      <c r="B464" s="35"/>
      <c r="M464" s="66"/>
    </row>
    <row r="465" spans="2:13" ht="15.75" customHeight="1">
      <c r="B465" s="35"/>
      <c r="M465" s="66"/>
    </row>
    <row r="466" spans="2:13" ht="15.75" customHeight="1">
      <c r="B466" s="35"/>
      <c r="M466" s="66"/>
    </row>
    <row r="467" spans="2:13" ht="15.75" customHeight="1">
      <c r="B467" s="35"/>
      <c r="M467" s="66"/>
    </row>
    <row r="468" spans="2:13" ht="15.75" customHeight="1">
      <c r="B468" s="35"/>
      <c r="M468" s="66"/>
    </row>
    <row r="469" spans="2:13" ht="15.75" customHeight="1">
      <c r="B469" s="35"/>
      <c r="M469" s="66"/>
    </row>
    <row r="470" spans="2:13" ht="15.75" customHeight="1">
      <c r="B470" s="35"/>
      <c r="M470" s="66"/>
    </row>
    <row r="471" spans="2:13" ht="15.75" customHeight="1">
      <c r="B471" s="35"/>
      <c r="M471" s="66"/>
    </row>
    <row r="472" spans="2:13" ht="15.75" customHeight="1">
      <c r="B472" s="35"/>
      <c r="M472" s="66"/>
    </row>
    <row r="473" spans="2:13" ht="15.75" customHeight="1">
      <c r="B473" s="35"/>
      <c r="M473" s="66"/>
    </row>
    <row r="474" spans="2:13" ht="15.75" customHeight="1">
      <c r="B474" s="35"/>
      <c r="M474" s="66"/>
    </row>
    <row r="475" spans="2:13" ht="15.75" customHeight="1">
      <c r="B475" s="35"/>
      <c r="M475" s="66"/>
    </row>
    <row r="476" spans="2:13" ht="15.75" customHeight="1">
      <c r="B476" s="35"/>
      <c r="M476" s="66"/>
    </row>
    <row r="477" spans="2:13" ht="15.75" customHeight="1">
      <c r="B477" s="35"/>
      <c r="M477" s="66"/>
    </row>
    <row r="478" spans="2:13" ht="15.75" customHeight="1">
      <c r="B478" s="35"/>
      <c r="M478" s="66"/>
    </row>
    <row r="479" spans="2:13" ht="15.75" customHeight="1">
      <c r="B479" s="35"/>
      <c r="M479" s="66"/>
    </row>
    <row r="480" spans="2:13" ht="15.75" customHeight="1">
      <c r="B480" s="35"/>
      <c r="M480" s="66"/>
    </row>
    <row r="481" spans="2:13" ht="15.75" customHeight="1">
      <c r="B481" s="35"/>
      <c r="M481" s="66"/>
    </row>
    <row r="482" spans="2:13" ht="15.75" customHeight="1">
      <c r="B482" s="35"/>
      <c r="M482" s="66"/>
    </row>
    <row r="483" spans="2:13" ht="15.75" customHeight="1">
      <c r="B483" s="35"/>
      <c r="M483" s="66"/>
    </row>
    <row r="484" spans="2:13" ht="15.75" customHeight="1">
      <c r="B484" s="35"/>
      <c r="M484" s="66"/>
    </row>
    <row r="485" spans="2:13" ht="15.75" customHeight="1">
      <c r="B485" s="35"/>
      <c r="M485" s="66"/>
    </row>
    <row r="486" spans="2:13" ht="15.75" customHeight="1">
      <c r="B486" s="35"/>
      <c r="M486" s="66"/>
    </row>
    <row r="487" spans="2:13" ht="15.75" customHeight="1">
      <c r="B487" s="35"/>
      <c r="M487" s="66"/>
    </row>
    <row r="488" spans="2:13" ht="15.75" customHeight="1">
      <c r="B488" s="35"/>
      <c r="M488" s="66"/>
    </row>
    <row r="489" spans="2:13" ht="15.75" customHeight="1">
      <c r="B489" s="35"/>
      <c r="M489" s="66"/>
    </row>
    <row r="490" spans="2:13" ht="15.75" customHeight="1">
      <c r="B490" s="35"/>
      <c r="M490" s="66"/>
    </row>
    <row r="491" spans="2:13" ht="15.75" customHeight="1">
      <c r="B491" s="35"/>
      <c r="M491" s="66"/>
    </row>
    <row r="492" spans="2:13" ht="15.75" customHeight="1">
      <c r="B492" s="35"/>
      <c r="M492" s="66"/>
    </row>
    <row r="493" spans="2:13" ht="15.75" customHeight="1">
      <c r="B493" s="35"/>
      <c r="M493" s="66"/>
    </row>
    <row r="494" spans="2:13" ht="15.75" customHeight="1">
      <c r="B494" s="35"/>
      <c r="M494" s="66"/>
    </row>
    <row r="495" spans="2:13" ht="15.75" customHeight="1">
      <c r="B495" s="35"/>
      <c r="M495" s="66"/>
    </row>
    <row r="496" spans="2:13" ht="15.75" customHeight="1">
      <c r="B496" s="35"/>
      <c r="M496" s="66"/>
    </row>
    <row r="497" spans="2:13" ht="15.75" customHeight="1">
      <c r="B497" s="35"/>
      <c r="M497" s="66"/>
    </row>
    <row r="498" spans="2:13" ht="15.75" customHeight="1">
      <c r="B498" s="35"/>
      <c r="M498" s="66"/>
    </row>
    <row r="499" spans="2:13" ht="15.75" customHeight="1">
      <c r="B499" s="35"/>
      <c r="M499" s="66"/>
    </row>
    <row r="500" spans="2:13" ht="15.75" customHeight="1">
      <c r="B500" s="35"/>
      <c r="M500" s="66"/>
    </row>
    <row r="501" spans="2:13" ht="15.75" customHeight="1">
      <c r="B501" s="35"/>
      <c r="M501" s="66"/>
    </row>
    <row r="502" spans="2:13" ht="15.75" customHeight="1">
      <c r="B502" s="35"/>
      <c r="M502" s="66"/>
    </row>
    <row r="503" spans="2:13" ht="15.75" customHeight="1">
      <c r="B503" s="35"/>
      <c r="M503" s="66"/>
    </row>
    <row r="504" spans="2:13" ht="15.75" customHeight="1">
      <c r="B504" s="35"/>
      <c r="M504" s="66"/>
    </row>
    <row r="505" spans="2:13" ht="15.75" customHeight="1">
      <c r="B505" s="35"/>
      <c r="M505" s="66"/>
    </row>
    <row r="506" spans="2:13" ht="15.75" customHeight="1">
      <c r="B506" s="35"/>
      <c r="M506" s="66"/>
    </row>
    <row r="507" spans="2:13" ht="15.75" customHeight="1">
      <c r="B507" s="35"/>
      <c r="M507" s="66"/>
    </row>
    <row r="508" spans="2:13" ht="15.75" customHeight="1">
      <c r="B508" s="35"/>
      <c r="M508" s="66"/>
    </row>
    <row r="509" spans="2:13" ht="15.75" customHeight="1">
      <c r="B509" s="35"/>
      <c r="M509" s="66"/>
    </row>
    <row r="510" spans="2:13" ht="15.75" customHeight="1">
      <c r="B510" s="35"/>
      <c r="M510" s="66"/>
    </row>
    <row r="511" spans="2:13" ht="15.75" customHeight="1">
      <c r="B511" s="35"/>
      <c r="M511" s="66"/>
    </row>
    <row r="512" spans="2:13" ht="15.75" customHeight="1">
      <c r="B512" s="35"/>
      <c r="M512" s="66"/>
    </row>
    <row r="513" spans="2:13" ht="15.75" customHeight="1">
      <c r="B513" s="35"/>
      <c r="M513" s="66"/>
    </row>
    <row r="514" spans="2:13" ht="15.75" customHeight="1">
      <c r="B514" s="35"/>
      <c r="M514" s="66"/>
    </row>
    <row r="515" spans="2:13" ht="15.75" customHeight="1">
      <c r="B515" s="35"/>
      <c r="M515" s="66"/>
    </row>
    <row r="516" spans="2:13" ht="15.75" customHeight="1">
      <c r="B516" s="35"/>
      <c r="M516" s="66"/>
    </row>
    <row r="517" spans="2:13" ht="15.75" customHeight="1">
      <c r="B517" s="35"/>
      <c r="M517" s="66"/>
    </row>
    <row r="518" spans="2:13" ht="15.75" customHeight="1">
      <c r="B518" s="35"/>
      <c r="M518" s="66"/>
    </row>
    <row r="519" spans="2:13" ht="15.75" customHeight="1">
      <c r="B519" s="35"/>
      <c r="M519" s="66"/>
    </row>
    <row r="520" spans="2:13" ht="15.75" customHeight="1">
      <c r="B520" s="35"/>
      <c r="M520" s="66"/>
    </row>
    <row r="521" spans="2:13" ht="15.75" customHeight="1">
      <c r="B521" s="35"/>
      <c r="M521" s="66"/>
    </row>
    <row r="522" spans="2:13" ht="15.75" customHeight="1">
      <c r="B522" s="35"/>
      <c r="M522" s="66"/>
    </row>
    <row r="523" spans="2:13" ht="15.75" customHeight="1">
      <c r="B523" s="35"/>
      <c r="M523" s="66"/>
    </row>
    <row r="524" spans="2:13" ht="15.75" customHeight="1">
      <c r="B524" s="35"/>
      <c r="M524" s="66"/>
    </row>
    <row r="525" spans="2:13" ht="15.75" customHeight="1">
      <c r="B525" s="35"/>
      <c r="M525" s="66"/>
    </row>
    <row r="526" spans="2:13" ht="15.75" customHeight="1">
      <c r="B526" s="35"/>
      <c r="M526" s="66"/>
    </row>
    <row r="527" spans="2:13" ht="15.75" customHeight="1">
      <c r="B527" s="35"/>
      <c r="M527" s="66"/>
    </row>
    <row r="528" spans="2:13" ht="15.75" customHeight="1">
      <c r="B528" s="35"/>
      <c r="M528" s="66"/>
    </row>
    <row r="529" spans="2:13" ht="15.75" customHeight="1">
      <c r="B529" s="35"/>
      <c r="M529" s="66"/>
    </row>
    <row r="530" spans="2:13" ht="15.75" customHeight="1">
      <c r="B530" s="35"/>
      <c r="M530" s="66"/>
    </row>
    <row r="531" spans="2:13" ht="15.75" customHeight="1">
      <c r="B531" s="35"/>
      <c r="M531" s="66"/>
    </row>
    <row r="532" spans="2:13" ht="15.75" customHeight="1">
      <c r="B532" s="35"/>
      <c r="M532" s="66"/>
    </row>
    <row r="533" spans="2:13" ht="15.75" customHeight="1">
      <c r="B533" s="35"/>
      <c r="M533" s="66"/>
    </row>
    <row r="534" spans="2:13" ht="15.75" customHeight="1">
      <c r="B534" s="35"/>
      <c r="M534" s="66"/>
    </row>
    <row r="535" spans="2:13" ht="15.75" customHeight="1">
      <c r="B535" s="35"/>
      <c r="M535" s="66"/>
    </row>
    <row r="536" spans="2:13" ht="15.75" customHeight="1">
      <c r="B536" s="35"/>
      <c r="M536" s="66"/>
    </row>
    <row r="537" spans="2:13" ht="15.75" customHeight="1">
      <c r="B537" s="35"/>
      <c r="M537" s="66"/>
    </row>
    <row r="538" spans="2:13" ht="15.75" customHeight="1">
      <c r="B538" s="35"/>
      <c r="M538" s="66"/>
    </row>
    <row r="539" spans="2:13" ht="15.75" customHeight="1">
      <c r="B539" s="35"/>
      <c r="M539" s="66"/>
    </row>
    <row r="540" spans="2:13" ht="15.75" customHeight="1">
      <c r="B540" s="35"/>
      <c r="M540" s="66"/>
    </row>
    <row r="541" spans="2:13" ht="15.75" customHeight="1">
      <c r="B541" s="35"/>
      <c r="M541" s="66"/>
    </row>
    <row r="542" spans="2:13" ht="15.75" customHeight="1">
      <c r="B542" s="35"/>
      <c r="M542" s="66"/>
    </row>
    <row r="543" spans="2:13" ht="15.75" customHeight="1">
      <c r="B543" s="35"/>
      <c r="M543" s="66"/>
    </row>
    <row r="544" spans="2:13" ht="15.75" customHeight="1">
      <c r="B544" s="35"/>
      <c r="M544" s="66"/>
    </row>
    <row r="545" spans="2:13" ht="15.75" customHeight="1">
      <c r="B545" s="35"/>
      <c r="M545" s="66"/>
    </row>
    <row r="546" spans="2:13" ht="15.75" customHeight="1">
      <c r="B546" s="35"/>
      <c r="M546" s="66"/>
    </row>
    <row r="547" spans="2:13" ht="15.75" customHeight="1">
      <c r="B547" s="35"/>
      <c r="M547" s="66"/>
    </row>
    <row r="548" spans="2:13" ht="15.75" customHeight="1">
      <c r="B548" s="35"/>
      <c r="M548" s="66"/>
    </row>
    <row r="549" spans="2:13" ht="15.75" customHeight="1">
      <c r="B549" s="35"/>
      <c r="M549" s="66"/>
    </row>
    <row r="550" spans="2:13" ht="15.75" customHeight="1">
      <c r="B550" s="35"/>
      <c r="M550" s="66"/>
    </row>
    <row r="551" spans="2:13" ht="15.75" customHeight="1">
      <c r="B551" s="35"/>
      <c r="M551" s="66"/>
    </row>
    <row r="552" spans="2:13" ht="15.75" customHeight="1">
      <c r="B552" s="35"/>
      <c r="M552" s="66"/>
    </row>
    <row r="553" spans="2:13" ht="15.75" customHeight="1">
      <c r="B553" s="35"/>
      <c r="M553" s="66"/>
    </row>
    <row r="554" spans="2:13" ht="15.75" customHeight="1">
      <c r="B554" s="35"/>
      <c r="M554" s="66"/>
    </row>
    <row r="555" spans="2:13" ht="15.75" customHeight="1">
      <c r="B555" s="35"/>
      <c r="M555" s="66"/>
    </row>
    <row r="556" spans="2:13" ht="15.75" customHeight="1">
      <c r="B556" s="35"/>
      <c r="M556" s="66"/>
    </row>
    <row r="557" spans="2:13" ht="15.75" customHeight="1">
      <c r="B557" s="35"/>
      <c r="M557" s="66"/>
    </row>
    <row r="558" spans="2:13" ht="15.75" customHeight="1">
      <c r="B558" s="35"/>
      <c r="M558" s="66"/>
    </row>
    <row r="559" spans="2:13" ht="15.75" customHeight="1">
      <c r="B559" s="35"/>
      <c r="M559" s="66"/>
    </row>
    <row r="560" spans="2:13" ht="15.75" customHeight="1">
      <c r="B560" s="35"/>
      <c r="M560" s="66"/>
    </row>
    <row r="561" spans="2:13" ht="15.75" customHeight="1">
      <c r="B561" s="35"/>
      <c r="M561" s="66"/>
    </row>
    <row r="562" spans="2:13" ht="15.75" customHeight="1">
      <c r="B562" s="35"/>
      <c r="M562" s="66"/>
    </row>
    <row r="563" spans="2:13" ht="15.75" customHeight="1">
      <c r="B563" s="35"/>
      <c r="M563" s="66"/>
    </row>
    <row r="564" spans="2:13" ht="15.75" customHeight="1">
      <c r="B564" s="35"/>
      <c r="M564" s="66"/>
    </row>
    <row r="565" spans="2:13" ht="15.75" customHeight="1">
      <c r="B565" s="35"/>
      <c r="M565" s="66"/>
    </row>
    <row r="566" spans="2:13" ht="15.75" customHeight="1">
      <c r="B566" s="35"/>
      <c r="M566" s="66"/>
    </row>
    <row r="567" spans="2:13" ht="15.75" customHeight="1">
      <c r="B567" s="35"/>
      <c r="M567" s="66"/>
    </row>
    <row r="568" spans="2:13" ht="15.75" customHeight="1">
      <c r="B568" s="35"/>
      <c r="M568" s="66"/>
    </row>
    <row r="569" spans="2:13" ht="15.75" customHeight="1">
      <c r="B569" s="35"/>
      <c r="M569" s="66"/>
    </row>
    <row r="570" spans="2:13" ht="15.75" customHeight="1">
      <c r="B570" s="35"/>
      <c r="M570" s="66"/>
    </row>
    <row r="571" spans="2:13" ht="15.75" customHeight="1">
      <c r="B571" s="35"/>
      <c r="M571" s="66"/>
    </row>
    <row r="572" spans="2:13" ht="15.75" customHeight="1">
      <c r="B572" s="35"/>
      <c r="M572" s="66"/>
    </row>
    <row r="573" spans="2:13" ht="15.75" customHeight="1">
      <c r="B573" s="35"/>
      <c r="M573" s="66"/>
    </row>
    <row r="574" spans="2:13" ht="15.75" customHeight="1">
      <c r="B574" s="35"/>
      <c r="M574" s="66"/>
    </row>
    <row r="575" spans="2:13" ht="15.75" customHeight="1">
      <c r="B575" s="35"/>
      <c r="M575" s="66"/>
    </row>
    <row r="576" spans="2:13" ht="15.75" customHeight="1">
      <c r="B576" s="35"/>
      <c r="M576" s="66"/>
    </row>
    <row r="577" spans="2:13" ht="15.75" customHeight="1">
      <c r="B577" s="35"/>
      <c r="M577" s="66"/>
    </row>
    <row r="578" spans="2:13" ht="15.75" customHeight="1">
      <c r="B578" s="35"/>
      <c r="M578" s="66"/>
    </row>
    <row r="579" spans="2:13" ht="15.75" customHeight="1">
      <c r="B579" s="35"/>
      <c r="M579" s="66"/>
    </row>
    <row r="580" spans="2:13" ht="15.75" customHeight="1">
      <c r="B580" s="35"/>
      <c r="M580" s="66"/>
    </row>
    <row r="581" spans="2:13" ht="15.75" customHeight="1">
      <c r="B581" s="35"/>
      <c r="M581" s="66"/>
    </row>
    <row r="582" spans="2:13" ht="15.75" customHeight="1">
      <c r="B582" s="35"/>
      <c r="M582" s="66"/>
    </row>
    <row r="583" spans="2:13" ht="15.75" customHeight="1">
      <c r="B583" s="35"/>
      <c r="M583" s="66"/>
    </row>
    <row r="584" spans="2:13" ht="15.75" customHeight="1">
      <c r="B584" s="35"/>
      <c r="M584" s="66"/>
    </row>
    <row r="585" spans="2:13" ht="15.75" customHeight="1">
      <c r="B585" s="35"/>
      <c r="M585" s="66"/>
    </row>
    <row r="586" spans="2:13" ht="15.75" customHeight="1">
      <c r="B586" s="35"/>
      <c r="M586" s="66"/>
    </row>
    <row r="587" spans="2:13" ht="15.75" customHeight="1">
      <c r="B587" s="35"/>
      <c r="M587" s="66"/>
    </row>
    <row r="588" spans="2:13" ht="15.75" customHeight="1">
      <c r="B588" s="35"/>
      <c r="M588" s="66"/>
    </row>
    <row r="589" spans="2:13" ht="15.75" customHeight="1">
      <c r="B589" s="35"/>
      <c r="M589" s="66"/>
    </row>
    <row r="590" spans="2:13" ht="15.75" customHeight="1">
      <c r="B590" s="35"/>
      <c r="M590" s="66"/>
    </row>
    <row r="591" spans="2:13" ht="15.75" customHeight="1">
      <c r="B591" s="35"/>
      <c r="M591" s="66"/>
    </row>
    <row r="592" spans="2:13" ht="15.75" customHeight="1">
      <c r="B592" s="35"/>
      <c r="M592" s="66"/>
    </row>
    <row r="593" spans="2:13" ht="15.75" customHeight="1">
      <c r="B593" s="35"/>
      <c r="M593" s="66"/>
    </row>
    <row r="594" spans="2:13" ht="15.75" customHeight="1">
      <c r="B594" s="35"/>
      <c r="M594" s="66"/>
    </row>
    <row r="595" spans="2:13" ht="15.75" customHeight="1">
      <c r="B595" s="35"/>
      <c r="M595" s="66"/>
    </row>
    <row r="596" spans="2:13" ht="15.75" customHeight="1">
      <c r="B596" s="35"/>
      <c r="M596" s="66"/>
    </row>
    <row r="597" spans="2:13" ht="15.75" customHeight="1">
      <c r="B597" s="35"/>
      <c r="M597" s="66"/>
    </row>
    <row r="598" spans="2:13" ht="15.75" customHeight="1">
      <c r="B598" s="35"/>
      <c r="M598" s="66"/>
    </row>
    <row r="599" spans="2:13" ht="15.75" customHeight="1">
      <c r="B599" s="35"/>
      <c r="M599" s="66"/>
    </row>
    <row r="600" spans="2:13" ht="15.75" customHeight="1">
      <c r="B600" s="35"/>
      <c r="M600" s="66"/>
    </row>
    <row r="601" spans="2:13" ht="15.75" customHeight="1">
      <c r="B601" s="35"/>
      <c r="M601" s="66"/>
    </row>
    <row r="602" spans="2:13" ht="15.75" customHeight="1">
      <c r="B602" s="35"/>
      <c r="M602" s="66"/>
    </row>
    <row r="603" spans="2:13" ht="15.75" customHeight="1">
      <c r="B603" s="35"/>
      <c r="M603" s="66"/>
    </row>
    <row r="604" spans="2:13" ht="15.75" customHeight="1">
      <c r="B604" s="35"/>
      <c r="M604" s="66"/>
    </row>
    <row r="605" spans="2:13" ht="15.75" customHeight="1">
      <c r="B605" s="35"/>
      <c r="M605" s="66"/>
    </row>
    <row r="606" spans="2:13" ht="15.75" customHeight="1">
      <c r="B606" s="35"/>
      <c r="M606" s="66"/>
    </row>
    <row r="607" spans="2:13" ht="15.75" customHeight="1">
      <c r="B607" s="35"/>
      <c r="M607" s="66"/>
    </row>
    <row r="608" spans="2:13" ht="15.75" customHeight="1">
      <c r="B608" s="35"/>
      <c r="M608" s="66"/>
    </row>
    <row r="609" spans="2:13" ht="15.75" customHeight="1">
      <c r="B609" s="35"/>
      <c r="M609" s="66"/>
    </row>
    <row r="610" spans="2:13" ht="15.75" customHeight="1">
      <c r="B610" s="35"/>
      <c r="M610" s="66"/>
    </row>
    <row r="611" spans="2:13" ht="15.75" customHeight="1">
      <c r="B611" s="35"/>
      <c r="M611" s="66"/>
    </row>
    <row r="612" spans="2:13" ht="15.75" customHeight="1">
      <c r="B612" s="35"/>
      <c r="M612" s="66"/>
    </row>
    <row r="613" spans="2:13" ht="15.75" customHeight="1">
      <c r="B613" s="35"/>
      <c r="M613" s="66"/>
    </row>
    <row r="614" spans="2:13" ht="15.75" customHeight="1">
      <c r="B614" s="35"/>
      <c r="M614" s="66"/>
    </row>
    <row r="615" spans="2:13" ht="15.75" customHeight="1">
      <c r="B615" s="35"/>
      <c r="M615" s="66"/>
    </row>
    <row r="616" spans="2:13" ht="15.75" customHeight="1">
      <c r="B616" s="35"/>
      <c r="M616" s="66"/>
    </row>
    <row r="617" spans="2:13" ht="15.75" customHeight="1">
      <c r="B617" s="35"/>
      <c r="M617" s="66"/>
    </row>
    <row r="618" spans="2:13" ht="15.75" customHeight="1">
      <c r="B618" s="35"/>
      <c r="M618" s="66"/>
    </row>
    <row r="619" spans="2:13" ht="15.75" customHeight="1">
      <c r="B619" s="35"/>
      <c r="M619" s="66"/>
    </row>
    <row r="620" spans="2:13" ht="15.75" customHeight="1">
      <c r="B620" s="35"/>
      <c r="M620" s="66"/>
    </row>
    <row r="621" spans="2:13" ht="15.75" customHeight="1">
      <c r="B621" s="35"/>
      <c r="M621" s="66"/>
    </row>
    <row r="622" spans="2:13" ht="15.75" customHeight="1">
      <c r="B622" s="35"/>
      <c r="M622" s="66"/>
    </row>
    <row r="623" spans="2:13" ht="15.75" customHeight="1">
      <c r="B623" s="35"/>
      <c r="M623" s="66"/>
    </row>
    <row r="624" spans="2:13" ht="15.75" customHeight="1">
      <c r="B624" s="35"/>
      <c r="M624" s="66"/>
    </row>
    <row r="625" spans="2:13" ht="15.75" customHeight="1">
      <c r="B625" s="35"/>
      <c r="M625" s="66"/>
    </row>
    <row r="626" spans="2:13" ht="15.75" customHeight="1">
      <c r="B626" s="35"/>
      <c r="M626" s="66"/>
    </row>
    <row r="627" spans="2:13" ht="15.75" customHeight="1">
      <c r="B627" s="35"/>
      <c r="M627" s="66"/>
    </row>
    <row r="628" spans="2:13" ht="15.75" customHeight="1">
      <c r="B628" s="35"/>
      <c r="M628" s="66"/>
    </row>
    <row r="629" spans="2:13" ht="15.75" customHeight="1">
      <c r="B629" s="35"/>
      <c r="M629" s="66"/>
    </row>
    <row r="630" spans="2:13" ht="15.75" customHeight="1">
      <c r="B630" s="35"/>
      <c r="M630" s="66"/>
    </row>
    <row r="631" spans="2:13" ht="15.75" customHeight="1">
      <c r="B631" s="35"/>
      <c r="M631" s="66"/>
    </row>
    <row r="632" spans="2:13" ht="15.75" customHeight="1">
      <c r="B632" s="35"/>
      <c r="M632" s="66"/>
    </row>
    <row r="633" spans="2:13" ht="15.75" customHeight="1">
      <c r="B633" s="35"/>
      <c r="M633" s="66"/>
    </row>
    <row r="634" spans="2:13" ht="15.75" customHeight="1">
      <c r="B634" s="35"/>
      <c r="M634" s="66"/>
    </row>
    <row r="635" spans="2:13" ht="15.75" customHeight="1">
      <c r="B635" s="35"/>
      <c r="M635" s="66"/>
    </row>
    <row r="636" spans="2:13" ht="15.75" customHeight="1">
      <c r="B636" s="35"/>
      <c r="M636" s="66"/>
    </row>
    <row r="637" spans="2:13" ht="15.75" customHeight="1">
      <c r="B637" s="35"/>
      <c r="M637" s="66"/>
    </row>
    <row r="638" spans="2:13" ht="15.75" customHeight="1">
      <c r="B638" s="35"/>
      <c r="M638" s="66"/>
    </row>
    <row r="639" spans="2:13" ht="15.75" customHeight="1">
      <c r="B639" s="35"/>
      <c r="M639" s="66"/>
    </row>
    <row r="640" spans="2:13" ht="15.75" customHeight="1">
      <c r="B640" s="35"/>
      <c r="M640" s="66"/>
    </row>
    <row r="641" spans="2:13" ht="15.75" customHeight="1">
      <c r="B641" s="35"/>
      <c r="M641" s="66"/>
    </row>
    <row r="642" spans="2:13" ht="15.75" customHeight="1">
      <c r="B642" s="35"/>
      <c r="M642" s="66"/>
    </row>
    <row r="643" spans="2:13" ht="15.75" customHeight="1">
      <c r="B643" s="35"/>
      <c r="M643" s="66"/>
    </row>
    <row r="644" spans="2:13" ht="15.75" customHeight="1">
      <c r="B644" s="35"/>
      <c r="M644" s="66"/>
    </row>
    <row r="645" spans="2:13" ht="15.75" customHeight="1">
      <c r="B645" s="35"/>
      <c r="M645" s="66"/>
    </row>
    <row r="646" spans="2:13" ht="15.75" customHeight="1">
      <c r="B646" s="35"/>
      <c r="M646" s="66"/>
    </row>
    <row r="647" spans="2:13" ht="15.75" customHeight="1">
      <c r="B647" s="35"/>
      <c r="M647" s="66"/>
    </row>
    <row r="648" spans="2:13" ht="15.75" customHeight="1">
      <c r="B648" s="35"/>
      <c r="M648" s="66"/>
    </row>
    <row r="649" spans="2:13" ht="15.75" customHeight="1">
      <c r="B649" s="35"/>
      <c r="M649" s="66"/>
    </row>
    <row r="650" spans="2:13" ht="15.75" customHeight="1">
      <c r="B650" s="35"/>
      <c r="M650" s="66"/>
    </row>
    <row r="651" spans="2:13" ht="15.75" customHeight="1">
      <c r="B651" s="35"/>
      <c r="M651" s="66"/>
    </row>
    <row r="652" spans="2:13" ht="15.75" customHeight="1">
      <c r="B652" s="35"/>
      <c r="M652" s="66"/>
    </row>
    <row r="653" spans="2:13" ht="15.75" customHeight="1">
      <c r="B653" s="35"/>
      <c r="M653" s="66"/>
    </row>
    <row r="654" spans="2:13" ht="15.75" customHeight="1">
      <c r="B654" s="35"/>
      <c r="M654" s="66"/>
    </row>
    <row r="655" spans="2:13" ht="15.75" customHeight="1">
      <c r="B655" s="35"/>
      <c r="M655" s="66"/>
    </row>
    <row r="656" spans="2:13" ht="15.75" customHeight="1">
      <c r="B656" s="35"/>
      <c r="M656" s="66"/>
    </row>
    <row r="657" spans="2:13" ht="15.75" customHeight="1">
      <c r="B657" s="35"/>
      <c r="M657" s="66"/>
    </row>
    <row r="658" spans="2:13" ht="15.75" customHeight="1">
      <c r="B658" s="35"/>
      <c r="M658" s="66"/>
    </row>
    <row r="659" spans="2:13" ht="15.75" customHeight="1">
      <c r="B659" s="35"/>
      <c r="M659" s="66"/>
    </row>
    <row r="660" spans="2:13" ht="15.75" customHeight="1">
      <c r="B660" s="35"/>
      <c r="M660" s="66"/>
    </row>
    <row r="661" spans="2:13" ht="15.75" customHeight="1">
      <c r="B661" s="35"/>
      <c r="M661" s="66"/>
    </row>
    <row r="662" spans="2:13" ht="15.75" customHeight="1">
      <c r="B662" s="35"/>
      <c r="M662" s="66"/>
    </row>
    <row r="663" spans="2:13" ht="15.75" customHeight="1">
      <c r="B663" s="35"/>
      <c r="M663" s="66"/>
    </row>
    <row r="664" spans="2:13" ht="15.75" customHeight="1">
      <c r="B664" s="35"/>
      <c r="M664" s="66"/>
    </row>
    <row r="665" spans="2:13" ht="15.75" customHeight="1">
      <c r="B665" s="35"/>
      <c r="M665" s="66"/>
    </row>
    <row r="666" spans="2:13" ht="15.75" customHeight="1">
      <c r="B666" s="35"/>
      <c r="M666" s="66"/>
    </row>
    <row r="667" spans="2:13" ht="15.75" customHeight="1">
      <c r="B667" s="35"/>
      <c r="M667" s="66"/>
    </row>
    <row r="668" spans="2:13" ht="15.75" customHeight="1">
      <c r="B668" s="35"/>
      <c r="M668" s="66"/>
    </row>
    <row r="669" spans="2:13" ht="15.75" customHeight="1">
      <c r="B669" s="35"/>
      <c r="M669" s="66"/>
    </row>
    <row r="670" spans="2:13" ht="15.75" customHeight="1">
      <c r="B670" s="35"/>
      <c r="M670" s="66"/>
    </row>
    <row r="671" spans="2:13" ht="15.75" customHeight="1">
      <c r="B671" s="35"/>
      <c r="M671" s="66"/>
    </row>
    <row r="672" spans="2:13" ht="15.75" customHeight="1">
      <c r="B672" s="35"/>
      <c r="M672" s="66"/>
    </row>
    <row r="673" spans="2:13" ht="15.75" customHeight="1">
      <c r="B673" s="35"/>
      <c r="M673" s="66"/>
    </row>
    <row r="674" spans="2:13" ht="15.75" customHeight="1">
      <c r="B674" s="35"/>
      <c r="M674" s="66"/>
    </row>
    <row r="675" spans="2:13" ht="15.75" customHeight="1">
      <c r="B675" s="35"/>
      <c r="M675" s="66"/>
    </row>
    <row r="676" spans="2:13" ht="15.75" customHeight="1">
      <c r="B676" s="35"/>
      <c r="M676" s="66"/>
    </row>
    <row r="677" spans="2:13" ht="15.75" customHeight="1">
      <c r="B677" s="35"/>
      <c r="M677" s="66"/>
    </row>
    <row r="678" spans="2:13" ht="15.75" customHeight="1">
      <c r="B678" s="35"/>
      <c r="M678" s="66"/>
    </row>
    <row r="679" spans="2:13" ht="15.75" customHeight="1">
      <c r="B679" s="35"/>
      <c r="M679" s="66"/>
    </row>
    <row r="680" spans="2:13" ht="15.75" customHeight="1">
      <c r="B680" s="35"/>
      <c r="M680" s="66"/>
    </row>
    <row r="681" spans="2:13" ht="15.75" customHeight="1">
      <c r="B681" s="35"/>
      <c r="M681" s="66"/>
    </row>
    <row r="682" spans="2:13" ht="15.75" customHeight="1">
      <c r="B682" s="35"/>
      <c r="M682" s="66"/>
    </row>
    <row r="683" spans="2:13" ht="15.75" customHeight="1">
      <c r="B683" s="35"/>
      <c r="M683" s="66"/>
    </row>
    <row r="684" spans="2:13" ht="15.75" customHeight="1">
      <c r="B684" s="35"/>
      <c r="M684" s="66"/>
    </row>
    <row r="685" spans="2:13" ht="15.75" customHeight="1">
      <c r="B685" s="35"/>
      <c r="M685" s="66"/>
    </row>
    <row r="686" spans="2:13" ht="15.75" customHeight="1">
      <c r="B686" s="35"/>
      <c r="M686" s="66"/>
    </row>
    <row r="687" spans="2:13" ht="15.75" customHeight="1">
      <c r="B687" s="35"/>
      <c r="M687" s="66"/>
    </row>
    <row r="688" spans="2:13" ht="15.75" customHeight="1">
      <c r="B688" s="35"/>
      <c r="M688" s="66"/>
    </row>
    <row r="689" spans="2:13" ht="15.75" customHeight="1">
      <c r="B689" s="35"/>
      <c r="M689" s="66"/>
    </row>
    <row r="690" spans="2:13" ht="15.75" customHeight="1">
      <c r="B690" s="35"/>
      <c r="M690" s="66"/>
    </row>
    <row r="691" spans="2:13" ht="15.75" customHeight="1">
      <c r="B691" s="35"/>
      <c r="M691" s="66"/>
    </row>
    <row r="692" spans="2:13" ht="15.75" customHeight="1">
      <c r="B692" s="35"/>
      <c r="M692" s="66"/>
    </row>
    <row r="693" spans="2:13" ht="15.75" customHeight="1">
      <c r="B693" s="35"/>
      <c r="M693" s="66"/>
    </row>
    <row r="694" spans="2:13" ht="15.75" customHeight="1">
      <c r="B694" s="35"/>
      <c r="M694" s="66"/>
    </row>
    <row r="695" spans="2:13" ht="15.75" customHeight="1">
      <c r="B695" s="35"/>
      <c r="M695" s="66"/>
    </row>
    <row r="696" spans="2:13" ht="15.75" customHeight="1">
      <c r="B696" s="35"/>
      <c r="M696" s="66"/>
    </row>
    <row r="697" spans="2:13" ht="15.75" customHeight="1">
      <c r="B697" s="35"/>
      <c r="M697" s="66"/>
    </row>
    <row r="698" spans="2:13" ht="15.75" customHeight="1">
      <c r="B698" s="35"/>
      <c r="M698" s="66"/>
    </row>
    <row r="699" spans="2:13" ht="15.75" customHeight="1">
      <c r="B699" s="35"/>
      <c r="M699" s="66"/>
    </row>
    <row r="700" spans="2:13" ht="15.75" customHeight="1">
      <c r="B700" s="35"/>
      <c r="M700" s="66"/>
    </row>
    <row r="701" spans="2:13" ht="15.75" customHeight="1">
      <c r="B701" s="35"/>
      <c r="M701" s="66"/>
    </row>
    <row r="702" spans="2:13" ht="15.75" customHeight="1">
      <c r="B702" s="35"/>
      <c r="M702" s="66"/>
    </row>
    <row r="703" spans="2:13" ht="15.75" customHeight="1">
      <c r="B703" s="35"/>
      <c r="M703" s="66"/>
    </row>
    <row r="704" spans="2:13" ht="15.75" customHeight="1">
      <c r="B704" s="35"/>
      <c r="M704" s="66"/>
    </row>
    <row r="705" spans="2:13" ht="15.75" customHeight="1">
      <c r="B705" s="35"/>
      <c r="M705" s="66"/>
    </row>
    <row r="706" spans="2:13" ht="15.75" customHeight="1">
      <c r="B706" s="35"/>
      <c r="M706" s="66"/>
    </row>
    <row r="707" spans="2:13" ht="15.75" customHeight="1">
      <c r="B707" s="35"/>
      <c r="M707" s="66"/>
    </row>
    <row r="708" spans="2:13" ht="15.75" customHeight="1">
      <c r="B708" s="35"/>
      <c r="M708" s="66"/>
    </row>
    <row r="709" spans="2:13" ht="15.75" customHeight="1">
      <c r="B709" s="35"/>
      <c r="M709" s="66"/>
    </row>
    <row r="710" spans="2:13" ht="15.75" customHeight="1">
      <c r="B710" s="35"/>
      <c r="M710" s="66"/>
    </row>
    <row r="711" spans="2:13" ht="15.75" customHeight="1">
      <c r="B711" s="35"/>
      <c r="M711" s="66"/>
    </row>
    <row r="712" spans="2:13" ht="15.75" customHeight="1">
      <c r="B712" s="35"/>
      <c r="M712" s="66"/>
    </row>
    <row r="713" spans="2:13" ht="15.75" customHeight="1">
      <c r="B713" s="35"/>
      <c r="M713" s="66"/>
    </row>
    <row r="714" spans="2:13" ht="15.75" customHeight="1">
      <c r="B714" s="35"/>
      <c r="M714" s="66"/>
    </row>
    <row r="715" spans="2:13" ht="15.75" customHeight="1">
      <c r="B715" s="35"/>
      <c r="M715" s="66"/>
    </row>
    <row r="716" spans="2:13" ht="15.75" customHeight="1">
      <c r="B716" s="35"/>
      <c r="M716" s="66"/>
    </row>
    <row r="717" spans="2:13" ht="15.75" customHeight="1">
      <c r="B717" s="35"/>
      <c r="M717" s="66"/>
    </row>
    <row r="718" spans="2:13" ht="15.75" customHeight="1">
      <c r="B718" s="35"/>
      <c r="M718" s="66"/>
    </row>
    <row r="719" spans="2:13" ht="15.75" customHeight="1">
      <c r="B719" s="35"/>
      <c r="M719" s="66"/>
    </row>
    <row r="720" spans="2:13" ht="15.75" customHeight="1">
      <c r="B720" s="35"/>
      <c r="M720" s="66"/>
    </row>
    <row r="721" spans="2:13" ht="15.75" customHeight="1">
      <c r="B721" s="35"/>
      <c r="M721" s="66"/>
    </row>
    <row r="722" spans="2:13" ht="15.75" customHeight="1">
      <c r="B722" s="35"/>
      <c r="M722" s="66"/>
    </row>
    <row r="723" spans="2:13" ht="15.75" customHeight="1">
      <c r="B723" s="35"/>
      <c r="M723" s="66"/>
    </row>
    <row r="724" spans="2:13" ht="15.75" customHeight="1">
      <c r="B724" s="35"/>
      <c r="M724" s="66"/>
    </row>
    <row r="725" spans="2:13" ht="15.75" customHeight="1">
      <c r="B725" s="35"/>
      <c r="M725" s="66"/>
    </row>
    <row r="726" spans="2:13" ht="15.75" customHeight="1">
      <c r="B726" s="35"/>
      <c r="M726" s="66"/>
    </row>
    <row r="727" spans="2:13" ht="15.75" customHeight="1">
      <c r="B727" s="35"/>
      <c r="M727" s="66"/>
    </row>
    <row r="728" spans="2:13" ht="15.75" customHeight="1">
      <c r="B728" s="35"/>
      <c r="M728" s="66"/>
    </row>
    <row r="729" spans="2:13" ht="15.75" customHeight="1">
      <c r="B729" s="35"/>
      <c r="M729" s="66"/>
    </row>
    <row r="730" spans="2:13" ht="15.75" customHeight="1">
      <c r="B730" s="35"/>
      <c r="M730" s="66"/>
    </row>
    <row r="731" spans="2:13" ht="15.75" customHeight="1">
      <c r="B731" s="35"/>
      <c r="M731" s="66"/>
    </row>
    <row r="732" spans="2:13" ht="15.75" customHeight="1">
      <c r="B732" s="35"/>
      <c r="M732" s="66"/>
    </row>
    <row r="733" spans="2:13" ht="15.75" customHeight="1">
      <c r="B733" s="35"/>
      <c r="M733" s="66"/>
    </row>
    <row r="734" spans="2:13" ht="15.75" customHeight="1">
      <c r="B734" s="35"/>
      <c r="M734" s="66"/>
    </row>
    <row r="735" spans="2:13" ht="15.75" customHeight="1">
      <c r="B735" s="35"/>
      <c r="M735" s="66"/>
    </row>
    <row r="736" spans="2:13" ht="15.75" customHeight="1">
      <c r="B736" s="35"/>
      <c r="M736" s="66"/>
    </row>
    <row r="737" spans="2:13" ht="15.75" customHeight="1">
      <c r="B737" s="35"/>
      <c r="M737" s="66"/>
    </row>
    <row r="738" spans="2:13" ht="15.75" customHeight="1">
      <c r="B738" s="35"/>
      <c r="M738" s="66"/>
    </row>
    <row r="739" spans="2:13" ht="15.75" customHeight="1">
      <c r="B739" s="35"/>
      <c r="M739" s="66"/>
    </row>
    <row r="740" spans="2:13" ht="15.75" customHeight="1">
      <c r="B740" s="35"/>
      <c r="M740" s="66"/>
    </row>
    <row r="741" spans="2:13" ht="15.75" customHeight="1">
      <c r="B741" s="35"/>
      <c r="M741" s="66"/>
    </row>
    <row r="742" spans="2:13" ht="15.75" customHeight="1">
      <c r="B742" s="35"/>
      <c r="M742" s="66"/>
    </row>
    <row r="743" spans="2:13" ht="15.75" customHeight="1">
      <c r="B743" s="35"/>
      <c r="M743" s="66"/>
    </row>
    <row r="744" spans="2:13" ht="15.75" customHeight="1">
      <c r="B744" s="35"/>
      <c r="M744" s="66"/>
    </row>
    <row r="745" spans="2:13" ht="15.75" customHeight="1">
      <c r="B745" s="35"/>
      <c r="M745" s="66"/>
    </row>
    <row r="746" spans="2:13" ht="15.75" customHeight="1">
      <c r="B746" s="35"/>
      <c r="M746" s="66"/>
    </row>
    <row r="747" spans="2:13" ht="15.75" customHeight="1">
      <c r="B747" s="35"/>
      <c r="M747" s="66"/>
    </row>
    <row r="748" spans="2:13" ht="15.75" customHeight="1">
      <c r="B748" s="35"/>
      <c r="M748" s="66"/>
    </row>
    <row r="749" spans="2:13" ht="15.75" customHeight="1">
      <c r="B749" s="35"/>
      <c r="M749" s="66"/>
    </row>
    <row r="750" spans="2:13" ht="15.75" customHeight="1">
      <c r="B750" s="35"/>
      <c r="M750" s="66"/>
    </row>
    <row r="751" spans="2:13" ht="15.75" customHeight="1">
      <c r="B751" s="35"/>
      <c r="M751" s="66"/>
    </row>
    <row r="752" spans="2:13" ht="15.75" customHeight="1">
      <c r="B752" s="35"/>
      <c r="M752" s="66"/>
    </row>
    <row r="753" spans="2:13" ht="15.75" customHeight="1">
      <c r="B753" s="35"/>
      <c r="M753" s="66"/>
    </row>
    <row r="754" spans="2:13" ht="15.75" customHeight="1">
      <c r="B754" s="35"/>
      <c r="M754" s="66"/>
    </row>
    <row r="755" spans="2:13" ht="15.75" customHeight="1">
      <c r="B755" s="35"/>
      <c r="M755" s="66"/>
    </row>
    <row r="756" spans="2:13" ht="15.75" customHeight="1">
      <c r="B756" s="35"/>
      <c r="M756" s="66"/>
    </row>
    <row r="757" spans="2:13" ht="15.75" customHeight="1">
      <c r="B757" s="35"/>
      <c r="M757" s="66"/>
    </row>
    <row r="758" spans="2:13" ht="15.75" customHeight="1">
      <c r="B758" s="35"/>
      <c r="M758" s="66"/>
    </row>
    <row r="759" spans="2:13" ht="15.75" customHeight="1">
      <c r="B759" s="35"/>
      <c r="M759" s="66"/>
    </row>
    <row r="760" spans="2:13" ht="15.75" customHeight="1">
      <c r="B760" s="35"/>
      <c r="M760" s="66"/>
    </row>
    <row r="761" spans="2:13" ht="15.75" customHeight="1">
      <c r="B761" s="35"/>
      <c r="M761" s="66"/>
    </row>
    <row r="762" spans="2:13" ht="15.75" customHeight="1">
      <c r="B762" s="35"/>
      <c r="M762" s="66"/>
    </row>
    <row r="763" spans="2:13" ht="15.75" customHeight="1">
      <c r="B763" s="35"/>
      <c r="M763" s="66"/>
    </row>
    <row r="764" spans="2:13" ht="15.75" customHeight="1">
      <c r="B764" s="35"/>
      <c r="M764" s="66"/>
    </row>
    <row r="765" spans="2:13" ht="15.75" customHeight="1">
      <c r="B765" s="35"/>
      <c r="M765" s="66"/>
    </row>
    <row r="766" spans="2:13" ht="15.75" customHeight="1">
      <c r="B766" s="35"/>
      <c r="M766" s="66"/>
    </row>
    <row r="767" spans="2:13" ht="15.75" customHeight="1">
      <c r="B767" s="35"/>
      <c r="M767" s="66"/>
    </row>
    <row r="768" spans="2:13" ht="15.75" customHeight="1">
      <c r="B768" s="35"/>
      <c r="M768" s="66"/>
    </row>
    <row r="769" spans="2:13" ht="15.75" customHeight="1">
      <c r="B769" s="35"/>
      <c r="M769" s="66"/>
    </row>
    <row r="770" spans="2:13" ht="15.75" customHeight="1">
      <c r="B770" s="35"/>
      <c r="M770" s="66"/>
    </row>
    <row r="771" spans="2:13" ht="15.75" customHeight="1">
      <c r="B771" s="35"/>
      <c r="M771" s="66"/>
    </row>
    <row r="772" spans="2:13" ht="15.75" customHeight="1">
      <c r="B772" s="35"/>
      <c r="M772" s="66"/>
    </row>
    <row r="773" spans="2:13" ht="15.75" customHeight="1">
      <c r="B773" s="35"/>
      <c r="M773" s="66"/>
    </row>
    <row r="774" spans="2:13" ht="15.75" customHeight="1">
      <c r="B774" s="35"/>
      <c r="M774" s="66"/>
    </row>
    <row r="775" spans="2:13" ht="15.75" customHeight="1">
      <c r="B775" s="35"/>
      <c r="M775" s="66"/>
    </row>
    <row r="776" spans="2:13" ht="15.75" customHeight="1">
      <c r="B776" s="35"/>
      <c r="M776" s="66"/>
    </row>
    <row r="777" spans="2:13" ht="15.75" customHeight="1">
      <c r="B777" s="35"/>
      <c r="M777" s="66"/>
    </row>
    <row r="778" spans="2:13" ht="15.75" customHeight="1">
      <c r="B778" s="35"/>
      <c r="M778" s="66"/>
    </row>
    <row r="779" spans="2:13" ht="15.75" customHeight="1">
      <c r="B779" s="35"/>
      <c r="M779" s="66"/>
    </row>
    <row r="780" spans="2:13" ht="15.75" customHeight="1">
      <c r="B780" s="35"/>
      <c r="M780" s="66"/>
    </row>
    <row r="781" spans="2:13" ht="15.75" customHeight="1">
      <c r="B781" s="35"/>
      <c r="M781" s="66"/>
    </row>
    <row r="782" spans="2:13" ht="15.75" customHeight="1">
      <c r="B782" s="35"/>
      <c r="M782" s="66"/>
    </row>
    <row r="783" spans="2:13" ht="15.75" customHeight="1">
      <c r="B783" s="35"/>
      <c r="M783" s="66"/>
    </row>
    <row r="784" spans="2:13" ht="15.75" customHeight="1">
      <c r="B784" s="35"/>
      <c r="M784" s="66"/>
    </row>
    <row r="785" spans="2:13" ht="15.75" customHeight="1">
      <c r="B785" s="35"/>
      <c r="M785" s="66"/>
    </row>
    <row r="786" spans="2:13" ht="15.75" customHeight="1">
      <c r="B786" s="35"/>
      <c r="M786" s="66"/>
    </row>
    <row r="787" spans="2:13" ht="15.75" customHeight="1">
      <c r="B787" s="35"/>
      <c r="M787" s="66"/>
    </row>
    <row r="788" spans="2:13" ht="15.75" customHeight="1">
      <c r="B788" s="35"/>
      <c r="M788" s="66"/>
    </row>
    <row r="789" spans="2:13" ht="15.75" customHeight="1">
      <c r="B789" s="35"/>
      <c r="M789" s="66"/>
    </row>
    <row r="790" spans="2:13" ht="15.75" customHeight="1">
      <c r="B790" s="35"/>
      <c r="M790" s="66"/>
    </row>
    <row r="791" spans="2:13" ht="15.75" customHeight="1">
      <c r="B791" s="35"/>
      <c r="M791" s="66"/>
    </row>
    <row r="792" spans="2:13" ht="15.75" customHeight="1">
      <c r="B792" s="35"/>
      <c r="M792" s="66"/>
    </row>
    <row r="793" spans="2:13" ht="15.75" customHeight="1">
      <c r="B793" s="35"/>
      <c r="M793" s="66"/>
    </row>
    <row r="794" spans="2:13" ht="15.75" customHeight="1">
      <c r="B794" s="35"/>
      <c r="M794" s="66"/>
    </row>
    <row r="795" spans="2:13" ht="15.75" customHeight="1">
      <c r="B795" s="35"/>
      <c r="M795" s="66"/>
    </row>
    <row r="796" spans="2:13" ht="15.75" customHeight="1">
      <c r="B796" s="35"/>
      <c r="M796" s="66"/>
    </row>
    <row r="797" spans="2:13" ht="15.75" customHeight="1">
      <c r="B797" s="35"/>
      <c r="M797" s="66"/>
    </row>
    <row r="798" spans="2:13" ht="15.75" customHeight="1">
      <c r="B798" s="35"/>
      <c r="M798" s="66"/>
    </row>
    <row r="799" spans="2:13" ht="15.75" customHeight="1">
      <c r="B799" s="35"/>
      <c r="M799" s="66"/>
    </row>
    <row r="800" spans="2:13" ht="15.75" customHeight="1">
      <c r="B800" s="35"/>
      <c r="M800" s="66"/>
    </row>
    <row r="801" spans="2:13" ht="15.75" customHeight="1">
      <c r="B801" s="35"/>
      <c r="M801" s="66"/>
    </row>
    <row r="802" spans="2:13" ht="15.75" customHeight="1">
      <c r="B802" s="35"/>
      <c r="M802" s="66"/>
    </row>
    <row r="803" spans="2:13" ht="15.75" customHeight="1">
      <c r="B803" s="35"/>
      <c r="M803" s="66"/>
    </row>
    <row r="804" spans="2:13" ht="15.75" customHeight="1">
      <c r="B804" s="35"/>
      <c r="M804" s="66"/>
    </row>
    <row r="805" spans="2:13" ht="15.75" customHeight="1">
      <c r="B805" s="35"/>
      <c r="M805" s="66"/>
    </row>
    <row r="806" spans="2:13" ht="15.75" customHeight="1">
      <c r="B806" s="35"/>
      <c r="M806" s="66"/>
    </row>
    <row r="807" spans="2:13" ht="15.75" customHeight="1">
      <c r="B807" s="35"/>
      <c r="M807" s="66"/>
    </row>
    <row r="808" spans="2:13" ht="15.75" customHeight="1">
      <c r="B808" s="35"/>
      <c r="M808" s="66"/>
    </row>
    <row r="809" spans="2:13" ht="15.75" customHeight="1">
      <c r="B809" s="35"/>
      <c r="M809" s="66"/>
    </row>
    <row r="810" spans="2:13" ht="15.75" customHeight="1">
      <c r="B810" s="35"/>
      <c r="M810" s="66"/>
    </row>
    <row r="811" spans="2:13" ht="15.75" customHeight="1">
      <c r="B811" s="35"/>
      <c r="M811" s="66"/>
    </row>
    <row r="812" spans="2:13" ht="15.75" customHeight="1">
      <c r="B812" s="35"/>
      <c r="M812" s="66"/>
    </row>
    <row r="813" spans="2:13" ht="15.75" customHeight="1">
      <c r="B813" s="35"/>
      <c r="M813" s="66"/>
    </row>
    <row r="814" spans="2:13" ht="15.75" customHeight="1">
      <c r="B814" s="35"/>
      <c r="M814" s="66"/>
    </row>
    <row r="815" spans="2:13" ht="15.75" customHeight="1">
      <c r="B815" s="35"/>
      <c r="M815" s="66"/>
    </row>
    <row r="816" spans="2:13" ht="15.75" customHeight="1">
      <c r="B816" s="35"/>
      <c r="M816" s="66"/>
    </row>
    <row r="817" spans="2:13" ht="15.75" customHeight="1">
      <c r="B817" s="35"/>
      <c r="M817" s="66"/>
    </row>
    <row r="818" spans="2:13" ht="15.75" customHeight="1">
      <c r="B818" s="35"/>
      <c r="M818" s="66"/>
    </row>
    <row r="819" spans="2:13" ht="15.75" customHeight="1">
      <c r="B819" s="35"/>
      <c r="M819" s="66"/>
    </row>
    <row r="820" spans="2:13" ht="15.75" customHeight="1">
      <c r="B820" s="35"/>
      <c r="M820" s="66"/>
    </row>
    <row r="821" spans="2:13" ht="15.75" customHeight="1">
      <c r="B821" s="35"/>
      <c r="M821" s="66"/>
    </row>
    <row r="822" spans="2:13" ht="15.75" customHeight="1">
      <c r="B822" s="35"/>
      <c r="M822" s="66"/>
    </row>
    <row r="823" spans="2:13" ht="15.75" customHeight="1">
      <c r="B823" s="35"/>
      <c r="M823" s="66"/>
    </row>
    <row r="824" spans="2:13" ht="15.75" customHeight="1">
      <c r="B824" s="35"/>
      <c r="M824" s="66"/>
    </row>
    <row r="825" spans="2:13" ht="15.75" customHeight="1">
      <c r="B825" s="35"/>
      <c r="M825" s="66"/>
    </row>
    <row r="826" spans="2:13" ht="15.75" customHeight="1">
      <c r="B826" s="35"/>
      <c r="M826" s="66"/>
    </row>
    <row r="827" spans="2:13" ht="15.75" customHeight="1">
      <c r="B827" s="35"/>
      <c r="M827" s="66"/>
    </row>
    <row r="828" spans="2:13" ht="15.75" customHeight="1">
      <c r="B828" s="35"/>
      <c r="M828" s="66"/>
    </row>
    <row r="829" spans="2:13" ht="15.75" customHeight="1">
      <c r="B829" s="35"/>
      <c r="M829" s="66"/>
    </row>
    <row r="830" spans="2:13" ht="15.75" customHeight="1">
      <c r="B830" s="35"/>
      <c r="M830" s="66"/>
    </row>
    <row r="831" spans="2:13" ht="15.75" customHeight="1">
      <c r="B831" s="35"/>
      <c r="M831" s="66"/>
    </row>
    <row r="832" spans="2:13" ht="15.75" customHeight="1">
      <c r="B832" s="35"/>
      <c r="M832" s="66"/>
    </row>
    <row r="833" spans="2:13" ht="15.75" customHeight="1">
      <c r="B833" s="35"/>
      <c r="M833" s="66"/>
    </row>
    <row r="834" spans="2:13" ht="15.75" customHeight="1">
      <c r="B834" s="35"/>
      <c r="M834" s="66"/>
    </row>
    <row r="835" spans="2:13" ht="15.75" customHeight="1">
      <c r="B835" s="35"/>
      <c r="M835" s="66"/>
    </row>
    <row r="836" spans="2:13" ht="15.75" customHeight="1">
      <c r="B836" s="35"/>
      <c r="M836" s="66"/>
    </row>
    <row r="837" spans="2:13" ht="15.75" customHeight="1">
      <c r="B837" s="35"/>
      <c r="M837" s="66"/>
    </row>
    <row r="838" spans="2:13" ht="15.75" customHeight="1">
      <c r="B838" s="35"/>
      <c r="M838" s="66"/>
    </row>
    <row r="839" spans="2:13" ht="15.75" customHeight="1">
      <c r="B839" s="35"/>
      <c r="M839" s="66"/>
    </row>
    <row r="840" spans="2:13" ht="15.75" customHeight="1">
      <c r="B840" s="35"/>
      <c r="M840" s="66"/>
    </row>
    <row r="841" spans="2:13" ht="15.75" customHeight="1">
      <c r="B841" s="35"/>
      <c r="M841" s="66"/>
    </row>
    <row r="842" spans="2:13" ht="15.75" customHeight="1">
      <c r="B842" s="35"/>
      <c r="M842" s="66"/>
    </row>
    <row r="843" spans="2:13" ht="15.75" customHeight="1">
      <c r="B843" s="35"/>
      <c r="M843" s="66"/>
    </row>
    <row r="844" spans="2:13" ht="15.75" customHeight="1">
      <c r="B844" s="35"/>
      <c r="M844" s="66"/>
    </row>
    <row r="845" spans="2:13" ht="15.75" customHeight="1">
      <c r="B845" s="35"/>
      <c r="M845" s="66"/>
    </row>
    <row r="846" spans="2:13" ht="15.75" customHeight="1">
      <c r="B846" s="35"/>
      <c r="M846" s="66"/>
    </row>
    <row r="847" spans="2:13" ht="15.75" customHeight="1">
      <c r="B847" s="35"/>
      <c r="M847" s="66"/>
    </row>
    <row r="848" spans="2:13" ht="15.75" customHeight="1">
      <c r="B848" s="35"/>
      <c r="M848" s="66"/>
    </row>
    <row r="849" spans="2:13" ht="15.75" customHeight="1">
      <c r="B849" s="35"/>
      <c r="M849" s="66"/>
    </row>
    <row r="850" spans="2:13" ht="15.75" customHeight="1">
      <c r="B850" s="35"/>
      <c r="M850" s="66"/>
    </row>
    <row r="851" spans="2:13" ht="15.75" customHeight="1">
      <c r="B851" s="35"/>
      <c r="M851" s="66"/>
    </row>
    <row r="852" spans="2:13" ht="15.75" customHeight="1">
      <c r="B852" s="35"/>
      <c r="M852" s="66"/>
    </row>
    <row r="853" spans="2:13" ht="15.75" customHeight="1">
      <c r="B853" s="35"/>
      <c r="M853" s="66"/>
    </row>
    <row r="854" spans="2:13" ht="15.75" customHeight="1">
      <c r="B854" s="35"/>
      <c r="M854" s="66"/>
    </row>
    <row r="855" spans="2:13" ht="15.75" customHeight="1">
      <c r="B855" s="35"/>
      <c r="M855" s="66"/>
    </row>
    <row r="856" spans="2:13" ht="15.75" customHeight="1">
      <c r="B856" s="35"/>
      <c r="M856" s="66"/>
    </row>
    <row r="857" spans="2:13" ht="15.75" customHeight="1">
      <c r="B857" s="35"/>
      <c r="M857" s="66"/>
    </row>
    <row r="858" spans="2:13" ht="15.75" customHeight="1">
      <c r="B858" s="35"/>
      <c r="M858" s="66"/>
    </row>
    <row r="859" spans="2:13" ht="15.75" customHeight="1">
      <c r="B859" s="35"/>
      <c r="M859" s="66"/>
    </row>
    <row r="860" spans="2:13" ht="15.75" customHeight="1">
      <c r="B860" s="35"/>
      <c r="M860" s="66"/>
    </row>
    <row r="861" spans="2:13" ht="15.75" customHeight="1">
      <c r="B861" s="35"/>
      <c r="M861" s="66"/>
    </row>
    <row r="862" spans="2:13" ht="15.75" customHeight="1">
      <c r="B862" s="35"/>
      <c r="M862" s="66"/>
    </row>
    <row r="863" spans="2:13" ht="15.75" customHeight="1">
      <c r="B863" s="35"/>
      <c r="M863" s="66"/>
    </row>
    <row r="864" spans="2:13" ht="15.75" customHeight="1">
      <c r="B864" s="35"/>
      <c r="M864" s="66"/>
    </row>
    <row r="865" spans="2:13" ht="15.75" customHeight="1">
      <c r="B865" s="35"/>
      <c r="M865" s="66"/>
    </row>
    <row r="866" spans="2:13" ht="15.75" customHeight="1">
      <c r="B866" s="35"/>
      <c r="M866" s="66"/>
    </row>
    <row r="867" spans="2:13" ht="15.75" customHeight="1">
      <c r="B867" s="35"/>
      <c r="M867" s="66"/>
    </row>
    <row r="868" spans="2:13" ht="15.75" customHeight="1">
      <c r="B868" s="35"/>
      <c r="M868" s="66"/>
    </row>
    <row r="869" spans="2:13" ht="15.75" customHeight="1">
      <c r="B869" s="35"/>
      <c r="M869" s="66"/>
    </row>
    <row r="870" spans="2:13" ht="15.75" customHeight="1">
      <c r="B870" s="35"/>
      <c r="M870" s="66"/>
    </row>
    <row r="871" spans="2:13" ht="15.75" customHeight="1">
      <c r="B871" s="35"/>
      <c r="M871" s="66"/>
    </row>
    <row r="872" spans="2:13" ht="15.75" customHeight="1">
      <c r="B872" s="35"/>
      <c r="M872" s="66"/>
    </row>
    <row r="873" spans="2:13" ht="15.75" customHeight="1">
      <c r="B873" s="35"/>
      <c r="M873" s="66"/>
    </row>
    <row r="874" spans="2:13" ht="15.75" customHeight="1">
      <c r="B874" s="35"/>
      <c r="M874" s="66"/>
    </row>
    <row r="875" spans="2:13" ht="15.75" customHeight="1">
      <c r="B875" s="35"/>
      <c r="M875" s="66"/>
    </row>
    <row r="876" spans="2:13" ht="15.75" customHeight="1">
      <c r="B876" s="35"/>
      <c r="M876" s="66"/>
    </row>
    <row r="877" spans="2:13" ht="15.75" customHeight="1">
      <c r="B877" s="35"/>
      <c r="M877" s="66"/>
    </row>
    <row r="878" spans="2:13" ht="15.75" customHeight="1">
      <c r="B878" s="35"/>
      <c r="M878" s="66"/>
    </row>
    <row r="879" spans="2:13" ht="15.75" customHeight="1">
      <c r="B879" s="35"/>
      <c r="M879" s="66"/>
    </row>
    <row r="880" spans="2:13" ht="15.75" customHeight="1">
      <c r="B880" s="35"/>
      <c r="M880" s="66"/>
    </row>
    <row r="881" spans="2:13" ht="15.75" customHeight="1">
      <c r="B881" s="35"/>
      <c r="M881" s="66"/>
    </row>
    <row r="882" spans="2:13" ht="15.75" customHeight="1">
      <c r="B882" s="35"/>
      <c r="M882" s="66"/>
    </row>
    <row r="883" spans="2:13" ht="15.75" customHeight="1">
      <c r="B883" s="35"/>
      <c r="M883" s="66"/>
    </row>
    <row r="884" spans="2:13" ht="15.75" customHeight="1">
      <c r="B884" s="35"/>
      <c r="M884" s="66"/>
    </row>
    <row r="885" spans="2:13" ht="15.75" customHeight="1">
      <c r="B885" s="35"/>
      <c r="M885" s="66"/>
    </row>
    <row r="886" spans="2:13" ht="15.75" customHeight="1">
      <c r="B886" s="35"/>
      <c r="M886" s="66"/>
    </row>
    <row r="887" spans="2:13" ht="15.75" customHeight="1">
      <c r="B887" s="35"/>
      <c r="M887" s="66"/>
    </row>
    <row r="888" spans="2:13" ht="15.75" customHeight="1">
      <c r="B888" s="35"/>
      <c r="M888" s="66"/>
    </row>
    <row r="889" spans="2:13" ht="15.75" customHeight="1">
      <c r="B889" s="35"/>
      <c r="M889" s="66"/>
    </row>
    <row r="890" spans="2:13" ht="15.75" customHeight="1">
      <c r="B890" s="35"/>
      <c r="M890" s="66"/>
    </row>
    <row r="891" spans="2:13" ht="15.75" customHeight="1">
      <c r="B891" s="35"/>
      <c r="M891" s="66"/>
    </row>
    <row r="892" spans="2:13" ht="15.75" customHeight="1">
      <c r="B892" s="35"/>
      <c r="M892" s="66"/>
    </row>
    <row r="893" spans="2:13" ht="15.75" customHeight="1">
      <c r="B893" s="35"/>
      <c r="M893" s="66"/>
    </row>
    <row r="894" spans="2:13" ht="15.75" customHeight="1">
      <c r="B894" s="35"/>
      <c r="M894" s="66"/>
    </row>
    <row r="895" spans="2:13" ht="15.75" customHeight="1">
      <c r="B895" s="35"/>
      <c r="M895" s="66"/>
    </row>
    <row r="896" spans="2:13" ht="15.75" customHeight="1">
      <c r="B896" s="35"/>
      <c r="M896" s="66"/>
    </row>
    <row r="897" spans="2:13" ht="15.75" customHeight="1">
      <c r="B897" s="35"/>
      <c r="M897" s="66"/>
    </row>
    <row r="898" spans="2:13" ht="15.75" customHeight="1">
      <c r="B898" s="35"/>
      <c r="M898" s="66"/>
    </row>
    <row r="899" spans="2:13" ht="15.75" customHeight="1">
      <c r="B899" s="35"/>
      <c r="M899" s="66"/>
    </row>
    <row r="900" spans="2:13" ht="15.75" customHeight="1">
      <c r="B900" s="35"/>
      <c r="M900" s="66"/>
    </row>
    <row r="901" spans="2:13" ht="15.75" customHeight="1">
      <c r="B901" s="35"/>
      <c r="M901" s="66"/>
    </row>
    <row r="902" spans="2:13" ht="15.75" customHeight="1">
      <c r="B902" s="35"/>
      <c r="M902" s="66"/>
    </row>
    <row r="903" spans="2:13" ht="15.75" customHeight="1">
      <c r="B903" s="35"/>
      <c r="M903" s="66"/>
    </row>
    <row r="904" spans="2:13" ht="15.75" customHeight="1">
      <c r="B904" s="35"/>
      <c r="M904" s="66"/>
    </row>
    <row r="905" spans="2:13" ht="15.75" customHeight="1">
      <c r="B905" s="35"/>
      <c r="M905" s="66"/>
    </row>
    <row r="906" spans="2:13" ht="15.75" customHeight="1">
      <c r="B906" s="35"/>
      <c r="M906" s="66"/>
    </row>
    <row r="907" spans="2:13" ht="15.75" customHeight="1">
      <c r="B907" s="35"/>
      <c r="M907" s="66"/>
    </row>
    <row r="908" spans="2:13" ht="15.75" customHeight="1">
      <c r="B908" s="35"/>
      <c r="M908" s="66"/>
    </row>
    <row r="909" spans="2:13" ht="15.75" customHeight="1">
      <c r="B909" s="35"/>
      <c r="M909" s="66"/>
    </row>
    <row r="910" spans="2:13" ht="15.75" customHeight="1">
      <c r="B910" s="35"/>
      <c r="M910" s="66"/>
    </row>
    <row r="911" spans="2:13" ht="15.75" customHeight="1">
      <c r="B911" s="35"/>
      <c r="M911" s="66"/>
    </row>
    <row r="912" spans="2:13" ht="15.75" customHeight="1">
      <c r="B912" s="35"/>
      <c r="M912" s="66"/>
    </row>
    <row r="913" spans="2:13" ht="15.75" customHeight="1">
      <c r="B913" s="35"/>
      <c r="M913" s="66"/>
    </row>
    <row r="914" spans="2:13" ht="15.75" customHeight="1">
      <c r="B914" s="35"/>
      <c r="M914" s="66"/>
    </row>
    <row r="915" spans="2:13" ht="15.75" customHeight="1">
      <c r="B915" s="35"/>
      <c r="M915" s="66"/>
    </row>
    <row r="916" spans="2:13" ht="15.75" customHeight="1">
      <c r="B916" s="35"/>
      <c r="M916" s="66"/>
    </row>
    <row r="917" spans="2:13" ht="15.75" customHeight="1">
      <c r="B917" s="35"/>
      <c r="M917" s="66"/>
    </row>
    <row r="918" spans="2:13" ht="15.75" customHeight="1">
      <c r="B918" s="35"/>
      <c r="M918" s="66"/>
    </row>
    <row r="919" spans="2:13" ht="15.75" customHeight="1">
      <c r="B919" s="35"/>
      <c r="M919" s="66"/>
    </row>
    <row r="920" spans="2:13" ht="15.75" customHeight="1">
      <c r="B920" s="35"/>
      <c r="M920" s="66"/>
    </row>
    <row r="921" spans="2:13" ht="15.75" customHeight="1">
      <c r="B921" s="35"/>
      <c r="M921" s="66"/>
    </row>
    <row r="922" spans="2:13" ht="15.75" customHeight="1">
      <c r="B922" s="35"/>
      <c r="M922" s="66"/>
    </row>
    <row r="923" spans="2:13" ht="15.75" customHeight="1">
      <c r="B923" s="35"/>
      <c r="M923" s="66"/>
    </row>
    <row r="924" spans="2:13" ht="15.75" customHeight="1">
      <c r="B924" s="35"/>
      <c r="M924" s="66"/>
    </row>
    <row r="925" spans="2:13" ht="15.75" customHeight="1">
      <c r="B925" s="35"/>
      <c r="M925" s="66"/>
    </row>
    <row r="926" spans="2:13" ht="15.75" customHeight="1">
      <c r="B926" s="35"/>
      <c r="M926" s="66"/>
    </row>
    <row r="927" spans="2:13" ht="15.75" customHeight="1">
      <c r="B927" s="35"/>
      <c r="M927" s="66"/>
    </row>
    <row r="928" spans="2:13" ht="15.75" customHeight="1">
      <c r="B928" s="35"/>
      <c r="M928" s="66"/>
    </row>
    <row r="929" spans="2:13" ht="15.75" customHeight="1">
      <c r="B929" s="35"/>
      <c r="M929" s="66"/>
    </row>
    <row r="930" spans="2:13" ht="15.75" customHeight="1">
      <c r="B930" s="35"/>
      <c r="M930" s="66"/>
    </row>
    <row r="931" spans="2:13" ht="15.75" customHeight="1">
      <c r="B931" s="35"/>
      <c r="M931" s="66"/>
    </row>
    <row r="932" spans="2:13" ht="15.75" customHeight="1">
      <c r="B932" s="35"/>
      <c r="M932" s="66"/>
    </row>
    <row r="933" spans="2:13" ht="15.75" customHeight="1">
      <c r="B933" s="35"/>
      <c r="M933" s="66"/>
    </row>
    <row r="934" spans="2:13" ht="15.75" customHeight="1">
      <c r="B934" s="35"/>
      <c r="M934" s="66"/>
    </row>
    <row r="935" spans="2:13" ht="15.75" customHeight="1">
      <c r="B935" s="35"/>
      <c r="M935" s="66"/>
    </row>
    <row r="936" spans="2:13" ht="15.75" customHeight="1">
      <c r="B936" s="35"/>
      <c r="M936" s="66"/>
    </row>
    <row r="937" spans="2:13" ht="15.75" customHeight="1">
      <c r="B937" s="35"/>
      <c r="M937" s="66"/>
    </row>
    <row r="938" spans="2:13" ht="15.75" customHeight="1">
      <c r="B938" s="35"/>
      <c r="M938" s="66"/>
    </row>
    <row r="939" spans="2:13" ht="15.75" customHeight="1">
      <c r="B939" s="35"/>
      <c r="M939" s="66"/>
    </row>
    <row r="940" spans="2:13" ht="15.75" customHeight="1">
      <c r="B940" s="35"/>
      <c r="M940" s="66"/>
    </row>
    <row r="941" spans="2:13" ht="15.75" customHeight="1">
      <c r="B941" s="35"/>
      <c r="M941" s="66"/>
    </row>
    <row r="942" spans="2:13" ht="15.75" customHeight="1">
      <c r="B942" s="35"/>
      <c r="M942" s="66"/>
    </row>
    <row r="943" spans="2:13" ht="15.75" customHeight="1">
      <c r="B943" s="35"/>
      <c r="M943" s="66"/>
    </row>
    <row r="944" spans="2:13" ht="15.75" customHeight="1">
      <c r="B944" s="35"/>
      <c r="M944" s="66"/>
    </row>
    <row r="945" spans="2:13" ht="15.75" customHeight="1">
      <c r="B945" s="35"/>
      <c r="M945" s="66"/>
    </row>
    <row r="946" spans="2:13" ht="15.75" customHeight="1">
      <c r="B946" s="35"/>
      <c r="M946" s="66"/>
    </row>
    <row r="947" spans="2:13" ht="15.75" customHeight="1">
      <c r="B947" s="35"/>
      <c r="M947" s="66"/>
    </row>
    <row r="948" spans="2:13" ht="15.75" customHeight="1">
      <c r="B948" s="35"/>
      <c r="M948" s="66"/>
    </row>
    <row r="949" spans="2:13" ht="15.75" customHeight="1">
      <c r="B949" s="35"/>
      <c r="M949" s="66"/>
    </row>
    <row r="950" spans="2:13" ht="15.75" customHeight="1">
      <c r="B950" s="35"/>
      <c r="M950" s="66"/>
    </row>
    <row r="951" spans="2:13" ht="15.75" customHeight="1">
      <c r="B951" s="35"/>
      <c r="M951" s="66"/>
    </row>
    <row r="952" spans="2:13" ht="15.75" customHeight="1">
      <c r="B952" s="35"/>
      <c r="M952" s="66"/>
    </row>
    <row r="953" spans="2:13" ht="15.75" customHeight="1">
      <c r="B953" s="35"/>
      <c r="M953" s="66"/>
    </row>
    <row r="954" spans="2:13" ht="15.75" customHeight="1">
      <c r="B954" s="35"/>
      <c r="M954" s="66"/>
    </row>
    <row r="955" spans="2:13" ht="15.75" customHeight="1">
      <c r="B955" s="35"/>
      <c r="M955" s="66"/>
    </row>
    <row r="956" spans="2:13" ht="15.75" customHeight="1">
      <c r="B956" s="35"/>
      <c r="M956" s="66"/>
    </row>
    <row r="957" spans="2:13" ht="15.75" customHeight="1">
      <c r="B957" s="35"/>
      <c r="M957" s="66"/>
    </row>
    <row r="958" spans="2:13" ht="15.75" customHeight="1">
      <c r="B958" s="35"/>
      <c r="M958" s="66"/>
    </row>
    <row r="959" spans="2:13" ht="15.75" customHeight="1">
      <c r="B959" s="35"/>
      <c r="M959" s="66"/>
    </row>
    <row r="960" spans="2:13" ht="15.75" customHeight="1">
      <c r="B960" s="35"/>
      <c r="M960" s="66"/>
    </row>
    <row r="961" spans="2:13" ht="15.75" customHeight="1">
      <c r="B961" s="35"/>
      <c r="M961" s="66"/>
    </row>
    <row r="962" spans="2:13" ht="15.75" customHeight="1">
      <c r="B962" s="35"/>
      <c r="M962" s="66"/>
    </row>
    <row r="963" spans="2:13" ht="15.75" customHeight="1">
      <c r="B963" s="35"/>
      <c r="M963" s="66"/>
    </row>
    <row r="964" spans="2:13" ht="15.75" customHeight="1">
      <c r="B964" s="35"/>
      <c r="M964" s="66"/>
    </row>
    <row r="965" spans="2:13" ht="15.75" customHeight="1">
      <c r="B965" s="35"/>
      <c r="M965" s="66"/>
    </row>
    <row r="966" spans="2:13" ht="15.75" customHeight="1">
      <c r="B966" s="35"/>
      <c r="M966" s="66"/>
    </row>
    <row r="967" spans="2:13" ht="15.75" customHeight="1">
      <c r="B967" s="35"/>
      <c r="M967" s="66"/>
    </row>
    <row r="968" spans="2:13" ht="15.75" customHeight="1">
      <c r="B968" s="35"/>
      <c r="M968" s="66"/>
    </row>
    <row r="969" spans="2:13" ht="15.75" customHeight="1">
      <c r="B969" s="35"/>
      <c r="M969" s="66"/>
    </row>
    <row r="970" spans="2:13" ht="15.75" customHeight="1">
      <c r="B970" s="35"/>
      <c r="M970" s="66"/>
    </row>
    <row r="971" spans="2:13" ht="15.75" customHeight="1">
      <c r="B971" s="35"/>
      <c r="M971" s="66"/>
    </row>
    <row r="972" spans="2:13" ht="15.75" customHeight="1">
      <c r="B972" s="35"/>
      <c r="M972" s="66"/>
    </row>
    <row r="973" spans="2:13" ht="15.75" customHeight="1">
      <c r="B973" s="35"/>
      <c r="M973" s="66"/>
    </row>
    <row r="974" spans="2:13" ht="15.75" customHeight="1">
      <c r="B974" s="35"/>
      <c r="M974" s="66"/>
    </row>
    <row r="975" spans="2:13" ht="15.75" customHeight="1">
      <c r="B975" s="35"/>
      <c r="M975" s="66"/>
    </row>
    <row r="976" spans="2:13" ht="15.75" customHeight="1">
      <c r="B976" s="35"/>
      <c r="M976" s="66"/>
    </row>
    <row r="977" spans="2:13" ht="15.75" customHeight="1">
      <c r="B977" s="35"/>
      <c r="M977" s="66"/>
    </row>
    <row r="978" spans="2:13" ht="15.75" customHeight="1">
      <c r="B978" s="35"/>
      <c r="M978" s="66"/>
    </row>
    <row r="979" spans="2:13" ht="15.75" customHeight="1">
      <c r="B979" s="35"/>
      <c r="M979" s="66"/>
    </row>
    <row r="980" spans="2:13" ht="15.75" customHeight="1">
      <c r="B980" s="35"/>
      <c r="M980" s="66"/>
    </row>
    <row r="981" spans="2:13" ht="15.75" customHeight="1">
      <c r="B981" s="35"/>
      <c r="M981" s="66"/>
    </row>
    <row r="982" spans="2:13" ht="15.75" customHeight="1">
      <c r="B982" s="35"/>
      <c r="M982" s="66"/>
    </row>
    <row r="983" spans="2:13" ht="15.75" customHeight="1">
      <c r="B983" s="35"/>
      <c r="M983" s="66"/>
    </row>
    <row r="984" spans="2:13" ht="15.75" customHeight="1">
      <c r="B984" s="35"/>
      <c r="M984" s="66"/>
    </row>
    <row r="985" spans="2:13" ht="15.75" customHeight="1">
      <c r="B985" s="35"/>
      <c r="M985" s="66"/>
    </row>
    <row r="986" spans="2:13" ht="15.75" customHeight="1">
      <c r="B986" s="35"/>
      <c r="M986" s="66"/>
    </row>
    <row r="987" spans="2:13" ht="15.75" customHeight="1">
      <c r="B987" s="35"/>
      <c r="M987" s="66"/>
    </row>
    <row r="988" spans="2:13" ht="15.75" customHeight="1">
      <c r="B988" s="35"/>
      <c r="M988" s="66"/>
    </row>
    <row r="989" spans="2:13" ht="15.75" customHeight="1">
      <c r="B989" s="35"/>
      <c r="M989" s="66"/>
    </row>
    <row r="990" spans="2:13" ht="15.75" customHeight="1">
      <c r="B990" s="35"/>
      <c r="M990" s="66"/>
    </row>
    <row r="991" spans="2:13" ht="15.75" customHeight="1">
      <c r="B991" s="35"/>
      <c r="M991" s="66"/>
    </row>
    <row r="992" spans="2:13" ht="15.75" customHeight="1">
      <c r="B992" s="35"/>
      <c r="M992" s="66"/>
    </row>
    <row r="993" spans="2:13" ht="15.75" customHeight="1">
      <c r="B993" s="35"/>
      <c r="M993" s="66"/>
    </row>
    <row r="994" spans="2:13" ht="15.75" customHeight="1">
      <c r="B994" s="35"/>
      <c r="M994" s="66"/>
    </row>
    <row r="995" spans="2:13" ht="15.75" customHeight="1">
      <c r="B995" s="35"/>
      <c r="M995" s="66"/>
    </row>
    <row r="996" spans="2:13" ht="15.75" customHeight="1">
      <c r="B996" s="35"/>
      <c r="M996" s="66"/>
    </row>
    <row r="997" spans="2:13" ht="15.75" customHeight="1">
      <c r="B997" s="35"/>
      <c r="M997" s="66"/>
    </row>
    <row r="998" spans="2:13" ht="15.75" customHeight="1">
      <c r="B998" s="35"/>
      <c r="M998" s="66"/>
    </row>
  </sheetData>
  <autoFilter ref="B37:S67" xr:uid="{00000000-0009-0000-0000-000009000000}"/>
  <conditionalFormatting sqref="M1:M33 M72:M1048576">
    <cfRule type="cellIs" dxfId="22" priority="29" operator="greaterThan">
      <formula>0</formula>
    </cfRule>
    <cfRule type="cellIs" dxfId="21" priority="30" operator="equal">
      <formula>0</formula>
    </cfRule>
  </conditionalFormatting>
  <conditionalFormatting sqref="M30:M33">
    <cfRule type="cellIs" dxfId="20" priority="45" operator="lessThan">
      <formula>0</formula>
    </cfRule>
  </conditionalFormatting>
  <conditionalFormatting sqref="M35:M67">
    <cfRule type="cellIs" dxfId="19" priority="8" operator="greaterThan">
      <formula>0</formula>
    </cfRule>
    <cfRule type="cellIs" dxfId="18" priority="9" operator="equal">
      <formula>0</formula>
    </cfRule>
    <cfRule type="cellIs" dxfId="17" priority="10" operator="lessThan">
      <formula>0</formula>
    </cfRule>
  </conditionalFormatting>
  <conditionalFormatting sqref="O37:P37">
    <cfRule type="cellIs" dxfId="16" priority="1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P43:U43 P49 R49:U49 P55:U55 Q56:Q58 S56:S58 U57:U58 Q41:U41 Q45:U46 Q50:U51 Q44:T44 Q42:R42 Q48:R48 Q47:U47 T48 Q54:T54 Q39:R39 T39:U39 R40 R53:U53 Q52:R52 T52:U52 T40:U40 T42 Q59 S59 U59 Q60:Q61 S60:S61 U60:U61 Q62:Q67 S62:S67 U62:U67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900-000000000000}">
          <x14:formula1>
            <xm:f>'Условные сокращения'!$M$11:$M$12</xm:f>
          </x14:formula1>
          <xm:sqref>N50</xm:sqref>
        </x14:dataValidation>
        <x14:dataValidation type="list" allowBlank="1" showInputMessage="1" showErrorMessage="1" xr:uid="{00000000-0002-0000-0900-000001000000}">
          <x14:formula1>
            <xm:f>'Условные сокращения'!$I$11:$I$14</xm:f>
          </x14:formula1>
          <xm:sqref>N41:N42 N44:N48 N54 N52</xm:sqref>
        </x14:dataValidation>
        <x14:dataValidation type="list" allowBlank="1" showInputMessage="1" showErrorMessage="1" xr:uid="{00000000-0002-0000-0900-000002000000}">
          <x14:formula1>
            <xm:f>'Условные сокращения'!$B$27:$B$30</xm:f>
          </x14:formula1>
          <xm:sqref>N56</xm:sqref>
        </x14:dataValidation>
        <x14:dataValidation type="list" allowBlank="1" showInputMessage="1" showErrorMessage="1" xr:uid="{00000000-0002-0000-0900-000003000000}">
          <x14:formula1>
            <xm:f>'Условные сокращения'!$N$3:$N$8</xm:f>
          </x14:formula1>
          <xm:sqref>N53 N67 N39:N40 N51</xm:sqref>
        </x14:dataValidation>
        <x14:dataValidation type="list" allowBlank="1" showInputMessage="1" showErrorMessage="1" xr:uid="{00000000-0002-0000-0900-000004000000}">
          <x14:formula1>
            <xm:f>'Условные сокращения'!$B$35:$B$37</xm:f>
          </x14:formula1>
          <xm:sqref>N57:N66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0">
    <tabColor theme="3" tint="0.39997558519241921"/>
    <outlinePr summaryBelow="0" summaryRight="0"/>
  </sheetPr>
  <dimension ref="B1:U43"/>
  <sheetViews>
    <sheetView topLeftCell="B18" zoomScale="70" zoomScaleNormal="70" workbookViewId="0">
      <selection activeCell="F27" sqref="F27"/>
    </sheetView>
  </sheetViews>
  <sheetFormatPr defaultColWidth="11.09765625" defaultRowHeight="15.6" outlineLevelRow="1"/>
  <cols>
    <col min="1" max="1" width="3.09765625" style="35" bestFit="1" customWidth="1"/>
    <col min="2" max="2" width="112.5" style="35" bestFit="1" customWidth="1"/>
    <col min="3" max="3" width="19.09765625" style="35" customWidth="1"/>
    <col min="4" max="4" width="15.59765625" style="80" customWidth="1"/>
    <col min="5" max="5" width="12.09765625" style="80" customWidth="1"/>
    <col min="6" max="6" width="10.59765625" style="80" customWidth="1"/>
    <col min="7" max="7" width="27.59765625" style="35" hidden="1" customWidth="1"/>
    <col min="8" max="8" width="27.59765625" style="80" hidden="1" customWidth="1"/>
    <col min="9" max="9" width="27.59765625" style="80" customWidth="1"/>
    <col min="10" max="10" width="18.5" style="80" customWidth="1"/>
    <col min="11" max="11" width="14.09765625" style="35" customWidth="1"/>
    <col min="12" max="12" width="15.59765625" style="80" customWidth="1"/>
    <col min="13" max="13" width="10.09765625" customWidth="1"/>
    <col min="14" max="15" width="20.59765625" style="35" customWidth="1"/>
    <col min="16" max="16" width="10.5" style="35" bestFit="1" customWidth="1"/>
    <col min="17" max="17" width="32.5" style="35" customWidth="1"/>
    <col min="18" max="18" width="10.5" style="35" bestFit="1" customWidth="1"/>
    <col min="19" max="19" width="53.09765625" style="35" customWidth="1"/>
    <col min="20" max="20" width="10.5" style="35" bestFit="1" customWidth="1"/>
    <col min="21" max="21" width="46.09765625" style="35" bestFit="1" customWidth="1"/>
    <col min="22" max="30" width="10.5" style="35" bestFit="1" customWidth="1"/>
    <col min="31" max="31" width="11.09765625" style="35" bestFit="1"/>
    <col min="32" max="16384" width="11.09765625" style="35"/>
  </cols>
  <sheetData>
    <row r="1" spans="2:15" ht="51" customHeight="1">
      <c r="B1" s="51" t="s">
        <v>20</v>
      </c>
      <c r="N1" s="26">
        <f>COUNTA(N2:N7000)</f>
        <v>11</v>
      </c>
      <c r="O1" s="26"/>
    </row>
    <row r="19" spans="2:21">
      <c r="N19" s="26"/>
      <c r="O19" s="26"/>
    </row>
    <row r="25" spans="2:21" ht="40.35" customHeight="1" thickBot="1">
      <c r="B25" s="28"/>
      <c r="G25" s="354">
        <f>Расчет!$F$2</f>
        <v>45017</v>
      </c>
      <c r="H25" s="354">
        <f>Расчет!$H$2</f>
        <v>45444</v>
      </c>
      <c r="I25" s="354">
        <v>45657</v>
      </c>
      <c r="J25" s="35"/>
      <c r="L25" s="29">
        <f ca="1">TODAY()</f>
        <v>46038</v>
      </c>
    </row>
    <row r="26" spans="2:21" ht="28.8" thickBot="1">
      <c r="B26" s="30" t="s">
        <v>21</v>
      </c>
      <c r="C26" s="31" t="s">
        <v>22</v>
      </c>
      <c r="D26" s="32" t="s">
        <v>10</v>
      </c>
      <c r="E26" s="76" t="s">
        <v>11</v>
      </c>
      <c r="F26" s="77" t="s">
        <v>12</v>
      </c>
      <c r="G26" s="355" t="s">
        <v>23</v>
      </c>
      <c r="H26" s="356" t="s">
        <v>23</v>
      </c>
      <c r="I26" s="356" t="s">
        <v>23</v>
      </c>
      <c r="J26" s="343">
        <v>2026</v>
      </c>
      <c r="K26" s="16" t="s">
        <v>25</v>
      </c>
      <c r="L26" s="33" t="s">
        <v>24</v>
      </c>
    </row>
    <row r="27" spans="2:21">
      <c r="B27" s="68" t="str">
        <f>B31</f>
        <v>Планирование восстановления</v>
      </c>
      <c r="C27" s="68" t="str">
        <f>C31</f>
        <v>ПЛН</v>
      </c>
      <c r="D27" s="129">
        <f>AVERAGE(D34)</f>
        <v>5</v>
      </c>
      <c r="E27" s="130">
        <f>AVERAGE(E34)</f>
        <v>3.2</v>
      </c>
      <c r="F27" s="131">
        <f>AVERAGE(F34)</f>
        <v>0</v>
      </c>
      <c r="G27" s="137" t="e">
        <f>AVERAGE(G34)</f>
        <v>#DIV/0!</v>
      </c>
      <c r="H27" s="138" t="e">
        <f t="shared" ref="H27:L27" si="0">AVERAGE(H32:H40)</f>
        <v>#DIV/0!</v>
      </c>
      <c r="I27" s="138" t="e">
        <f t="shared" si="0"/>
        <v>#DIV/0!</v>
      </c>
      <c r="J27" s="138" t="e">
        <f t="shared" si="0"/>
        <v>#DIV/0!</v>
      </c>
      <c r="K27" s="138">
        <f t="shared" si="0"/>
        <v>1.0666666666666667</v>
      </c>
      <c r="L27" s="138">
        <f t="shared" si="0"/>
        <v>0</v>
      </c>
      <c r="M27">
        <f t="shared" ref="M27:M43" si="1">L27-K27</f>
        <v>-1.0666666666666667</v>
      </c>
    </row>
    <row r="28" spans="2:21" ht="16.2" thickBot="1">
      <c r="B28" s="37" t="str">
        <f>B41</f>
        <v>Восстановление - Коммуникации</v>
      </c>
      <c r="C28" s="37" t="str">
        <f>C41</f>
        <v>КМНК</v>
      </c>
      <c r="D28" s="60">
        <f>AVERAGE(D42:D43)</f>
        <v>5</v>
      </c>
      <c r="E28" s="61">
        <f>AVERAGE(E42:E43)</f>
        <v>1.6</v>
      </c>
      <c r="F28" s="62">
        <f>AVERAGE(F42:F43)</f>
        <v>0</v>
      </c>
      <c r="G28" s="139" t="e">
        <f>AVERAGE(G40)</f>
        <v>#DIV/0!</v>
      </c>
      <c r="H28" s="63" t="e">
        <f t="shared" ref="H28:L28" si="2">AVERAGE(H42:H43)</f>
        <v>#DIV/0!</v>
      </c>
      <c r="I28" s="63" t="e">
        <f t="shared" si="2"/>
        <v>#DIV/0!</v>
      </c>
      <c r="J28" s="63" t="e">
        <f t="shared" si="2"/>
        <v>#DIV/0!</v>
      </c>
      <c r="K28" s="63">
        <f t="shared" si="2"/>
        <v>0</v>
      </c>
      <c r="L28" s="63">
        <f t="shared" si="2"/>
        <v>0</v>
      </c>
      <c r="M28">
        <f t="shared" si="1"/>
        <v>0</v>
      </c>
    </row>
    <row r="29" spans="2:21">
      <c r="K29" s="80"/>
    </row>
    <row r="30" spans="2:21">
      <c r="K30" s="80"/>
      <c r="M30" s="100" t="s">
        <v>444</v>
      </c>
      <c r="O30" s="317"/>
      <c r="Q30" s="366" t="s">
        <v>589</v>
      </c>
      <c r="R30" s="367"/>
      <c r="S30" s="367" t="s">
        <v>655</v>
      </c>
      <c r="T30" s="367"/>
      <c r="U30" s="366" t="s">
        <v>591</v>
      </c>
    </row>
    <row r="31" spans="2:21">
      <c r="B31" s="70" t="s">
        <v>216</v>
      </c>
      <c r="C31" s="81" t="s">
        <v>217</v>
      </c>
      <c r="D31" s="82"/>
      <c r="E31" s="82"/>
      <c r="F31" s="82"/>
      <c r="G31" s="81"/>
      <c r="H31" s="82"/>
      <c r="I31" s="82"/>
      <c r="J31" s="82"/>
      <c r="K31" s="82"/>
      <c r="L31" s="82"/>
      <c r="M31" s="72"/>
      <c r="N31" s="309"/>
      <c r="O31" s="309"/>
      <c r="P31" s="366">
        <f>VLOOKUP(B31,Приоритет!$G$9:$K$52,5,0)</f>
        <v>22</v>
      </c>
      <c r="Q31" s="44" t="s">
        <v>216</v>
      </c>
      <c r="R31" s="274">
        <f>P31+200</f>
        <v>222</v>
      </c>
      <c r="S31" s="44" t="s">
        <v>216</v>
      </c>
      <c r="T31" s="274">
        <f>P31+300</f>
        <v>322</v>
      </c>
      <c r="U31" s="44" t="s">
        <v>216</v>
      </c>
    </row>
    <row r="32" spans="2:21" ht="51.6" customHeight="1" outlineLevel="1">
      <c r="B32" s="46" t="s">
        <v>856</v>
      </c>
      <c r="C32" s="66" t="s">
        <v>218</v>
      </c>
      <c r="D32" s="39">
        <v>5</v>
      </c>
      <c r="E32" s="40">
        <v>5</v>
      </c>
      <c r="F32" s="41">
        <v>0</v>
      </c>
      <c r="G32" s="73"/>
      <c r="H32" s="78"/>
      <c r="I32" s="78"/>
      <c r="J32" s="325"/>
      <c r="K32" s="172">
        <v>0</v>
      </c>
      <c r="L32" s="47">
        <f t="shared" ref="L32:L40" si="3">VALUE(LEFT(N32,3))</f>
        <v>0</v>
      </c>
      <c r="M32">
        <f t="shared" si="1"/>
        <v>0</v>
      </c>
      <c r="N32" s="104" t="s">
        <v>283</v>
      </c>
      <c r="P32" s="364">
        <f>P31+0.01</f>
        <v>22.01</v>
      </c>
      <c r="Q32" s="248" t="str">
        <f>IF(($L32-$F32)&gt;=0,"","")</f>
        <v/>
      </c>
      <c r="R32" s="364">
        <f>R31+0.01</f>
        <v>222.01</v>
      </c>
      <c r="S32" s="248" t="str">
        <f>IF(($L32-$E32)&gt;=0,"",
" - Разработать политику обеспечения непрерывности и восстановления деятельности")</f>
        <v xml:space="preserve"> - Разработать политику обеспечения непрерывности и восстановления деятельности</v>
      </c>
      <c r="T32" s="364">
        <f>T31+0.01</f>
        <v>322.01</v>
      </c>
      <c r="U32" s="248">
        <f>IF(($L32-$D32)&gt;=0,"",)</f>
        <v>0</v>
      </c>
    </row>
    <row r="33" spans="2:21" ht="75" customHeight="1" outlineLevel="1">
      <c r="B33" s="46" t="s">
        <v>515</v>
      </c>
      <c r="C33" s="66" t="s">
        <v>219</v>
      </c>
      <c r="D33" s="39">
        <v>5</v>
      </c>
      <c r="E33" s="40">
        <v>5</v>
      </c>
      <c r="F33" s="41">
        <v>0</v>
      </c>
      <c r="G33" s="73"/>
      <c r="H33" s="78"/>
      <c r="I33" s="78"/>
      <c r="J33" s="325"/>
      <c r="K33" s="172">
        <v>0</v>
      </c>
      <c r="L33" s="47">
        <f t="shared" si="3"/>
        <v>0</v>
      </c>
      <c r="M33">
        <f>L33-K33</f>
        <v>0</v>
      </c>
      <c r="N33" s="104" t="s">
        <v>283</v>
      </c>
      <c r="P33" s="364">
        <f t="shared" ref="P33:P40" si="4">P32+0.01</f>
        <v>22.020000000000003</v>
      </c>
      <c r="Q33" s="248" t="str">
        <f>IF(($L33-$F33)&gt;=0,"","")</f>
        <v/>
      </c>
      <c r="R33" s="364">
        <f t="shared" ref="R33:R40" si="5">R32+0.01</f>
        <v>222.01999999999998</v>
      </c>
      <c r="S33" s="248" t="str">
        <f>IF(($L33-$E33)&gt;=0,"",
" - Определить критерии для уровней и сроков восстановления в зависимости от критичности ИА;"&amp;"
   - Категорировать ИА по уровням критичности в соответствии с критериями")</f>
        <v xml:space="preserve"> - Определить критерии для уровней и сроков восстановления в зависимости от критичности ИА;
   - Категорировать ИА по уровням критичности в соответствии с критериями</v>
      </c>
      <c r="T33" s="364">
        <f t="shared" ref="T33:T40" si="6">T32+0.01</f>
        <v>322.02</v>
      </c>
      <c r="U33" s="248">
        <f>IF(($L33-$D33)&gt;=0,"",)</f>
        <v>0</v>
      </c>
    </row>
    <row r="34" spans="2:21" ht="50.85" customHeight="1" outlineLevel="1">
      <c r="B34" s="256" t="s">
        <v>516</v>
      </c>
      <c r="C34" s="66" t="s">
        <v>220</v>
      </c>
      <c r="D34" s="39">
        <v>5</v>
      </c>
      <c r="E34" s="40">
        <v>3.2</v>
      </c>
      <c r="F34" s="41">
        <v>0</v>
      </c>
      <c r="G34" s="73"/>
      <c r="H34" s="78"/>
      <c r="I34" s="78"/>
      <c r="J34" s="325"/>
      <c r="K34" s="172">
        <v>0</v>
      </c>
      <c r="L34" s="47">
        <f t="shared" si="3"/>
        <v>0</v>
      </c>
      <c r="M34">
        <f>L34-K34</f>
        <v>0</v>
      </c>
      <c r="N34" s="104" t="s">
        <v>256</v>
      </c>
      <c r="P34" s="364">
        <f t="shared" si="4"/>
        <v>22.030000000000005</v>
      </c>
      <c r="Q34" s="248" t="str">
        <f>IF(($L34-$F34)&gt;=0,"","")</f>
        <v/>
      </c>
      <c r="R34" s="364">
        <f t="shared" si="5"/>
        <v>222.02999999999997</v>
      </c>
      <c r="S34" s="248" t="str">
        <f>IF(($L34-$E34)&gt;=0,"",
" - Разработать план обеспечения непрерывности и восстановления деятельности ")</f>
        <v xml:space="preserve"> - Разработать план обеспечения непрерывности и восстановления деятельности </v>
      </c>
      <c r="T34" s="364">
        <f t="shared" si="6"/>
        <v>322.02999999999997</v>
      </c>
      <c r="U34" s="248" t="str">
        <f>IF(($L34-$D34)&gt;=0,"",
" - Актуализировать план не реже чем раз в год")</f>
        <v xml:space="preserve"> - Актуализировать план не реже чем раз в год</v>
      </c>
    </row>
    <row r="35" spans="2:21" ht="49.35" customHeight="1" outlineLevel="1">
      <c r="B35" s="256" t="s">
        <v>517</v>
      </c>
      <c r="C35" s="66" t="s">
        <v>221</v>
      </c>
      <c r="D35" s="39">
        <v>5</v>
      </c>
      <c r="E35" s="40">
        <v>3.2</v>
      </c>
      <c r="F35" s="41">
        <v>0</v>
      </c>
      <c r="G35" s="73"/>
      <c r="H35" s="78"/>
      <c r="I35" s="78"/>
      <c r="J35" s="325"/>
      <c r="K35" s="172">
        <v>0</v>
      </c>
      <c r="L35" s="47">
        <f t="shared" si="3"/>
        <v>0</v>
      </c>
      <c r="M35">
        <f>L35-K35</f>
        <v>0</v>
      </c>
      <c r="N35" s="104" t="s">
        <v>256</v>
      </c>
      <c r="P35" s="364">
        <f t="shared" si="4"/>
        <v>22.040000000000006</v>
      </c>
      <c r="Q35" s="248" t="str">
        <f>IF(($L35-$F35)&gt;=0,"","")</f>
        <v/>
      </c>
      <c r="R35" s="364">
        <f t="shared" si="5"/>
        <v>222.03999999999996</v>
      </c>
      <c r="S35" s="248" t="str">
        <f>IF(($L35-$E35)&gt;=0,"",
" - Разработать регламент резервного копирования. Определить порядок резервного копирования в соответствии с критичностью ИА")</f>
        <v xml:space="preserve"> - Разработать регламент резервного копирования. Определить порядок резервного копирования в соответствии с критичностью ИА</v>
      </c>
      <c r="T35" s="364">
        <f t="shared" si="6"/>
        <v>322.03999999999996</v>
      </c>
      <c r="U35" s="248" t="str">
        <f>IF(($L35-$D35)&gt;=0,"",
" - Актуализировать регламент не реже чем раз в год")</f>
        <v xml:space="preserve"> - Актуализировать регламент не реже чем раз в год</v>
      </c>
    </row>
    <row r="36" spans="2:21" ht="59.85" customHeight="1" outlineLevel="1">
      <c r="B36" s="256" t="s">
        <v>956</v>
      </c>
      <c r="C36" s="66" t="s">
        <v>437</v>
      </c>
      <c r="D36" s="39">
        <v>5</v>
      </c>
      <c r="E36" s="40">
        <v>3.2</v>
      </c>
      <c r="F36" s="41">
        <v>3.2</v>
      </c>
      <c r="G36" s="73"/>
      <c r="H36" s="78"/>
      <c r="I36" s="78"/>
      <c r="J36" s="325"/>
      <c r="K36" s="172">
        <v>3.2</v>
      </c>
      <c r="L36" s="47">
        <f t="shared" si="3"/>
        <v>0</v>
      </c>
      <c r="M36">
        <f t="shared" si="1"/>
        <v>-3.2</v>
      </c>
      <c r="N36" s="104" t="s">
        <v>256</v>
      </c>
      <c r="P36" s="364">
        <f t="shared" si="4"/>
        <v>22.050000000000008</v>
      </c>
      <c r="Q36" s="248" t="str">
        <f>IF(($L36-$F36)&gt;=0,"",
" - Обеспечить регулярное создание резервных копий")</f>
        <v xml:space="preserve"> - Обеспечить регулярное создание резервных копий</v>
      </c>
      <c r="R36" s="364">
        <f t="shared" si="5"/>
        <v>222.04999999999995</v>
      </c>
      <c r="S36" s="248" t="str">
        <f>IF(($L36-$E36)&gt;=0,"","")</f>
        <v/>
      </c>
      <c r="T36" s="364">
        <f t="shared" si="6"/>
        <v>322.04999999999995</v>
      </c>
      <c r="U36" s="248" t="str">
        <f>IF(($L36-$D36)&gt;=0,"",
" - Обеспечить регулярное создание резервных копий, их хранение и тестирование с учетом требований критичности ИА")</f>
        <v xml:space="preserve"> - Обеспечить регулярное создание резервных копий, их хранение и тестирование с учетом требований критичности ИА</v>
      </c>
    </row>
    <row r="37" spans="2:21" ht="57" customHeight="1" outlineLevel="1">
      <c r="B37" s="256" t="s">
        <v>957</v>
      </c>
      <c r="C37" s="66" t="s">
        <v>438</v>
      </c>
      <c r="D37" s="39">
        <v>5</v>
      </c>
      <c r="E37" s="40">
        <v>3.2</v>
      </c>
      <c r="F37" s="41">
        <v>1.6</v>
      </c>
      <c r="G37" s="73"/>
      <c r="H37" s="78"/>
      <c r="I37" s="78"/>
      <c r="J37" s="325"/>
      <c r="K37" s="172">
        <v>1.6</v>
      </c>
      <c r="L37" s="47">
        <f t="shared" si="3"/>
        <v>0</v>
      </c>
      <c r="M37">
        <f t="shared" si="1"/>
        <v>-1.6</v>
      </c>
      <c r="N37" s="104" t="s">
        <v>256</v>
      </c>
      <c r="P37" s="364">
        <f t="shared" si="4"/>
        <v>22.060000000000009</v>
      </c>
      <c r="Q37" s="248" t="str">
        <f>IF(($L37-$F37)&gt;=0,"",
" - Обеспечить хранение резервных копий вне площадки расположения ИА")</f>
        <v xml:space="preserve"> - Обеспечить хранение резервных копий вне площадки расположения ИА</v>
      </c>
      <c r="R37" s="364">
        <f t="shared" si="5"/>
        <v>222.05999999999995</v>
      </c>
      <c r="S37" s="248" t="str">
        <f>IF(($L37-$E37)&gt;=0,"",
" - Обеспечить хранение резервных копий на географически удаленных площадках.")</f>
        <v xml:space="preserve"> - Обеспечить хранение резервных копий на географически удаленных площадках.</v>
      </c>
      <c r="T37" s="364">
        <f t="shared" si="6"/>
        <v>322.05999999999995</v>
      </c>
      <c r="U37" s="248" t="str">
        <f>IF(($L37-$D37)&gt;=0,"",
" - Обеспечить хранение резервных копий на нескольких площадках. Проводить аудит хранимых резервных копий.")</f>
        <v xml:space="preserve"> - Обеспечить хранение резервных копий на нескольких площадках. Проводить аудит хранимых резервных копий.</v>
      </c>
    </row>
    <row r="38" spans="2:21" ht="57.6" customHeight="1" outlineLevel="1">
      <c r="B38" s="256" t="s">
        <v>857</v>
      </c>
      <c r="C38" s="66" t="s">
        <v>518</v>
      </c>
      <c r="D38" s="39">
        <v>5</v>
      </c>
      <c r="E38" s="40">
        <v>3.2</v>
      </c>
      <c r="F38" s="41">
        <v>1.6</v>
      </c>
      <c r="G38" s="73"/>
      <c r="H38" s="78"/>
      <c r="I38" s="78"/>
      <c r="J38" s="325"/>
      <c r="K38" s="172">
        <v>1.6</v>
      </c>
      <c r="L38" s="47">
        <f t="shared" si="3"/>
        <v>0</v>
      </c>
      <c r="M38">
        <f t="shared" si="1"/>
        <v>-1.6</v>
      </c>
      <c r="N38" s="104" t="s">
        <v>256</v>
      </c>
      <c r="P38" s="364">
        <f t="shared" si="4"/>
        <v>22.070000000000011</v>
      </c>
      <c r="Q38" s="248" t="str">
        <f>IF(($L38-$F38)&gt;=0,"",
" - Протестировать планы восстановления")</f>
        <v xml:space="preserve"> - Протестировать планы восстановления</v>
      </c>
      <c r="R38" s="364">
        <f t="shared" si="5"/>
        <v>222.06999999999994</v>
      </c>
      <c r="S38" s="248" t="str">
        <f>IF(($L38-$E38)&gt;=0,"",
" - Регулярно тестировать планы восстановления в тестовой и промышленной среде.")</f>
        <v xml:space="preserve"> - Регулярно тестировать планы восстановления в тестовой и промышленной среде.</v>
      </c>
      <c r="T38" s="364">
        <f t="shared" si="6"/>
        <v>322.06999999999994</v>
      </c>
      <c r="U38" s="248" t="str">
        <f>IF(($L38-$D38)&gt;=0,"",
" - Регламентировать тестирование планов восстановления, определить порядок тестирования и регулярность;
   - Контролировать проведение тестирования.")</f>
        <v xml:space="preserve"> - Регламентировать тестирование планов восстановления, определить порядок тестирования и регулярность;
   - Контролировать проведение тестирования.</v>
      </c>
    </row>
    <row r="39" spans="2:21" ht="85.35" customHeight="1" outlineLevel="1">
      <c r="B39" s="256" t="s">
        <v>858</v>
      </c>
      <c r="C39" s="66" t="s">
        <v>519</v>
      </c>
      <c r="D39" s="39">
        <v>5</v>
      </c>
      <c r="E39" s="40">
        <v>3.2</v>
      </c>
      <c r="F39" s="41">
        <v>1.6</v>
      </c>
      <c r="G39" s="47"/>
      <c r="H39" s="78"/>
      <c r="I39" s="78"/>
      <c r="J39" s="325"/>
      <c r="K39" s="172">
        <v>1.6</v>
      </c>
      <c r="L39" s="47">
        <f t="shared" si="3"/>
        <v>0</v>
      </c>
      <c r="M39">
        <f>L39-K39</f>
        <v>-1.6</v>
      </c>
      <c r="N39" s="104" t="s">
        <v>256</v>
      </c>
      <c r="P39" s="364">
        <f t="shared" si="4"/>
        <v>22.080000000000013</v>
      </c>
      <c r="Q39" s="248" t="str">
        <f>IF(($L39-$F39)&gt;=0,"",
" - Совместно с поставщиками составить и протестировать планы восстановления")</f>
        <v xml:space="preserve"> - Совместно с поставщиками составить и протестировать планы восстановления</v>
      </c>
      <c r="R39" s="364">
        <f t="shared" si="5"/>
        <v>222.07999999999993</v>
      </c>
      <c r="S39" s="248" t="str">
        <f>IF(($L39-$E39)&gt;=0,"",
" - Включить в договоры обязательства поставщика содействовать при проведении восстановительных мероприятий/ Определить SLA;"&amp;"
   - Определить ответственных за взаимодействие и их полномочия.")</f>
        <v xml:space="preserve"> - Включить в договоры обязательства поставщика содействовать при проведении восстановительных мероприятий/ Определить SLA;
   - Определить ответственных за взаимодействие и их полномочия.</v>
      </c>
      <c r="T39" s="364">
        <f t="shared" si="6"/>
        <v>322.07999999999993</v>
      </c>
      <c r="U39" s="248" t="str">
        <f>IF(($L39-$D39)&gt;=0,"",
" - Регулярно тестировать планы по реагированию и восстановлению совместно с поставщиком.")</f>
        <v xml:space="preserve"> - Регулярно тестировать планы по реагированию и восстановлению совместно с поставщиком.</v>
      </c>
    </row>
    <row r="40" spans="2:21" ht="64.349999999999994" customHeight="1" outlineLevel="1">
      <c r="B40" s="256" t="s">
        <v>859</v>
      </c>
      <c r="C40" s="66" t="s">
        <v>520</v>
      </c>
      <c r="D40" s="39">
        <v>5</v>
      </c>
      <c r="E40" s="40">
        <v>3.2</v>
      </c>
      <c r="F40" s="41">
        <v>1.6</v>
      </c>
      <c r="G40" s="73"/>
      <c r="H40" s="78"/>
      <c r="I40" s="78"/>
      <c r="J40" s="325"/>
      <c r="K40" s="172">
        <v>1.6</v>
      </c>
      <c r="L40" s="47">
        <f t="shared" si="3"/>
        <v>0</v>
      </c>
      <c r="M40">
        <f t="shared" si="1"/>
        <v>-1.6</v>
      </c>
      <c r="N40" s="104" t="s">
        <v>283</v>
      </c>
      <c r="P40" s="364">
        <f t="shared" si="4"/>
        <v>22.090000000000014</v>
      </c>
      <c r="Q40" s="248" t="str">
        <f>IF(($L40-$F40)&gt;=0,"",
" - Проводить анализ результатов тестирования планов восстановления. Фиксировать отклонения от планов.")</f>
        <v xml:space="preserve"> - Проводить анализ результатов тестирования планов восстановления. Фиксировать отклонения от планов.</v>
      </c>
      <c r="R40" s="364">
        <f t="shared" si="5"/>
        <v>222.08999999999992</v>
      </c>
      <c r="S40" s="248" t="str">
        <f>IF(($L40-$E40)&gt;=0,"",
" - Дорабатывать планы с учетом выявленных недостатков.")</f>
        <v xml:space="preserve"> - Дорабатывать планы с учетом выявленных недостатков.</v>
      </c>
      <c r="T40" s="364">
        <f t="shared" si="6"/>
        <v>322.08999999999992</v>
      </c>
      <c r="U40" s="248" t="str">
        <f>IF(($L40-$D40)&gt;=0,"",
" - Документировать недостатки и изменения. Проводить повторное тестирование планов.")</f>
        <v xml:space="preserve"> - Документировать недостатки и изменения. Проводить повторное тестирование планов.</v>
      </c>
    </row>
    <row r="41" spans="2:21">
      <c r="B41" s="70" t="s">
        <v>521</v>
      </c>
      <c r="C41" s="75" t="s">
        <v>204</v>
      </c>
      <c r="D41" s="82"/>
      <c r="E41" s="82"/>
      <c r="F41" s="82"/>
      <c r="G41" s="81"/>
      <c r="H41" s="82"/>
      <c r="I41" s="82"/>
      <c r="J41" s="82"/>
      <c r="K41" s="82"/>
      <c r="L41" s="82"/>
      <c r="M41" s="72"/>
      <c r="N41" s="309"/>
      <c r="O41" s="309"/>
      <c r="P41" s="366">
        <f>VLOOKUP(B41,Приоритет!$G$9:$K$52,5,0)</f>
        <v>32</v>
      </c>
      <c r="Q41" s="273" t="s">
        <v>521</v>
      </c>
      <c r="R41" s="366">
        <f>P41+200</f>
        <v>232</v>
      </c>
      <c r="S41" s="273" t="s">
        <v>521</v>
      </c>
      <c r="T41" s="366">
        <f>P41+300</f>
        <v>332</v>
      </c>
      <c r="U41" s="273" t="s">
        <v>521</v>
      </c>
    </row>
    <row r="42" spans="2:21" ht="56.1" customHeight="1" outlineLevel="1">
      <c r="B42" s="256" t="s">
        <v>222</v>
      </c>
      <c r="C42" s="446" t="s">
        <v>223</v>
      </c>
      <c r="D42" s="39">
        <v>5</v>
      </c>
      <c r="E42" s="40">
        <v>3.2</v>
      </c>
      <c r="F42" s="41">
        <v>0</v>
      </c>
      <c r="G42" s="73"/>
      <c r="H42" s="78"/>
      <c r="I42" s="78"/>
      <c r="J42" s="325"/>
      <c r="K42" s="172">
        <v>0</v>
      </c>
      <c r="L42" s="47">
        <f>VALUE(LEFT(N42,3))</f>
        <v>0</v>
      </c>
      <c r="M42">
        <f t="shared" si="1"/>
        <v>0</v>
      </c>
      <c r="N42" s="104" t="s">
        <v>283</v>
      </c>
      <c r="P42" s="364">
        <f>P41+0.01</f>
        <v>32.01</v>
      </c>
      <c r="Q42" s="248" t="str">
        <f>IF(($L42-$F42)&gt;=0,"","")</f>
        <v/>
      </c>
      <c r="R42" s="364">
        <f>R41+0.01</f>
        <v>232.01</v>
      </c>
      <c r="S42" s="248" t="str">
        <f>IF(($L42-$E42)&gt;=0,""," - Подготовить планы коммуникаций на случай сбоев в планах по восстановлению")</f>
        <v xml:space="preserve"> - Подготовить планы коммуникаций на случай сбоев в планах по восстановлению</v>
      </c>
      <c r="T42" s="364">
        <f>T41+0.01</f>
        <v>332.01</v>
      </c>
      <c r="U42" s="248" t="str">
        <f>IF(($L42-$D42)&gt;=0,""," - Поддерживать и актуализировать планы коммуникаций")</f>
        <v xml:space="preserve"> - Поддерживать и актуализировать планы коммуникаций</v>
      </c>
    </row>
    <row r="43" spans="2:21" ht="54" customHeight="1" outlineLevel="1">
      <c r="B43" s="46" t="s">
        <v>906</v>
      </c>
      <c r="C43" s="446" t="s">
        <v>224</v>
      </c>
      <c r="D43" s="39">
        <v>5</v>
      </c>
      <c r="E43" s="40">
        <v>0</v>
      </c>
      <c r="F43" s="41">
        <v>0</v>
      </c>
      <c r="G43" s="73"/>
      <c r="H43" s="78"/>
      <c r="I43" s="78"/>
      <c r="J43" s="325"/>
      <c r="K43" s="172">
        <v>0</v>
      </c>
      <c r="L43" s="47">
        <f>VALUE(LEFT(N43,3))</f>
        <v>0</v>
      </c>
      <c r="M43">
        <f t="shared" si="1"/>
        <v>0</v>
      </c>
      <c r="N43" s="104" t="s">
        <v>283</v>
      </c>
      <c r="P43" s="364">
        <f>P42+0.01</f>
        <v>32.019999999999996</v>
      </c>
      <c r="Q43" s="248" t="str">
        <f>IF(($L43-$F43)&gt;=0,"","")</f>
        <v/>
      </c>
      <c r="R43" s="364">
        <f>R42+0.01</f>
        <v>232.01999999999998</v>
      </c>
      <c r="S43" s="248" t="str">
        <f>IF(($L43-$E43)&gt;=0,"","")</f>
        <v/>
      </c>
      <c r="T43" s="364">
        <f>T42+0.01</f>
        <v>332.02</v>
      </c>
      <c r="U43" s="248" t="str">
        <f>IF(($L43-$D43)&gt;=0,""," - Подготовить типовые ответы на претензии по факту инцидента")</f>
        <v xml:space="preserve"> - Подготовить типовые ответы на претензии по факту инцидента</v>
      </c>
    </row>
  </sheetData>
  <autoFilter ref="B30:Q43" xr:uid="{00000000-0009-0000-0000-00000A000000}"/>
  <conditionalFormatting sqref="M1:M1048576">
    <cfRule type="cellIs" dxfId="15" priority="1" operator="greaterThan">
      <formula>0</formula>
    </cfRule>
    <cfRule type="cellIs" dxfId="14" priority="2" operator="equal">
      <formula>0</formula>
    </cfRule>
  </conditionalFormatting>
  <conditionalFormatting sqref="M27:M43">
    <cfRule type="cellIs" dxfId="13" priority="3" operator="lessThan">
      <formula>0</formula>
    </cfRule>
  </conditionalFormatting>
  <conditionalFormatting sqref="O30">
    <cfRule type="cellIs" dxfId="12" priority="7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P41:P43 S43 R41:T41 Q32:U40 Q42:U42 Q41 U41 Q43:R43 T43:U43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'Условные сокращения'!$M$11:$M$12</xm:f>
          </x14:formula1>
          <xm:sqref>N43 N32:N33</xm:sqref>
        </x14:dataValidation>
        <x14:dataValidation type="list" allowBlank="1" showInputMessage="1" showErrorMessage="1" xr:uid="{00000000-0002-0000-0A00-000001000000}">
          <x14:formula1>
            <xm:f>'Условные сокращения'!$I$11:$I$14</xm:f>
          </x14:formula1>
          <xm:sqref>N42 N40</xm:sqref>
        </x14:dataValidation>
        <x14:dataValidation type="list" allowBlank="1" showInputMessage="1" showErrorMessage="1" xr:uid="{00000000-0002-0000-0A00-000002000000}">
          <x14:formula1>
            <xm:f>'Условные сокращения'!$B$27:$B$30</xm:f>
          </x14:formula1>
          <xm:sqref>N34:N39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5">
    <tabColor theme="0"/>
  </sheetPr>
  <dimension ref="B1:K33"/>
  <sheetViews>
    <sheetView topLeftCell="B1" zoomScale="85" zoomScaleNormal="85" workbookViewId="0">
      <selection activeCell="C12" sqref="C12"/>
    </sheetView>
  </sheetViews>
  <sheetFormatPr defaultRowHeight="15.6"/>
  <cols>
    <col min="2" max="2" width="24.59765625" customWidth="1"/>
    <col min="3" max="3" width="57" customWidth="1"/>
    <col min="4" max="4" width="11.09765625" style="73" bestFit="1" customWidth="1"/>
    <col min="5" max="5" width="18" style="73" customWidth="1"/>
    <col min="6" max="6" width="18.8984375" style="119" customWidth="1"/>
    <col min="8" max="8" width="24.5" customWidth="1"/>
    <col min="9" max="9" width="85.59765625" customWidth="1"/>
    <col min="10" max="10" width="28.09765625" customWidth="1"/>
    <col min="11" max="11" width="46.5" customWidth="1"/>
  </cols>
  <sheetData>
    <row r="1" spans="2:11" ht="30.6" customHeight="1" thickBot="1">
      <c r="B1" s="604" t="s">
        <v>687</v>
      </c>
      <c r="C1" s="605"/>
      <c r="D1" s="605"/>
      <c r="E1" s="606"/>
      <c r="F1" s="607"/>
      <c r="H1" s="596" t="s">
        <v>733</v>
      </c>
      <c r="I1" s="597"/>
      <c r="J1" s="598"/>
    </row>
    <row r="2" spans="2:11" ht="44.1" customHeight="1">
      <c r="B2" s="384" t="s">
        <v>662</v>
      </c>
      <c r="C2" s="381" t="s">
        <v>663</v>
      </c>
      <c r="D2" s="382" t="s">
        <v>664</v>
      </c>
      <c r="E2" s="383" t="s">
        <v>665</v>
      </c>
      <c r="F2" s="417" t="s">
        <v>717</v>
      </c>
      <c r="H2" s="415" t="s">
        <v>694</v>
      </c>
      <c r="I2" s="416" t="s">
        <v>695</v>
      </c>
      <c r="J2" s="417" t="s">
        <v>717</v>
      </c>
      <c r="K2" s="472" t="s">
        <v>746</v>
      </c>
    </row>
    <row r="3" spans="2:11" ht="90.75" customHeight="1">
      <c r="B3" s="593" t="s">
        <v>666</v>
      </c>
      <c r="C3" s="376" t="s">
        <v>667</v>
      </c>
      <c r="D3" s="379">
        <v>0.2</v>
      </c>
      <c r="E3" s="608">
        <v>0.15</v>
      </c>
      <c r="F3" s="385">
        <f>IF('Нормативное соответствие'!L75=5,Светофор!D3,0)</f>
        <v>0</v>
      </c>
      <c r="H3" s="593" t="s">
        <v>696</v>
      </c>
      <c r="I3" s="418" t="s">
        <v>718</v>
      </c>
      <c r="J3" s="385">
        <f>'Управление ИБ'!L62/5</f>
        <v>1</v>
      </c>
      <c r="K3" s="249" t="s">
        <v>735</v>
      </c>
    </row>
    <row r="4" spans="2:11" ht="65.400000000000006" customHeight="1">
      <c r="B4" s="594"/>
      <c r="C4" s="377" t="s">
        <v>668</v>
      </c>
      <c r="D4" s="378">
        <v>0.3</v>
      </c>
      <c r="E4" s="609"/>
      <c r="F4" s="385">
        <f>IF('Нормативное соответствие'!L76=5,Светофор!D4,0)</f>
        <v>0</v>
      </c>
      <c r="H4" s="594"/>
      <c r="I4" s="419" t="s">
        <v>719</v>
      </c>
      <c r="J4" s="385">
        <f>'Управление ИБ'!L63/5</f>
        <v>1</v>
      </c>
      <c r="K4" s="249" t="s">
        <v>736</v>
      </c>
    </row>
    <row r="5" spans="2:11" ht="57" customHeight="1">
      <c r="B5" s="594"/>
      <c r="C5" s="376" t="s">
        <v>669</v>
      </c>
      <c r="D5" s="379">
        <v>0.4</v>
      </c>
      <c r="E5" s="609"/>
      <c r="F5" s="385">
        <f>IF('Управление ИБ'!L109=5,D5,('Управление ИБ'!L109/5)*D5)</f>
        <v>0</v>
      </c>
      <c r="H5" s="594"/>
      <c r="I5" s="418" t="s">
        <v>720</v>
      </c>
      <c r="J5" s="385">
        <f>'Управление ИБ'!L61/5</f>
        <v>1</v>
      </c>
      <c r="K5" s="26"/>
    </row>
    <row r="6" spans="2:11" ht="63.6" customHeight="1">
      <c r="B6" s="595"/>
      <c r="C6" s="397" t="s">
        <v>670</v>
      </c>
      <c r="D6" s="378">
        <v>0.1</v>
      </c>
      <c r="E6" s="610"/>
      <c r="F6" s="385">
        <f>IF('Нормативное соответствие'!N89&gt;=95%,1,D6*'Нормативное соответствие'!N89)</f>
        <v>1</v>
      </c>
      <c r="H6" s="594"/>
      <c r="I6" s="466" t="s">
        <v>734</v>
      </c>
      <c r="J6" s="423">
        <f>IF(AND('Управление ИБ'!L64=5,'Управление ИБ'!L65=5,'Управление ИБ'!L66=5),1,(ROUNDDOWN(('Управление ИБ'!L64+'Управление ИБ'!L65+'Управление ИБ'!L66)/15,1)))</f>
        <v>0.7</v>
      </c>
      <c r="K6" s="26"/>
    </row>
    <row r="7" spans="2:11" ht="50.4" customHeight="1">
      <c r="B7" s="599" t="s">
        <v>671</v>
      </c>
      <c r="C7" s="376" t="s">
        <v>672</v>
      </c>
      <c r="D7" s="379">
        <v>0.3</v>
      </c>
      <c r="E7" s="608">
        <v>0.2</v>
      </c>
      <c r="F7" s="386">
        <f>'Управление ИБ'!L180/5*D7</f>
        <v>0</v>
      </c>
      <c r="H7" s="594"/>
      <c r="I7" s="420" t="s">
        <v>721</v>
      </c>
      <c r="J7" s="385">
        <f>ROUNDDOWN(('Управление ИБ'!L72+'Управление ИБ'!L74+'Управление ИБ'!L76)/15,1)</f>
        <v>0</v>
      </c>
      <c r="K7" s="26"/>
    </row>
    <row r="8" spans="2:11" ht="50.4" customHeight="1">
      <c r="B8" s="600"/>
      <c r="C8" s="377" t="s">
        <v>673</v>
      </c>
      <c r="D8" s="378">
        <v>0.4</v>
      </c>
      <c r="E8" s="609"/>
      <c r="F8" s="385">
        <f>СЗИ!L30/5*D8</f>
        <v>0</v>
      </c>
      <c r="H8" s="594"/>
      <c r="I8" s="421" t="s">
        <v>722</v>
      </c>
      <c r="J8" s="385">
        <f>'Нормативное соответствие'!L62/5</f>
        <v>0</v>
      </c>
      <c r="K8" s="455"/>
    </row>
    <row r="9" spans="2:11" ht="44.1" customHeight="1">
      <c r="B9" s="601"/>
      <c r="C9" s="376" t="s">
        <v>674</v>
      </c>
      <c r="D9" s="379">
        <v>0.3</v>
      </c>
      <c r="E9" s="610"/>
      <c r="F9" s="385">
        <f>'Управление ИБ'!L183/5*D9</f>
        <v>0</v>
      </c>
      <c r="H9" s="594"/>
      <c r="I9" s="420" t="s">
        <v>723</v>
      </c>
      <c r="J9" s="385">
        <f>IF('Управление ИБ'!L109&gt;0,1,0)</f>
        <v>0</v>
      </c>
      <c r="K9" s="26"/>
    </row>
    <row r="10" spans="2:11" ht="47.1" customHeight="1">
      <c r="B10" s="593" t="s">
        <v>675</v>
      </c>
      <c r="C10" s="377" t="s">
        <v>676</v>
      </c>
      <c r="D10" s="378">
        <v>0.2</v>
      </c>
      <c r="E10" s="612">
        <v>0.35</v>
      </c>
      <c r="F10" s="385">
        <f>СЗИ!L76/5*D10</f>
        <v>0</v>
      </c>
      <c r="H10" s="593" t="s">
        <v>697</v>
      </c>
      <c r="I10" s="421" t="s">
        <v>724</v>
      </c>
      <c r="J10" s="385">
        <f>IF('Управление ИБ'!L169&gt;0,IF('Управление ИБ'!L170&gt;0,IF(СЗИ!L65&gt;0,1,0.6),0.3),0)</f>
        <v>0</v>
      </c>
      <c r="K10" s="26"/>
    </row>
    <row r="11" spans="2:11" ht="45.6" customHeight="1">
      <c r="B11" s="594"/>
      <c r="C11" s="376" t="s">
        <v>677</v>
      </c>
      <c r="D11" s="379">
        <v>0.2</v>
      </c>
      <c r="E11" s="613"/>
      <c r="F11" s="385">
        <f>СЗИ!L31/5*D11</f>
        <v>0</v>
      </c>
      <c r="H11" s="594"/>
      <c r="I11" s="418" t="s">
        <v>888</v>
      </c>
      <c r="J11" s="385">
        <f>IF('Управление ИБ'!L183&gt;0,IF(AND(СЗИ!L56&gt;0,СЗИ!L57&gt;0),1,0.6),0)</f>
        <v>0</v>
      </c>
      <c r="K11" s="26"/>
    </row>
    <row r="12" spans="2:11" ht="28.35" customHeight="1">
      <c r="B12" s="594"/>
      <c r="C12" s="377" t="s">
        <v>678</v>
      </c>
      <c r="D12" s="378">
        <v>0.15</v>
      </c>
      <c r="E12" s="613"/>
      <c r="F12" s="385">
        <f>СЗИ!L37/5*D12</f>
        <v>0.01</v>
      </c>
      <c r="H12" s="594"/>
      <c r="I12" s="419" t="s">
        <v>698</v>
      </c>
      <c r="J12" s="385">
        <f>IF(AND('Управление ИБ'!L169&gt;0,'Управление ИБ'!L180&gt;0),IF('Управление ИБ'!L173&gt;0,IF('Управление ИБ'!L174&gt;0,1,0.6),0.3),0)</f>
        <v>0</v>
      </c>
      <c r="K12" s="26" t="s">
        <v>737</v>
      </c>
    </row>
    <row r="13" spans="2:11" ht="46.35" customHeight="1">
      <c r="B13" s="594"/>
      <c r="C13" s="376" t="s">
        <v>679</v>
      </c>
      <c r="D13" s="379">
        <v>7.4999999999999997E-2</v>
      </c>
      <c r="E13" s="613"/>
      <c r="F13" s="398">
        <f>IF('Управление ИБ'!L45/5&gt;=0.85,D13,'Управление ИБ'!L45/5*D13)</f>
        <v>3.6923076923076922E-3</v>
      </c>
      <c r="H13" s="594"/>
      <c r="I13" s="422" t="s">
        <v>725</v>
      </c>
      <c r="J13" s="424">
        <f>IF(СЗИ!L88=0,0,IF(СЗИ!L88=1,0.4,IF(СЗИ!L88=2,0.6,IF(СЗИ!L88=3,0.7,IF(СЗИ!L88=4,1,0)))))</f>
        <v>0.4</v>
      </c>
      <c r="K13" s="26" t="s">
        <v>738</v>
      </c>
    </row>
    <row r="14" spans="2:11" ht="36.6" customHeight="1">
      <c r="B14" s="594"/>
      <c r="C14" s="377" t="s">
        <v>680</v>
      </c>
      <c r="D14" s="380">
        <v>0.15</v>
      </c>
      <c r="E14" s="613"/>
      <c r="F14" s="385">
        <f>СЗИ!L38/5*D14</f>
        <v>0</v>
      </c>
      <c r="H14" s="594"/>
      <c r="I14" s="419" t="s">
        <v>699</v>
      </c>
      <c r="J14" s="385">
        <f>IF('Управление ИБ'!L137=0,0,IF('Управление ИБ'!L137=1.6,0.3,IF('Управление ИБ'!L137=3.2,0.5,1)))</f>
        <v>0</v>
      </c>
      <c r="K14" s="26" t="s">
        <v>739</v>
      </c>
    </row>
    <row r="15" spans="2:11" ht="42" customHeight="1">
      <c r="B15" s="594"/>
      <c r="C15" s="376" t="s">
        <v>681</v>
      </c>
      <c r="D15" s="379">
        <v>0.15</v>
      </c>
      <c r="E15" s="613"/>
      <c r="F15" s="385">
        <f>СЗИ!L39/5*D15</f>
        <v>0</v>
      </c>
      <c r="H15" s="594"/>
      <c r="I15" s="418" t="s">
        <v>700</v>
      </c>
      <c r="J15" s="385">
        <f>IF(OR('Управление ИБ'!L103=0,'Управление ИБ'!L103=1),0,IF(AND('Управление ИБ'!L103=2,'Управление ИБ'!L117=0),0.3,IF(AND('Управление ИБ'!L103=2,'Управление ИБ'!L117&gt;0),0.5,IF(AND('Управление ИБ'!L103=2,'Управление ИБ'!L117&gt;0,'Управление ИБ'!L190&gt;0),0.7,IF(AND('Управление ИБ'!L103&gt;2,'Управление ИБ'!L117&gt;0,'Управление ИБ'!L190&gt;0),1,"ОШИБКА")))))</f>
        <v>0</v>
      </c>
      <c r="K15" s="26" t="s">
        <v>740</v>
      </c>
    </row>
    <row r="16" spans="2:11" ht="51.6" customHeight="1">
      <c r="B16" s="595"/>
      <c r="C16" s="377" t="s">
        <v>682</v>
      </c>
      <c r="D16" s="378">
        <v>7.4999999999999997E-2</v>
      </c>
      <c r="E16" s="614"/>
      <c r="F16" s="398">
        <f>СЗИ!L47/5*D16</f>
        <v>0</v>
      </c>
      <c r="H16" s="594"/>
      <c r="I16" s="419" t="s">
        <v>701</v>
      </c>
      <c r="J16" s="385">
        <f>IF('Управление ИБ'!L115=0,0,IF(AND(Восстановление!L35&gt;0,'Управление ИБ'!L106=1),0.6,IF(AND(Восстановление!L35&gt;0,'Управление ИБ'!L106&gt;1),1,"0,3")))</f>
        <v>0</v>
      </c>
      <c r="K16" s="26"/>
    </row>
    <row r="17" spans="2:11" ht="42.6" customHeight="1">
      <c r="B17" s="599" t="s">
        <v>683</v>
      </c>
      <c r="C17" s="376" t="s">
        <v>684</v>
      </c>
      <c r="D17" s="379">
        <v>0.4</v>
      </c>
      <c r="E17" s="608">
        <v>0.3</v>
      </c>
      <c r="F17" s="385">
        <f>Мониторинг!L55/5*D17</f>
        <v>0</v>
      </c>
      <c r="H17" s="594"/>
      <c r="I17" s="418" t="s">
        <v>702</v>
      </c>
      <c r="J17" s="467">
        <f>IF(Мониторинг!L62=0,0,IF(Мониторинг!L62=1,0.4,IF(Мониторинг!L62=2,0.8,IF(Мониторинг!L62&gt;2,1,1))))</f>
        <v>0</v>
      </c>
      <c r="K17" s="455"/>
    </row>
    <row r="18" spans="2:11" ht="52.35" customHeight="1">
      <c r="B18" s="602"/>
      <c r="C18" s="377" t="s">
        <v>685</v>
      </c>
      <c r="D18" s="380">
        <v>0.3</v>
      </c>
      <c r="E18" s="609"/>
      <c r="F18" s="385">
        <f>AVERAGE(Мониторинг!L46,Мониторинг!L51)/5*D18</f>
        <v>0</v>
      </c>
      <c r="H18" s="594"/>
      <c r="I18" s="419" t="s">
        <v>703</v>
      </c>
      <c r="J18" s="468">
        <f>IF(Реагирование!L39=0,0,IF(Реагирование!L39=1,0.3,IF(Реагирование!L39&gt;=2,IF(Реагирование!L47&gt;0,IF(Реагирование!L53&gt;0,IF(Восстановление!L32,IF(Реагирование!L54&gt;2,1,0.8),0.7),0.6),0.3),0)))</f>
        <v>0</v>
      </c>
      <c r="K18" s="455" t="s">
        <v>741</v>
      </c>
    </row>
    <row r="19" spans="2:11" ht="30" customHeight="1" thickBot="1">
      <c r="B19" s="603"/>
      <c r="C19" s="387" t="s">
        <v>686</v>
      </c>
      <c r="D19" s="388">
        <v>0.3</v>
      </c>
      <c r="E19" s="611"/>
      <c r="F19" s="399">
        <f>'250'!L98/5*D19</f>
        <v>0</v>
      </c>
      <c r="H19" s="594"/>
      <c r="I19" s="418" t="s">
        <v>704</v>
      </c>
      <c r="J19" s="468">
        <f>IF(Восстановление!L34=0,0,IF(Восстановление!L38=0,0.3,IF(Восстановление!L40=0,0.6,IF(AND(Восстановление!L42&gt;0,'Управление ИБ'!L68&gt;0),1,0.8))))</f>
        <v>0</v>
      </c>
      <c r="K19" s="26"/>
    </row>
    <row r="20" spans="2:11" ht="30.6" customHeight="1">
      <c r="B20" s="392"/>
      <c r="C20" s="393"/>
      <c r="D20" s="394"/>
      <c r="E20" s="394"/>
      <c r="F20" s="394">
        <f>(F19+F18+F17)*$E$17+SUM(F10:F16)*$E$10+SUM(F7:F9)*$E$7+SUM(F3:F6)*$E$3</f>
        <v>0.15479230769230767</v>
      </c>
      <c r="H20" s="594"/>
      <c r="I20" s="419" t="s">
        <v>705</v>
      </c>
      <c r="J20" s="467">
        <f>IF(AND('Управление ИБ'!L158&gt;2,'Управление ИБ'!L68&gt;2),1,IF('Управление ИБ'!L158&gt;2,0.9,0))</f>
        <v>0</v>
      </c>
      <c r="K20" s="455" t="s">
        <v>742</v>
      </c>
    </row>
    <row r="21" spans="2:11" ht="29.1" customHeight="1">
      <c r="B21" s="392"/>
      <c r="C21" s="393"/>
      <c r="D21" s="395"/>
      <c r="E21" s="395"/>
      <c r="F21" s="396"/>
      <c r="H21" s="594"/>
      <c r="I21" s="418" t="s">
        <v>706</v>
      </c>
      <c r="J21" s="467">
        <f>IF('Управление ИБ'!L54=0,0,IF('Управление ИБ'!L54=1.6,0.8,IF('Управление ИБ'!L54=3.2,0.9,1)))</f>
        <v>0</v>
      </c>
      <c r="K21" s="455" t="s">
        <v>743</v>
      </c>
    </row>
    <row r="22" spans="2:11" ht="33.6" customHeight="1">
      <c r="H22" s="594"/>
      <c r="I22" s="419" t="s">
        <v>707</v>
      </c>
      <c r="J22" s="467">
        <f>IF(СЗИ!L76&gt;0,1,0)</f>
        <v>0</v>
      </c>
      <c r="K22" s="26"/>
    </row>
    <row r="23" spans="2:11" ht="31.2">
      <c r="H23" s="594"/>
      <c r="I23" s="418" t="s">
        <v>708</v>
      </c>
      <c r="J23" s="469">
        <f>IF(СЗИ!L62&gt;2,1,0)</f>
        <v>0</v>
      </c>
      <c r="K23" s="455" t="s">
        <v>744</v>
      </c>
    </row>
    <row r="24" spans="2:11" ht="59.4" customHeight="1">
      <c r="H24" s="594"/>
      <c r="I24" s="466" t="s">
        <v>709</v>
      </c>
      <c r="J24" s="469">
        <f>IF(СЗИ!L88&gt;2,1,0)</f>
        <v>0</v>
      </c>
      <c r="K24" s="455"/>
    </row>
    <row r="25" spans="2:11" ht="39.6" customHeight="1">
      <c r="H25" s="594"/>
      <c r="I25" s="418" t="s">
        <v>710</v>
      </c>
      <c r="J25" s="469">
        <f>IF(СЗИ!L91&gt;2,1,0)</f>
        <v>0</v>
      </c>
      <c r="K25" s="26"/>
    </row>
    <row r="26" spans="2:11" ht="33" customHeight="1">
      <c r="H26" s="594"/>
      <c r="I26" s="419" t="s">
        <v>711</v>
      </c>
      <c r="J26" s="469">
        <f>IF(СЗИ!L97&gt;2,1,0)</f>
        <v>0</v>
      </c>
      <c r="K26" s="26"/>
    </row>
    <row r="27" spans="2:11" ht="53.4" customHeight="1">
      <c r="H27" s="594"/>
      <c r="I27" s="418" t="s">
        <v>712</v>
      </c>
      <c r="J27" s="469">
        <f>IF(СЗИ!L48&gt;0,1,0)</f>
        <v>0</v>
      </c>
      <c r="K27" s="26"/>
    </row>
    <row r="28" spans="2:11" ht="54" customHeight="1">
      <c r="H28" s="594"/>
      <c r="I28" s="419" t="s">
        <v>713</v>
      </c>
      <c r="J28" s="470"/>
      <c r="K28" s="26" t="s">
        <v>745</v>
      </c>
    </row>
    <row r="29" spans="2:11" ht="32.4" customHeight="1">
      <c r="H29" s="594"/>
      <c r="I29" s="418" t="s">
        <v>714</v>
      </c>
      <c r="J29" s="470"/>
      <c r="K29" s="26" t="s">
        <v>745</v>
      </c>
    </row>
    <row r="30" spans="2:11" ht="30.6" customHeight="1">
      <c r="H30" s="594"/>
      <c r="I30" s="466" t="s">
        <v>715</v>
      </c>
      <c r="J30" s="470"/>
      <c r="K30" s="26" t="s">
        <v>745</v>
      </c>
    </row>
    <row r="31" spans="2:11" ht="25.35" customHeight="1">
      <c r="H31" s="595"/>
      <c r="I31" s="425" t="s">
        <v>716</v>
      </c>
      <c r="J31" s="471">
        <f>IF('Управление ИБ'!L67&gt;2,1,0)</f>
        <v>0</v>
      </c>
    </row>
    <row r="32" spans="2:11" ht="29.4" customHeight="1">
      <c r="I32" s="476" t="s">
        <v>750</v>
      </c>
      <c r="J32" s="477">
        <f>SUM(J3:J31)</f>
        <v>4.1000000000000005</v>
      </c>
    </row>
    <row r="33" spans="9:10" ht="18">
      <c r="I33" s="476" t="s">
        <v>752</v>
      </c>
      <c r="J33" s="374">
        <f>IF(AND(J3&gt;0,J5&gt;0,J6&gt;0,J7&gt;0,J8&gt;0,J10&gt;0,J12&gt;0,J13&gt;0,J14&gt;0,J15&gt;0,J17&gt;0,J18&gt;0,J19&gt;0,J20&gt;0,J21&gt;0,J23&gt;0,J24&gt;0,J25&gt;0,J26&gt;0,J27&gt;0),J32,0)</f>
        <v>0</v>
      </c>
    </row>
  </sheetData>
  <mergeCells count="12">
    <mergeCell ref="H3:H9"/>
    <mergeCell ref="H10:H31"/>
    <mergeCell ref="H1:J1"/>
    <mergeCell ref="B7:B9"/>
    <mergeCell ref="B10:B16"/>
    <mergeCell ref="B17:B19"/>
    <mergeCell ref="B1:F1"/>
    <mergeCell ref="B3:B6"/>
    <mergeCell ref="E3:E6"/>
    <mergeCell ref="E17:E19"/>
    <mergeCell ref="E10:E16"/>
    <mergeCell ref="E7:E9"/>
  </mergeCells>
  <conditionalFormatting sqref="F3">
    <cfRule type="cellIs" dxfId="11" priority="35" operator="equal">
      <formula>"K3"</formula>
    </cfRule>
  </conditionalFormatting>
  <conditionalFormatting sqref="F3:F4">
    <cfRule type="expression" dxfId="10" priority="26">
      <formula>если+$F$3&lt;$D$3</formula>
    </cfRule>
    <cfRule type="cellIs" dxfId="9" priority="27" operator="lessThan">
      <formula>$D$3</formula>
    </cfRule>
  </conditionalFormatting>
  <conditionalFormatting sqref="F3:F19">
    <cfRule type="expression" dxfId="8" priority="34">
      <formula>"если+$U$3&lt;$K$3"</formula>
    </cfRule>
  </conditionalFormatting>
  <conditionalFormatting sqref="F4">
    <cfRule type="cellIs" dxfId="7" priority="28" operator="equal">
      <formula>"K3"</formula>
    </cfRule>
  </conditionalFormatting>
  <conditionalFormatting sqref="F6">
    <cfRule type="expression" dxfId="6" priority="23">
      <formula>если+$F$3&lt;$D$3</formula>
    </cfRule>
    <cfRule type="cellIs" dxfId="5" priority="24" operator="lessThan">
      <formula>$D$3</formula>
    </cfRule>
    <cfRule type="cellIs" dxfId="4" priority="25" operator="equal">
      <formula>"K3"</formula>
    </cfRule>
  </conditionalFormatting>
  <conditionalFormatting sqref="J32">
    <cfRule type="cellIs" dxfId="3" priority="1" operator="greaterThan">
      <formula>24</formula>
    </cfRule>
    <cfRule type="cellIs" dxfId="2" priority="2" operator="lessThan">
      <formula>17</formula>
    </cfRule>
    <cfRule type="cellIs" priority="3" operator="lessThan">
      <formula>16</formula>
    </cfRule>
    <cfRule type="cellIs" dxfId="1" priority="4" operator="greaterThan">
      <formula>17</formula>
    </cfRule>
    <cfRule type="cellIs" dxfId="0" priority="5" operator="lessThan">
      <formula>15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2:S51"/>
  <sheetViews>
    <sheetView topLeftCell="A22" workbookViewId="0"/>
  </sheetViews>
  <sheetFormatPr defaultRowHeight="15.6"/>
  <cols>
    <col min="2" max="2" width="9" bestFit="1" customWidth="1"/>
    <col min="3" max="3" width="10.5" bestFit="1" customWidth="1"/>
    <col min="4" max="4" width="16.59765625" bestFit="1" customWidth="1"/>
    <col min="10" max="10" width="15.5" bestFit="1" customWidth="1"/>
    <col min="11" max="11" width="15.5" customWidth="1"/>
    <col min="14" max="14" width="28" customWidth="1"/>
    <col min="15" max="15" width="13.59765625" customWidth="1"/>
  </cols>
  <sheetData>
    <row r="2" spans="1:18" ht="23.4">
      <c r="A2" s="83"/>
      <c r="B2" s="84"/>
      <c r="C2" s="85"/>
      <c r="D2" s="86"/>
      <c r="E2" s="617" t="s">
        <v>225</v>
      </c>
      <c r="F2" s="618"/>
      <c r="G2" s="618"/>
      <c r="H2" s="86"/>
      <c r="I2" s="86"/>
      <c r="J2" s="87"/>
      <c r="M2" s="88"/>
      <c r="N2" s="619" t="s">
        <v>226</v>
      </c>
      <c r="O2" s="619"/>
      <c r="P2" s="619"/>
    </row>
    <row r="3" spans="1:18">
      <c r="A3" s="89">
        <v>0</v>
      </c>
      <c r="B3" t="s">
        <v>238</v>
      </c>
      <c r="J3" s="90"/>
      <c r="M3" s="89">
        <v>0</v>
      </c>
      <c r="N3" s="100" t="s">
        <v>245</v>
      </c>
      <c r="O3" s="100"/>
    </row>
    <row r="4" spans="1:18" ht="39.75" customHeight="1">
      <c r="A4" s="89">
        <v>1</v>
      </c>
      <c r="B4" t="s">
        <v>239</v>
      </c>
      <c r="J4" s="90"/>
      <c r="M4" s="89">
        <v>1</v>
      </c>
      <c r="N4" s="100" t="s">
        <v>273</v>
      </c>
      <c r="P4" s="102"/>
    </row>
    <row r="5" spans="1:18">
      <c r="A5" s="89">
        <v>2</v>
      </c>
      <c r="B5" t="s">
        <v>240</v>
      </c>
      <c r="J5" s="90"/>
      <c r="M5" s="89">
        <v>2</v>
      </c>
      <c r="N5" s="100" t="s">
        <v>274</v>
      </c>
      <c r="P5" s="102"/>
    </row>
    <row r="6" spans="1:18">
      <c r="A6" s="89">
        <v>3</v>
      </c>
      <c r="B6" t="s">
        <v>241</v>
      </c>
      <c r="J6" s="90"/>
      <c r="M6" s="89">
        <v>3</v>
      </c>
      <c r="N6" s="100" t="s">
        <v>275</v>
      </c>
      <c r="P6" s="102"/>
    </row>
    <row r="7" spans="1:18">
      <c r="A7" s="89">
        <v>4</v>
      </c>
      <c r="B7" t="s">
        <v>242</v>
      </c>
      <c r="J7" s="90"/>
      <c r="M7" s="89">
        <v>4</v>
      </c>
      <c r="N7" s="100" t="s">
        <v>276</v>
      </c>
      <c r="P7" s="102"/>
    </row>
    <row r="8" spans="1:18">
      <c r="A8" s="92">
        <v>5</v>
      </c>
      <c r="B8" s="93" t="s">
        <v>243</v>
      </c>
      <c r="C8" s="93"/>
      <c r="D8" s="93"/>
      <c r="E8" s="93"/>
      <c r="F8" s="93"/>
      <c r="G8" s="93"/>
      <c r="H8" s="93"/>
      <c r="I8" s="93"/>
      <c r="J8" s="94"/>
      <c r="M8" s="92">
        <v>5</v>
      </c>
      <c r="N8" s="100" t="s">
        <v>246</v>
      </c>
      <c r="P8" s="102"/>
    </row>
    <row r="10" spans="1:18" ht="21">
      <c r="A10" s="88"/>
      <c r="B10" s="86"/>
      <c r="C10" s="619" t="s">
        <v>227</v>
      </c>
      <c r="D10" s="619"/>
      <c r="E10" s="87"/>
      <c r="H10" s="620" t="s">
        <v>228</v>
      </c>
      <c r="I10" s="619"/>
      <c r="J10" s="621"/>
      <c r="L10" s="620" t="s">
        <v>282</v>
      </c>
      <c r="M10" s="619"/>
      <c r="N10" s="621"/>
    </row>
    <row r="11" spans="1:18">
      <c r="A11" s="89">
        <v>0</v>
      </c>
      <c r="B11" s="622" t="s">
        <v>247</v>
      </c>
      <c r="C11" s="622"/>
      <c r="D11" s="91"/>
      <c r="E11" s="95"/>
      <c r="H11" s="89">
        <v>0</v>
      </c>
      <c r="I11" s="103" t="s">
        <v>283</v>
      </c>
      <c r="J11" s="90"/>
      <c r="L11" s="89">
        <v>0</v>
      </c>
      <c r="M11" s="103" t="s">
        <v>283</v>
      </c>
      <c r="N11" s="524" t="s">
        <v>982</v>
      </c>
    </row>
    <row r="12" spans="1:18">
      <c r="A12" s="89">
        <v>1</v>
      </c>
      <c r="B12" s="622" t="s">
        <v>248</v>
      </c>
      <c r="C12" s="622"/>
      <c r="D12" s="622"/>
      <c r="E12" s="95"/>
      <c r="H12" s="89">
        <v>1.6</v>
      </c>
      <c r="I12" s="103" t="s">
        <v>285</v>
      </c>
      <c r="J12" s="90"/>
      <c r="L12" s="92">
        <v>5</v>
      </c>
      <c r="M12" s="106" t="s">
        <v>284</v>
      </c>
      <c r="N12" s="525" t="s">
        <v>633</v>
      </c>
    </row>
    <row r="13" spans="1:18">
      <c r="A13" s="89">
        <v>2</v>
      </c>
      <c r="B13" s="622" t="s">
        <v>249</v>
      </c>
      <c r="C13" s="622"/>
      <c r="D13" s="622"/>
      <c r="E13" s="623"/>
      <c r="H13" s="89">
        <v>3.2</v>
      </c>
      <c r="I13" s="91" t="s">
        <v>244</v>
      </c>
      <c r="J13" s="90"/>
      <c r="R13" s="375" t="s">
        <v>660</v>
      </c>
    </row>
    <row r="14" spans="1:18">
      <c r="A14" s="89">
        <v>3</v>
      </c>
      <c r="B14" s="622" t="s">
        <v>250</v>
      </c>
      <c r="C14" s="622"/>
      <c r="D14" s="622"/>
      <c r="E14" s="95"/>
      <c r="H14" s="92">
        <v>5</v>
      </c>
      <c r="I14" s="106" t="s">
        <v>284</v>
      </c>
      <c r="J14" s="94"/>
      <c r="R14" t="s">
        <v>657</v>
      </c>
    </row>
    <row r="15" spans="1:18">
      <c r="A15" s="89">
        <v>4</v>
      </c>
      <c r="B15" s="622" t="s">
        <v>251</v>
      </c>
      <c r="C15" s="622"/>
      <c r="D15" s="91"/>
      <c r="E15" s="95"/>
      <c r="R15" t="s">
        <v>658</v>
      </c>
    </row>
    <row r="16" spans="1:18" ht="21">
      <c r="A16" s="92">
        <v>5</v>
      </c>
      <c r="B16" s="624" t="s">
        <v>252</v>
      </c>
      <c r="C16" s="624"/>
      <c r="D16" s="624"/>
      <c r="E16" s="96"/>
      <c r="I16" s="100"/>
      <c r="L16" s="620" t="s">
        <v>447</v>
      </c>
      <c r="M16" s="619"/>
      <c r="N16" s="621"/>
      <c r="R16" t="s">
        <v>659</v>
      </c>
    </row>
    <row r="17" spans="2:16">
      <c r="L17" s="89">
        <v>0</v>
      </c>
      <c r="M17" s="103" t="s">
        <v>448</v>
      </c>
      <c r="N17" s="90"/>
    </row>
    <row r="18" spans="2:16" ht="23.4">
      <c r="B18" s="615" t="s">
        <v>229</v>
      </c>
      <c r="C18" s="616"/>
      <c r="D18" s="616"/>
      <c r="E18" s="616"/>
      <c r="F18" s="616"/>
      <c r="G18" s="616"/>
      <c r="H18" s="616"/>
      <c r="I18" s="616"/>
      <c r="L18" s="92">
        <v>5</v>
      </c>
      <c r="M18" s="106" t="s">
        <v>449</v>
      </c>
      <c r="N18" s="94"/>
    </row>
    <row r="19" spans="2:16">
      <c r="B19" s="99" t="s">
        <v>255</v>
      </c>
    </row>
    <row r="20" spans="2:16">
      <c r="B20" s="99" t="s">
        <v>253</v>
      </c>
    </row>
    <row r="21" spans="2:16" ht="21">
      <c r="B21" s="99" t="s">
        <v>254</v>
      </c>
      <c r="M21" s="88"/>
      <c r="N21" s="619" t="s">
        <v>487</v>
      </c>
      <c r="O21" s="619"/>
      <c r="P21" s="619"/>
    </row>
    <row r="22" spans="2:16">
      <c r="B22" s="171" t="s">
        <v>467</v>
      </c>
      <c r="M22" s="89">
        <v>0</v>
      </c>
      <c r="N22" s="100">
        <v>0</v>
      </c>
      <c r="O22" s="100"/>
    </row>
    <row r="23" spans="2:16">
      <c r="B23" s="97"/>
      <c r="M23" s="89">
        <v>1</v>
      </c>
      <c r="N23" s="100">
        <v>1</v>
      </c>
      <c r="P23" s="102"/>
    </row>
    <row r="24" spans="2:16">
      <c r="B24" s="97"/>
      <c r="M24" s="89">
        <v>2</v>
      </c>
      <c r="N24" s="100">
        <v>2</v>
      </c>
      <c r="P24" s="102"/>
    </row>
    <row r="25" spans="2:16">
      <c r="B25" s="97"/>
      <c r="M25" s="89">
        <v>3</v>
      </c>
      <c r="N25" s="100">
        <v>3</v>
      </c>
      <c r="P25" s="102"/>
    </row>
    <row r="26" spans="2:16" ht="23.4">
      <c r="B26" s="615" t="s">
        <v>230</v>
      </c>
      <c r="C26" s="616"/>
      <c r="D26" s="616"/>
      <c r="E26" s="616"/>
      <c r="F26" s="616"/>
      <c r="G26" s="616"/>
      <c r="H26" s="616"/>
      <c r="I26" s="616"/>
      <c r="M26" s="89">
        <v>4</v>
      </c>
      <c r="N26" s="100">
        <v>4</v>
      </c>
      <c r="P26" s="102"/>
    </row>
    <row r="27" spans="2:16">
      <c r="B27" s="99" t="s">
        <v>256</v>
      </c>
      <c r="M27" s="92">
        <v>5</v>
      </c>
      <c r="N27" s="100">
        <v>5</v>
      </c>
      <c r="P27" s="102"/>
    </row>
    <row r="28" spans="2:16">
      <c r="B28" s="99" t="s">
        <v>257</v>
      </c>
    </row>
    <row r="29" spans="2:16" ht="21">
      <c r="B29" s="99" t="s">
        <v>258</v>
      </c>
      <c r="L29" s="620" t="s">
        <v>447</v>
      </c>
      <c r="M29" s="619"/>
      <c r="N29" s="621"/>
    </row>
    <row r="30" spans="2:16">
      <c r="B30" s="99" t="s">
        <v>259</v>
      </c>
      <c r="L30" s="89">
        <v>0</v>
      </c>
      <c r="M30" s="103" t="s">
        <v>565</v>
      </c>
      <c r="N30" s="90"/>
    </row>
    <row r="31" spans="2:16">
      <c r="B31" s="97"/>
      <c r="L31" s="92">
        <v>1</v>
      </c>
      <c r="M31" s="106" t="s">
        <v>564</v>
      </c>
      <c r="N31" s="94"/>
    </row>
    <row r="32" spans="2:16">
      <c r="B32" s="97"/>
    </row>
    <row r="33" spans="2:19">
      <c r="B33" s="97"/>
    </row>
    <row r="34" spans="2:19" ht="23.4">
      <c r="B34" s="615" t="s">
        <v>231</v>
      </c>
      <c r="C34" s="616"/>
      <c r="D34" s="616"/>
      <c r="E34" s="616"/>
      <c r="F34" s="616"/>
      <c r="G34" s="616"/>
      <c r="H34" s="616"/>
      <c r="I34" s="616"/>
      <c r="L34" s="620" t="s">
        <v>447</v>
      </c>
      <c r="M34" s="619"/>
      <c r="N34" s="621"/>
    </row>
    <row r="35" spans="2:19">
      <c r="B35" s="99" t="s">
        <v>260</v>
      </c>
      <c r="L35" s="221"/>
      <c r="M35" s="222" t="s">
        <v>561</v>
      </c>
      <c r="N35" s="87"/>
    </row>
    <row r="36" spans="2:19">
      <c r="B36" s="310" t="s">
        <v>635</v>
      </c>
      <c r="L36" s="89"/>
      <c r="M36" s="100" t="s">
        <v>562</v>
      </c>
      <c r="N36" s="90"/>
    </row>
    <row r="37" spans="2:19">
      <c r="B37" s="310" t="s">
        <v>636</v>
      </c>
      <c r="L37" s="92"/>
      <c r="M37" s="223" t="s">
        <v>563</v>
      </c>
      <c r="N37" s="94"/>
    </row>
    <row r="38" spans="2:19">
      <c r="B38" s="97"/>
    </row>
    <row r="39" spans="2:19">
      <c r="B39" s="97"/>
    </row>
    <row r="40" spans="2:19" ht="21">
      <c r="B40" s="97"/>
      <c r="L40" s="620" t="s">
        <v>569</v>
      </c>
      <c r="M40" s="619"/>
      <c r="N40" s="621"/>
    </row>
    <row r="41" spans="2:19" ht="23.4">
      <c r="B41" s="615" t="s">
        <v>232</v>
      </c>
      <c r="C41" s="616"/>
      <c r="D41" s="616"/>
      <c r="E41" s="616"/>
      <c r="F41" s="616"/>
      <c r="G41" s="616"/>
      <c r="H41" s="616"/>
      <c r="I41" s="616"/>
      <c r="L41" s="88"/>
      <c r="M41" s="232" t="s">
        <v>570</v>
      </c>
      <c r="N41" s="87"/>
    </row>
    <row r="42" spans="2:19">
      <c r="B42" s="99" t="s">
        <v>261</v>
      </c>
      <c r="L42" s="89"/>
      <c r="M42" s="229" t="s">
        <v>571</v>
      </c>
      <c r="N42" s="90"/>
    </row>
    <row r="43" spans="2:19">
      <c r="B43" s="99" t="s">
        <v>262</v>
      </c>
      <c r="L43" s="89"/>
      <c r="M43" s="229" t="s">
        <v>572</v>
      </c>
      <c r="N43" s="90"/>
    </row>
    <row r="44" spans="2:19">
      <c r="B44" s="99" t="s">
        <v>263</v>
      </c>
      <c r="L44" s="89"/>
      <c r="M44" s="230" t="s">
        <v>568</v>
      </c>
      <c r="N44" s="90"/>
    </row>
    <row r="45" spans="2:19">
      <c r="L45" s="92"/>
      <c r="M45" s="231" t="s">
        <v>573</v>
      </c>
      <c r="N45" s="94"/>
    </row>
    <row r="47" spans="2:19" ht="23.4">
      <c r="B47" s="615" t="s">
        <v>821</v>
      </c>
      <c r="C47" s="616"/>
      <c r="D47" s="616"/>
      <c r="E47" s="616"/>
      <c r="F47" s="616"/>
      <c r="G47" s="616"/>
      <c r="H47" s="616"/>
      <c r="I47" s="616"/>
      <c r="L47" s="615"/>
      <c r="M47" s="616"/>
      <c r="N47" s="616"/>
      <c r="O47" s="616"/>
      <c r="P47" s="616"/>
      <c r="Q47" s="616"/>
      <c r="R47" s="616"/>
      <c r="S47" s="616"/>
    </row>
    <row r="48" spans="2:19">
      <c r="B48" s="519" t="s">
        <v>822</v>
      </c>
      <c r="L48" s="519" t="s">
        <v>860</v>
      </c>
    </row>
    <row r="49" spans="2:12">
      <c r="B49" s="519" t="s">
        <v>823</v>
      </c>
      <c r="L49" s="519" t="s">
        <v>861</v>
      </c>
    </row>
    <row r="50" spans="2:12">
      <c r="B50" s="519" t="s">
        <v>824</v>
      </c>
      <c r="L50" s="519" t="s">
        <v>862</v>
      </c>
    </row>
    <row r="51" spans="2:12">
      <c r="B51" s="519" t="s">
        <v>825</v>
      </c>
      <c r="L51" s="519" t="s">
        <v>863</v>
      </c>
    </row>
  </sheetData>
  <mergeCells count="22">
    <mergeCell ref="L40:N40"/>
    <mergeCell ref="B41:I41"/>
    <mergeCell ref="B18:I18"/>
    <mergeCell ref="B26:I26"/>
    <mergeCell ref="B16:D16"/>
    <mergeCell ref="N21:P21"/>
    <mergeCell ref="B47:I47"/>
    <mergeCell ref="L47:S47"/>
    <mergeCell ref="E2:G2"/>
    <mergeCell ref="N2:P2"/>
    <mergeCell ref="L10:N10"/>
    <mergeCell ref="B34:I34"/>
    <mergeCell ref="C10:D10"/>
    <mergeCell ref="H10:J10"/>
    <mergeCell ref="L16:N16"/>
    <mergeCell ref="L29:N29"/>
    <mergeCell ref="L34:N34"/>
    <mergeCell ref="B11:C11"/>
    <mergeCell ref="B12:D12"/>
    <mergeCell ref="B13:E13"/>
    <mergeCell ref="B14:D14"/>
    <mergeCell ref="B15:C15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B1:K54"/>
  <sheetViews>
    <sheetView topLeftCell="A19" workbookViewId="0">
      <selection activeCell="G19" sqref="G19"/>
    </sheetView>
  </sheetViews>
  <sheetFormatPr defaultColWidth="8.59765625" defaultRowHeight="15.6"/>
  <cols>
    <col min="2" max="2" width="16.59765625" customWidth="1"/>
    <col min="5" max="5" width="21.09765625" customWidth="1"/>
    <col min="6" max="6" width="14" customWidth="1"/>
    <col min="7" max="7" width="64.59765625" customWidth="1"/>
    <col min="9" max="9" width="3.19921875" customWidth="1"/>
    <col min="10" max="10" width="20.59765625" customWidth="1"/>
    <col min="11" max="11" width="18.59765625" style="348" customWidth="1"/>
  </cols>
  <sheetData>
    <row r="1" spans="2:11">
      <c r="B1" s="238" t="s">
        <v>582</v>
      </c>
      <c r="C1" s="238" t="s">
        <v>583</v>
      </c>
    </row>
    <row r="2" spans="2:11">
      <c r="B2" s="239" t="s">
        <v>264</v>
      </c>
      <c r="C2" s="240">
        <v>2</v>
      </c>
    </row>
    <row r="3" spans="2:11">
      <c r="B3" s="239" t="s">
        <v>113</v>
      </c>
      <c r="C3" s="240">
        <v>1</v>
      </c>
    </row>
    <row r="4" spans="2:11">
      <c r="B4" s="239" t="s">
        <v>18</v>
      </c>
      <c r="C4" s="240">
        <v>1</v>
      </c>
    </row>
    <row r="5" spans="2:11">
      <c r="B5" s="239" t="s">
        <v>584</v>
      </c>
      <c r="C5" s="240">
        <v>2</v>
      </c>
    </row>
    <row r="6" spans="2:11">
      <c r="B6" s="239" t="s">
        <v>19</v>
      </c>
      <c r="C6" s="240">
        <v>2</v>
      </c>
    </row>
    <row r="7" spans="2:11">
      <c r="B7" s="239" t="s">
        <v>20</v>
      </c>
      <c r="C7" s="240">
        <v>3</v>
      </c>
    </row>
    <row r="8" spans="2:11" ht="31.2">
      <c r="E8" s="238" t="s">
        <v>582</v>
      </c>
      <c r="F8" s="238" t="s">
        <v>774</v>
      </c>
      <c r="G8" s="238" t="s">
        <v>646</v>
      </c>
      <c r="H8" s="238" t="s">
        <v>775</v>
      </c>
      <c r="I8" s="238" t="s">
        <v>586</v>
      </c>
      <c r="J8" s="501" t="s">
        <v>776</v>
      </c>
      <c r="K8" s="238" t="s">
        <v>647</v>
      </c>
    </row>
    <row r="9" spans="2:11">
      <c r="E9" s="239" t="s">
        <v>113</v>
      </c>
      <c r="F9" s="239">
        <f t="shared" ref="F9:F52" si="0">VLOOKUP(E9,$B$1:$C$7,2,0)</f>
        <v>1</v>
      </c>
      <c r="G9" s="349" t="s">
        <v>187</v>
      </c>
      <c r="H9" s="350">
        <v>1</v>
      </c>
      <c r="I9" s="243" t="s">
        <v>587</v>
      </c>
      <c r="J9" s="242">
        <f t="shared" ref="J9:J52" si="1">F9*H9</f>
        <v>1</v>
      </c>
      <c r="K9" s="521">
        <v>1</v>
      </c>
    </row>
    <row r="10" spans="2:11">
      <c r="E10" s="239" t="s">
        <v>113</v>
      </c>
      <c r="F10" s="239">
        <f t="shared" si="0"/>
        <v>1</v>
      </c>
      <c r="G10" s="349" t="s">
        <v>332</v>
      </c>
      <c r="H10" s="350">
        <v>1</v>
      </c>
      <c r="I10" s="243" t="s">
        <v>587</v>
      </c>
      <c r="J10" s="242">
        <f t="shared" si="1"/>
        <v>1</v>
      </c>
      <c r="K10" s="521">
        <v>2</v>
      </c>
    </row>
    <row r="11" spans="2:11">
      <c r="E11" s="239" t="s">
        <v>113</v>
      </c>
      <c r="F11" s="239">
        <f t="shared" si="0"/>
        <v>1</v>
      </c>
      <c r="G11" s="349" t="s">
        <v>333</v>
      </c>
      <c r="H11" s="350">
        <v>1</v>
      </c>
      <c r="I11" s="243" t="s">
        <v>587</v>
      </c>
      <c r="J11" s="242">
        <f t="shared" si="1"/>
        <v>1</v>
      </c>
      <c r="K11" s="521">
        <v>3</v>
      </c>
    </row>
    <row r="12" spans="2:11">
      <c r="E12" s="239" t="s">
        <v>113</v>
      </c>
      <c r="F12" s="239">
        <f t="shared" si="0"/>
        <v>1</v>
      </c>
      <c r="G12" s="349" t="s">
        <v>334</v>
      </c>
      <c r="H12" s="350">
        <v>1</v>
      </c>
      <c r="I12" s="243" t="s">
        <v>587</v>
      </c>
      <c r="J12" s="242">
        <f t="shared" si="1"/>
        <v>1</v>
      </c>
      <c r="K12" s="521">
        <v>4</v>
      </c>
    </row>
    <row r="13" spans="2:11">
      <c r="E13" s="239" t="s">
        <v>113</v>
      </c>
      <c r="F13" s="239">
        <f t="shared" si="0"/>
        <v>1</v>
      </c>
      <c r="G13" s="349" t="s">
        <v>335</v>
      </c>
      <c r="H13" s="350">
        <v>1</v>
      </c>
      <c r="I13" s="243" t="s">
        <v>587</v>
      </c>
      <c r="J13" s="242">
        <f t="shared" si="1"/>
        <v>1</v>
      </c>
      <c r="K13" s="521">
        <v>5</v>
      </c>
    </row>
    <row r="14" spans="2:11">
      <c r="E14" s="239" t="s">
        <v>18</v>
      </c>
      <c r="F14" s="239">
        <f t="shared" si="0"/>
        <v>1</v>
      </c>
      <c r="G14" s="352" t="s">
        <v>648</v>
      </c>
      <c r="H14" s="241">
        <v>1</v>
      </c>
      <c r="I14" s="243" t="s">
        <v>587</v>
      </c>
      <c r="J14" s="242">
        <f t="shared" si="1"/>
        <v>1</v>
      </c>
      <c r="K14" s="351">
        <v>6</v>
      </c>
    </row>
    <row r="15" spans="2:11">
      <c r="E15" s="239" t="s">
        <v>19</v>
      </c>
      <c r="F15" s="239">
        <f t="shared" si="0"/>
        <v>2</v>
      </c>
      <c r="G15" s="349" t="s">
        <v>202</v>
      </c>
      <c r="H15" s="241">
        <v>1</v>
      </c>
      <c r="I15" s="241"/>
      <c r="J15" s="242">
        <f t="shared" si="1"/>
        <v>2</v>
      </c>
      <c r="K15" s="351">
        <v>7</v>
      </c>
    </row>
    <row r="16" spans="2:11">
      <c r="E16" s="239" t="s">
        <v>584</v>
      </c>
      <c r="F16" s="239">
        <f t="shared" si="0"/>
        <v>2</v>
      </c>
      <c r="G16" s="349" t="s">
        <v>76</v>
      </c>
      <c r="H16" s="241">
        <v>1</v>
      </c>
      <c r="I16" s="241"/>
      <c r="J16" s="242">
        <f t="shared" si="1"/>
        <v>2</v>
      </c>
      <c r="K16" s="351">
        <v>8</v>
      </c>
    </row>
    <row r="17" spans="5:11">
      <c r="E17" s="239" t="s">
        <v>584</v>
      </c>
      <c r="F17" s="239">
        <f t="shared" si="0"/>
        <v>2</v>
      </c>
      <c r="G17" s="349" t="s">
        <v>101</v>
      </c>
      <c r="H17" s="241">
        <v>1</v>
      </c>
      <c r="I17" s="241"/>
      <c r="J17" s="242">
        <f t="shared" si="1"/>
        <v>2</v>
      </c>
      <c r="K17" s="351">
        <v>9</v>
      </c>
    </row>
    <row r="18" spans="5:11">
      <c r="E18" s="239" t="s">
        <v>113</v>
      </c>
      <c r="F18" s="239">
        <f t="shared" si="0"/>
        <v>1</v>
      </c>
      <c r="G18" s="349" t="s">
        <v>339</v>
      </c>
      <c r="H18" s="350">
        <v>2</v>
      </c>
      <c r="I18" s="243" t="s">
        <v>587</v>
      </c>
      <c r="J18" s="242">
        <f t="shared" si="1"/>
        <v>2</v>
      </c>
      <c r="K18" s="351">
        <v>10</v>
      </c>
    </row>
    <row r="19" spans="5:11">
      <c r="E19" s="239" t="s">
        <v>113</v>
      </c>
      <c r="F19" s="239">
        <f t="shared" si="0"/>
        <v>1</v>
      </c>
      <c r="G19" s="349" t="s">
        <v>848</v>
      </c>
      <c r="H19" s="350">
        <v>2</v>
      </c>
      <c r="I19" s="243" t="s">
        <v>587</v>
      </c>
      <c r="J19" s="242">
        <f t="shared" si="1"/>
        <v>2</v>
      </c>
      <c r="K19" s="351">
        <v>11</v>
      </c>
    </row>
    <row r="20" spans="5:11">
      <c r="E20" s="239" t="s">
        <v>113</v>
      </c>
      <c r="F20" s="239">
        <f t="shared" si="0"/>
        <v>1</v>
      </c>
      <c r="G20" s="349" t="s">
        <v>338</v>
      </c>
      <c r="H20" s="350">
        <v>2</v>
      </c>
      <c r="I20" s="243" t="s">
        <v>587</v>
      </c>
      <c r="J20" s="242">
        <f t="shared" si="1"/>
        <v>2</v>
      </c>
      <c r="K20" s="351">
        <v>12</v>
      </c>
    </row>
    <row r="21" spans="5:11">
      <c r="E21" s="239" t="s">
        <v>113</v>
      </c>
      <c r="F21" s="239">
        <f t="shared" si="0"/>
        <v>1</v>
      </c>
      <c r="G21" s="349" t="s">
        <v>336</v>
      </c>
      <c r="H21" s="350">
        <v>2</v>
      </c>
      <c r="I21" s="243" t="s">
        <v>587</v>
      </c>
      <c r="J21" s="242">
        <f t="shared" si="1"/>
        <v>2</v>
      </c>
      <c r="K21" s="351">
        <v>13</v>
      </c>
    </row>
    <row r="22" spans="5:11">
      <c r="E22" s="239" t="s">
        <v>264</v>
      </c>
      <c r="F22" s="239">
        <f t="shared" si="0"/>
        <v>2</v>
      </c>
      <c r="G22" s="349" t="s">
        <v>237</v>
      </c>
      <c r="H22" s="241">
        <v>1</v>
      </c>
      <c r="I22" s="241"/>
      <c r="J22" s="242">
        <f t="shared" si="1"/>
        <v>2</v>
      </c>
      <c r="K22" s="351">
        <v>14</v>
      </c>
    </row>
    <row r="23" spans="5:11">
      <c r="E23" s="239" t="s">
        <v>264</v>
      </c>
      <c r="F23" s="239">
        <f t="shared" si="0"/>
        <v>2</v>
      </c>
      <c r="G23" s="349" t="s">
        <v>16</v>
      </c>
      <c r="H23" s="241">
        <v>1</v>
      </c>
      <c r="I23" s="241"/>
      <c r="J23" s="242">
        <f t="shared" si="1"/>
        <v>2</v>
      </c>
      <c r="K23" s="351">
        <v>15</v>
      </c>
    </row>
    <row r="24" spans="5:11">
      <c r="E24" s="239" t="s">
        <v>264</v>
      </c>
      <c r="F24" s="239">
        <f t="shared" si="0"/>
        <v>2</v>
      </c>
      <c r="G24" s="349" t="s">
        <v>182</v>
      </c>
      <c r="H24" s="241">
        <v>1</v>
      </c>
      <c r="I24" s="241"/>
      <c r="J24" s="242">
        <f t="shared" si="1"/>
        <v>2</v>
      </c>
      <c r="K24" s="351">
        <v>16</v>
      </c>
    </row>
    <row r="25" spans="5:11">
      <c r="E25" s="239" t="s">
        <v>264</v>
      </c>
      <c r="F25" s="239">
        <f t="shared" si="0"/>
        <v>2</v>
      </c>
      <c r="G25" s="349" t="s">
        <v>193</v>
      </c>
      <c r="H25" s="241">
        <v>1</v>
      </c>
      <c r="I25" s="241"/>
      <c r="J25" s="242">
        <f t="shared" si="1"/>
        <v>2</v>
      </c>
      <c r="K25" s="351">
        <v>17</v>
      </c>
    </row>
    <row r="26" spans="5:11">
      <c r="E26" s="239" t="s">
        <v>113</v>
      </c>
      <c r="F26" s="239">
        <f t="shared" si="0"/>
        <v>1</v>
      </c>
      <c r="G26" s="349" t="s">
        <v>341</v>
      </c>
      <c r="H26" s="350">
        <v>2</v>
      </c>
      <c r="I26" s="243" t="s">
        <v>587</v>
      </c>
      <c r="J26" s="242">
        <f t="shared" si="1"/>
        <v>2</v>
      </c>
      <c r="K26" s="351">
        <v>18</v>
      </c>
    </row>
    <row r="27" spans="5:11">
      <c r="E27" s="239" t="s">
        <v>113</v>
      </c>
      <c r="F27" s="239">
        <f t="shared" si="0"/>
        <v>1</v>
      </c>
      <c r="G27" s="349" t="s">
        <v>340</v>
      </c>
      <c r="H27" s="350">
        <v>2</v>
      </c>
      <c r="I27" s="243" t="s">
        <v>587</v>
      </c>
      <c r="J27" s="242">
        <f t="shared" si="1"/>
        <v>2</v>
      </c>
      <c r="K27" s="351">
        <v>19</v>
      </c>
    </row>
    <row r="28" spans="5:11">
      <c r="E28" s="239" t="s">
        <v>18</v>
      </c>
      <c r="F28" s="239">
        <f t="shared" si="0"/>
        <v>1</v>
      </c>
      <c r="G28" s="352" t="s">
        <v>649</v>
      </c>
      <c r="H28" s="241">
        <v>2</v>
      </c>
      <c r="I28" s="243" t="s">
        <v>587</v>
      </c>
      <c r="J28" s="242">
        <f t="shared" si="1"/>
        <v>2</v>
      </c>
      <c r="K28" s="351">
        <v>20</v>
      </c>
    </row>
    <row r="29" spans="5:11">
      <c r="E29" s="239" t="s">
        <v>18</v>
      </c>
      <c r="F29" s="239">
        <f t="shared" si="0"/>
        <v>1</v>
      </c>
      <c r="G29" s="349" t="s">
        <v>498</v>
      </c>
      <c r="H29" s="241">
        <v>3</v>
      </c>
      <c r="I29" s="241"/>
      <c r="J29" s="242">
        <f t="shared" si="1"/>
        <v>3</v>
      </c>
      <c r="K29" s="351">
        <v>21</v>
      </c>
    </row>
    <row r="30" spans="5:11">
      <c r="E30" s="239" t="s">
        <v>20</v>
      </c>
      <c r="F30" s="239">
        <f t="shared" si="0"/>
        <v>3</v>
      </c>
      <c r="G30" s="349" t="s">
        <v>216</v>
      </c>
      <c r="H30" s="241">
        <v>1</v>
      </c>
      <c r="I30" s="241"/>
      <c r="J30" s="242">
        <f t="shared" si="1"/>
        <v>3</v>
      </c>
      <c r="K30" s="351">
        <v>22</v>
      </c>
    </row>
    <row r="31" spans="5:11">
      <c r="E31" s="239" t="s">
        <v>113</v>
      </c>
      <c r="F31" s="239">
        <f t="shared" si="0"/>
        <v>1</v>
      </c>
      <c r="G31" s="349" t="s">
        <v>342</v>
      </c>
      <c r="H31" s="350">
        <v>3</v>
      </c>
      <c r="I31" s="243" t="s">
        <v>587</v>
      </c>
      <c r="J31" s="242">
        <f t="shared" si="1"/>
        <v>3</v>
      </c>
      <c r="K31" s="351">
        <v>23</v>
      </c>
    </row>
    <row r="32" spans="5:11">
      <c r="E32" s="239" t="s">
        <v>113</v>
      </c>
      <c r="F32" s="239">
        <f t="shared" si="0"/>
        <v>1</v>
      </c>
      <c r="G32" s="349" t="s">
        <v>343</v>
      </c>
      <c r="H32" s="350">
        <v>3</v>
      </c>
      <c r="I32" s="243" t="s">
        <v>587</v>
      </c>
      <c r="J32" s="242">
        <f t="shared" si="1"/>
        <v>3</v>
      </c>
      <c r="K32" s="351">
        <v>24</v>
      </c>
    </row>
    <row r="33" spans="5:11">
      <c r="E33" s="239" t="s">
        <v>113</v>
      </c>
      <c r="F33" s="239">
        <f t="shared" si="0"/>
        <v>1</v>
      </c>
      <c r="G33" s="349" t="s">
        <v>344</v>
      </c>
      <c r="H33" s="350">
        <v>3</v>
      </c>
      <c r="I33" s="243" t="s">
        <v>587</v>
      </c>
      <c r="J33" s="242">
        <f t="shared" si="1"/>
        <v>3</v>
      </c>
      <c r="K33" s="351">
        <v>25</v>
      </c>
    </row>
    <row r="34" spans="5:11">
      <c r="E34" s="239" t="s">
        <v>584</v>
      </c>
      <c r="F34" s="239">
        <f t="shared" si="0"/>
        <v>2</v>
      </c>
      <c r="G34" s="349" t="s">
        <v>72</v>
      </c>
      <c r="H34" s="241">
        <v>2</v>
      </c>
      <c r="I34" s="241"/>
      <c r="J34" s="242">
        <f t="shared" si="1"/>
        <v>4</v>
      </c>
      <c r="K34" s="351">
        <v>26</v>
      </c>
    </row>
    <row r="35" spans="5:11">
      <c r="E35" s="239" t="s">
        <v>19</v>
      </c>
      <c r="F35" s="239">
        <f t="shared" si="0"/>
        <v>2</v>
      </c>
      <c r="G35" s="349" t="s">
        <v>654</v>
      </c>
      <c r="H35" s="241">
        <v>2</v>
      </c>
      <c r="I35" s="241"/>
      <c r="J35" s="242">
        <f t="shared" si="1"/>
        <v>4</v>
      </c>
      <c r="K35" s="351">
        <v>27</v>
      </c>
    </row>
    <row r="36" spans="5:11">
      <c r="E36" s="239" t="s">
        <v>264</v>
      </c>
      <c r="F36" s="239">
        <f t="shared" si="0"/>
        <v>2</v>
      </c>
      <c r="G36" s="349" t="s">
        <v>38</v>
      </c>
      <c r="H36" s="241">
        <v>2</v>
      </c>
      <c r="I36" s="241"/>
      <c r="J36" s="242">
        <f t="shared" si="1"/>
        <v>4</v>
      </c>
      <c r="K36" s="351">
        <v>28</v>
      </c>
    </row>
    <row r="37" spans="5:11">
      <c r="E37" s="239" t="s">
        <v>264</v>
      </c>
      <c r="F37" s="239">
        <f t="shared" si="0"/>
        <v>2</v>
      </c>
      <c r="G37" s="349" t="s">
        <v>48</v>
      </c>
      <c r="H37" s="241">
        <v>2</v>
      </c>
      <c r="I37" s="241"/>
      <c r="J37" s="242">
        <f t="shared" si="1"/>
        <v>4</v>
      </c>
      <c r="K37" s="351">
        <v>29</v>
      </c>
    </row>
    <row r="38" spans="5:11">
      <c r="E38" s="239" t="s">
        <v>19</v>
      </c>
      <c r="F38" s="239">
        <f t="shared" si="0"/>
        <v>2</v>
      </c>
      <c r="G38" s="349" t="s">
        <v>503</v>
      </c>
      <c r="H38" s="241">
        <v>3</v>
      </c>
      <c r="I38" s="241"/>
      <c r="J38" s="242">
        <f t="shared" si="1"/>
        <v>6</v>
      </c>
      <c r="K38" s="351">
        <v>30</v>
      </c>
    </row>
    <row r="39" spans="5:11">
      <c r="E39" s="239" t="s">
        <v>264</v>
      </c>
      <c r="F39" s="239">
        <f t="shared" si="0"/>
        <v>2</v>
      </c>
      <c r="G39" s="349" t="s">
        <v>421</v>
      </c>
      <c r="H39" s="241">
        <v>3</v>
      </c>
      <c r="I39" s="241"/>
      <c r="J39" s="242">
        <f t="shared" si="1"/>
        <v>6</v>
      </c>
      <c r="K39" s="351">
        <v>31</v>
      </c>
    </row>
    <row r="40" spans="5:11">
      <c r="E40" s="239" t="s">
        <v>20</v>
      </c>
      <c r="F40" s="239">
        <f t="shared" si="0"/>
        <v>3</v>
      </c>
      <c r="G40" s="349" t="s">
        <v>521</v>
      </c>
      <c r="H40" s="241">
        <v>2</v>
      </c>
      <c r="I40" s="241"/>
      <c r="J40" s="242">
        <f t="shared" si="1"/>
        <v>6</v>
      </c>
      <c r="K40" s="351">
        <v>32</v>
      </c>
    </row>
    <row r="41" spans="5:11">
      <c r="E41" s="239" t="s">
        <v>264</v>
      </c>
      <c r="F41" s="239">
        <f t="shared" si="0"/>
        <v>2</v>
      </c>
      <c r="G41" s="349" t="s">
        <v>290</v>
      </c>
      <c r="H41" s="241">
        <v>3</v>
      </c>
      <c r="I41" s="241"/>
      <c r="J41" s="242">
        <f t="shared" si="1"/>
        <v>6</v>
      </c>
      <c r="K41" s="351">
        <v>33</v>
      </c>
    </row>
    <row r="42" spans="5:11">
      <c r="E42" s="239" t="s">
        <v>264</v>
      </c>
      <c r="F42" s="239">
        <f t="shared" si="0"/>
        <v>2</v>
      </c>
      <c r="G42" s="349" t="s">
        <v>328</v>
      </c>
      <c r="H42" s="241">
        <v>3</v>
      </c>
      <c r="I42" s="241"/>
      <c r="J42" s="242">
        <f t="shared" si="1"/>
        <v>6</v>
      </c>
      <c r="K42" s="351">
        <v>34</v>
      </c>
    </row>
    <row r="43" spans="5:11">
      <c r="E43" s="239" t="s">
        <v>264</v>
      </c>
      <c r="F43" s="239">
        <f t="shared" si="0"/>
        <v>2</v>
      </c>
      <c r="G43" s="349" t="s">
        <v>55</v>
      </c>
      <c r="H43" s="241">
        <v>3</v>
      </c>
      <c r="I43" s="241"/>
      <c r="J43" s="242">
        <f t="shared" si="1"/>
        <v>6</v>
      </c>
      <c r="K43" s="351">
        <v>35</v>
      </c>
    </row>
    <row r="44" spans="5:11">
      <c r="E44" s="239" t="s">
        <v>584</v>
      </c>
      <c r="F44" s="239">
        <f t="shared" si="0"/>
        <v>2</v>
      </c>
      <c r="G44" s="349" t="s">
        <v>651</v>
      </c>
      <c r="H44" s="241">
        <v>3</v>
      </c>
      <c r="I44" s="241"/>
      <c r="J44" s="242">
        <f t="shared" si="1"/>
        <v>6</v>
      </c>
      <c r="K44" s="351">
        <v>36</v>
      </c>
    </row>
    <row r="45" spans="5:11">
      <c r="E45" s="239" t="s">
        <v>19</v>
      </c>
      <c r="F45" s="239">
        <f t="shared" si="0"/>
        <v>2</v>
      </c>
      <c r="G45" s="349" t="s">
        <v>650</v>
      </c>
      <c r="H45" s="241">
        <v>4</v>
      </c>
      <c r="I45" s="241"/>
      <c r="J45" s="242">
        <f t="shared" si="1"/>
        <v>8</v>
      </c>
      <c r="K45" s="351">
        <v>37</v>
      </c>
    </row>
    <row r="46" spans="5:11">
      <c r="E46" s="239" t="s">
        <v>264</v>
      </c>
      <c r="F46" s="239">
        <f t="shared" si="0"/>
        <v>2</v>
      </c>
      <c r="G46" s="349" t="s">
        <v>320</v>
      </c>
      <c r="H46" s="241">
        <v>4</v>
      </c>
      <c r="I46" s="241"/>
      <c r="J46" s="242">
        <f t="shared" si="1"/>
        <v>8</v>
      </c>
      <c r="K46" s="351">
        <v>38</v>
      </c>
    </row>
    <row r="47" spans="5:11">
      <c r="E47" s="239" t="s">
        <v>264</v>
      </c>
      <c r="F47" s="239">
        <f t="shared" si="0"/>
        <v>2</v>
      </c>
      <c r="G47" s="349" t="s">
        <v>17</v>
      </c>
      <c r="H47" s="241">
        <v>4</v>
      </c>
      <c r="I47" s="241"/>
      <c r="J47" s="242">
        <f t="shared" si="1"/>
        <v>8</v>
      </c>
      <c r="K47" s="351">
        <v>39</v>
      </c>
    </row>
    <row r="48" spans="5:11">
      <c r="E48" s="239" t="s">
        <v>584</v>
      </c>
      <c r="F48" s="239">
        <f t="shared" si="0"/>
        <v>2</v>
      </c>
      <c r="G48" s="349" t="s">
        <v>87</v>
      </c>
      <c r="H48" s="241">
        <v>4</v>
      </c>
      <c r="I48" s="241"/>
      <c r="J48" s="242">
        <f t="shared" si="1"/>
        <v>8</v>
      </c>
      <c r="K48" s="351">
        <v>40</v>
      </c>
    </row>
    <row r="49" spans="5:11">
      <c r="E49" s="239" t="s">
        <v>264</v>
      </c>
      <c r="F49" s="239">
        <f t="shared" si="0"/>
        <v>2</v>
      </c>
      <c r="G49" s="349" t="s">
        <v>30</v>
      </c>
      <c r="H49" s="241">
        <v>5</v>
      </c>
      <c r="I49" s="241"/>
      <c r="J49" s="242">
        <f t="shared" si="1"/>
        <v>10</v>
      </c>
      <c r="K49" s="351">
        <v>41</v>
      </c>
    </row>
    <row r="50" spans="5:11">
      <c r="E50" s="239" t="s">
        <v>264</v>
      </c>
      <c r="F50" s="239">
        <f t="shared" si="0"/>
        <v>2</v>
      </c>
      <c r="G50" s="349" t="s">
        <v>439</v>
      </c>
      <c r="H50" s="241">
        <v>6</v>
      </c>
      <c r="I50" s="241"/>
      <c r="J50" s="242">
        <f t="shared" si="1"/>
        <v>12</v>
      </c>
      <c r="K50" s="351">
        <v>42</v>
      </c>
    </row>
    <row r="51" spans="5:11">
      <c r="E51" s="239"/>
      <c r="F51" s="239" t="e">
        <f t="shared" si="0"/>
        <v>#N/A</v>
      </c>
      <c r="G51" s="349"/>
      <c r="H51" s="241"/>
      <c r="I51" s="241"/>
      <c r="J51" s="242" t="e">
        <f t="shared" si="1"/>
        <v>#N/A</v>
      </c>
      <c r="K51" s="351"/>
    </row>
    <row r="52" spans="5:11">
      <c r="E52" s="239"/>
      <c r="F52" s="239" t="e">
        <f t="shared" si="0"/>
        <v>#N/A</v>
      </c>
      <c r="G52" s="349"/>
      <c r="H52" s="241"/>
      <c r="I52" s="241"/>
      <c r="J52" s="242" t="e">
        <f t="shared" si="1"/>
        <v>#N/A</v>
      </c>
      <c r="K52" s="351"/>
    </row>
    <row r="54" spans="5:11">
      <c r="F54" s="353" t="s">
        <v>652</v>
      </c>
    </row>
  </sheetData>
  <autoFilter ref="E8:K52" xr:uid="{00000000-0009-0000-0000-00000D000000}"/>
  <sortState xmlns:xlrd2="http://schemas.microsoft.com/office/spreadsheetml/2017/richdata2" ref="E9:K50">
    <sortCondition ref="J9:J50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1">
    <tabColor rgb="FFFFFF00"/>
    <outlinePr summaryBelow="0" summaryRight="0"/>
  </sheetPr>
  <dimension ref="A1:F112"/>
  <sheetViews>
    <sheetView workbookViewId="0"/>
  </sheetViews>
  <sheetFormatPr defaultColWidth="9" defaultRowHeight="15.6" outlineLevelRow="2"/>
  <cols>
    <col min="1" max="1" width="32.59765625" style="181" customWidth="1"/>
    <col min="2" max="2" width="63" style="181" customWidth="1"/>
    <col min="3" max="3" width="55" style="195" customWidth="1"/>
    <col min="4" max="4" width="14.09765625" style="191" customWidth="1"/>
    <col min="5" max="5" width="49.59765625" style="219" customWidth="1"/>
    <col min="6" max="16384" width="9" style="181"/>
  </cols>
  <sheetData>
    <row r="1" spans="1:6" s="197" customFormat="1" ht="18.600000000000001" thickBot="1">
      <c r="A1" s="201" t="s">
        <v>538</v>
      </c>
      <c r="B1" s="196"/>
      <c r="C1" s="194"/>
      <c r="D1" s="202">
        <f>AVERAGE(D2,D43,D57,D101,D105,D109)</f>
        <v>0</v>
      </c>
      <c r="E1" s="214">
        <f>COUNTA(E2:E132)</f>
        <v>71</v>
      </c>
      <c r="F1" s="197" t="s">
        <v>558</v>
      </c>
    </row>
    <row r="2" spans="1:6" s="206" customFormat="1" ht="16.2" thickBot="1">
      <c r="A2" s="204" t="s">
        <v>264</v>
      </c>
      <c r="B2" s="203"/>
      <c r="C2" s="205"/>
      <c r="D2" s="212">
        <f>AVERAGE(D3,D7,D11,D13,D15,D18,D20,D23,D27,D30,D33,D36,D39,D41)</f>
        <v>0</v>
      </c>
      <c r="E2" s="215"/>
    </row>
    <row r="3" spans="1:6" s="182" customFormat="1" outlineLevel="1">
      <c r="A3" s="185" t="s">
        <v>264</v>
      </c>
      <c r="B3" s="184" t="s">
        <v>237</v>
      </c>
      <c r="C3" s="198"/>
      <c r="D3" s="189">
        <f>AVERAGE(D4:D6)</f>
        <v>0</v>
      </c>
      <c r="E3" s="216"/>
    </row>
    <row r="4" spans="1:6" ht="28.8" outlineLevel="2">
      <c r="A4" s="210" t="s">
        <v>264</v>
      </c>
      <c r="B4" s="211" t="s">
        <v>237</v>
      </c>
      <c r="C4" s="199" t="s">
        <v>70</v>
      </c>
      <c r="D4" s="190">
        <f>VALUE(LEFT(E4,3))</f>
        <v>0</v>
      </c>
      <c r="E4" s="186" t="s">
        <v>283</v>
      </c>
    </row>
    <row r="5" spans="1:6" outlineLevel="2">
      <c r="A5" s="210" t="s">
        <v>264</v>
      </c>
      <c r="B5" s="211" t="s">
        <v>237</v>
      </c>
      <c r="C5" s="199" t="s">
        <v>445</v>
      </c>
      <c r="D5" s="190">
        <f>VALUE(LEFT(E5,3))</f>
        <v>0</v>
      </c>
      <c r="E5" s="186" t="s">
        <v>283</v>
      </c>
    </row>
    <row r="6" spans="1:6" outlineLevel="2">
      <c r="A6" s="210" t="s">
        <v>264</v>
      </c>
      <c r="B6" s="211" t="s">
        <v>237</v>
      </c>
      <c r="C6" s="199" t="s">
        <v>292</v>
      </c>
      <c r="D6" s="190">
        <f>VALUE(LEFT(E6,3))</f>
        <v>0</v>
      </c>
      <c r="E6" s="186" t="s">
        <v>283</v>
      </c>
    </row>
    <row r="7" spans="1:6" s="182" customFormat="1" outlineLevel="1">
      <c r="A7" s="185" t="s">
        <v>264</v>
      </c>
      <c r="B7" s="184" t="s">
        <v>30</v>
      </c>
      <c r="C7" s="198"/>
      <c r="D7" s="189">
        <f>AVERAGE(D8:D10)</f>
        <v>0</v>
      </c>
      <c r="E7" s="216"/>
    </row>
    <row r="8" spans="1:6" outlineLevel="2">
      <c r="A8" s="210" t="s">
        <v>264</v>
      </c>
      <c r="B8" s="211" t="s">
        <v>30</v>
      </c>
      <c r="C8" s="199" t="s">
        <v>31</v>
      </c>
      <c r="D8" s="190">
        <f>VALUE(LEFT(E8,3))</f>
        <v>0</v>
      </c>
      <c r="E8" s="186" t="s">
        <v>283</v>
      </c>
    </row>
    <row r="9" spans="1:6" outlineLevel="2">
      <c r="A9" s="210" t="s">
        <v>264</v>
      </c>
      <c r="B9" s="211" t="s">
        <v>30</v>
      </c>
      <c r="C9" s="199" t="s">
        <v>451</v>
      </c>
      <c r="D9" s="190">
        <f>VALUE(LEFT(E9,3))</f>
        <v>0</v>
      </c>
      <c r="E9" s="186" t="s">
        <v>283</v>
      </c>
    </row>
    <row r="10" spans="1:6" outlineLevel="2">
      <c r="A10" s="210" t="s">
        <v>264</v>
      </c>
      <c r="B10" s="211" t="s">
        <v>30</v>
      </c>
      <c r="C10" s="199" t="s">
        <v>452</v>
      </c>
      <c r="D10" s="190">
        <f>VALUE(LEFT(E10,3))</f>
        <v>0</v>
      </c>
      <c r="E10" s="186" t="s">
        <v>283</v>
      </c>
    </row>
    <row r="11" spans="1:6" s="182" customFormat="1" outlineLevel="1">
      <c r="A11" s="185" t="s">
        <v>264</v>
      </c>
      <c r="B11" s="184" t="s">
        <v>38</v>
      </c>
      <c r="C11" s="198"/>
      <c r="D11" s="189">
        <f>AVERAGE(D12)</f>
        <v>0</v>
      </c>
      <c r="E11" s="216"/>
    </row>
    <row r="12" spans="1:6" outlineLevel="2">
      <c r="A12" s="210" t="s">
        <v>264</v>
      </c>
      <c r="B12" s="211" t="s">
        <v>38</v>
      </c>
      <c r="C12" s="199" t="s">
        <v>485</v>
      </c>
      <c r="D12" s="190">
        <f>VALUE(LEFT(E12,3))</f>
        <v>0</v>
      </c>
      <c r="E12" s="217" t="s">
        <v>245</v>
      </c>
    </row>
    <row r="13" spans="1:6" s="182" customFormat="1" outlineLevel="1">
      <c r="A13" s="185" t="s">
        <v>264</v>
      </c>
      <c r="B13" s="185" t="s">
        <v>48</v>
      </c>
      <c r="C13" s="198"/>
      <c r="D13" s="189">
        <f>AVERAGE(D14)</f>
        <v>0</v>
      </c>
      <c r="E13" s="216"/>
    </row>
    <row r="14" spans="1:6" ht="28.8" outlineLevel="2">
      <c r="A14" s="210" t="s">
        <v>264</v>
      </c>
      <c r="B14" s="211" t="s">
        <v>48</v>
      </c>
      <c r="C14" s="199" t="s">
        <v>463</v>
      </c>
      <c r="D14" s="190">
        <f>VALUE(LEFT(E14,3))</f>
        <v>0</v>
      </c>
      <c r="E14" s="186" t="s">
        <v>256</v>
      </c>
    </row>
    <row r="15" spans="1:6" s="182" customFormat="1" outlineLevel="1">
      <c r="A15" s="185" t="s">
        <v>264</v>
      </c>
      <c r="B15" s="184" t="s">
        <v>439</v>
      </c>
      <c r="C15" s="198"/>
      <c r="D15" s="189">
        <f>AVERAGE(D16:D17)</f>
        <v>0</v>
      </c>
      <c r="E15" s="216"/>
    </row>
    <row r="16" spans="1:6" ht="28.8" outlineLevel="2">
      <c r="A16" s="210" t="s">
        <v>264</v>
      </c>
      <c r="B16" s="211" t="s">
        <v>439</v>
      </c>
      <c r="C16" s="199" t="s">
        <v>476</v>
      </c>
      <c r="D16" s="190">
        <f>VALUE(LEFT(E16,3))</f>
        <v>0</v>
      </c>
      <c r="E16" s="217" t="s">
        <v>256</v>
      </c>
    </row>
    <row r="17" spans="1:5" ht="28.8" outlineLevel="2">
      <c r="A17" s="210" t="s">
        <v>264</v>
      </c>
      <c r="B17" s="211" t="s">
        <v>439</v>
      </c>
      <c r="C17" s="199" t="s">
        <v>478</v>
      </c>
      <c r="D17" s="190">
        <f>VALUE(LEFT(E17,3))</f>
        <v>0</v>
      </c>
      <c r="E17" s="217" t="s">
        <v>256</v>
      </c>
    </row>
    <row r="18" spans="1:5" s="182" customFormat="1" outlineLevel="1">
      <c r="A18" s="185" t="s">
        <v>264</v>
      </c>
      <c r="B18" s="184" t="s">
        <v>16</v>
      </c>
      <c r="C18" s="198"/>
      <c r="D18" s="189">
        <f>AVERAGE(D19)</f>
        <v>0</v>
      </c>
      <c r="E18" s="216"/>
    </row>
    <row r="19" spans="1:5" ht="72" outlineLevel="2">
      <c r="A19" s="210" t="s">
        <v>264</v>
      </c>
      <c r="B19" s="211" t="s">
        <v>16</v>
      </c>
      <c r="C19" s="199" t="s">
        <v>300</v>
      </c>
      <c r="D19" s="190">
        <f>VALUE(LEFT(E19,3))</f>
        <v>0</v>
      </c>
      <c r="E19" s="186" t="s">
        <v>256</v>
      </c>
    </row>
    <row r="20" spans="1:5" s="182" customFormat="1" outlineLevel="1">
      <c r="A20" s="185" t="s">
        <v>264</v>
      </c>
      <c r="B20" s="184" t="s">
        <v>182</v>
      </c>
      <c r="C20" s="198"/>
      <c r="D20" s="189">
        <f>AVERAGE(D21:D22)</f>
        <v>0</v>
      </c>
      <c r="E20" s="216"/>
    </row>
    <row r="21" spans="1:5" ht="28.8" outlineLevel="2">
      <c r="A21" s="210" t="s">
        <v>264</v>
      </c>
      <c r="B21" s="211" t="s">
        <v>182</v>
      </c>
      <c r="C21" s="199" t="s">
        <v>470</v>
      </c>
      <c r="D21" s="190">
        <f>VALUE(LEFT(E21,3))</f>
        <v>0</v>
      </c>
      <c r="E21" s="217" t="s">
        <v>255</v>
      </c>
    </row>
    <row r="22" spans="1:5" ht="28.8" outlineLevel="2">
      <c r="A22" s="210" t="s">
        <v>264</v>
      </c>
      <c r="B22" s="211" t="s">
        <v>182</v>
      </c>
      <c r="C22" s="199" t="s">
        <v>468</v>
      </c>
      <c r="D22" s="190">
        <f>VALUE(LEFT(E22,3))</f>
        <v>0</v>
      </c>
      <c r="E22" s="217" t="s">
        <v>256</v>
      </c>
    </row>
    <row r="23" spans="1:5" s="182" customFormat="1" outlineLevel="1">
      <c r="A23" s="185" t="s">
        <v>264</v>
      </c>
      <c r="B23" s="184" t="s">
        <v>193</v>
      </c>
      <c r="C23" s="198"/>
      <c r="D23" s="189">
        <f>AVERAGE(D24:D26)</f>
        <v>0</v>
      </c>
      <c r="E23" s="216"/>
    </row>
    <row r="24" spans="1:5" ht="28.8" outlineLevel="2">
      <c r="A24" s="210" t="s">
        <v>264</v>
      </c>
      <c r="B24" s="211" t="s">
        <v>193</v>
      </c>
      <c r="C24" s="199" t="s">
        <v>471</v>
      </c>
      <c r="D24" s="190">
        <f>VALUE(LEFT(E24,3))</f>
        <v>0</v>
      </c>
      <c r="E24" s="217" t="s">
        <v>256</v>
      </c>
    </row>
    <row r="25" spans="1:5" ht="43.2" outlineLevel="2">
      <c r="A25" s="210" t="s">
        <v>264</v>
      </c>
      <c r="B25" s="211" t="s">
        <v>193</v>
      </c>
      <c r="C25" s="199" t="s">
        <v>472</v>
      </c>
      <c r="D25" s="190">
        <f>VALUE(LEFT(E25,3))</f>
        <v>0</v>
      </c>
      <c r="E25" s="217" t="s">
        <v>256</v>
      </c>
    </row>
    <row r="26" spans="1:5" ht="28.8" outlineLevel="2">
      <c r="A26" s="210" t="s">
        <v>264</v>
      </c>
      <c r="B26" s="211" t="s">
        <v>193</v>
      </c>
      <c r="C26" s="199" t="s">
        <v>473</v>
      </c>
      <c r="D26" s="190">
        <f>VALUE(LEFT(E26,3))</f>
        <v>0</v>
      </c>
      <c r="E26" s="217" t="s">
        <v>256</v>
      </c>
    </row>
    <row r="27" spans="1:5" s="182" customFormat="1" outlineLevel="1">
      <c r="A27" s="185" t="s">
        <v>264</v>
      </c>
      <c r="B27" s="184" t="s">
        <v>17</v>
      </c>
      <c r="C27" s="198"/>
      <c r="D27" s="189">
        <f>AVERAGE(D28:D29)</f>
        <v>0</v>
      </c>
      <c r="E27" s="216"/>
    </row>
    <row r="28" spans="1:5" outlineLevel="2">
      <c r="A28" s="210" t="s">
        <v>264</v>
      </c>
      <c r="B28" s="211" t="s">
        <v>17</v>
      </c>
      <c r="C28" s="199" t="s">
        <v>36</v>
      </c>
      <c r="D28" s="190">
        <f>VALUE(LEFT(E28,3))</f>
        <v>0</v>
      </c>
      <c r="E28" s="186" t="s">
        <v>283</v>
      </c>
    </row>
    <row r="29" spans="1:5" outlineLevel="2">
      <c r="A29" s="210" t="s">
        <v>264</v>
      </c>
      <c r="B29" s="211" t="s">
        <v>17</v>
      </c>
      <c r="C29" s="199" t="s">
        <v>481</v>
      </c>
      <c r="D29" s="190">
        <f>VALUE(LEFT(E29,3))</f>
        <v>0</v>
      </c>
      <c r="E29" s="186" t="s">
        <v>283</v>
      </c>
    </row>
    <row r="30" spans="1:5" s="182" customFormat="1" outlineLevel="1">
      <c r="A30" s="185" t="s">
        <v>264</v>
      </c>
      <c r="B30" s="184" t="s">
        <v>290</v>
      </c>
      <c r="C30" s="198"/>
      <c r="D30" s="189">
        <f>AVERAGE(D31:D32)</f>
        <v>0</v>
      </c>
      <c r="E30" s="216"/>
    </row>
    <row r="31" spans="1:5" outlineLevel="2">
      <c r="A31" s="210" t="s">
        <v>264</v>
      </c>
      <c r="B31" s="211" t="s">
        <v>290</v>
      </c>
      <c r="C31" s="199" t="s">
        <v>450</v>
      </c>
      <c r="D31" s="190">
        <f>VALUE(LEFT(E31,3))</f>
        <v>0</v>
      </c>
      <c r="E31" s="186" t="s">
        <v>448</v>
      </c>
    </row>
    <row r="32" spans="1:5" ht="28.8" outlineLevel="2">
      <c r="A32" s="210" t="s">
        <v>264</v>
      </c>
      <c r="B32" s="211" t="s">
        <v>290</v>
      </c>
      <c r="C32" s="199" t="s">
        <v>486</v>
      </c>
      <c r="D32" s="190">
        <f>VALUE(LEFT(E32,3))</f>
        <v>0</v>
      </c>
      <c r="E32" s="186" t="s">
        <v>245</v>
      </c>
    </row>
    <row r="33" spans="1:5" s="182" customFormat="1" outlineLevel="1">
      <c r="A33" s="185" t="s">
        <v>264</v>
      </c>
      <c r="B33" s="184" t="s">
        <v>320</v>
      </c>
      <c r="C33" s="198"/>
      <c r="D33" s="189">
        <f>AVERAGE(D34:D35)</f>
        <v>0</v>
      </c>
      <c r="E33" s="216"/>
    </row>
    <row r="34" spans="1:5" outlineLevel="2">
      <c r="A34" s="210" t="s">
        <v>264</v>
      </c>
      <c r="B34" s="211" t="s">
        <v>320</v>
      </c>
      <c r="C34" s="199" t="s">
        <v>464</v>
      </c>
      <c r="D34" s="190">
        <f>VALUE(LEFT(E34,3))</f>
        <v>0</v>
      </c>
      <c r="E34" s="186" t="s">
        <v>283</v>
      </c>
    </row>
    <row r="35" spans="1:5" ht="28.8" outlineLevel="2">
      <c r="A35" s="210" t="s">
        <v>264</v>
      </c>
      <c r="B35" s="211" t="s">
        <v>320</v>
      </c>
      <c r="C35" s="199" t="s">
        <v>465</v>
      </c>
      <c r="D35" s="190">
        <f>VALUE(LEFT(E35,3))</f>
        <v>0</v>
      </c>
      <c r="E35" s="186" t="s">
        <v>283</v>
      </c>
    </row>
    <row r="36" spans="1:5" s="182" customFormat="1" outlineLevel="1">
      <c r="A36" s="185" t="s">
        <v>264</v>
      </c>
      <c r="B36" s="184" t="s">
        <v>421</v>
      </c>
      <c r="C36" s="198"/>
      <c r="D36" s="189">
        <f>AVERAGE(D37:D38)</f>
        <v>0</v>
      </c>
      <c r="E36" s="216"/>
    </row>
    <row r="37" spans="1:5" ht="28.8" outlineLevel="2">
      <c r="A37" s="210" t="s">
        <v>264</v>
      </c>
      <c r="B37" s="211" t="s">
        <v>421</v>
      </c>
      <c r="C37" s="199" t="s">
        <v>422</v>
      </c>
      <c r="D37" s="190">
        <f>VALUE(LEFT(E37,3))</f>
        <v>0</v>
      </c>
      <c r="E37" s="186" t="s">
        <v>283</v>
      </c>
    </row>
    <row r="38" spans="1:5" outlineLevel="2">
      <c r="A38" s="210" t="s">
        <v>264</v>
      </c>
      <c r="B38" s="211" t="s">
        <v>421</v>
      </c>
      <c r="C38" s="199" t="s">
        <v>293</v>
      </c>
      <c r="D38" s="190">
        <f>VALUE(LEFT(E38,3))</f>
        <v>0</v>
      </c>
      <c r="E38" s="186" t="s">
        <v>283</v>
      </c>
    </row>
    <row r="39" spans="1:5" s="182" customFormat="1" outlineLevel="1">
      <c r="A39" s="185" t="s">
        <v>264</v>
      </c>
      <c r="B39" s="184" t="s">
        <v>328</v>
      </c>
      <c r="C39" s="198"/>
      <c r="D39" s="189">
        <f>AVERAGE(D40)</f>
        <v>0</v>
      </c>
      <c r="E39" s="216"/>
    </row>
    <row r="40" spans="1:5" ht="28.8" outlineLevel="2">
      <c r="A40" s="210" t="s">
        <v>264</v>
      </c>
      <c r="B40" s="211" t="s">
        <v>328</v>
      </c>
      <c r="C40" s="199" t="s">
        <v>484</v>
      </c>
      <c r="D40" s="190">
        <f>VALUE(LEFT(E40,3))</f>
        <v>0</v>
      </c>
      <c r="E40" s="186" t="s">
        <v>283</v>
      </c>
    </row>
    <row r="41" spans="1:5" s="182" customFormat="1" outlineLevel="1">
      <c r="A41" s="185" t="s">
        <v>264</v>
      </c>
      <c r="B41" s="184" t="s">
        <v>55</v>
      </c>
      <c r="C41" s="198"/>
      <c r="D41" s="189">
        <f>AVERAGE(D42)</f>
        <v>0</v>
      </c>
      <c r="E41" s="216"/>
    </row>
    <row r="42" spans="1:5" ht="29.4" outlineLevel="2" thickBot="1">
      <c r="A42" s="210" t="s">
        <v>264</v>
      </c>
      <c r="B42" s="211" t="s">
        <v>55</v>
      </c>
      <c r="C42" s="199" t="s">
        <v>453</v>
      </c>
      <c r="D42" s="190">
        <f>VALUE(LEFT(E42,3))</f>
        <v>0</v>
      </c>
      <c r="E42" s="186" t="s">
        <v>256</v>
      </c>
    </row>
    <row r="43" spans="1:5" s="206" customFormat="1" ht="16.2" thickBot="1">
      <c r="A43" s="204" t="s">
        <v>69</v>
      </c>
      <c r="B43" s="203"/>
      <c r="C43" s="205"/>
      <c r="D43" s="212">
        <f>(D44+D46*D47+D49*D50+D52*D53*+D55*D47)/(1+1*D47+1*D50+1*D52+1*D47)</f>
        <v>0</v>
      </c>
      <c r="E43" s="215"/>
    </row>
    <row r="44" spans="1:5" s="182" customFormat="1" outlineLevel="1">
      <c r="A44" s="185" t="s">
        <v>69</v>
      </c>
      <c r="B44" s="184" t="s">
        <v>72</v>
      </c>
      <c r="C44" s="198"/>
      <c r="D44" s="189">
        <f>AVERAGE(D45)</f>
        <v>0</v>
      </c>
      <c r="E44" s="216"/>
    </row>
    <row r="45" spans="1:5" ht="28.8" outlineLevel="2">
      <c r="A45" s="210" t="s">
        <v>69</v>
      </c>
      <c r="B45" s="211" t="s">
        <v>72</v>
      </c>
      <c r="C45" s="199" t="s">
        <v>559</v>
      </c>
      <c r="D45" s="190">
        <f>VALUE(LEFT(E45,3))</f>
        <v>0</v>
      </c>
      <c r="E45" s="186" t="s">
        <v>283</v>
      </c>
    </row>
    <row r="46" spans="1:5" s="182" customFormat="1" outlineLevel="1">
      <c r="A46" s="185" t="s">
        <v>69</v>
      </c>
      <c r="B46" s="184" t="s">
        <v>76</v>
      </c>
      <c r="C46" s="198"/>
      <c r="D46" s="189">
        <f>AVERAGE(D48)*D47</f>
        <v>0</v>
      </c>
      <c r="E46" s="216"/>
    </row>
    <row r="47" spans="1:5" outlineLevel="2">
      <c r="A47" s="210" t="s">
        <v>69</v>
      </c>
      <c r="B47" s="211" t="s">
        <v>76</v>
      </c>
      <c r="C47" s="194" t="s">
        <v>560</v>
      </c>
      <c r="D47" s="190">
        <f>VALUE(LEFT(E47,3))</f>
        <v>0</v>
      </c>
      <c r="E47" s="186" t="s">
        <v>565</v>
      </c>
    </row>
    <row r="48" spans="1:5" ht="28.8" outlineLevel="2">
      <c r="A48" s="210" t="s">
        <v>69</v>
      </c>
      <c r="B48" s="211" t="s">
        <v>76</v>
      </c>
      <c r="C48" s="199" t="s">
        <v>559</v>
      </c>
      <c r="D48" s="190">
        <f>VALUE(LEFT(E48,3))</f>
        <v>5</v>
      </c>
      <c r="E48" s="186" t="s">
        <v>284</v>
      </c>
    </row>
    <row r="49" spans="1:6" s="182" customFormat="1" outlineLevel="1">
      <c r="A49" s="185" t="s">
        <v>69</v>
      </c>
      <c r="B49" s="184" t="s">
        <v>87</v>
      </c>
      <c r="C49" s="198"/>
      <c r="D49" s="189">
        <f>AVERAGE(D51)*D50</f>
        <v>0</v>
      </c>
      <c r="E49" s="216"/>
    </row>
    <row r="50" spans="1:6" outlineLevel="2">
      <c r="A50" s="210" t="s">
        <v>69</v>
      </c>
      <c r="B50" s="211" t="s">
        <v>87</v>
      </c>
      <c r="C50" s="199" t="s">
        <v>907</v>
      </c>
      <c r="D50" s="190">
        <f>VALUE(LEFT(E50,3))</f>
        <v>0</v>
      </c>
      <c r="E50" s="186" t="s">
        <v>565</v>
      </c>
    </row>
    <row r="51" spans="1:6" ht="28.8" outlineLevel="2">
      <c r="A51" s="210" t="s">
        <v>69</v>
      </c>
      <c r="B51" s="211" t="s">
        <v>87</v>
      </c>
      <c r="C51" s="199" t="s">
        <v>559</v>
      </c>
      <c r="D51" s="190">
        <f>VALUE(LEFT(E51,3))</f>
        <v>0</v>
      </c>
      <c r="E51" s="186" t="s">
        <v>283</v>
      </c>
    </row>
    <row r="52" spans="1:6" s="182" customFormat="1" outlineLevel="1">
      <c r="A52" s="185" t="s">
        <v>69</v>
      </c>
      <c r="B52" s="185" t="s">
        <v>97</v>
      </c>
      <c r="C52" s="198"/>
      <c r="D52" s="189">
        <f>AVERAGE(D54)*D53</f>
        <v>0</v>
      </c>
      <c r="E52" s="216"/>
    </row>
    <row r="53" spans="1:6" outlineLevel="2">
      <c r="A53" s="210" t="s">
        <v>69</v>
      </c>
      <c r="B53" s="211" t="s">
        <v>97</v>
      </c>
      <c r="C53" s="199" t="s">
        <v>908</v>
      </c>
      <c r="D53" s="190">
        <f>VALUE(LEFT(E53,3))</f>
        <v>0</v>
      </c>
      <c r="E53" s="186" t="s">
        <v>448</v>
      </c>
    </row>
    <row r="54" spans="1:6" ht="28.8" outlineLevel="2">
      <c r="A54" s="210" t="s">
        <v>69</v>
      </c>
      <c r="B54" s="211" t="s">
        <v>97</v>
      </c>
      <c r="C54" s="199" t="s">
        <v>446</v>
      </c>
      <c r="D54" s="190">
        <f>VALUE(LEFT(E54,3))</f>
        <v>5</v>
      </c>
      <c r="E54" s="186" t="s">
        <v>284</v>
      </c>
    </row>
    <row r="55" spans="1:6" s="182" customFormat="1" outlineLevel="1">
      <c r="A55" s="185" t="s">
        <v>69</v>
      </c>
      <c r="B55" s="184" t="s">
        <v>101</v>
      </c>
      <c r="C55" s="198"/>
      <c r="D55" s="189">
        <f>AVERAGE(D56)</f>
        <v>0</v>
      </c>
      <c r="E55" s="216"/>
    </row>
    <row r="56" spans="1:6" ht="29.4" outlineLevel="2" thickBot="1">
      <c r="A56" s="210" t="s">
        <v>69</v>
      </c>
      <c r="B56" s="211" t="s">
        <v>101</v>
      </c>
      <c r="C56" s="199" t="s">
        <v>559</v>
      </c>
      <c r="D56" s="192">
        <f>VALUE(LEFT(E56,3))</f>
        <v>0</v>
      </c>
      <c r="E56" s="186" t="s">
        <v>283</v>
      </c>
    </row>
    <row r="57" spans="1:6" s="206" customFormat="1" ht="16.2" collapsed="1" thickBot="1">
      <c r="A57" s="204" t="s">
        <v>113</v>
      </c>
      <c r="B57" s="207"/>
      <c r="C57" s="208"/>
      <c r="D57" s="212">
        <f>(D58+D62+D66+D70+D72*D53+D78+D80+D82+D86*D87+D89+D92*D87+D95+D98)/(4+1*D53+1+1+1+2*D87+1+1+1)</f>
        <v>0</v>
      </c>
      <c r="E57" s="209"/>
    </row>
    <row r="58" spans="1:6" s="182" customFormat="1" hidden="1" outlineLevel="1">
      <c r="A58" s="185" t="s">
        <v>113</v>
      </c>
      <c r="B58" s="187" t="s">
        <v>187</v>
      </c>
      <c r="C58" s="200"/>
      <c r="D58" s="193">
        <f>AVERAGE(D59:D61)</f>
        <v>0</v>
      </c>
      <c r="E58" s="188"/>
    </row>
    <row r="59" spans="1:6" hidden="1" outlineLevel="2">
      <c r="A59" s="210" t="s">
        <v>113</v>
      </c>
      <c r="B59" s="211" t="s">
        <v>187</v>
      </c>
      <c r="C59" s="199" t="s">
        <v>537</v>
      </c>
      <c r="D59" s="190">
        <f>VALUE(LEFT(E59,3))</f>
        <v>0</v>
      </c>
      <c r="E59" s="218" t="s">
        <v>256</v>
      </c>
      <c r="F59" s="183"/>
    </row>
    <row r="60" spans="1:6" hidden="1" outlineLevel="2">
      <c r="A60" s="210" t="s">
        <v>113</v>
      </c>
      <c r="B60" s="211" t="s">
        <v>187</v>
      </c>
      <c r="C60" s="199" t="s">
        <v>524</v>
      </c>
      <c r="D60" s="190">
        <f>VALUE(LEFT(E60,3))</f>
        <v>0</v>
      </c>
      <c r="E60" s="218" t="s">
        <v>256</v>
      </c>
    </row>
    <row r="61" spans="1:6" hidden="1" outlineLevel="2">
      <c r="A61" s="210" t="s">
        <v>113</v>
      </c>
      <c r="B61" s="211" t="s">
        <v>187</v>
      </c>
      <c r="C61" s="199" t="s">
        <v>525</v>
      </c>
      <c r="D61" s="190">
        <f>VALUE(LEFT(E61,3))</f>
        <v>0</v>
      </c>
      <c r="E61" s="218" t="s">
        <v>256</v>
      </c>
    </row>
    <row r="62" spans="1:6" s="182" customFormat="1" hidden="1" outlineLevel="1">
      <c r="A62" s="185" t="s">
        <v>113</v>
      </c>
      <c r="B62" s="187" t="s">
        <v>332</v>
      </c>
      <c r="C62" s="200"/>
      <c r="D62" s="189">
        <f>AVERAGE(D63:D65)</f>
        <v>0</v>
      </c>
      <c r="E62" s="188"/>
    </row>
    <row r="63" spans="1:6" hidden="1" outlineLevel="2">
      <c r="A63" s="210" t="s">
        <v>113</v>
      </c>
      <c r="B63" s="211" t="s">
        <v>332</v>
      </c>
      <c r="C63" s="199" t="s">
        <v>539</v>
      </c>
      <c r="D63" s="190">
        <f>VALUE(LEFT(E63,3))</f>
        <v>0</v>
      </c>
      <c r="E63" s="218" t="s">
        <v>256</v>
      </c>
    </row>
    <row r="64" spans="1:6" hidden="1" outlineLevel="2">
      <c r="A64" s="210" t="s">
        <v>113</v>
      </c>
      <c r="B64" s="211" t="s">
        <v>332</v>
      </c>
      <c r="C64" s="199" t="s">
        <v>540</v>
      </c>
      <c r="D64" s="190">
        <f>VALUE(LEFT(E64,3))</f>
        <v>0</v>
      </c>
      <c r="E64" s="218" t="s">
        <v>256</v>
      </c>
    </row>
    <row r="65" spans="1:5" hidden="1" outlineLevel="2">
      <c r="A65" s="210" t="s">
        <v>113</v>
      </c>
      <c r="B65" s="211" t="s">
        <v>332</v>
      </c>
      <c r="C65" s="199" t="s">
        <v>541</v>
      </c>
      <c r="D65" s="190">
        <f>VALUE(LEFT(E65,3))</f>
        <v>0</v>
      </c>
      <c r="E65" s="218" t="s">
        <v>256</v>
      </c>
    </row>
    <row r="66" spans="1:5" s="182" customFormat="1" hidden="1" outlineLevel="1">
      <c r="A66" s="185" t="s">
        <v>113</v>
      </c>
      <c r="B66" s="187" t="s">
        <v>333</v>
      </c>
      <c r="C66" s="200"/>
      <c r="D66" s="189">
        <f>AVERAGE(D67:D69)</f>
        <v>0</v>
      </c>
      <c r="E66" s="188"/>
    </row>
    <row r="67" spans="1:5" hidden="1" outlineLevel="2">
      <c r="A67" s="210" t="s">
        <v>113</v>
      </c>
      <c r="B67" s="211" t="s">
        <v>333</v>
      </c>
      <c r="C67" s="199" t="s">
        <v>536</v>
      </c>
      <c r="D67" s="190">
        <f>VALUE(LEFT(E67,3))</f>
        <v>0</v>
      </c>
      <c r="E67" s="218" t="s">
        <v>256</v>
      </c>
    </row>
    <row r="68" spans="1:5" ht="28.8" hidden="1" outlineLevel="2">
      <c r="A68" s="210" t="s">
        <v>113</v>
      </c>
      <c r="B68" s="211" t="s">
        <v>333</v>
      </c>
      <c r="C68" s="199" t="s">
        <v>526</v>
      </c>
      <c r="D68" s="190">
        <f>VALUE(LEFT(E68,3))</f>
        <v>0</v>
      </c>
      <c r="E68" s="218" t="s">
        <v>256</v>
      </c>
    </row>
    <row r="69" spans="1:5" ht="28.8" hidden="1" outlineLevel="2">
      <c r="A69" s="210" t="s">
        <v>113</v>
      </c>
      <c r="B69" s="211" t="s">
        <v>333</v>
      </c>
      <c r="C69" s="199" t="s">
        <v>542</v>
      </c>
      <c r="D69" s="190">
        <f>VALUE(LEFT(E69,3))</f>
        <v>0</v>
      </c>
      <c r="E69" s="186" t="s">
        <v>283</v>
      </c>
    </row>
    <row r="70" spans="1:5" s="182" customFormat="1" hidden="1" outlineLevel="1">
      <c r="A70" s="185" t="s">
        <v>113</v>
      </c>
      <c r="B70" s="187" t="s">
        <v>334</v>
      </c>
      <c r="C70" s="200"/>
      <c r="D70" s="189">
        <f>AVERAGE(D71)</f>
        <v>0</v>
      </c>
      <c r="E70" s="188"/>
    </row>
    <row r="71" spans="1:5" ht="28.8" hidden="1" outlineLevel="2">
      <c r="A71" s="210" t="s">
        <v>113</v>
      </c>
      <c r="B71" s="211" t="s">
        <v>334</v>
      </c>
      <c r="C71" s="199" t="s">
        <v>370</v>
      </c>
      <c r="D71" s="190">
        <f>VALUE(LEFT(E71,3))</f>
        <v>0</v>
      </c>
      <c r="E71" s="218" t="s">
        <v>256</v>
      </c>
    </row>
    <row r="72" spans="1:5" s="182" customFormat="1" hidden="1" outlineLevel="1">
      <c r="A72" s="185" t="s">
        <v>113</v>
      </c>
      <c r="B72" s="187" t="s">
        <v>335</v>
      </c>
      <c r="C72" s="200"/>
      <c r="D72" s="189">
        <f>AVERAGE(D73:D74)*D53</f>
        <v>0</v>
      </c>
      <c r="E72" s="188"/>
    </row>
    <row r="73" spans="1:5" hidden="1" outlineLevel="2">
      <c r="A73" s="210" t="s">
        <v>113</v>
      </c>
      <c r="B73" s="211" t="s">
        <v>335</v>
      </c>
      <c r="C73" s="199" t="s">
        <v>543</v>
      </c>
      <c r="D73" s="190">
        <f>VALUE(LEFT(E73,3))</f>
        <v>0</v>
      </c>
      <c r="E73" s="218" t="s">
        <v>256</v>
      </c>
    </row>
    <row r="74" spans="1:5" hidden="1" outlineLevel="2">
      <c r="A74" s="210" t="s">
        <v>113</v>
      </c>
      <c r="B74" s="211" t="s">
        <v>335</v>
      </c>
      <c r="C74" s="199" t="s">
        <v>527</v>
      </c>
      <c r="D74" s="190">
        <f>VALUE(LEFT(E74,3))</f>
        <v>0</v>
      </c>
      <c r="E74" s="186" t="s">
        <v>283</v>
      </c>
    </row>
    <row r="75" spans="1:5" s="182" customFormat="1" hidden="1" outlineLevel="1">
      <c r="A75" s="185" t="s">
        <v>113</v>
      </c>
      <c r="B75" s="187" t="s">
        <v>336</v>
      </c>
      <c r="C75" s="200"/>
      <c r="D75" s="189">
        <f>AVERAGE(D101,D105,D109)*D76</f>
        <v>0</v>
      </c>
      <c r="E75" s="188"/>
    </row>
    <row r="76" spans="1:5" ht="31.2" hidden="1" outlineLevel="2">
      <c r="A76" s="210" t="s">
        <v>113</v>
      </c>
      <c r="B76" s="213" t="s">
        <v>336</v>
      </c>
      <c r="C76" s="199" t="s">
        <v>450</v>
      </c>
      <c r="D76" s="190">
        <f>VALUE(LEFT(E76,3))</f>
        <v>0</v>
      </c>
      <c r="E76" s="186" t="s">
        <v>565</v>
      </c>
    </row>
    <row r="77" spans="1:5" hidden="1" outlineLevel="2">
      <c r="A77" s="210"/>
      <c r="B77" s="224" t="s">
        <v>18</v>
      </c>
      <c r="C77" s="225"/>
      <c r="D77" s="226">
        <f>D101</f>
        <v>0</v>
      </c>
      <c r="E77" s="227"/>
    </row>
    <row r="78" spans="1:5" s="182" customFormat="1" hidden="1" outlineLevel="1">
      <c r="A78" s="185" t="s">
        <v>113</v>
      </c>
      <c r="B78" s="187" t="s">
        <v>337</v>
      </c>
      <c r="C78" s="200"/>
      <c r="D78" s="189">
        <f>AVERAGE(D79:D79)</f>
        <v>0</v>
      </c>
      <c r="E78" s="188"/>
    </row>
    <row r="79" spans="1:5" ht="28.8" hidden="1" outlineLevel="2">
      <c r="A79" s="210" t="s">
        <v>113</v>
      </c>
      <c r="B79" s="213" t="s">
        <v>337</v>
      </c>
      <c r="C79" s="199" t="s">
        <v>544</v>
      </c>
      <c r="D79" s="190">
        <f>VALUE(LEFT(E79,3))</f>
        <v>0</v>
      </c>
      <c r="E79" s="218" t="s">
        <v>256</v>
      </c>
    </row>
    <row r="80" spans="1:5" s="182" customFormat="1" hidden="1" outlineLevel="1">
      <c r="A80" s="185" t="s">
        <v>113</v>
      </c>
      <c r="B80" s="187" t="s">
        <v>338</v>
      </c>
      <c r="C80" s="200"/>
      <c r="D80" s="189">
        <f>AVERAGE(D81:D81)</f>
        <v>0</v>
      </c>
      <c r="E80" s="188"/>
    </row>
    <row r="81" spans="1:5" hidden="1" outlineLevel="2">
      <c r="A81" s="210" t="s">
        <v>113</v>
      </c>
      <c r="B81" s="213" t="s">
        <v>338</v>
      </c>
      <c r="C81" s="199" t="s">
        <v>545</v>
      </c>
      <c r="D81" s="190">
        <f>VALUE(LEFT(E81,3))</f>
        <v>0</v>
      </c>
      <c r="E81" s="218" t="s">
        <v>256</v>
      </c>
    </row>
    <row r="82" spans="1:5" s="182" customFormat="1" hidden="1" outlineLevel="1">
      <c r="A82" s="185" t="s">
        <v>113</v>
      </c>
      <c r="B82" s="187" t="s">
        <v>339</v>
      </c>
      <c r="C82" s="200"/>
      <c r="D82" s="189">
        <f>AVERAGE(D83:D85)</f>
        <v>0</v>
      </c>
      <c r="E82" s="188"/>
    </row>
    <row r="83" spans="1:5" hidden="1" outlineLevel="2">
      <c r="A83" s="210" t="s">
        <v>113</v>
      </c>
      <c r="B83" s="213" t="s">
        <v>339</v>
      </c>
      <c r="C83" s="199" t="s">
        <v>535</v>
      </c>
      <c r="D83" s="190">
        <f>VALUE(LEFT(E83,3))</f>
        <v>0</v>
      </c>
      <c r="E83" s="218" t="s">
        <v>256</v>
      </c>
    </row>
    <row r="84" spans="1:5" hidden="1" outlineLevel="2">
      <c r="A84" s="210" t="s">
        <v>113</v>
      </c>
      <c r="B84" s="213" t="s">
        <v>339</v>
      </c>
      <c r="C84" s="199" t="s">
        <v>546</v>
      </c>
      <c r="D84" s="190">
        <f>VALUE(LEFT(E84,3))</f>
        <v>0</v>
      </c>
      <c r="E84" s="218" t="s">
        <v>256</v>
      </c>
    </row>
    <row r="85" spans="1:5" hidden="1" outlineLevel="2">
      <c r="A85" s="210" t="s">
        <v>113</v>
      </c>
      <c r="B85" s="213" t="s">
        <v>339</v>
      </c>
      <c r="C85" s="199" t="s">
        <v>547</v>
      </c>
      <c r="D85" s="190">
        <f>VALUE(LEFT(E85,3))</f>
        <v>0</v>
      </c>
      <c r="E85" s="218" t="s">
        <v>245</v>
      </c>
    </row>
    <row r="86" spans="1:5" s="182" customFormat="1" hidden="1" outlineLevel="1">
      <c r="A86" s="185" t="s">
        <v>113</v>
      </c>
      <c r="B86" s="187" t="s">
        <v>340</v>
      </c>
      <c r="C86" s="200"/>
      <c r="D86" s="189">
        <f>AVERAGE(D88:D88)*D87</f>
        <v>0</v>
      </c>
      <c r="E86" s="188"/>
    </row>
    <row r="87" spans="1:5" ht="28.8" hidden="1" outlineLevel="2">
      <c r="A87" s="210" t="s">
        <v>113</v>
      </c>
      <c r="B87" s="213" t="s">
        <v>340</v>
      </c>
      <c r="C87" s="199" t="s">
        <v>566</v>
      </c>
      <c r="D87" s="190">
        <f>VALUE(LEFT(E87,3))</f>
        <v>0</v>
      </c>
      <c r="E87" s="186" t="s">
        <v>565</v>
      </c>
    </row>
    <row r="88" spans="1:5" ht="28.8" hidden="1" outlineLevel="2">
      <c r="A88" s="210" t="s">
        <v>113</v>
      </c>
      <c r="B88" s="213" t="s">
        <v>340</v>
      </c>
      <c r="C88" s="199" t="s">
        <v>531</v>
      </c>
      <c r="D88" s="190">
        <f>VALUE(LEFT(E88,3))</f>
        <v>0</v>
      </c>
      <c r="E88" s="186" t="s">
        <v>283</v>
      </c>
    </row>
    <row r="89" spans="1:5" s="182" customFormat="1" hidden="1" outlineLevel="1">
      <c r="A89" s="185" t="s">
        <v>113</v>
      </c>
      <c r="B89" s="187" t="s">
        <v>341</v>
      </c>
      <c r="C89" s="200"/>
      <c r="D89" s="189">
        <f>AVERAGE(D90:D91)</f>
        <v>0</v>
      </c>
      <c r="E89" s="188"/>
    </row>
    <row r="90" spans="1:5" hidden="1" outlineLevel="2">
      <c r="A90" s="210" t="s">
        <v>113</v>
      </c>
      <c r="B90" s="213" t="s">
        <v>341</v>
      </c>
      <c r="C90" s="199" t="s">
        <v>548</v>
      </c>
      <c r="D90" s="190">
        <f>VALUE(LEFT(E90,3))</f>
        <v>0</v>
      </c>
      <c r="E90" s="218" t="s">
        <v>256</v>
      </c>
    </row>
    <row r="91" spans="1:5" hidden="1" outlineLevel="2">
      <c r="A91" s="210" t="s">
        <v>113</v>
      </c>
      <c r="B91" s="213" t="s">
        <v>341</v>
      </c>
      <c r="C91" s="199" t="s">
        <v>549</v>
      </c>
      <c r="D91" s="190">
        <f>VALUE(LEFT(E91,3))</f>
        <v>0</v>
      </c>
      <c r="E91" s="218" t="s">
        <v>256</v>
      </c>
    </row>
    <row r="92" spans="1:5" s="182" customFormat="1" hidden="1" outlineLevel="1">
      <c r="A92" s="185" t="s">
        <v>113</v>
      </c>
      <c r="B92" s="187" t="s">
        <v>342</v>
      </c>
      <c r="C92" s="200"/>
      <c r="D92" s="189">
        <f>AVERAGE(D93:D94)</f>
        <v>0</v>
      </c>
      <c r="E92" s="188"/>
    </row>
    <row r="93" spans="1:5" ht="31.2" hidden="1" outlineLevel="2">
      <c r="A93" s="210" t="s">
        <v>113</v>
      </c>
      <c r="B93" s="213" t="s">
        <v>342</v>
      </c>
      <c r="C93" s="199" t="s">
        <v>550</v>
      </c>
      <c r="D93" s="190">
        <f>VALUE(LEFT(E93,3))</f>
        <v>0</v>
      </c>
      <c r="E93" s="218" t="s">
        <v>256</v>
      </c>
    </row>
    <row r="94" spans="1:5" ht="31.2" hidden="1" outlineLevel="2">
      <c r="A94" s="210" t="s">
        <v>113</v>
      </c>
      <c r="B94" s="213" t="s">
        <v>342</v>
      </c>
      <c r="C94" s="199" t="s">
        <v>551</v>
      </c>
      <c r="D94" s="190">
        <f>VALUE(LEFT(E94,3))</f>
        <v>0</v>
      </c>
      <c r="E94" s="218" t="s">
        <v>256</v>
      </c>
    </row>
    <row r="95" spans="1:5" s="182" customFormat="1" hidden="1" outlineLevel="1">
      <c r="A95" s="185" t="s">
        <v>113</v>
      </c>
      <c r="B95" s="187" t="s">
        <v>343</v>
      </c>
      <c r="C95" s="200"/>
      <c r="D95" s="189">
        <f>AVERAGE(D96:D97)</f>
        <v>0</v>
      </c>
      <c r="E95" s="188"/>
    </row>
    <row r="96" spans="1:5" hidden="1" outlineLevel="2">
      <c r="A96" s="210" t="s">
        <v>113</v>
      </c>
      <c r="B96" s="213" t="s">
        <v>343</v>
      </c>
      <c r="C96" s="199" t="s">
        <v>552</v>
      </c>
      <c r="D96" s="190">
        <f>VALUE(LEFT(E96,3))</f>
        <v>0</v>
      </c>
      <c r="E96" s="218" t="s">
        <v>256</v>
      </c>
    </row>
    <row r="97" spans="1:5" hidden="1" outlineLevel="2">
      <c r="A97" s="210" t="s">
        <v>113</v>
      </c>
      <c r="B97" s="213" t="s">
        <v>343</v>
      </c>
      <c r="C97" s="199" t="s">
        <v>532</v>
      </c>
      <c r="D97" s="190">
        <f>VALUE(LEFT(E97,3))</f>
        <v>0</v>
      </c>
      <c r="E97" s="218" t="s">
        <v>256</v>
      </c>
    </row>
    <row r="98" spans="1:5" s="182" customFormat="1" hidden="1" outlineLevel="1">
      <c r="A98" s="185" t="s">
        <v>113</v>
      </c>
      <c r="B98" s="187" t="s">
        <v>344</v>
      </c>
      <c r="C98" s="200"/>
      <c r="D98" s="189">
        <f>AVERAGE(D99:D100)</f>
        <v>0</v>
      </c>
      <c r="E98" s="188"/>
    </row>
    <row r="99" spans="1:5" hidden="1" outlineLevel="2">
      <c r="A99" s="210" t="s">
        <v>113</v>
      </c>
      <c r="B99" s="213" t="s">
        <v>344</v>
      </c>
      <c r="C99" s="199" t="s">
        <v>533</v>
      </c>
      <c r="D99" s="190">
        <f>VALUE(LEFT(E99,3))</f>
        <v>0</v>
      </c>
      <c r="E99" s="220" t="s">
        <v>256</v>
      </c>
    </row>
    <row r="100" spans="1:5" ht="16.2" hidden="1" outlineLevel="2" thickBot="1">
      <c r="A100" s="210" t="s">
        <v>113</v>
      </c>
      <c r="B100" s="213" t="s">
        <v>344</v>
      </c>
      <c r="C100" s="199" t="s">
        <v>534</v>
      </c>
      <c r="D100" s="190">
        <f>VALUE(LEFT(E100,3))</f>
        <v>0</v>
      </c>
      <c r="E100" s="218" t="s">
        <v>256</v>
      </c>
    </row>
    <row r="101" spans="1:5" s="206" customFormat="1" ht="16.2" collapsed="1" thickBot="1">
      <c r="A101" s="204" t="s">
        <v>18</v>
      </c>
      <c r="B101" s="203"/>
      <c r="C101" s="205"/>
      <c r="D101" s="212">
        <f>AVERAGE(D102:D104)</f>
        <v>0</v>
      </c>
      <c r="E101" s="215"/>
    </row>
    <row r="102" spans="1:5" hidden="1" outlineLevel="1">
      <c r="A102" s="210" t="s">
        <v>18</v>
      </c>
      <c r="B102" s="213"/>
      <c r="C102" s="199" t="s">
        <v>553</v>
      </c>
      <c r="D102" s="190">
        <f>VALUE(LEFT(E102,3))</f>
        <v>0</v>
      </c>
      <c r="E102" s="218" t="s">
        <v>256</v>
      </c>
    </row>
    <row r="103" spans="1:5" hidden="1" outlineLevel="1">
      <c r="A103" s="210" t="s">
        <v>18</v>
      </c>
      <c r="B103" s="213"/>
      <c r="C103" s="199" t="s">
        <v>554</v>
      </c>
      <c r="D103" s="190">
        <f>VALUE(LEFT(E103,3))</f>
        <v>0</v>
      </c>
      <c r="E103" s="186" t="s">
        <v>283</v>
      </c>
    </row>
    <row r="104" spans="1:5" ht="16.2" hidden="1" outlineLevel="1" thickBot="1">
      <c r="A104" s="210" t="s">
        <v>18</v>
      </c>
      <c r="B104" s="213"/>
      <c r="C104" s="199" t="s">
        <v>529</v>
      </c>
      <c r="D104" s="190">
        <f>VALUE(LEFT(E104,3))</f>
        <v>0</v>
      </c>
      <c r="E104" s="186" t="s">
        <v>245</v>
      </c>
    </row>
    <row r="105" spans="1:5" s="206" customFormat="1" ht="16.2" collapsed="1" thickBot="1">
      <c r="A105" s="204" t="s">
        <v>19</v>
      </c>
      <c r="B105" s="203"/>
      <c r="C105" s="205"/>
      <c r="D105" s="212">
        <f>AVERAGE(D106:D108)</f>
        <v>0</v>
      </c>
      <c r="E105" s="215"/>
    </row>
    <row r="106" spans="1:5" ht="28.8" hidden="1" outlineLevel="1">
      <c r="A106" s="210" t="s">
        <v>19</v>
      </c>
      <c r="B106" s="211"/>
      <c r="C106" s="199" t="s">
        <v>555</v>
      </c>
      <c r="D106" s="190">
        <f>VALUE(LEFT(E106,3))</f>
        <v>0</v>
      </c>
      <c r="E106" s="217" t="s">
        <v>283</v>
      </c>
    </row>
    <row r="107" spans="1:5" ht="28.8" hidden="1" outlineLevel="1">
      <c r="A107" s="210" t="s">
        <v>19</v>
      </c>
      <c r="B107" s="211"/>
      <c r="C107" s="199" t="s">
        <v>530</v>
      </c>
      <c r="D107" s="190">
        <f>VALUE(LEFT(E107,3))</f>
        <v>0</v>
      </c>
      <c r="E107" s="217" t="s">
        <v>256</v>
      </c>
    </row>
    <row r="108" spans="1:5" ht="16.2" hidden="1" outlineLevel="1" thickBot="1">
      <c r="A108" s="210" t="s">
        <v>19</v>
      </c>
      <c r="B108" s="211"/>
      <c r="C108" s="199" t="s">
        <v>528</v>
      </c>
      <c r="D108" s="190">
        <f>VALUE(LEFT(E108,3))</f>
        <v>0</v>
      </c>
      <c r="E108" s="186" t="s">
        <v>245</v>
      </c>
    </row>
    <row r="109" spans="1:5" s="206" customFormat="1" ht="16.2" collapsed="1" thickBot="1">
      <c r="A109" s="204" t="s">
        <v>20</v>
      </c>
      <c r="B109" s="203"/>
      <c r="C109" s="205"/>
      <c r="D109" s="212">
        <f>AVERAGE(D110:D112)</f>
        <v>0</v>
      </c>
      <c r="E109" s="215"/>
    </row>
    <row r="110" spans="1:5" hidden="1" outlineLevel="1">
      <c r="A110" s="210" t="s">
        <v>20</v>
      </c>
      <c r="B110" s="211"/>
      <c r="C110" s="199" t="s">
        <v>556</v>
      </c>
      <c r="D110" s="190">
        <f>VALUE(LEFT(E110,3))</f>
        <v>0</v>
      </c>
      <c r="E110" s="217" t="s">
        <v>283</v>
      </c>
    </row>
    <row r="111" spans="1:5" hidden="1" outlineLevel="1">
      <c r="A111" s="210" t="s">
        <v>20</v>
      </c>
      <c r="B111" s="211"/>
      <c r="C111" s="199" t="s">
        <v>557</v>
      </c>
      <c r="D111" s="190">
        <f>VALUE(LEFT(E111,3))</f>
        <v>0</v>
      </c>
      <c r="E111" s="217" t="s">
        <v>256</v>
      </c>
    </row>
    <row r="112" spans="1:5" hidden="1" outlineLevel="1">
      <c r="A112" s="210" t="s">
        <v>20</v>
      </c>
      <c r="B112" s="211"/>
      <c r="C112" s="199" t="s">
        <v>522</v>
      </c>
      <c r="D112" s="190">
        <f>VALUE(LEFT(E112,3))</f>
        <v>0</v>
      </c>
      <c r="E112" s="217" t="s">
        <v>256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E00-000000000000}">
          <x14:formula1>
            <xm:f>'Условные сокращения'!$M$11:$M$12</xm:f>
          </x14:formula1>
          <xm:sqref>E4 E110 E34:E35 E106 E37:E38</xm:sqref>
        </x14:dataValidation>
        <x14:dataValidation type="list" allowBlank="1" showInputMessage="1" showErrorMessage="1" xr:uid="{00000000-0002-0000-0E00-000001000000}">
          <x14:formula1>
            <xm:f>'Условные сокращения'!$I$11:$I$14</xm:f>
          </x14:formula1>
          <xm:sqref>E5:E6 E45:E46 E48:E49 E51:E52 E8:E10 E88 E103 E28:E29 E40 E69 E54:E57 E74</xm:sqref>
        </x14:dataValidation>
        <x14:dataValidation type="list" allowBlank="1" showInputMessage="1" showErrorMessage="1" xr:uid="{00000000-0002-0000-0E00-000002000000}">
          <x14:formula1>
            <xm:f>'Условные сокращения'!$B$27:$B$30</xm:f>
          </x14:formula1>
          <xm:sqref>E42 E19 E22 E24:E26 E16:E17 E14 E73 E111:E112 E63:E65 E59:E61 E67:E68 E71 E99:E100 E102 E79 E81 E83:E84 E90:E91 E93:E94 E96:E97 E107</xm:sqref>
        </x14:dataValidation>
        <x14:dataValidation type="list" allowBlank="1" showInputMessage="1" showErrorMessage="1" xr:uid="{00000000-0002-0000-0E00-000003000000}">
          <x14:formula1>
            <xm:f>'Условные сокращения'!$N$3:$N$8</xm:f>
          </x14:formula1>
          <xm:sqref>E12:E13 E104 E85 E32 E108</xm:sqref>
        </x14:dataValidation>
        <x14:dataValidation type="list" allowBlank="1" showInputMessage="1" showErrorMessage="1" xr:uid="{00000000-0002-0000-0E00-000004000000}">
          <x14:formula1>
            <xm:f>'Условные сокращения'!$M$30:$M$31</xm:f>
          </x14:formula1>
          <xm:sqref>E76:E77 E87 E50 E53 E31 E47</xm:sqref>
        </x14:dataValidation>
        <x14:dataValidation type="list" allowBlank="1" showInputMessage="1" showErrorMessage="1" xr:uid="{00000000-0002-0000-0E00-000005000000}">
          <x14:formula1>
            <xm:f>'Условные сокращения'!$B$19:$B$22</xm:f>
          </x14:formula1>
          <xm:sqref>E21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12</vt:i4>
      </vt:variant>
    </vt:vector>
  </HeadingPairs>
  <TitlesOfParts>
    <vt:vector size="27" baseType="lpstr">
      <vt:lpstr>Описание</vt:lpstr>
      <vt:lpstr>ИТОГ</vt:lpstr>
      <vt:lpstr>Расчет</vt:lpstr>
      <vt:lpstr>Программа</vt:lpstr>
      <vt:lpstr>Управление ИБ</vt:lpstr>
      <vt:lpstr>Нормативное соответствие</vt:lpstr>
      <vt:lpstr>250</vt:lpstr>
      <vt:lpstr>СЗИ</vt:lpstr>
      <vt:lpstr>Мониторинг</vt:lpstr>
      <vt:lpstr>Реагирование</vt:lpstr>
      <vt:lpstr>Восстановление</vt:lpstr>
      <vt:lpstr>Светофор</vt:lpstr>
      <vt:lpstr>Условные сокращения</vt:lpstr>
      <vt:lpstr>Приоритет</vt:lpstr>
      <vt:lpstr>Экспресс</vt:lpstr>
      <vt:lpstr>БР</vt:lpstr>
      <vt:lpstr>ГИС</vt:lpstr>
      <vt:lpstr>КИИ</vt:lpstr>
      <vt:lpstr>КТ</vt:lpstr>
      <vt:lpstr>ЛИЦ</vt:lpstr>
      <vt:lpstr>Лицензия</vt:lpstr>
      <vt:lpstr>ПДН</vt:lpstr>
      <vt:lpstr>СКЗИ</vt:lpstr>
      <vt:lpstr>СКПДН</vt:lpstr>
      <vt:lpstr>СТОРПДН</vt:lpstr>
      <vt:lpstr>СУДПДН</vt:lpstr>
      <vt:lpstr>ЦУКБ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Гурин Петр Иванович</dc:creator>
  <cp:lastModifiedBy>dhobs</cp:lastModifiedBy>
  <dcterms:created xsi:type="dcterms:W3CDTF">2018-02-21T15:54:16Z</dcterms:created>
  <dcterms:modified xsi:type="dcterms:W3CDTF">2026-01-16T13:24:45Z</dcterms:modified>
</cp:coreProperties>
</file>